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-alexmala\Desktop\"/>
    </mc:Choice>
  </mc:AlternateContent>
  <xr:revisionPtr revIDLastSave="0" documentId="13_ncr:1_{45C9E835-EB7D-45C4-A196-0CE128E63CEC}" xr6:coauthVersionLast="36" xr6:coauthVersionMax="45" xr10:uidLastSave="{00000000-0000-0000-0000-000000000000}"/>
  <bookViews>
    <workbookView xWindow="-120" yWindow="-120" windowWidth="28110" windowHeight="16440" tabRatio="847" firstSheet="1" activeTab="1" xr2:uid="{00000000-000D-0000-FFFF-FFFF00000000}"/>
  </bookViews>
  <sheets>
    <sheet name="Spending_2019" sheetId="2" state="hidden" r:id="rId1"/>
    <sheet name="Spending_Raw" sheetId="1" r:id="rId2"/>
  </sheets>
  <definedNames>
    <definedName name="EUR">#REF!</definedName>
    <definedName name="RON">#REF!</definedName>
    <definedName name="USD">#REF!</definedName>
    <definedName name="USD_19">#REF!</definedName>
    <definedName name="validation_list">OFFSET(#REF!,,,COUNTIF(#REF!,"?*"))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904" i="1" l="1"/>
  <c r="J4904" i="1"/>
  <c r="A1628" i="1" l="1"/>
  <c r="B3484" i="1" l="1"/>
  <c r="B2703" i="1"/>
  <c r="B2712" i="1"/>
  <c r="B2627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3731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2121" i="1"/>
  <c r="A2120" i="1"/>
  <c r="A2119" i="1"/>
  <c r="A2118" i="1"/>
  <c r="A2117" i="1"/>
  <c r="A2116" i="1"/>
  <c r="A2135" i="1"/>
  <c r="A2134" i="1"/>
  <c r="A2133" i="1"/>
  <c r="A2109" i="1"/>
  <c r="A2108" i="1"/>
  <c r="A2107" i="1"/>
  <c r="A2106" i="1"/>
  <c r="A2105" i="1"/>
  <c r="A2104" i="1"/>
  <c r="A2103" i="1"/>
  <c r="A2102" i="1"/>
  <c r="A2101" i="1"/>
  <c r="A2100" i="1"/>
  <c r="A2197" i="1"/>
  <c r="A2196" i="1"/>
  <c r="A2073" i="1"/>
  <c r="A1552" i="1"/>
  <c r="A1623" i="1"/>
  <c r="A1622" i="1"/>
  <c r="A1618" i="1"/>
  <c r="A1621" i="1"/>
  <c r="A2097" i="1"/>
  <c r="A2252" i="1"/>
  <c r="A2251" i="1"/>
  <c r="A2250" i="1"/>
  <c r="A1842" i="1"/>
  <c r="A2185" i="1"/>
  <c r="A2184" i="1"/>
  <c r="A2183" i="1"/>
  <c r="A2182" i="1"/>
  <c r="A2181" i="1"/>
  <c r="A2180" i="1"/>
  <c r="A2179" i="1"/>
  <c r="A2178" i="1"/>
  <c r="A2177" i="1"/>
  <c r="A2176" i="1"/>
  <c r="A2175" i="1"/>
  <c r="A2174" i="1"/>
  <c r="A2173" i="1"/>
  <c r="A2172" i="1"/>
  <c r="A2171" i="1"/>
  <c r="A2192" i="1"/>
  <c r="A2151" i="1"/>
  <c r="A2150" i="1"/>
  <c r="A2149" i="1"/>
  <c r="A2148" i="1"/>
  <c r="A2147" i="1"/>
  <c r="A2167" i="1"/>
  <c r="A2166" i="1"/>
  <c r="A2165" i="1"/>
  <c r="A2164" i="1"/>
  <c r="A2199" i="1"/>
  <c r="A2198" i="1"/>
  <c r="A2092" i="1"/>
  <c r="A2091" i="1"/>
  <c r="A2090" i="1"/>
  <c r="A2089" i="1"/>
  <c r="A388" i="1"/>
  <c r="A387" i="1"/>
  <c r="A386" i="1"/>
  <c r="A2088" i="1"/>
  <c r="A2087" i="1"/>
  <c r="A2086" i="1"/>
  <c r="A2085" i="1"/>
  <c r="A2084" i="1"/>
  <c r="A2083" i="1"/>
  <c r="A2082" i="1"/>
  <c r="A2081" i="1"/>
  <c r="A2080" i="1"/>
  <c r="A2079" i="1"/>
  <c r="A385" i="1"/>
  <c r="A384" i="1"/>
  <c r="A2132" i="1"/>
  <c r="A2131" i="1"/>
  <c r="A2248" i="1"/>
  <c r="A2072" i="1"/>
  <c r="A2207" i="1"/>
  <c r="A2162" i="1"/>
  <c r="A2255" i="1"/>
  <c r="A2170" i="1"/>
  <c r="A2130" i="1"/>
  <c r="A2129" i="1"/>
  <c r="B3361" i="1"/>
  <c r="B2416" i="1"/>
  <c r="B3345" i="1"/>
  <c r="J2386" i="1"/>
  <c r="B2386" i="1"/>
  <c r="B2390" i="1"/>
  <c r="B2415" i="1"/>
  <c r="B2414" i="1"/>
  <c r="B2413" i="1"/>
  <c r="B2412" i="1"/>
  <c r="B2411" i="1"/>
  <c r="B2410" i="1"/>
  <c r="B2409" i="1"/>
  <c r="B2408" i="1"/>
  <c r="B2407" i="1"/>
  <c r="B2406" i="1"/>
  <c r="B2405" i="1"/>
  <c r="B2404" i="1"/>
  <c r="B2403" i="1"/>
  <c r="B2402" i="1"/>
  <c r="B2401" i="1"/>
  <c r="B2400" i="1"/>
  <c r="B2399" i="1"/>
  <c r="B2398" i="1"/>
  <c r="B2397" i="1"/>
  <c r="B2396" i="1"/>
  <c r="B2395" i="1"/>
  <c r="B2394" i="1"/>
  <c r="B2393" i="1"/>
  <c r="B2392" i="1"/>
  <c r="B2391" i="1"/>
  <c r="B2418" i="1"/>
  <c r="B2" i="1"/>
  <c r="B12" i="1"/>
  <c r="B11" i="1"/>
  <c r="B10" i="1"/>
  <c r="B9" i="1"/>
  <c r="B8" i="1"/>
  <c r="B7" i="1"/>
  <c r="B6" i="1"/>
  <c r="B5" i="1"/>
  <c r="B4" i="1"/>
  <c r="B3" i="1"/>
  <c r="B15" i="1"/>
  <c r="B14" i="1"/>
  <c r="B13" i="1"/>
  <c r="J37" i="1"/>
  <c r="B37" i="1"/>
  <c r="J36" i="1"/>
  <c r="B36" i="1"/>
  <c r="J35" i="1"/>
  <c r="B35" i="1"/>
  <c r="J34" i="1"/>
  <c r="B34" i="1"/>
  <c r="B33" i="1"/>
  <c r="B32" i="1"/>
  <c r="J31" i="1"/>
  <c r="B31" i="1"/>
  <c r="J30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J40" i="1"/>
  <c r="B40" i="1"/>
  <c r="J39" i="1"/>
  <c r="B39" i="1"/>
  <c r="B38" i="1"/>
  <c r="J50" i="1"/>
  <c r="B50" i="1"/>
  <c r="B49" i="1"/>
  <c r="J48" i="1"/>
  <c r="B48" i="1"/>
  <c r="J47" i="1"/>
  <c r="B47" i="1"/>
  <c r="J46" i="1"/>
  <c r="B46" i="1"/>
  <c r="J45" i="1"/>
  <c r="B45" i="1"/>
  <c r="B44" i="1"/>
  <c r="J43" i="1"/>
  <c r="B43" i="1"/>
  <c r="J42" i="1"/>
  <c r="B42" i="1"/>
  <c r="J41" i="1"/>
  <c r="B41" i="1"/>
  <c r="B51" i="1"/>
  <c r="B55" i="1"/>
  <c r="J54" i="1"/>
  <c r="B54" i="1"/>
  <c r="J53" i="1"/>
  <c r="B53" i="1"/>
  <c r="J52" i="1"/>
  <c r="B52" i="1"/>
  <c r="B57" i="1"/>
  <c r="J56" i="1"/>
  <c r="B56" i="1"/>
  <c r="B2425" i="1"/>
  <c r="B2424" i="1"/>
  <c r="B2423" i="1"/>
  <c r="B2422" i="1"/>
  <c r="B2421" i="1"/>
  <c r="B2420" i="1"/>
  <c r="B58" i="1"/>
  <c r="J87" i="1"/>
  <c r="B87" i="1"/>
  <c r="J86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J66" i="1"/>
  <c r="B66" i="1"/>
  <c r="J65" i="1"/>
  <c r="B65" i="1"/>
  <c r="B64" i="1"/>
  <c r="J63" i="1"/>
  <c r="B63" i="1"/>
  <c r="J62" i="1"/>
  <c r="B62" i="1"/>
  <c r="J61" i="1"/>
  <c r="B61" i="1"/>
  <c r="B60" i="1"/>
  <c r="J59" i="1"/>
  <c r="B59" i="1"/>
  <c r="B98" i="1"/>
  <c r="B97" i="1"/>
  <c r="B96" i="1"/>
  <c r="B95" i="1"/>
  <c r="B94" i="1"/>
  <c r="B93" i="1"/>
  <c r="B92" i="1"/>
  <c r="B91" i="1"/>
  <c r="B90" i="1"/>
  <c r="B89" i="1"/>
  <c r="B88" i="1"/>
  <c r="B100" i="1"/>
  <c r="B99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J132" i="1"/>
  <c r="B132" i="1"/>
  <c r="B131" i="1"/>
  <c r="J134" i="1"/>
  <c r="B134" i="1"/>
  <c r="J133" i="1"/>
  <c r="B133" i="1"/>
  <c r="B138" i="1"/>
  <c r="J137" i="1"/>
  <c r="B137" i="1"/>
  <c r="B136" i="1"/>
  <c r="B135" i="1"/>
  <c r="B159" i="1"/>
  <c r="J158" i="1"/>
  <c r="B158" i="1"/>
  <c r="J157" i="1"/>
  <c r="B157" i="1"/>
  <c r="J156" i="1"/>
  <c r="B156" i="1"/>
  <c r="J155" i="1"/>
  <c r="B155" i="1"/>
  <c r="J154" i="1"/>
  <c r="B154" i="1"/>
  <c r="B153" i="1"/>
  <c r="J152" i="1"/>
  <c r="B152" i="1"/>
  <c r="B151" i="1"/>
  <c r="J150" i="1"/>
  <c r="B150" i="1"/>
  <c r="J149" i="1"/>
  <c r="B149" i="1"/>
  <c r="J148" i="1"/>
  <c r="B148" i="1"/>
  <c r="J147" i="1"/>
  <c r="B147" i="1"/>
  <c r="J146" i="1"/>
  <c r="B146" i="1"/>
  <c r="J145" i="1"/>
  <c r="B145" i="1"/>
  <c r="B144" i="1"/>
  <c r="B143" i="1"/>
  <c r="J142" i="1"/>
  <c r="B142" i="1"/>
  <c r="J141" i="1"/>
  <c r="B141" i="1"/>
  <c r="J140" i="1"/>
  <c r="B140" i="1"/>
  <c r="J139" i="1"/>
  <c r="B139" i="1"/>
  <c r="B163" i="1"/>
  <c r="J162" i="1"/>
  <c r="B162" i="1"/>
  <c r="B161" i="1"/>
  <c r="B160" i="1"/>
  <c r="B168" i="1"/>
  <c r="J167" i="1"/>
  <c r="B167" i="1"/>
  <c r="B166" i="1"/>
  <c r="B165" i="1"/>
  <c r="J164" i="1"/>
  <c r="B164" i="1"/>
  <c r="B173" i="1"/>
  <c r="J172" i="1"/>
  <c r="B172" i="1"/>
  <c r="J171" i="1"/>
  <c r="B171" i="1"/>
  <c r="J170" i="1"/>
  <c r="B170" i="1"/>
  <c r="J169" i="1"/>
  <c r="B169" i="1"/>
  <c r="B174" i="1"/>
  <c r="B177" i="1"/>
  <c r="B176" i="1"/>
  <c r="B175" i="1"/>
  <c r="B178" i="1"/>
  <c r="B185" i="1"/>
  <c r="B184" i="1"/>
  <c r="B183" i="1"/>
  <c r="B182" i="1"/>
  <c r="B181" i="1"/>
  <c r="B180" i="1"/>
  <c r="B179" i="1"/>
  <c r="B186" i="1"/>
  <c r="B187" i="1"/>
  <c r="B194" i="1"/>
  <c r="B193" i="1"/>
  <c r="J192" i="1"/>
  <c r="B192" i="1"/>
  <c r="J191" i="1"/>
  <c r="B191" i="1"/>
  <c r="B190" i="1"/>
  <c r="B189" i="1"/>
  <c r="B188" i="1"/>
  <c r="B195" i="1"/>
  <c r="B198" i="1"/>
  <c r="B197" i="1"/>
  <c r="B196" i="1"/>
  <c r="B199" i="1"/>
  <c r="B202" i="1"/>
  <c r="B201" i="1"/>
  <c r="B200" i="1"/>
  <c r="B209" i="1"/>
  <c r="B208" i="1"/>
  <c r="B207" i="1"/>
  <c r="B206" i="1"/>
  <c r="B205" i="1"/>
  <c r="B204" i="1"/>
  <c r="B203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31" i="1"/>
  <c r="B230" i="1"/>
  <c r="B229" i="1"/>
  <c r="B228" i="1"/>
  <c r="B227" i="1"/>
  <c r="B226" i="1"/>
  <c r="B225" i="1"/>
  <c r="B237" i="1"/>
  <c r="B236" i="1"/>
  <c r="B235" i="1"/>
  <c r="B234" i="1"/>
  <c r="B233" i="1"/>
  <c r="B232" i="1"/>
  <c r="B242" i="1"/>
  <c r="B241" i="1"/>
  <c r="B240" i="1"/>
  <c r="B239" i="1"/>
  <c r="B238" i="1"/>
  <c r="B246" i="1"/>
  <c r="B245" i="1"/>
  <c r="B244" i="1"/>
  <c r="B243" i="1"/>
  <c r="B256" i="1"/>
  <c r="B255" i="1"/>
  <c r="B254" i="1"/>
  <c r="B253" i="1"/>
  <c r="B252" i="1"/>
  <c r="B251" i="1"/>
  <c r="B250" i="1"/>
  <c r="B249" i="1"/>
  <c r="B267" i="1"/>
  <c r="B266" i="1"/>
  <c r="B265" i="1"/>
  <c r="B264" i="1"/>
  <c r="B263" i="1"/>
  <c r="B262" i="1"/>
  <c r="B261" i="1"/>
  <c r="B260" i="1"/>
  <c r="B259" i="1"/>
  <c r="B258" i="1"/>
  <c r="B257" i="1"/>
  <c r="B269" i="1"/>
  <c r="B268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316" i="1"/>
  <c r="B320" i="1"/>
  <c r="B319" i="1"/>
  <c r="B318" i="1"/>
  <c r="B317" i="1"/>
  <c r="J322" i="1"/>
  <c r="B322" i="1"/>
  <c r="J321" i="1"/>
  <c r="B321" i="1"/>
  <c r="B327" i="1"/>
  <c r="B326" i="1"/>
  <c r="B325" i="1"/>
  <c r="B324" i="1"/>
  <c r="B323" i="1"/>
  <c r="B328" i="1"/>
  <c r="B338" i="1"/>
  <c r="B337" i="1"/>
  <c r="B336" i="1"/>
  <c r="B335" i="1"/>
  <c r="B334" i="1"/>
  <c r="B333" i="1"/>
  <c r="J332" i="1"/>
  <c r="B332" i="1"/>
  <c r="B331" i="1"/>
  <c r="B330" i="1"/>
  <c r="B329" i="1"/>
  <c r="B346" i="1"/>
  <c r="B345" i="1"/>
  <c r="B344" i="1"/>
  <c r="B343" i="1"/>
  <c r="B342" i="1"/>
  <c r="B341" i="1"/>
  <c r="B340" i="1"/>
  <c r="J339" i="1"/>
  <c r="B339" i="1"/>
  <c r="B353" i="1"/>
  <c r="B352" i="1"/>
  <c r="B351" i="1"/>
  <c r="B350" i="1"/>
  <c r="B349" i="1"/>
  <c r="B348" i="1"/>
  <c r="B347" i="1"/>
  <c r="B364" i="1"/>
  <c r="B363" i="1"/>
  <c r="B362" i="1"/>
  <c r="B361" i="1"/>
  <c r="B360" i="1"/>
  <c r="B359" i="1"/>
  <c r="B358" i="1"/>
  <c r="B357" i="1"/>
  <c r="B356" i="1"/>
  <c r="B355" i="1"/>
  <c r="B370" i="1"/>
  <c r="B369" i="1"/>
  <c r="B368" i="1"/>
  <c r="B367" i="1"/>
  <c r="B366" i="1"/>
  <c r="B365" i="1"/>
  <c r="B380" i="1"/>
  <c r="B379" i="1"/>
  <c r="B378" i="1"/>
  <c r="B377" i="1"/>
  <c r="B376" i="1"/>
  <c r="B375" i="1"/>
  <c r="B374" i="1"/>
  <c r="B373" i="1"/>
  <c r="B372" i="1"/>
  <c r="B371" i="1"/>
  <c r="B383" i="1"/>
  <c r="B382" i="1"/>
  <c r="B381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415" i="1"/>
  <c r="B414" i="1"/>
  <c r="B413" i="1"/>
  <c r="B412" i="1"/>
  <c r="B411" i="1"/>
  <c r="B410" i="1"/>
  <c r="B424" i="1"/>
  <c r="B423" i="1"/>
  <c r="B422" i="1"/>
  <c r="B421" i="1"/>
  <c r="B420" i="1"/>
  <c r="B419" i="1"/>
  <c r="B418" i="1"/>
  <c r="B417" i="1"/>
  <c r="B416" i="1"/>
  <c r="B429" i="1"/>
  <c r="B428" i="1"/>
  <c r="B427" i="1"/>
  <c r="B426" i="1"/>
  <c r="B425" i="1"/>
  <c r="B435" i="1"/>
  <c r="B434" i="1"/>
  <c r="B433" i="1"/>
  <c r="B432" i="1"/>
  <c r="B431" i="1"/>
  <c r="B430" i="1"/>
  <c r="B465" i="1"/>
  <c r="B464" i="1"/>
  <c r="B463" i="1"/>
  <c r="B462" i="1"/>
  <c r="B461" i="1"/>
  <c r="B460" i="1"/>
  <c r="B459" i="1"/>
  <c r="B458" i="1"/>
  <c r="B457" i="1"/>
  <c r="B456" i="1"/>
  <c r="B455" i="1"/>
  <c r="B454" i="1"/>
  <c r="B453" i="1"/>
  <c r="B452" i="1"/>
  <c r="B451" i="1"/>
  <c r="B450" i="1"/>
  <c r="B449" i="1"/>
  <c r="B448" i="1"/>
  <c r="B447" i="1"/>
  <c r="B446" i="1"/>
  <c r="B445" i="1"/>
  <c r="B444" i="1"/>
  <c r="B443" i="1"/>
  <c r="B442" i="1"/>
  <c r="B441" i="1"/>
  <c r="B440" i="1"/>
  <c r="B439" i="1"/>
  <c r="J438" i="1"/>
  <c r="B438" i="1"/>
  <c r="B437" i="1"/>
  <c r="B436" i="1"/>
  <c r="B473" i="1"/>
  <c r="B472" i="1"/>
  <c r="B471" i="1"/>
  <c r="B470" i="1"/>
  <c r="B469" i="1"/>
  <c r="B468" i="1"/>
  <c r="B467" i="1"/>
  <c r="B466" i="1"/>
  <c r="B474" i="1"/>
  <c r="B480" i="1"/>
  <c r="B479" i="1"/>
  <c r="B478" i="1"/>
  <c r="B477" i="1"/>
  <c r="B476" i="1"/>
  <c r="B475" i="1"/>
  <c r="B488" i="1"/>
  <c r="B487" i="1"/>
  <c r="B486" i="1"/>
  <c r="B485" i="1"/>
  <c r="B484" i="1"/>
  <c r="B483" i="1"/>
  <c r="B482" i="1"/>
  <c r="B481" i="1"/>
  <c r="B498" i="1"/>
  <c r="B497" i="1"/>
  <c r="B496" i="1"/>
  <c r="B495" i="1"/>
  <c r="B494" i="1"/>
  <c r="B493" i="1"/>
  <c r="B492" i="1"/>
  <c r="B491" i="1"/>
  <c r="B490" i="1"/>
  <c r="B489" i="1"/>
  <c r="B504" i="1"/>
  <c r="B503" i="1"/>
  <c r="B502" i="1"/>
  <c r="B501" i="1"/>
  <c r="B500" i="1"/>
  <c r="B499" i="1"/>
  <c r="B522" i="1"/>
  <c r="B521" i="1"/>
  <c r="B520" i="1"/>
  <c r="B519" i="1"/>
  <c r="B518" i="1"/>
  <c r="B517" i="1"/>
  <c r="B516" i="1"/>
  <c r="B515" i="1"/>
  <c r="B514" i="1"/>
  <c r="J513" i="1"/>
  <c r="B513" i="1"/>
  <c r="B512" i="1"/>
  <c r="B511" i="1"/>
  <c r="B510" i="1"/>
  <c r="B509" i="1"/>
  <c r="B508" i="1"/>
  <c r="B507" i="1"/>
  <c r="B506" i="1"/>
  <c r="B505" i="1"/>
  <c r="B525" i="1"/>
  <c r="B524" i="1"/>
  <c r="B523" i="1"/>
  <c r="B528" i="1"/>
  <c r="B527" i="1"/>
  <c r="B526" i="1"/>
  <c r="B529" i="1"/>
  <c r="B533" i="1"/>
  <c r="B532" i="1"/>
  <c r="B531" i="1"/>
  <c r="B530" i="1"/>
  <c r="B541" i="1"/>
  <c r="B540" i="1"/>
  <c r="B539" i="1"/>
  <c r="B538" i="1"/>
  <c r="B537" i="1"/>
  <c r="B536" i="1"/>
  <c r="B535" i="1"/>
  <c r="B534" i="1"/>
  <c r="B560" i="1"/>
  <c r="B559" i="1"/>
  <c r="B558" i="1"/>
  <c r="B557" i="1"/>
  <c r="B556" i="1"/>
  <c r="B555" i="1"/>
  <c r="B554" i="1"/>
  <c r="B553" i="1"/>
  <c r="B552" i="1"/>
  <c r="B551" i="1"/>
  <c r="B550" i="1"/>
  <c r="B549" i="1"/>
  <c r="B548" i="1"/>
  <c r="B547" i="1"/>
  <c r="B546" i="1"/>
  <c r="B545" i="1"/>
  <c r="B544" i="1"/>
  <c r="B543" i="1"/>
  <c r="B542" i="1"/>
  <c r="B562" i="1"/>
  <c r="B561" i="1"/>
  <c r="B573" i="1"/>
  <c r="B572" i="1"/>
  <c r="B571" i="1"/>
  <c r="B570" i="1"/>
  <c r="B569" i="1"/>
  <c r="B568" i="1"/>
  <c r="B567" i="1"/>
  <c r="B566" i="1"/>
  <c r="B565" i="1"/>
  <c r="B564" i="1"/>
  <c r="B563" i="1"/>
  <c r="B575" i="1"/>
  <c r="B574" i="1"/>
  <c r="B595" i="1"/>
  <c r="B594" i="1"/>
  <c r="B593" i="1"/>
  <c r="B592" i="1"/>
  <c r="B591" i="1"/>
  <c r="B590" i="1"/>
  <c r="B589" i="1"/>
  <c r="B588" i="1"/>
  <c r="B587" i="1"/>
  <c r="B586" i="1"/>
  <c r="B585" i="1"/>
  <c r="B584" i="1"/>
  <c r="B583" i="1"/>
  <c r="B582" i="1"/>
  <c r="B581" i="1"/>
  <c r="B580" i="1"/>
  <c r="B579" i="1"/>
  <c r="B578" i="1"/>
  <c r="B577" i="1"/>
  <c r="B576" i="1"/>
  <c r="B607" i="1"/>
  <c r="B606" i="1"/>
  <c r="B605" i="1"/>
  <c r="B604" i="1"/>
  <c r="B603" i="1"/>
  <c r="B602" i="1"/>
  <c r="B601" i="1"/>
  <c r="B600" i="1"/>
  <c r="B599" i="1"/>
  <c r="B598" i="1"/>
  <c r="B597" i="1"/>
  <c r="B596" i="1"/>
  <c r="B620" i="1"/>
  <c r="B619" i="1"/>
  <c r="B618" i="1"/>
  <c r="B617" i="1"/>
  <c r="B616" i="1"/>
  <c r="B615" i="1"/>
  <c r="B614" i="1"/>
  <c r="B613" i="1"/>
  <c r="B612" i="1"/>
  <c r="B611" i="1"/>
  <c r="B610" i="1"/>
  <c r="J609" i="1"/>
  <c r="B609" i="1"/>
  <c r="B608" i="1"/>
  <c r="B621" i="1"/>
  <c r="B629" i="1"/>
  <c r="B628" i="1"/>
  <c r="B627" i="1"/>
  <c r="B626" i="1"/>
  <c r="B625" i="1"/>
  <c r="B624" i="1"/>
  <c r="B623" i="1"/>
  <c r="B622" i="1"/>
  <c r="B647" i="1"/>
  <c r="B646" i="1"/>
  <c r="B645" i="1"/>
  <c r="B644" i="1"/>
  <c r="B643" i="1"/>
  <c r="B642" i="1"/>
  <c r="B641" i="1"/>
  <c r="B640" i="1"/>
  <c r="B639" i="1"/>
  <c r="B638" i="1"/>
  <c r="B637" i="1"/>
  <c r="B636" i="1"/>
  <c r="B635" i="1"/>
  <c r="B634" i="1"/>
  <c r="B633" i="1"/>
  <c r="B632" i="1"/>
  <c r="B631" i="1"/>
  <c r="B630" i="1"/>
  <c r="B657" i="1"/>
  <c r="B656" i="1"/>
  <c r="B655" i="1"/>
  <c r="B654" i="1"/>
  <c r="B653" i="1"/>
  <c r="B652" i="1"/>
  <c r="B651" i="1"/>
  <c r="B650" i="1"/>
  <c r="B649" i="1"/>
  <c r="B648" i="1"/>
  <c r="B674" i="1"/>
  <c r="B673" i="1"/>
  <c r="B672" i="1"/>
  <c r="B671" i="1"/>
  <c r="B670" i="1"/>
  <c r="B669" i="1"/>
  <c r="B668" i="1"/>
  <c r="B667" i="1"/>
  <c r="B666" i="1"/>
  <c r="B665" i="1"/>
  <c r="B664" i="1"/>
  <c r="B663" i="1"/>
  <c r="B662" i="1"/>
  <c r="B661" i="1"/>
  <c r="B660" i="1"/>
  <c r="B659" i="1"/>
  <c r="B658" i="1"/>
  <c r="B680" i="1"/>
  <c r="B679" i="1"/>
  <c r="B678" i="1"/>
  <c r="B677" i="1"/>
  <c r="B676" i="1"/>
  <c r="B675" i="1"/>
  <c r="B683" i="1"/>
  <c r="B682" i="1"/>
  <c r="B681" i="1"/>
  <c r="B686" i="1"/>
  <c r="B685" i="1"/>
  <c r="B684" i="1"/>
  <c r="B688" i="1"/>
  <c r="B687" i="1"/>
  <c r="B690" i="1"/>
  <c r="B689" i="1"/>
  <c r="B697" i="1"/>
  <c r="B696" i="1"/>
  <c r="B695" i="1"/>
  <c r="B694" i="1"/>
  <c r="B693" i="1"/>
  <c r="B692" i="1"/>
  <c r="B691" i="1"/>
  <c r="B699" i="1"/>
  <c r="B698" i="1"/>
  <c r="B701" i="1"/>
  <c r="B700" i="1"/>
  <c r="B706" i="1"/>
  <c r="B705" i="1"/>
  <c r="B704" i="1"/>
  <c r="B703" i="1"/>
  <c r="B712" i="1"/>
  <c r="B711" i="1"/>
  <c r="B710" i="1"/>
  <c r="B709" i="1"/>
  <c r="B708" i="1"/>
  <c r="B707" i="1"/>
  <c r="B721" i="1"/>
  <c r="B720" i="1"/>
  <c r="B719" i="1"/>
  <c r="B718" i="1"/>
  <c r="B717" i="1"/>
  <c r="B716" i="1"/>
  <c r="B715" i="1"/>
  <c r="B714" i="1"/>
  <c r="B725" i="1"/>
  <c r="B724" i="1"/>
  <c r="B723" i="1"/>
  <c r="B722" i="1"/>
  <c r="B730" i="1"/>
  <c r="B729" i="1"/>
  <c r="B728" i="1"/>
  <c r="B727" i="1"/>
  <c r="B739" i="1"/>
  <c r="B738" i="1"/>
  <c r="B737" i="1"/>
  <c r="B736" i="1"/>
  <c r="B735" i="1"/>
  <c r="B734" i="1"/>
  <c r="B733" i="1"/>
  <c r="J732" i="1"/>
  <c r="B732" i="1"/>
  <c r="J731" i="1"/>
  <c r="B731" i="1"/>
  <c r="B748" i="1"/>
  <c r="B747" i="1"/>
  <c r="B746" i="1"/>
  <c r="B745" i="1"/>
  <c r="B744" i="1"/>
  <c r="B743" i="1"/>
  <c r="B742" i="1"/>
  <c r="B741" i="1"/>
  <c r="B740" i="1"/>
  <c r="B752" i="1"/>
  <c r="B761" i="1"/>
  <c r="B760" i="1"/>
  <c r="B759" i="1"/>
  <c r="B758" i="1"/>
  <c r="B757" i="1"/>
  <c r="B756" i="1"/>
  <c r="B766" i="1"/>
  <c r="B765" i="1"/>
  <c r="B764" i="1"/>
  <c r="B763" i="1"/>
  <c r="B762" i="1"/>
  <c r="B796" i="1"/>
  <c r="B795" i="1"/>
  <c r="B794" i="1"/>
  <c r="B793" i="1"/>
  <c r="B792" i="1"/>
  <c r="B791" i="1"/>
  <c r="B803" i="1"/>
  <c r="B802" i="1"/>
  <c r="B801" i="1"/>
  <c r="B800" i="1"/>
  <c r="B799" i="1"/>
  <c r="B798" i="1"/>
  <c r="B797" i="1"/>
  <c r="B812" i="1"/>
  <c r="B811" i="1"/>
  <c r="B810" i="1"/>
  <c r="B809" i="1"/>
  <c r="B808" i="1"/>
  <c r="B807" i="1"/>
  <c r="B806" i="1"/>
  <c r="B805" i="1"/>
  <c r="B804" i="1"/>
  <c r="B823" i="1"/>
  <c r="B822" i="1"/>
  <c r="B821" i="1"/>
  <c r="B820" i="1"/>
  <c r="B819" i="1"/>
  <c r="B818" i="1"/>
  <c r="B817" i="1"/>
  <c r="B816" i="1"/>
  <c r="B815" i="1"/>
  <c r="B814" i="1"/>
  <c r="B813" i="1"/>
  <c r="B846" i="1"/>
  <c r="B845" i="1"/>
  <c r="B844" i="1"/>
  <c r="J871" i="1"/>
  <c r="B871" i="1"/>
  <c r="B870" i="1"/>
  <c r="J869" i="1"/>
  <c r="B869" i="1"/>
  <c r="J868" i="1"/>
  <c r="B868" i="1"/>
  <c r="J867" i="1"/>
  <c r="B867" i="1"/>
  <c r="J866" i="1"/>
  <c r="B866" i="1"/>
  <c r="J865" i="1"/>
  <c r="B865" i="1"/>
  <c r="J864" i="1"/>
  <c r="B864" i="1"/>
  <c r="J863" i="1"/>
  <c r="B863" i="1"/>
  <c r="J862" i="1"/>
  <c r="B862" i="1"/>
  <c r="J861" i="1"/>
  <c r="B861" i="1"/>
  <c r="J860" i="1"/>
  <c r="B860" i="1"/>
  <c r="J859" i="1"/>
  <c r="B859" i="1"/>
  <c r="J858" i="1"/>
  <c r="B858" i="1"/>
  <c r="J857" i="1"/>
  <c r="B857" i="1"/>
  <c r="J856" i="1"/>
  <c r="B856" i="1"/>
  <c r="J855" i="1"/>
  <c r="B855" i="1"/>
  <c r="J854" i="1"/>
  <c r="B854" i="1"/>
  <c r="J853" i="1"/>
  <c r="B853" i="1"/>
  <c r="J852" i="1"/>
  <c r="B852" i="1"/>
  <c r="J851" i="1"/>
  <c r="B851" i="1"/>
  <c r="J850" i="1"/>
  <c r="B850" i="1"/>
  <c r="J849" i="1"/>
  <c r="B849" i="1"/>
  <c r="J848" i="1"/>
  <c r="B848" i="1"/>
  <c r="J847" i="1"/>
  <c r="B847" i="1"/>
  <c r="J874" i="1"/>
  <c r="B874" i="1"/>
  <c r="J873" i="1"/>
  <c r="B873" i="1"/>
  <c r="J872" i="1"/>
  <c r="B872" i="1"/>
  <c r="J911" i="1"/>
  <c r="B911" i="1"/>
  <c r="B910" i="1"/>
  <c r="J909" i="1"/>
  <c r="B909" i="1"/>
  <c r="J908" i="1"/>
  <c r="B908" i="1"/>
  <c r="J907" i="1"/>
  <c r="B907" i="1"/>
  <c r="J906" i="1"/>
  <c r="B906" i="1"/>
  <c r="J905" i="1"/>
  <c r="B905" i="1"/>
  <c r="J904" i="1"/>
  <c r="B904" i="1"/>
  <c r="J903" i="1"/>
  <c r="B903" i="1"/>
  <c r="J902" i="1"/>
  <c r="B902" i="1"/>
  <c r="J901" i="1"/>
  <c r="B901" i="1"/>
  <c r="B900" i="1"/>
  <c r="J899" i="1"/>
  <c r="B899" i="1"/>
  <c r="J898" i="1"/>
  <c r="B898" i="1"/>
  <c r="J897" i="1"/>
  <c r="B897" i="1"/>
  <c r="J896" i="1"/>
  <c r="B896" i="1"/>
  <c r="J895" i="1"/>
  <c r="B895" i="1"/>
  <c r="J894" i="1"/>
  <c r="B894" i="1"/>
  <c r="J893" i="1"/>
  <c r="B893" i="1"/>
  <c r="J892" i="1"/>
  <c r="B892" i="1"/>
  <c r="J891" i="1"/>
  <c r="B891" i="1"/>
  <c r="J890" i="1"/>
  <c r="B890" i="1"/>
  <c r="J889" i="1"/>
  <c r="B889" i="1"/>
  <c r="B888" i="1"/>
  <c r="J887" i="1"/>
  <c r="B887" i="1"/>
  <c r="J886" i="1"/>
  <c r="B886" i="1"/>
  <c r="J885" i="1"/>
  <c r="B885" i="1"/>
  <c r="J884" i="1"/>
  <c r="B884" i="1"/>
  <c r="B883" i="1"/>
  <c r="J882" i="1"/>
  <c r="B882" i="1"/>
  <c r="J881" i="1"/>
  <c r="B881" i="1"/>
  <c r="B880" i="1"/>
  <c r="J879" i="1"/>
  <c r="B879" i="1"/>
  <c r="J878" i="1"/>
  <c r="B878" i="1"/>
  <c r="J877" i="1"/>
  <c r="B877" i="1"/>
  <c r="J876" i="1"/>
  <c r="B876" i="1"/>
  <c r="J875" i="1"/>
  <c r="B875" i="1"/>
  <c r="J917" i="1"/>
  <c r="B917" i="1"/>
  <c r="B916" i="1"/>
  <c r="B915" i="1"/>
  <c r="J914" i="1"/>
  <c r="B914" i="1"/>
  <c r="B913" i="1"/>
  <c r="J912" i="1"/>
  <c r="B912" i="1"/>
  <c r="J921" i="1"/>
  <c r="B921" i="1"/>
  <c r="J920" i="1"/>
  <c r="B920" i="1"/>
  <c r="J919" i="1"/>
  <c r="B919" i="1"/>
  <c r="J918" i="1"/>
  <c r="B918" i="1"/>
  <c r="J930" i="1"/>
  <c r="B930" i="1"/>
  <c r="J929" i="1"/>
  <c r="B929" i="1"/>
  <c r="J928" i="1"/>
  <c r="B928" i="1"/>
  <c r="B927" i="1"/>
  <c r="J926" i="1"/>
  <c r="B926" i="1"/>
  <c r="J925" i="1"/>
  <c r="B925" i="1"/>
  <c r="J924" i="1"/>
  <c r="B924" i="1"/>
  <c r="J923" i="1"/>
  <c r="B923" i="1"/>
  <c r="J922" i="1"/>
  <c r="B922" i="1"/>
  <c r="J935" i="1"/>
  <c r="B935" i="1"/>
  <c r="J934" i="1"/>
  <c r="B934" i="1"/>
  <c r="J933" i="1"/>
  <c r="B933" i="1"/>
  <c r="J932" i="1"/>
  <c r="B932" i="1"/>
  <c r="B931" i="1"/>
  <c r="J943" i="1"/>
  <c r="B943" i="1"/>
  <c r="J942" i="1"/>
  <c r="B942" i="1"/>
  <c r="J941" i="1"/>
  <c r="B941" i="1"/>
  <c r="J940" i="1"/>
  <c r="B940" i="1"/>
  <c r="J939" i="1"/>
  <c r="B939" i="1"/>
  <c r="J938" i="1"/>
  <c r="B938" i="1"/>
  <c r="J937" i="1"/>
  <c r="B937" i="1"/>
  <c r="J936" i="1"/>
  <c r="B936" i="1"/>
  <c r="J968" i="1"/>
  <c r="B968" i="1"/>
  <c r="J967" i="1"/>
  <c r="B967" i="1"/>
  <c r="J966" i="1"/>
  <c r="B966" i="1"/>
  <c r="J965" i="1"/>
  <c r="B965" i="1"/>
  <c r="J964" i="1"/>
  <c r="B964" i="1"/>
  <c r="J963" i="1"/>
  <c r="B963" i="1"/>
  <c r="J962" i="1"/>
  <c r="B962" i="1"/>
  <c r="J961" i="1"/>
  <c r="B961" i="1"/>
  <c r="B960" i="1"/>
  <c r="B959" i="1"/>
  <c r="J958" i="1"/>
  <c r="B958" i="1"/>
  <c r="J957" i="1"/>
  <c r="B957" i="1"/>
  <c r="B956" i="1"/>
  <c r="B955" i="1"/>
  <c r="J954" i="1"/>
  <c r="B954" i="1"/>
  <c r="B953" i="1"/>
  <c r="J952" i="1"/>
  <c r="B952" i="1"/>
  <c r="J951" i="1"/>
  <c r="B951" i="1"/>
  <c r="B950" i="1"/>
  <c r="J949" i="1"/>
  <c r="B949" i="1"/>
  <c r="J948" i="1"/>
  <c r="B948" i="1"/>
  <c r="J947" i="1"/>
  <c r="B947" i="1"/>
  <c r="B946" i="1"/>
  <c r="J945" i="1"/>
  <c r="B945" i="1"/>
  <c r="B944" i="1"/>
  <c r="B971" i="1"/>
  <c r="B970" i="1"/>
  <c r="B969" i="1"/>
  <c r="J972" i="1"/>
  <c r="B972" i="1"/>
  <c r="B979" i="1"/>
  <c r="B978" i="1"/>
  <c r="B977" i="1"/>
  <c r="B976" i="1"/>
  <c r="B975" i="1"/>
  <c r="B974" i="1"/>
  <c r="B973" i="1"/>
  <c r="B992" i="1"/>
  <c r="B991" i="1"/>
  <c r="B990" i="1"/>
  <c r="B989" i="1"/>
  <c r="B988" i="1"/>
  <c r="B987" i="1"/>
  <c r="B986" i="1"/>
  <c r="B985" i="1"/>
  <c r="B984" i="1"/>
  <c r="B983" i="1"/>
  <c r="B982" i="1"/>
  <c r="B981" i="1"/>
  <c r="B980" i="1"/>
  <c r="B1002" i="1"/>
  <c r="B1001" i="1"/>
  <c r="B1000" i="1"/>
  <c r="B999" i="1"/>
  <c r="B998" i="1"/>
  <c r="B997" i="1"/>
  <c r="B996" i="1"/>
  <c r="B995" i="1"/>
  <c r="B994" i="1"/>
  <c r="J993" i="1"/>
  <c r="B993" i="1"/>
  <c r="B1003" i="1"/>
  <c r="J1032" i="1"/>
  <c r="B1032" i="1"/>
  <c r="J1031" i="1"/>
  <c r="B1031" i="1"/>
  <c r="B1030" i="1"/>
  <c r="B1029" i="1"/>
  <c r="J1028" i="1"/>
  <c r="B1028" i="1"/>
  <c r="J1027" i="1"/>
  <c r="B1027" i="1"/>
  <c r="J1026" i="1"/>
  <c r="B1026" i="1"/>
  <c r="B1025" i="1"/>
  <c r="B1024" i="1"/>
  <c r="J1023" i="1"/>
  <c r="B1023" i="1"/>
  <c r="J1022" i="1"/>
  <c r="B1022" i="1"/>
  <c r="J1021" i="1"/>
  <c r="B1021" i="1"/>
  <c r="B1020" i="1"/>
  <c r="B1019" i="1"/>
  <c r="J1018" i="1"/>
  <c r="B1018" i="1"/>
  <c r="J1017" i="1"/>
  <c r="B1017" i="1"/>
  <c r="J1016" i="1"/>
  <c r="B1016" i="1"/>
  <c r="J1015" i="1"/>
  <c r="B1015" i="1"/>
  <c r="J1014" i="1"/>
  <c r="B1014" i="1"/>
  <c r="J1013" i="1"/>
  <c r="B1013" i="1"/>
  <c r="J1012" i="1"/>
  <c r="B1012" i="1"/>
  <c r="J1011" i="1"/>
  <c r="B1011" i="1"/>
  <c r="J1010" i="1"/>
  <c r="B1010" i="1"/>
  <c r="J1009" i="1"/>
  <c r="B1009" i="1"/>
  <c r="J1008" i="1"/>
  <c r="B1008" i="1"/>
  <c r="J1007" i="1"/>
  <c r="B1007" i="1"/>
  <c r="J1006" i="1"/>
  <c r="B1006" i="1"/>
  <c r="J1005" i="1"/>
  <c r="B1005" i="1"/>
  <c r="J1004" i="1"/>
  <c r="B1004" i="1"/>
  <c r="B1039" i="1"/>
  <c r="B1038" i="1"/>
  <c r="J1037" i="1"/>
  <c r="B1037" i="1"/>
  <c r="J1036" i="1"/>
  <c r="B1036" i="1"/>
  <c r="J1035" i="1"/>
  <c r="B1035" i="1"/>
  <c r="J1034" i="1"/>
  <c r="B1034" i="1"/>
  <c r="J1033" i="1"/>
  <c r="B1033" i="1"/>
  <c r="J1045" i="1"/>
  <c r="B1045" i="1"/>
  <c r="J1044" i="1"/>
  <c r="B1044" i="1"/>
  <c r="J1043" i="1"/>
  <c r="B1043" i="1"/>
  <c r="J1042" i="1"/>
  <c r="B1042" i="1"/>
  <c r="B1041" i="1"/>
  <c r="J1040" i="1"/>
  <c r="B1040" i="1"/>
  <c r="J1052" i="1"/>
  <c r="B1052" i="1"/>
  <c r="J1051" i="1"/>
  <c r="B1051" i="1"/>
  <c r="B1050" i="1"/>
  <c r="J1049" i="1"/>
  <c r="B1049" i="1"/>
  <c r="J1048" i="1"/>
  <c r="B1048" i="1"/>
  <c r="J1047" i="1"/>
  <c r="B1047" i="1"/>
  <c r="J1046" i="1"/>
  <c r="B1046" i="1"/>
  <c r="B1054" i="1"/>
  <c r="J1053" i="1"/>
  <c r="B1053" i="1"/>
  <c r="J1059" i="1"/>
  <c r="B1059" i="1"/>
  <c r="B1058" i="1"/>
  <c r="J1057" i="1"/>
  <c r="B1057" i="1"/>
  <c r="B1056" i="1"/>
  <c r="J1055" i="1"/>
  <c r="B1055" i="1"/>
  <c r="B1068" i="1"/>
  <c r="B1067" i="1"/>
  <c r="B1066" i="1"/>
  <c r="B1065" i="1"/>
  <c r="B1064" i="1"/>
  <c r="B1063" i="1"/>
  <c r="B1062" i="1"/>
  <c r="B1061" i="1"/>
  <c r="B1060" i="1"/>
  <c r="B1073" i="1"/>
  <c r="B1072" i="1"/>
  <c r="B1071" i="1"/>
  <c r="B1070" i="1"/>
  <c r="B1069" i="1"/>
  <c r="B1103" i="1"/>
  <c r="B1102" i="1"/>
  <c r="B1101" i="1"/>
  <c r="B1100" i="1"/>
  <c r="B1099" i="1"/>
  <c r="B1098" i="1"/>
  <c r="B1097" i="1"/>
  <c r="B1096" i="1"/>
  <c r="B1095" i="1"/>
  <c r="B1094" i="1"/>
  <c r="B1093" i="1"/>
  <c r="B1092" i="1"/>
  <c r="B1091" i="1"/>
  <c r="B1090" i="1"/>
  <c r="B1089" i="1"/>
  <c r="B1088" i="1"/>
  <c r="B1087" i="1"/>
  <c r="B1086" i="1"/>
  <c r="B1085" i="1"/>
  <c r="B1084" i="1"/>
  <c r="B1083" i="1"/>
  <c r="B1082" i="1"/>
  <c r="B1081" i="1"/>
  <c r="B1080" i="1"/>
  <c r="B1079" i="1"/>
  <c r="B1078" i="1"/>
  <c r="B1077" i="1"/>
  <c r="B1076" i="1"/>
  <c r="B1075" i="1"/>
  <c r="B1074" i="1"/>
  <c r="B1104" i="1"/>
  <c r="B1107" i="1"/>
  <c r="B1106" i="1"/>
  <c r="B1105" i="1"/>
  <c r="B1111" i="1"/>
  <c r="B1110" i="1"/>
  <c r="B1109" i="1"/>
  <c r="B1108" i="1"/>
  <c r="B1115" i="1"/>
  <c r="B1114" i="1"/>
  <c r="B1113" i="1"/>
  <c r="B1112" i="1"/>
  <c r="B1124" i="1"/>
  <c r="B1123" i="1"/>
  <c r="B1122" i="1"/>
  <c r="B1121" i="1"/>
  <c r="B1120" i="1"/>
  <c r="B1119" i="1"/>
  <c r="B1118" i="1"/>
  <c r="B1117" i="1"/>
  <c r="B1116" i="1"/>
  <c r="B1138" i="1"/>
  <c r="B1137" i="1"/>
  <c r="B1136" i="1"/>
  <c r="B1135" i="1"/>
  <c r="B1134" i="1"/>
  <c r="B1133" i="1"/>
  <c r="B1132" i="1"/>
  <c r="B1131" i="1"/>
  <c r="B1130" i="1"/>
  <c r="B1129" i="1"/>
  <c r="B1128" i="1"/>
  <c r="B1127" i="1"/>
  <c r="B1126" i="1"/>
  <c r="B1125" i="1"/>
  <c r="B1146" i="1"/>
  <c r="B1145" i="1"/>
  <c r="B1144" i="1"/>
  <c r="B1143" i="1"/>
  <c r="B1142" i="1"/>
  <c r="B1141" i="1"/>
  <c r="B1140" i="1"/>
  <c r="B1139" i="1"/>
  <c r="B1149" i="1"/>
  <c r="B1148" i="1"/>
  <c r="B1147" i="1"/>
  <c r="B1150" i="1"/>
  <c r="B1154" i="1"/>
  <c r="B1153" i="1"/>
  <c r="B1152" i="1"/>
  <c r="B1151" i="1"/>
  <c r="B1161" i="1"/>
  <c r="B1160" i="1"/>
  <c r="B1159" i="1"/>
  <c r="B1158" i="1"/>
  <c r="B1157" i="1"/>
  <c r="B1156" i="1"/>
  <c r="B1155" i="1"/>
  <c r="B1167" i="1"/>
  <c r="B1166" i="1"/>
  <c r="B1165" i="1"/>
  <c r="B1164" i="1"/>
  <c r="B1163" i="1"/>
  <c r="B1162" i="1"/>
  <c r="B1175" i="1"/>
  <c r="B1174" i="1"/>
  <c r="B1173" i="1"/>
  <c r="B1172" i="1"/>
  <c r="B1171" i="1"/>
  <c r="B1170" i="1"/>
  <c r="B1169" i="1"/>
  <c r="B1168" i="1"/>
  <c r="B1200" i="1"/>
  <c r="B1199" i="1"/>
  <c r="B1198" i="1"/>
  <c r="B1197" i="1"/>
  <c r="B1196" i="1"/>
  <c r="B1195" i="1"/>
  <c r="B1194" i="1"/>
  <c r="B1193" i="1"/>
  <c r="B1192" i="1"/>
  <c r="B1191" i="1"/>
  <c r="B1190" i="1"/>
  <c r="B1189" i="1"/>
  <c r="B1188" i="1"/>
  <c r="B1187" i="1"/>
  <c r="B1186" i="1"/>
  <c r="B1185" i="1"/>
  <c r="B1184" i="1"/>
  <c r="B1183" i="1"/>
  <c r="B1182" i="1"/>
  <c r="B1181" i="1"/>
  <c r="B1180" i="1"/>
  <c r="B1179" i="1"/>
  <c r="B1178" i="1"/>
  <c r="B1177" i="1"/>
  <c r="B1176" i="1"/>
  <c r="B1205" i="1"/>
  <c r="B1204" i="1"/>
  <c r="B1203" i="1"/>
  <c r="B1202" i="1"/>
  <c r="B1201" i="1"/>
  <c r="B1207" i="1"/>
  <c r="B1206" i="1"/>
  <c r="B1213" i="1"/>
  <c r="B1212" i="1"/>
  <c r="B1211" i="1"/>
  <c r="B1210" i="1"/>
  <c r="B1209" i="1"/>
  <c r="B1208" i="1"/>
  <c r="B1219" i="1"/>
  <c r="B1218" i="1"/>
  <c r="B1217" i="1"/>
  <c r="B1216" i="1"/>
  <c r="B1215" i="1"/>
  <c r="B1214" i="1"/>
  <c r="B1223" i="1"/>
  <c r="B1222" i="1"/>
  <c r="B1221" i="1"/>
  <c r="B1220" i="1"/>
  <c r="B1231" i="1"/>
  <c r="B1230" i="1"/>
  <c r="B1229" i="1"/>
  <c r="B1228" i="1"/>
  <c r="B1227" i="1"/>
  <c r="B1226" i="1"/>
  <c r="B1225" i="1"/>
  <c r="B1224" i="1"/>
  <c r="B1247" i="1"/>
  <c r="B1246" i="1"/>
  <c r="B1245" i="1"/>
  <c r="B1244" i="1"/>
  <c r="B1243" i="1"/>
  <c r="B1242" i="1"/>
  <c r="B1241" i="1"/>
  <c r="B1240" i="1"/>
  <c r="B1239" i="1"/>
  <c r="B1238" i="1"/>
  <c r="B1237" i="1"/>
  <c r="B1236" i="1"/>
  <c r="B1235" i="1"/>
  <c r="B1234" i="1"/>
  <c r="B1233" i="1"/>
  <c r="B1232" i="1"/>
  <c r="B1254" i="1"/>
  <c r="B1253" i="1"/>
  <c r="B1252" i="1"/>
  <c r="B1251" i="1"/>
  <c r="B1250" i="1"/>
  <c r="B1249" i="1"/>
  <c r="B1248" i="1"/>
  <c r="B1272" i="1"/>
  <c r="B1271" i="1"/>
  <c r="B1270" i="1"/>
  <c r="B1269" i="1"/>
  <c r="B1268" i="1"/>
  <c r="B1267" i="1"/>
  <c r="B1266" i="1"/>
  <c r="B1265" i="1"/>
  <c r="B1264" i="1"/>
  <c r="B1263" i="1"/>
  <c r="B1262" i="1"/>
  <c r="B1261" i="1"/>
  <c r="B1260" i="1"/>
  <c r="B1259" i="1"/>
  <c r="B1258" i="1"/>
  <c r="B1257" i="1"/>
  <c r="B1256" i="1"/>
  <c r="B1255" i="1"/>
  <c r="B1274" i="1"/>
  <c r="B1275" i="1"/>
  <c r="B1282" i="1"/>
  <c r="B1281" i="1"/>
  <c r="B1280" i="1"/>
  <c r="B1279" i="1"/>
  <c r="B1278" i="1"/>
  <c r="B1277" i="1"/>
  <c r="B1276" i="1"/>
  <c r="B1303" i="1"/>
  <c r="B1302" i="1"/>
  <c r="B1308" i="1"/>
  <c r="B1307" i="1"/>
  <c r="B1306" i="1"/>
  <c r="B1305" i="1"/>
  <c r="B1304" i="1"/>
  <c r="B1322" i="1"/>
  <c r="B1321" i="1"/>
  <c r="B1320" i="1"/>
  <c r="B1319" i="1"/>
  <c r="B1318" i="1"/>
  <c r="B1317" i="1"/>
  <c r="B1316" i="1"/>
  <c r="B1315" i="1"/>
  <c r="B1314" i="1"/>
  <c r="B1313" i="1"/>
  <c r="B1312" i="1"/>
  <c r="B1311" i="1"/>
  <c r="B1310" i="1"/>
  <c r="B1309" i="1"/>
  <c r="B1323" i="1"/>
  <c r="B1344" i="1"/>
  <c r="B1343" i="1"/>
  <c r="B1342" i="1"/>
  <c r="B1341" i="1"/>
  <c r="B1340" i="1"/>
  <c r="B1339" i="1"/>
  <c r="B1338" i="1"/>
  <c r="B1337" i="1"/>
  <c r="B1336" i="1"/>
  <c r="B1335" i="1"/>
  <c r="B1334" i="1"/>
  <c r="B1333" i="1"/>
  <c r="B1332" i="1"/>
  <c r="B1331" i="1"/>
  <c r="B1330" i="1"/>
  <c r="B1329" i="1"/>
  <c r="B1328" i="1"/>
  <c r="B1327" i="1"/>
  <c r="B1326" i="1"/>
  <c r="B1325" i="1"/>
  <c r="B1324" i="1"/>
  <c r="B1347" i="1"/>
  <c r="B1346" i="1"/>
  <c r="B1345" i="1"/>
  <c r="B1350" i="1"/>
  <c r="B1349" i="1"/>
  <c r="B1348" i="1"/>
  <c r="B1363" i="1"/>
  <c r="B1362" i="1"/>
  <c r="B1361" i="1"/>
  <c r="B1360" i="1"/>
  <c r="B1359" i="1"/>
  <c r="B1358" i="1"/>
  <c r="B1357" i="1"/>
  <c r="B1356" i="1"/>
  <c r="B1355" i="1"/>
  <c r="B1354" i="1"/>
  <c r="B1353" i="1"/>
  <c r="B1352" i="1"/>
  <c r="B1351" i="1"/>
  <c r="B1373" i="1"/>
  <c r="B1372" i="1"/>
  <c r="B1371" i="1"/>
  <c r="B1370" i="1"/>
  <c r="B1369" i="1"/>
  <c r="B1368" i="1"/>
  <c r="B1367" i="1"/>
  <c r="B1366" i="1"/>
  <c r="B1365" i="1"/>
  <c r="B1364" i="1"/>
  <c r="B1377" i="1"/>
  <c r="B1376" i="1"/>
  <c r="B1375" i="1"/>
  <c r="B1374" i="1"/>
  <c r="B1378" i="1"/>
  <c r="B1385" i="1"/>
  <c r="B1384" i="1"/>
  <c r="B1383" i="1"/>
  <c r="B1382" i="1"/>
  <c r="B1381" i="1"/>
  <c r="B1380" i="1"/>
  <c r="B1379" i="1"/>
  <c r="B1386" i="1"/>
  <c r="B1390" i="1"/>
  <c r="B1389" i="1"/>
  <c r="B1388" i="1"/>
  <c r="B1387" i="1"/>
  <c r="B1402" i="1"/>
  <c r="B1401" i="1"/>
  <c r="B1400" i="1"/>
  <c r="B1399" i="1"/>
  <c r="B1398" i="1"/>
  <c r="B1397" i="1"/>
  <c r="B1396" i="1"/>
  <c r="B1395" i="1"/>
  <c r="B1394" i="1"/>
  <c r="B1393" i="1"/>
  <c r="B1392" i="1"/>
  <c r="B1391" i="1"/>
  <c r="J1414" i="1"/>
  <c r="B1414" i="1"/>
  <c r="B1413" i="1"/>
  <c r="B1412" i="1"/>
  <c r="B1411" i="1"/>
  <c r="B1410" i="1"/>
  <c r="B1409" i="1"/>
  <c r="B1408" i="1"/>
  <c r="B1407" i="1"/>
  <c r="B1406" i="1"/>
  <c r="B1405" i="1"/>
  <c r="B1404" i="1"/>
  <c r="B1403" i="1"/>
  <c r="B1422" i="1"/>
  <c r="B1421" i="1"/>
  <c r="B1420" i="1"/>
  <c r="B1419" i="1"/>
  <c r="B1418" i="1"/>
  <c r="B1417" i="1"/>
  <c r="B1416" i="1"/>
  <c r="B1415" i="1"/>
  <c r="B1425" i="1"/>
  <c r="B1424" i="1"/>
  <c r="B1423" i="1"/>
  <c r="B1431" i="1"/>
  <c r="B1430" i="1"/>
  <c r="B1429" i="1"/>
  <c r="B1428" i="1"/>
  <c r="B1427" i="1"/>
  <c r="B1426" i="1"/>
  <c r="B1441" i="1"/>
  <c r="B1440" i="1"/>
  <c r="B1439" i="1"/>
  <c r="B1438" i="1"/>
  <c r="B1437" i="1"/>
  <c r="B1436" i="1"/>
  <c r="B1435" i="1"/>
  <c r="B1434" i="1"/>
  <c r="B1433" i="1"/>
  <c r="B1432" i="1"/>
  <c r="B1447" i="1"/>
  <c r="B1446" i="1"/>
  <c r="B1445" i="1"/>
  <c r="B1444" i="1"/>
  <c r="B1443" i="1"/>
  <c r="B1442" i="1"/>
  <c r="B1464" i="1"/>
  <c r="B1463" i="1"/>
  <c r="B1462" i="1"/>
  <c r="B1461" i="1"/>
  <c r="B1460" i="1"/>
  <c r="B1459" i="1"/>
  <c r="B1458" i="1"/>
  <c r="B1457" i="1"/>
  <c r="B1456" i="1"/>
  <c r="B1455" i="1"/>
  <c r="B1454" i="1"/>
  <c r="B1453" i="1"/>
  <c r="B1452" i="1"/>
  <c r="B1451" i="1"/>
  <c r="B1450" i="1"/>
  <c r="B1449" i="1"/>
  <c r="B1448" i="1"/>
  <c r="B1474" i="1"/>
  <c r="B1473" i="1"/>
  <c r="B1472" i="1"/>
  <c r="B1471" i="1"/>
  <c r="B1470" i="1"/>
  <c r="B1469" i="1"/>
  <c r="B1468" i="1"/>
  <c r="B1467" i="1"/>
  <c r="B1466" i="1"/>
  <c r="B1465" i="1"/>
  <c r="B1483" i="1"/>
  <c r="B1482" i="1"/>
  <c r="B1481" i="1"/>
  <c r="B1480" i="1"/>
  <c r="B1479" i="1"/>
  <c r="B1478" i="1"/>
  <c r="B1477" i="1"/>
  <c r="B1476" i="1"/>
  <c r="B1475" i="1"/>
  <c r="B1492" i="1"/>
  <c r="B1491" i="1"/>
  <c r="B1490" i="1"/>
  <c r="B1489" i="1"/>
  <c r="B1488" i="1"/>
  <c r="B1487" i="1"/>
  <c r="B1486" i="1"/>
  <c r="B1485" i="1"/>
  <c r="B1484" i="1"/>
  <c r="B1493" i="1"/>
  <c r="B1497" i="1"/>
  <c r="B1496" i="1"/>
  <c r="B1495" i="1"/>
  <c r="B1494" i="1"/>
  <c r="B1517" i="1"/>
  <c r="B1516" i="1"/>
  <c r="B1515" i="1"/>
  <c r="B1514" i="1"/>
  <c r="B1513" i="1"/>
  <c r="B1512" i="1"/>
  <c r="B1511" i="1"/>
  <c r="B1510" i="1"/>
  <c r="B1509" i="1"/>
  <c r="B1508" i="1"/>
  <c r="B1507" i="1"/>
  <c r="B1506" i="1"/>
  <c r="B1505" i="1"/>
  <c r="B1504" i="1"/>
  <c r="B1503" i="1"/>
  <c r="B1502" i="1"/>
  <c r="B1501" i="1"/>
  <c r="B1500" i="1"/>
  <c r="B1499" i="1"/>
  <c r="B1498" i="1"/>
  <c r="B1523" i="1"/>
  <c r="B1522" i="1"/>
  <c r="B1521" i="1"/>
  <c r="B1520" i="1"/>
  <c r="B1519" i="1"/>
  <c r="B1518" i="1"/>
  <c r="B1542" i="1"/>
  <c r="B1541" i="1"/>
  <c r="B1540" i="1"/>
  <c r="B1539" i="1"/>
  <c r="B1538" i="1"/>
  <c r="B1537" i="1"/>
  <c r="B1536" i="1"/>
  <c r="B1535" i="1"/>
  <c r="B1534" i="1"/>
  <c r="B1533" i="1"/>
  <c r="B1532" i="1"/>
  <c r="B1531" i="1"/>
  <c r="B1546" i="1"/>
  <c r="B1545" i="1"/>
  <c r="B1551" i="1"/>
  <c r="B1553" i="1"/>
  <c r="B1555" i="1"/>
  <c r="B1554" i="1"/>
  <c r="B1589" i="1"/>
  <c r="B1601" i="1"/>
  <c r="B1600" i="1"/>
  <c r="B1599" i="1"/>
  <c r="B1598" i="1"/>
  <c r="B1597" i="1"/>
  <c r="B1603" i="1"/>
  <c r="B1602" i="1"/>
  <c r="B1608" i="1"/>
  <c r="B1607" i="1"/>
  <c r="B1606" i="1"/>
  <c r="B1605" i="1"/>
  <c r="B1604" i="1"/>
  <c r="B1617" i="1"/>
  <c r="B1616" i="1"/>
  <c r="B1615" i="1"/>
  <c r="B1614" i="1"/>
  <c r="B1613" i="1"/>
  <c r="B1612" i="1"/>
  <c r="B1611" i="1"/>
  <c r="B1610" i="1"/>
  <c r="B1609" i="1"/>
  <c r="B1620" i="1"/>
  <c r="B1619" i="1"/>
  <c r="B1629" i="1"/>
  <c r="B1657" i="1"/>
  <c r="B1656" i="1"/>
  <c r="B1655" i="1"/>
  <c r="B1654" i="1"/>
  <c r="B1653" i="1"/>
  <c r="B1652" i="1"/>
  <c r="B1651" i="1"/>
  <c r="B1650" i="1"/>
  <c r="B1649" i="1"/>
  <c r="B1648" i="1"/>
  <c r="B1647" i="1"/>
  <c r="B1646" i="1"/>
  <c r="B1645" i="1"/>
  <c r="B1644" i="1"/>
  <c r="B1643" i="1"/>
  <c r="B1642" i="1"/>
  <c r="B1641" i="1"/>
  <c r="B1640" i="1"/>
  <c r="B1639" i="1"/>
  <c r="B1638" i="1"/>
  <c r="B1637" i="1"/>
  <c r="B1636" i="1"/>
  <c r="B1635" i="1"/>
  <c r="B1634" i="1"/>
  <c r="B1633" i="1"/>
  <c r="B1632" i="1"/>
  <c r="B1631" i="1"/>
  <c r="B1630" i="1"/>
  <c r="B1661" i="1"/>
  <c r="B1660" i="1"/>
  <c r="B1659" i="1"/>
  <c r="B1666" i="1"/>
  <c r="B1665" i="1"/>
  <c r="B1664" i="1"/>
  <c r="B1663" i="1"/>
  <c r="B1662" i="1"/>
  <c r="B1675" i="1"/>
  <c r="B1674" i="1"/>
  <c r="B1673" i="1"/>
  <c r="B1672" i="1"/>
  <c r="B1671" i="1"/>
  <c r="B1670" i="1"/>
  <c r="B1669" i="1"/>
  <c r="B1668" i="1"/>
  <c r="B1667" i="1"/>
  <c r="B1685" i="1"/>
  <c r="B1684" i="1"/>
  <c r="J1683" i="1"/>
  <c r="B1683" i="1"/>
  <c r="J1682" i="1"/>
  <c r="B1682" i="1"/>
  <c r="J1681" i="1"/>
  <c r="B1681" i="1"/>
  <c r="J1680" i="1"/>
  <c r="B1680" i="1"/>
  <c r="J1679" i="1"/>
  <c r="B1679" i="1"/>
  <c r="J1678" i="1"/>
  <c r="B1678" i="1"/>
  <c r="B1677" i="1"/>
  <c r="B1686" i="1"/>
  <c r="B1694" i="1"/>
  <c r="B1693" i="1"/>
  <c r="B1692" i="1"/>
  <c r="B1691" i="1"/>
  <c r="B1690" i="1"/>
  <c r="B1689" i="1"/>
  <c r="B1688" i="1"/>
  <c r="B1700" i="1"/>
  <c r="B1699" i="1"/>
  <c r="B1698" i="1"/>
  <c r="B1697" i="1"/>
  <c r="B1696" i="1"/>
  <c r="B1695" i="1"/>
  <c r="B1702" i="1"/>
  <c r="B1701" i="1"/>
  <c r="B1717" i="1"/>
  <c r="B1716" i="1"/>
  <c r="B1715" i="1"/>
  <c r="B1714" i="1"/>
  <c r="B1713" i="1"/>
  <c r="B1712" i="1"/>
  <c r="B1711" i="1"/>
  <c r="B1710" i="1"/>
  <c r="B1709" i="1"/>
  <c r="B1708" i="1"/>
  <c r="B1707" i="1"/>
  <c r="B1706" i="1"/>
  <c r="B1722" i="1"/>
  <c r="B1721" i="1"/>
  <c r="B1720" i="1"/>
  <c r="B1719" i="1"/>
  <c r="B1718" i="1"/>
  <c r="B1724" i="1"/>
  <c r="B1729" i="1"/>
  <c r="B1728" i="1"/>
  <c r="B1727" i="1"/>
  <c r="B1726" i="1"/>
  <c r="B1725" i="1"/>
  <c r="B1737" i="1"/>
  <c r="B1736" i="1"/>
  <c r="B1735" i="1"/>
  <c r="B1734" i="1"/>
  <c r="B1733" i="1"/>
  <c r="B1732" i="1"/>
  <c r="B1731" i="1"/>
  <c r="B1730" i="1"/>
  <c r="B1743" i="1"/>
  <c r="B1746" i="1"/>
  <c r="B1745" i="1"/>
  <c r="B1744" i="1"/>
  <c r="B1747" i="1"/>
  <c r="B1752" i="1"/>
  <c r="B1751" i="1"/>
  <c r="B1750" i="1"/>
  <c r="B1749" i="1"/>
  <c r="B1748" i="1"/>
  <c r="B1765" i="1"/>
  <c r="B1766" i="1"/>
  <c r="B1773" i="1"/>
  <c r="B1772" i="1"/>
  <c r="B1771" i="1"/>
  <c r="B1770" i="1"/>
  <c r="B1769" i="1"/>
  <c r="B1768" i="1"/>
  <c r="B1767" i="1"/>
  <c r="B1777" i="1"/>
  <c r="B1776" i="1"/>
  <c r="B1775" i="1"/>
  <c r="B1774" i="1"/>
  <c r="B1784" i="1"/>
  <c r="B1783" i="1"/>
  <c r="B1782" i="1"/>
  <c r="B1781" i="1"/>
  <c r="B1780" i="1"/>
  <c r="B1779" i="1"/>
  <c r="B1778" i="1"/>
  <c r="B1786" i="1"/>
  <c r="B1787" i="1"/>
  <c r="B1789" i="1"/>
  <c r="B1788" i="1"/>
  <c r="B1791" i="1"/>
  <c r="B1790" i="1"/>
  <c r="B1807" i="1"/>
  <c r="B1806" i="1"/>
  <c r="J1811" i="1"/>
  <c r="B1811" i="1"/>
  <c r="B1810" i="1"/>
  <c r="B1809" i="1"/>
  <c r="B1808" i="1"/>
  <c r="B1820" i="1"/>
  <c r="B1819" i="1"/>
  <c r="B1818" i="1"/>
  <c r="B1817" i="1"/>
  <c r="B1816" i="1"/>
  <c r="B1815" i="1"/>
  <c r="B1814" i="1"/>
  <c r="B1813" i="1"/>
  <c r="B1812" i="1"/>
  <c r="B1825" i="1"/>
  <c r="B1824" i="1"/>
  <c r="B1823" i="1"/>
  <c r="B1822" i="1"/>
  <c r="B1821" i="1"/>
  <c r="B1827" i="1"/>
  <c r="B1826" i="1"/>
  <c r="B1838" i="1"/>
  <c r="B1837" i="1"/>
  <c r="B1841" i="1"/>
  <c r="B1840" i="1"/>
  <c r="B1839" i="1"/>
  <c r="B1847" i="1"/>
  <c r="B1848" i="1"/>
  <c r="B1882" i="1"/>
  <c r="B1881" i="1"/>
  <c r="B1896" i="1"/>
  <c r="B1885" i="1"/>
  <c r="B1880" i="1"/>
  <c r="B1879" i="1"/>
  <c r="B1878" i="1"/>
  <c r="B1877" i="1"/>
  <c r="B1876" i="1"/>
  <c r="B1875" i="1"/>
  <c r="B1874" i="1"/>
  <c r="B1873" i="1"/>
  <c r="B1872" i="1"/>
  <c r="B1871" i="1"/>
  <c r="B1870" i="1"/>
  <c r="B1869" i="1"/>
  <c r="B1868" i="1"/>
  <c r="B1867" i="1"/>
  <c r="B1866" i="1"/>
  <c r="B1865" i="1"/>
  <c r="B1864" i="1"/>
  <c r="B1863" i="1"/>
  <c r="B1862" i="1"/>
  <c r="B1861" i="1"/>
  <c r="B1860" i="1"/>
  <c r="B1859" i="1"/>
  <c r="B1884" i="1"/>
  <c r="B1883" i="1"/>
  <c r="B1895" i="1"/>
  <c r="B1894" i="1"/>
  <c r="B1893" i="1"/>
  <c r="B1892" i="1"/>
  <c r="B1891" i="1"/>
  <c r="B1890" i="1"/>
  <c r="B1889" i="1"/>
  <c r="B1888" i="1"/>
  <c r="B1887" i="1"/>
  <c r="J1886" i="1"/>
  <c r="B1886" i="1"/>
  <c r="B1910" i="1"/>
  <c r="B1909" i="1"/>
  <c r="B1908" i="1"/>
  <c r="B1916" i="1"/>
  <c r="B1915" i="1"/>
  <c r="B1929" i="1"/>
  <c r="B1928" i="1"/>
  <c r="B1927" i="1"/>
  <c r="B1930" i="1"/>
  <c r="J1937" i="1"/>
  <c r="B1937" i="1"/>
  <c r="B1936" i="1"/>
  <c r="B1935" i="1"/>
  <c r="B1934" i="1"/>
  <c r="B1933" i="1"/>
  <c r="B1932" i="1"/>
  <c r="B1931" i="1"/>
  <c r="B1938" i="1"/>
  <c r="B1949" i="1"/>
  <c r="B1961" i="1"/>
  <c r="B1960" i="1"/>
  <c r="B1959" i="1"/>
  <c r="B1958" i="1"/>
  <c r="B1963" i="1"/>
  <c r="B1969" i="1"/>
  <c r="B1968" i="1"/>
  <c r="B1967" i="1"/>
  <c r="B1966" i="1"/>
  <c r="B1965" i="1"/>
  <c r="B1980" i="1"/>
  <c r="B1979" i="1"/>
  <c r="B1978" i="1"/>
  <c r="B1977" i="1"/>
  <c r="B1976" i="1"/>
  <c r="B1975" i="1"/>
  <c r="B1974" i="1"/>
  <c r="B1973" i="1"/>
  <c r="B1972" i="1"/>
  <c r="B1971" i="1"/>
  <c r="B1985" i="1"/>
  <c r="B1984" i="1"/>
  <c r="B1983" i="1"/>
  <c r="B1982" i="1"/>
  <c r="J1987" i="1"/>
  <c r="B1987" i="1"/>
  <c r="B1986" i="1"/>
  <c r="B1993" i="1"/>
  <c r="B1992" i="1"/>
  <c r="B1991" i="1"/>
  <c r="B1990" i="1"/>
  <c r="B1989" i="1"/>
  <c r="B2000" i="1"/>
  <c r="B1999" i="1"/>
  <c r="B1998" i="1"/>
  <c r="B1997" i="1"/>
  <c r="B1996" i="1"/>
  <c r="B1995" i="1"/>
  <c r="B1994" i="1"/>
  <c r="B2004" i="1"/>
  <c r="B2003" i="1"/>
  <c r="B2002" i="1"/>
  <c r="B2001" i="1"/>
  <c r="B2010" i="1"/>
  <c r="B2009" i="1"/>
  <c r="B2008" i="1"/>
  <c r="B2007" i="1"/>
  <c r="B2006" i="1"/>
  <c r="B2005" i="1"/>
  <c r="B2024" i="1"/>
  <c r="B2023" i="1"/>
  <c r="B2022" i="1"/>
  <c r="B2021" i="1"/>
  <c r="B2020" i="1"/>
  <c r="B2038" i="1"/>
  <c r="B2037" i="1"/>
  <c r="B2036" i="1"/>
  <c r="B2035" i="1"/>
  <c r="B2034" i="1"/>
  <c r="B2033" i="1"/>
  <c r="B2032" i="1"/>
  <c r="B2031" i="1"/>
  <c r="B2030" i="1"/>
  <c r="B2029" i="1"/>
  <c r="B2028" i="1"/>
  <c r="B2044" i="1"/>
  <c r="J2043" i="1"/>
  <c r="B2043" i="1"/>
  <c r="B2071" i="1"/>
  <c r="B2070" i="1"/>
  <c r="B2069" i="1"/>
  <c r="B2068" i="1"/>
  <c r="B2096" i="1"/>
  <c r="B2095" i="1"/>
  <c r="B2094" i="1"/>
  <c r="B2093" i="1"/>
  <c r="B2099" i="1"/>
  <c r="B2115" i="1"/>
  <c r="B2128" i="1"/>
  <c r="B2127" i="1"/>
  <c r="B2126" i="1"/>
  <c r="B2125" i="1"/>
  <c r="B2124" i="1"/>
  <c r="B2123" i="1"/>
  <c r="B2122" i="1"/>
  <c r="B2146" i="1"/>
  <c r="B2145" i="1"/>
  <c r="B2144" i="1"/>
  <c r="B2143" i="1"/>
  <c r="B2161" i="1"/>
  <c r="B2160" i="1"/>
  <c r="B2159" i="1"/>
  <c r="B2158" i="1"/>
  <c r="B2157" i="1"/>
  <c r="B2156" i="1"/>
  <c r="B2155" i="1"/>
  <c r="B2154" i="1"/>
  <c r="B2153" i="1"/>
  <c r="B2191" i="1"/>
  <c r="B2190" i="1"/>
  <c r="B2189" i="1"/>
  <c r="B2354" i="1"/>
  <c r="B2258" i="1"/>
  <c r="B2195" i="1"/>
  <c r="B2169" i="1"/>
  <c r="B2152" i="1"/>
  <c r="B2194" i="1"/>
  <c r="B2206" i="1"/>
  <c r="B2205" i="1"/>
  <c r="B2204" i="1"/>
  <c r="B2203" i="1"/>
  <c r="B2202" i="1"/>
  <c r="B2201" i="1"/>
  <c r="B2247" i="1"/>
  <c r="B2246" i="1"/>
  <c r="B2245" i="1"/>
  <c r="B2244" i="1"/>
  <c r="B2243" i="1"/>
  <c r="B2242" i="1"/>
  <c r="B2241" i="1"/>
  <c r="B2240" i="1"/>
  <c r="B2239" i="1"/>
  <c r="B2238" i="1"/>
  <c r="B2237" i="1"/>
  <c r="B2236" i="1"/>
  <c r="B2235" i="1"/>
  <c r="B2249" i="1"/>
  <c r="B2272" i="1"/>
  <c r="B2278" i="1"/>
  <c r="B2285" i="1"/>
  <c r="B2284" i="1"/>
  <c r="B2283" i="1"/>
  <c r="B2289" i="1"/>
  <c r="B2288" i="1"/>
  <c r="B2308" i="1"/>
  <c r="B2307" i="1"/>
  <c r="B2313" i="1"/>
  <c r="B2319" i="1"/>
  <c r="B2318" i="1"/>
  <c r="B2317" i="1"/>
  <c r="B2316" i="1"/>
  <c r="B2315" i="1"/>
  <c r="B2352" i="1"/>
  <c r="B2351" i="1"/>
  <c r="B2350" i="1"/>
  <c r="B2349" i="1"/>
  <c r="B2348" i="1"/>
  <c r="B2347" i="1"/>
  <c r="B2346" i="1"/>
  <c r="B2345" i="1"/>
  <c r="B2344" i="1"/>
  <c r="B2343" i="1"/>
  <c r="B2342" i="1"/>
  <c r="B2341" i="1"/>
  <c r="B2340" i="1"/>
  <c r="B2339" i="1"/>
  <c r="B2338" i="1"/>
  <c r="B2337" i="1"/>
  <c r="B2336" i="1"/>
  <c r="B2335" i="1"/>
  <c r="B2334" i="1"/>
  <c r="B2333" i="1"/>
  <c r="B2332" i="1"/>
  <c r="B2331" i="1"/>
  <c r="B2330" i="1"/>
  <c r="B2329" i="1"/>
  <c r="B2328" i="1"/>
  <c r="B2327" i="1"/>
  <c r="B2326" i="1"/>
  <c r="B2325" i="1"/>
  <c r="B2324" i="1"/>
  <c r="B2323" i="1"/>
  <c r="B2322" i="1"/>
  <c r="B2321" i="1"/>
  <c r="B2353" i="1"/>
  <c r="B2363" i="1"/>
  <c r="B2362" i="1"/>
  <c r="B2372" i="1"/>
  <c r="B2385" i="1"/>
  <c r="B2384" i="1"/>
  <c r="B2383" i="1"/>
  <c r="B2382" i="1"/>
  <c r="B2381" i="1"/>
  <c r="B2380" i="1"/>
  <c r="B2379" i="1"/>
  <c r="B2378" i="1"/>
  <c r="B2377" i="1"/>
  <c r="B2376" i="1"/>
  <c r="B2375" i="1"/>
  <c r="B2374" i="1"/>
  <c r="B2373" i="1"/>
  <c r="B2389" i="1"/>
  <c r="B2417" i="1"/>
  <c r="B2419" i="1"/>
  <c r="B2440" i="1"/>
  <c r="B2457" i="1"/>
  <c r="B2466" i="1"/>
  <c r="B2465" i="1"/>
  <c r="B2504" i="1"/>
  <c r="B2523" i="1"/>
  <c r="B2522" i="1"/>
  <c r="B2521" i="1"/>
  <c r="B2563" i="1"/>
  <c r="B2562" i="1"/>
  <c r="B2561" i="1"/>
  <c r="B2560" i="1"/>
  <c r="B2559" i="1"/>
  <c r="B2558" i="1"/>
  <c r="B2557" i="1"/>
  <c r="B2556" i="1"/>
  <c r="B2555" i="1"/>
  <c r="B2554" i="1"/>
  <c r="B2575" i="1"/>
  <c r="B2574" i="1"/>
  <c r="B2573" i="1"/>
  <c r="B2582" i="1"/>
  <c r="B2581" i="1"/>
  <c r="B2580" i="1"/>
  <c r="B2579" i="1"/>
  <c r="B2578" i="1"/>
  <c r="B2577" i="1"/>
  <c r="B2602" i="1"/>
  <c r="B2601" i="1"/>
  <c r="B2600" i="1"/>
  <c r="B2599" i="1"/>
  <c r="B2598" i="1"/>
  <c r="B2597" i="1"/>
  <c r="B2596" i="1"/>
  <c r="B2595" i="1"/>
  <c r="B2594" i="1"/>
  <c r="B2593" i="1"/>
  <c r="B2592" i="1"/>
  <c r="B2591" i="1"/>
  <c r="B2590" i="1"/>
  <c r="B2589" i="1"/>
  <c r="B2588" i="1"/>
  <c r="B2587" i="1"/>
  <c r="B2586" i="1"/>
  <c r="B2585" i="1"/>
  <c r="B2584" i="1"/>
  <c r="B2583" i="1"/>
  <c r="B2610" i="1"/>
  <c r="B2609" i="1"/>
  <c r="B2608" i="1"/>
  <c r="B2607" i="1"/>
  <c r="B2606" i="1"/>
  <c r="B2605" i="1"/>
  <c r="B2604" i="1"/>
  <c r="B2603" i="1"/>
  <c r="B713" i="1"/>
  <c r="B702" i="1"/>
  <c r="B726" i="1"/>
  <c r="B751" i="1"/>
  <c r="B750" i="1"/>
  <c r="B749" i="1"/>
  <c r="B755" i="1"/>
  <c r="B754" i="1"/>
  <c r="B753" i="1"/>
  <c r="B783" i="1"/>
  <c r="B782" i="1"/>
  <c r="B781" i="1"/>
  <c r="B780" i="1"/>
  <c r="B779" i="1"/>
  <c r="B778" i="1"/>
  <c r="B777" i="1"/>
  <c r="B776" i="1"/>
  <c r="B775" i="1"/>
  <c r="B774" i="1"/>
  <c r="B773" i="1"/>
  <c r="B772" i="1"/>
  <c r="B771" i="1"/>
  <c r="B770" i="1"/>
  <c r="B769" i="1"/>
  <c r="B768" i="1"/>
  <c r="B767" i="1"/>
  <c r="B790" i="1"/>
  <c r="B789" i="1"/>
  <c r="B788" i="1"/>
  <c r="B787" i="1"/>
  <c r="B786" i="1"/>
  <c r="B785" i="1"/>
  <c r="B784" i="1"/>
  <c r="B1580" i="1"/>
  <c r="B1579" i="1"/>
  <c r="B1578" i="1"/>
  <c r="B1577" i="1"/>
  <c r="B1576" i="1"/>
  <c r="B1575" i="1"/>
  <c r="B1574" i="1"/>
  <c r="B1573" i="1"/>
  <c r="B1572" i="1"/>
  <c r="B1571" i="1"/>
  <c r="B1570" i="1"/>
  <c r="B1569" i="1"/>
  <c r="B1568" i="1"/>
  <c r="B1567" i="1"/>
  <c r="B1566" i="1"/>
  <c r="B1565" i="1"/>
  <c r="B1564" i="1"/>
  <c r="B1563" i="1"/>
  <c r="B1562" i="1"/>
  <c r="B1764" i="1"/>
  <c r="B1763" i="1"/>
  <c r="B1762" i="1"/>
  <c r="B1761" i="1"/>
  <c r="B1760" i="1"/>
  <c r="B1759" i="1"/>
  <c r="B1758" i="1"/>
  <c r="B1757" i="1"/>
  <c r="B1756" i="1"/>
  <c r="B1755" i="1"/>
  <c r="B1754" i="1"/>
  <c r="B1753" i="1"/>
  <c r="B1785" i="1"/>
  <c r="B1907" i="1"/>
  <c r="B1906" i="1"/>
  <c r="B1905" i="1"/>
  <c r="B1904" i="1"/>
  <c r="B1903" i="1"/>
  <c r="B1902" i="1"/>
  <c r="B1926" i="1"/>
  <c r="B1925" i="1"/>
  <c r="B1924" i="1"/>
  <c r="B1923" i="1"/>
  <c r="B1922" i="1"/>
  <c r="B1921" i="1"/>
  <c r="B1920" i="1"/>
  <c r="B1919" i="1"/>
  <c r="B1918" i="1"/>
  <c r="B1940" i="1"/>
  <c r="B1939" i="1"/>
  <c r="B1957" i="1"/>
  <c r="B1956" i="1"/>
  <c r="B2019" i="1"/>
  <c r="B2042" i="1"/>
  <c r="B2027" i="1"/>
  <c r="B2041" i="1"/>
  <c r="B2040" i="1"/>
  <c r="B2039" i="1"/>
  <c r="B2225" i="1"/>
  <c r="B2224" i="1"/>
  <c r="B2223" i="1"/>
  <c r="B2222" i="1"/>
  <c r="B2221" i="1"/>
  <c r="B2220" i="1"/>
  <c r="B2219" i="1"/>
  <c r="B2218" i="1"/>
  <c r="B2217" i="1"/>
  <c r="B2216" i="1"/>
  <c r="B2215" i="1"/>
  <c r="B2214" i="1"/>
  <c r="B2234" i="1"/>
  <c r="B2262" i="1"/>
  <c r="B2263" i="1"/>
  <c r="B2271" i="1"/>
  <c r="B2270" i="1"/>
  <c r="B2269" i="1"/>
  <c r="B2268" i="1"/>
  <c r="B2267" i="1"/>
  <c r="B2266" i="1"/>
  <c r="B2265" i="1"/>
  <c r="B2264" i="1"/>
  <c r="B2371" i="1"/>
  <c r="B2370" i="1"/>
  <c r="B2369" i="1"/>
  <c r="B2368" i="1"/>
  <c r="B2367" i="1"/>
  <c r="B2366" i="1"/>
  <c r="B2365" i="1"/>
  <c r="B2364" i="1"/>
  <c r="B2446" i="1"/>
  <c r="B2445" i="1"/>
  <c r="B2444" i="1"/>
  <c r="B2443" i="1"/>
  <c r="B2520" i="1"/>
  <c r="B2519" i="1"/>
  <c r="B2518" i="1"/>
  <c r="B2517" i="1"/>
  <c r="B2516" i="1"/>
  <c r="B2515" i="1"/>
  <c r="B2514" i="1"/>
  <c r="B2513" i="1"/>
  <c r="B2512" i="1"/>
  <c r="B2451" i="1"/>
  <c r="B2450" i="1"/>
  <c r="B2456" i="1"/>
  <c r="B2455" i="1"/>
  <c r="B2454" i="1"/>
  <c r="B2453" i="1"/>
  <c r="B2452" i="1"/>
  <c r="B1955" i="1"/>
  <c r="B1954" i="1"/>
  <c r="B1953" i="1"/>
  <c r="B1952" i="1"/>
  <c r="B1951" i="1"/>
  <c r="B1950" i="1"/>
  <c r="B2464" i="1"/>
  <c r="B2463" i="1"/>
  <c r="B2462" i="1"/>
  <c r="B2471" i="1"/>
  <c r="B2470" i="1"/>
  <c r="B2469" i="1"/>
  <c r="B2468" i="1"/>
  <c r="B2467" i="1"/>
  <c r="B2481" i="1"/>
  <c r="B2480" i="1"/>
  <c r="B2479" i="1"/>
  <c r="B2499" i="1"/>
  <c r="B2498" i="1"/>
  <c r="B2497" i="1"/>
  <c r="B2496" i="1"/>
  <c r="B2495" i="1"/>
  <c r="B2494" i="1"/>
  <c r="B2493" i="1"/>
  <c r="B2503" i="1"/>
  <c r="B2502" i="1"/>
  <c r="B2501" i="1"/>
  <c r="B2500" i="1"/>
  <c r="B2314" i="1"/>
  <c r="B2505" i="1"/>
  <c r="B2553" i="1"/>
  <c r="B2552" i="1"/>
  <c r="B2551" i="1"/>
  <c r="B2550" i="1"/>
  <c r="B2549" i="1"/>
  <c r="B2548" i="1"/>
  <c r="B2547" i="1"/>
  <c r="B2546" i="1"/>
  <c r="B2545" i="1"/>
  <c r="B2544" i="1"/>
  <c r="B2543" i="1"/>
  <c r="B2542" i="1"/>
  <c r="B2541" i="1"/>
  <c r="B2540" i="1"/>
  <c r="B2539" i="1"/>
  <c r="B2538" i="1"/>
  <c r="B2537" i="1"/>
  <c r="B2536" i="1"/>
  <c r="B2535" i="1"/>
  <c r="B2534" i="1"/>
  <c r="B2533" i="1"/>
  <c r="B2532" i="1"/>
  <c r="B2531" i="1"/>
  <c r="B2530" i="1"/>
  <c r="B2529" i="1"/>
  <c r="B2528" i="1"/>
  <c r="B2527" i="1"/>
  <c r="B2526" i="1"/>
  <c r="B2525" i="1"/>
  <c r="B2524" i="1"/>
  <c r="B1805" i="1"/>
  <c r="B1804" i="1"/>
  <c r="B1803" i="1"/>
  <c r="B1802" i="1"/>
  <c r="B1801" i="1"/>
  <c r="B1800" i="1"/>
  <c r="B1799" i="1"/>
  <c r="B1798" i="1"/>
  <c r="B1797" i="1"/>
  <c r="B1796" i="1"/>
  <c r="B1795" i="1"/>
  <c r="B1794" i="1"/>
  <c r="B1793" i="1"/>
  <c r="B1792" i="1"/>
  <c r="B3483" i="1"/>
  <c r="B3482" i="1"/>
  <c r="B2576" i="1"/>
  <c r="B3494" i="1"/>
  <c r="N22" i="2"/>
</calcChain>
</file>

<file path=xl/sharedStrings.xml><?xml version="1.0" encoding="utf-8"?>
<sst xmlns="http://schemas.openxmlformats.org/spreadsheetml/2006/main" count="46025" uniqueCount="2516">
  <si>
    <t>Month/Year</t>
  </si>
  <si>
    <t>Date</t>
  </si>
  <si>
    <t>dd</t>
  </si>
  <si>
    <t>mm</t>
  </si>
  <si>
    <t>yyyy</t>
  </si>
  <si>
    <t>Product</t>
  </si>
  <si>
    <t>Product Type</t>
  </si>
  <si>
    <t>Subcategory</t>
  </si>
  <si>
    <t>Category</t>
  </si>
  <si>
    <t>Price, local Currency</t>
  </si>
  <si>
    <t>Price, lei</t>
  </si>
  <si>
    <t>Qty</t>
  </si>
  <si>
    <t>Qty in units</t>
  </si>
  <si>
    <t>Total,  lei</t>
  </si>
  <si>
    <t>Total, EUR</t>
  </si>
  <si>
    <t>Store</t>
  </si>
  <si>
    <t>Location, Country</t>
  </si>
  <si>
    <t>Spending Type</t>
  </si>
  <si>
    <t>Comments /  Trip Name</t>
  </si>
  <si>
    <t>Jan-18</t>
  </si>
  <si>
    <t>Abonament Sport Park</t>
  </si>
  <si>
    <t>Tickets &amp; Fees</t>
  </si>
  <si>
    <t>Sports &amp; Outdoors</t>
  </si>
  <si>
    <t>SportPark</t>
  </si>
  <si>
    <t>Daily Life</t>
  </si>
  <si>
    <t>Brinza</t>
  </si>
  <si>
    <t>Lactate</t>
  </si>
  <si>
    <t>Food &amp; Drink</t>
  </si>
  <si>
    <t>Velmart</t>
  </si>
  <si>
    <t>oaspeti</t>
  </si>
  <si>
    <t>Guguta JLC, 1%</t>
  </si>
  <si>
    <t>Iaurt / Chefir</t>
  </si>
  <si>
    <t>PrimMol</t>
  </si>
  <si>
    <t>Porc</t>
  </si>
  <si>
    <t>Fileu de porc cr/af</t>
  </si>
  <si>
    <t>Carne</t>
  </si>
  <si>
    <t>pegas</t>
  </si>
  <si>
    <t>Lapte Covasit, JLC</t>
  </si>
  <si>
    <t>Masline</t>
  </si>
  <si>
    <t>Misc</t>
  </si>
  <si>
    <t>Piine</t>
  </si>
  <si>
    <t>Placinte</t>
  </si>
  <si>
    <t>Stefanita SRL</t>
  </si>
  <si>
    <t>Suc de mere</t>
  </si>
  <si>
    <t>Suc</t>
  </si>
  <si>
    <t>Iaurt Activia</t>
  </si>
  <si>
    <t>Bonus</t>
  </si>
  <si>
    <t>Chefir JLC, 1%</t>
  </si>
  <si>
    <t>Absorbante</t>
  </si>
  <si>
    <t>Consumable</t>
  </si>
  <si>
    <t>Household</t>
  </si>
  <si>
    <t>Metro</t>
  </si>
  <si>
    <t>Appa Izvorul Minunilor, 5L</t>
  </si>
  <si>
    <t>Appa</t>
  </si>
  <si>
    <t>Legume</t>
  </si>
  <si>
    <t>Banane</t>
  </si>
  <si>
    <t>Fruits</t>
  </si>
  <si>
    <t>Fautor, Cabernet Merlot</t>
  </si>
  <si>
    <t>Vin</t>
  </si>
  <si>
    <t>Alcohol</t>
  </si>
  <si>
    <t>Chefir JLC, 2,5%</t>
  </si>
  <si>
    <t>Hrisca</t>
  </si>
  <si>
    <t>Crupe</t>
  </si>
  <si>
    <t>Durable</t>
  </si>
  <si>
    <t>Hrustici Risovital</t>
  </si>
  <si>
    <t>Snacks</t>
  </si>
  <si>
    <t>Kvint, 10 ani</t>
  </si>
  <si>
    <t>Cognac</t>
  </si>
  <si>
    <t>Macrou</t>
  </si>
  <si>
    <t>Peste</t>
  </si>
  <si>
    <t>Dentist / Ortodont</t>
  </si>
  <si>
    <t>Consultatie</t>
  </si>
  <si>
    <t>Health</t>
  </si>
  <si>
    <t>Oua</t>
  </si>
  <si>
    <t>Pomello</t>
  </si>
  <si>
    <t>Seminte Dovleac</t>
  </si>
  <si>
    <t>80g</t>
  </si>
  <si>
    <t>Smintina</t>
  </si>
  <si>
    <t>Benzina</t>
  </si>
  <si>
    <t>Masina</t>
  </si>
  <si>
    <t>Lukoil</t>
  </si>
  <si>
    <t>Cadou</t>
  </si>
  <si>
    <t>Accessories</t>
  </si>
  <si>
    <t>GooseGoose</t>
  </si>
  <si>
    <t>Gifts</t>
  </si>
  <si>
    <t>Cadou Rishu Placa Metru</t>
  </si>
  <si>
    <t>Cafea</t>
  </si>
  <si>
    <t>Fun</t>
  </si>
  <si>
    <t>Dulcinella</t>
  </si>
  <si>
    <t>Chefir</t>
  </si>
  <si>
    <t>NR1</t>
  </si>
  <si>
    <t>Chips</t>
  </si>
  <si>
    <t>Escolar afumat</t>
  </si>
  <si>
    <t>Somon</t>
  </si>
  <si>
    <t>Iesire in oras</t>
  </si>
  <si>
    <t>Luminita carte /  kindle</t>
  </si>
  <si>
    <t>Electronics</t>
  </si>
  <si>
    <t>AliExpress</t>
  </si>
  <si>
    <t>Unt</t>
  </si>
  <si>
    <t>Piine, Bagheta franceza</t>
  </si>
  <si>
    <t>Pegas</t>
  </si>
  <si>
    <t>Alimarket</t>
  </si>
  <si>
    <t>Ceai/Cafea</t>
  </si>
  <si>
    <t>Rompetrol</t>
  </si>
  <si>
    <t>Medicamente</t>
  </si>
  <si>
    <t>Plati Comunale &amp; Phone</t>
  </si>
  <si>
    <t>Ananas</t>
  </si>
  <si>
    <t>Appa Izvorul Minunilor, 2L</t>
  </si>
  <si>
    <t>Ardei</t>
  </si>
  <si>
    <t>Castraveti</t>
  </si>
  <si>
    <t>Curma</t>
  </si>
  <si>
    <t>Telina frunze</t>
  </si>
  <si>
    <t>Grapefruit</t>
  </si>
  <si>
    <t>Hering Sarat</t>
  </si>
  <si>
    <t>Maioneza</t>
  </si>
  <si>
    <t>Menta</t>
  </si>
  <si>
    <t>Morcov spalat</t>
  </si>
  <si>
    <t>oua</t>
  </si>
  <si>
    <t>Piine de secara</t>
  </si>
  <si>
    <t>Portocale</t>
  </si>
  <si>
    <t>Praz</t>
  </si>
  <si>
    <t>Telina (radacina)</t>
  </si>
  <si>
    <t>Ridiche</t>
  </si>
  <si>
    <t>Rodie</t>
  </si>
  <si>
    <t>Rosii cherry</t>
  </si>
  <si>
    <t>Sfecla</t>
  </si>
  <si>
    <t>Pesto</t>
  </si>
  <si>
    <t>Sos</t>
  </si>
  <si>
    <t>suc</t>
  </si>
  <si>
    <t>Topinambur</t>
  </si>
  <si>
    <t>IKEA</t>
  </si>
  <si>
    <t>Desert</t>
  </si>
  <si>
    <t>Caserola</t>
  </si>
  <si>
    <t>Ceai Fenicul</t>
  </si>
  <si>
    <t>Ceai Roinita</t>
  </si>
  <si>
    <t>Flori uscate parfumate</t>
  </si>
  <si>
    <t>Protectie podea pt scaune</t>
  </si>
  <si>
    <t>Pulverizator</t>
  </si>
  <si>
    <t>Revista Historia</t>
  </si>
  <si>
    <t>Education</t>
  </si>
  <si>
    <t>Servetele</t>
  </si>
  <si>
    <t>Troleu/ Bus</t>
  </si>
  <si>
    <t>Breakfast</t>
  </si>
  <si>
    <t>Tucano</t>
  </si>
  <si>
    <t>Vin Cepraga Cabernet Sauvignon</t>
  </si>
  <si>
    <t>Mega Image</t>
  </si>
  <si>
    <t>Pachet</t>
  </si>
  <si>
    <t>Carrefour</t>
  </si>
  <si>
    <t>RO</t>
  </si>
  <si>
    <t>Balsam rufe, Silan</t>
  </si>
  <si>
    <t>Brufen 400 mg</t>
  </si>
  <si>
    <t>Calmante</t>
  </si>
  <si>
    <t>Sensiblu</t>
  </si>
  <si>
    <t>Vin Cepraga Cabernet Sauvignon (demisec)</t>
  </si>
  <si>
    <t>Excellence,99%</t>
  </si>
  <si>
    <t>Ciocolata</t>
  </si>
  <si>
    <t>Ciocolata Lindt</t>
  </si>
  <si>
    <t>Risovital</t>
  </si>
  <si>
    <t>Magneziu</t>
  </si>
  <si>
    <t>Vitamine</t>
  </si>
  <si>
    <t>Piinita</t>
  </si>
  <si>
    <t>Hrustici</t>
  </si>
  <si>
    <t>Prieteni</t>
  </si>
  <si>
    <t>Servetele Umede Masina</t>
  </si>
  <si>
    <t>Ulei de masline, Costa Rica</t>
  </si>
  <si>
    <t>Ulei</t>
  </si>
  <si>
    <t>Smintina 25%</t>
  </si>
  <si>
    <t>Furchette</t>
  </si>
  <si>
    <t>Infosapr</t>
  </si>
  <si>
    <t>Starnet</t>
  </si>
  <si>
    <t>Internet</t>
  </si>
  <si>
    <t>Transport gunoi</t>
  </si>
  <si>
    <t>Public Transport</t>
  </si>
  <si>
    <t>Ceapa rosie</t>
  </si>
  <si>
    <t>Ceapa</t>
  </si>
  <si>
    <t>Gutui</t>
  </si>
  <si>
    <t>Lumina</t>
  </si>
  <si>
    <t>Mere</t>
  </si>
  <si>
    <t>Moldovagaz</t>
  </si>
  <si>
    <t>MoldovaGaz</t>
  </si>
  <si>
    <t>not sure about product</t>
  </si>
  <si>
    <t>Nr1</t>
  </si>
  <si>
    <t>Risnita Cafea/  boabe in</t>
  </si>
  <si>
    <t>Tescoma</t>
  </si>
  <si>
    <t>Spalat</t>
  </si>
  <si>
    <t>Aquamatic</t>
  </si>
  <si>
    <t>Spuma izolatoare</t>
  </si>
  <si>
    <t>Supraten</t>
  </si>
  <si>
    <t>Smintina 30%</t>
  </si>
  <si>
    <t>Taxi</t>
  </si>
  <si>
    <t>Rifero, Arakiss</t>
  </si>
  <si>
    <t>Rifero, BossStar</t>
  </si>
  <si>
    <t>Rifero, Cleopatra</t>
  </si>
  <si>
    <t>Rifero, Merit</t>
  </si>
  <si>
    <t>Rifero, Sementia</t>
  </si>
  <si>
    <t>Vin fiert</t>
  </si>
  <si>
    <t>Rifero, Zimbet</t>
  </si>
  <si>
    <t>Orange mamica</t>
  </si>
  <si>
    <t>Phone</t>
  </si>
  <si>
    <t>Orange Roxana</t>
  </si>
  <si>
    <t>Smintina 20%</t>
  </si>
  <si>
    <t>Feb-18</t>
  </si>
  <si>
    <t>Avocado</t>
  </si>
  <si>
    <t>Cartofi</t>
  </si>
  <si>
    <t>Ghimbir</t>
  </si>
  <si>
    <t>Iarba griu</t>
  </si>
  <si>
    <t>Kiwi</t>
  </si>
  <si>
    <t>Lemon</t>
  </si>
  <si>
    <t>Lime</t>
  </si>
  <si>
    <t>Mandarine</t>
  </si>
  <si>
    <t>MickRuni</t>
  </si>
  <si>
    <t>Prasade</t>
  </si>
  <si>
    <t>Spanac</t>
  </si>
  <si>
    <t>Unt Prezident</t>
  </si>
  <si>
    <t>Vlastari mazare</t>
  </si>
  <si>
    <t>Brinza Faguras</t>
  </si>
  <si>
    <t>pret exact</t>
  </si>
  <si>
    <t>Brinza Almette</t>
  </si>
  <si>
    <t>Cartof dulce (batat)</t>
  </si>
  <si>
    <t>Valea morilor</t>
  </si>
  <si>
    <t>Ceapa alba</t>
  </si>
  <si>
    <t>Ciocolata Vivani</t>
  </si>
  <si>
    <t xml:space="preserve">Forma Metal copt </t>
  </si>
  <si>
    <t>Inghetata Betty Ice</t>
  </si>
  <si>
    <t>Inghetata</t>
  </si>
  <si>
    <t>Somon putin sarat</t>
  </si>
  <si>
    <t>Suc Vita</t>
  </si>
  <si>
    <t>Night Light</t>
  </si>
  <si>
    <t>Carnetel</t>
  </si>
  <si>
    <t>Fileu porc c/a</t>
  </si>
  <si>
    <t>Consultatie urolog</t>
  </si>
  <si>
    <t>CDG</t>
  </si>
  <si>
    <t>Dioxidin</t>
  </si>
  <si>
    <t>Farmacia Familiei</t>
  </si>
  <si>
    <t>Appa OM, 6L</t>
  </si>
  <si>
    <t>Bemol</t>
  </si>
  <si>
    <t>Arta Vinului</t>
  </si>
  <si>
    <t>Discuri demachiante</t>
  </si>
  <si>
    <t>Vin Fautor</t>
  </si>
  <si>
    <t>Sacose maiou</t>
  </si>
  <si>
    <t>Salata</t>
  </si>
  <si>
    <t>40g</t>
  </si>
  <si>
    <t>Clotrimazol 1%, Polonia</t>
  </si>
  <si>
    <t>Felicia</t>
  </si>
  <si>
    <t>Meteospasmyl</t>
  </si>
  <si>
    <t>Pepsane gel</t>
  </si>
  <si>
    <t>Analize</t>
  </si>
  <si>
    <t>File porc c/a</t>
  </si>
  <si>
    <t>Inghetata Berioza</t>
  </si>
  <si>
    <t>Dec-18</t>
  </si>
  <si>
    <t>Flashlight</t>
  </si>
  <si>
    <t>Valea Morilor</t>
  </si>
  <si>
    <t>CD</t>
  </si>
  <si>
    <t>iesire in oras</t>
  </si>
  <si>
    <t>Mi Smart Scale</t>
  </si>
  <si>
    <t>Orange</t>
  </si>
  <si>
    <t>Ceai ierburi</t>
  </si>
  <si>
    <t>Ciocolata Dark Noir</t>
  </si>
  <si>
    <t>Hrustici BioGreno</t>
  </si>
  <si>
    <t>Macrou afumat</t>
  </si>
  <si>
    <t>Merluciu, steak</t>
  </si>
  <si>
    <t>Salau</t>
  </si>
  <si>
    <t>Somon, steak</t>
  </si>
  <si>
    <t>Arahide fara coaja</t>
  </si>
  <si>
    <t>Cognac Bardar 10 ani</t>
  </si>
  <si>
    <t>Finiki</t>
  </si>
  <si>
    <t>Rifero, gutui</t>
  </si>
  <si>
    <t>Rifero, halvita</t>
  </si>
  <si>
    <t>Rifero, Kedru</t>
  </si>
  <si>
    <t>Nuca greceasca, Jumatati de miez</t>
  </si>
  <si>
    <t>250g</t>
  </si>
  <si>
    <t>Nuca greceasca, Sfert de miez</t>
  </si>
  <si>
    <t>Migdale, Fulgi</t>
  </si>
  <si>
    <t>Migdale curatate</t>
  </si>
  <si>
    <t>Rogob</t>
  </si>
  <si>
    <t>Seminte floarea soarelui</t>
  </si>
  <si>
    <t>Seminte de in, Albe</t>
  </si>
  <si>
    <t>Seminte de in, Negre</t>
  </si>
  <si>
    <t>Suc Mos Ion</t>
  </si>
  <si>
    <t>Ulei de Armurariu, Ambera</t>
  </si>
  <si>
    <t>Ulei de Rasarita, Ambera</t>
  </si>
  <si>
    <t>Visine uscate</t>
  </si>
  <si>
    <t>Betadine Unguent</t>
  </si>
  <si>
    <t>Hippocrates</t>
  </si>
  <si>
    <t>total 57.50</t>
  </si>
  <si>
    <t>Decasan 0.02%</t>
  </si>
  <si>
    <t>Brinza Gingasie</t>
  </si>
  <si>
    <t>Mar-18</t>
  </si>
  <si>
    <t>Ceaparosie in stare de ardei</t>
  </si>
  <si>
    <t>Cadou pt Fete</t>
  </si>
  <si>
    <t>Fileu porc c/a, Monblanc</t>
  </si>
  <si>
    <t>Parizer de Gheottinger</t>
  </si>
  <si>
    <t>Piine Bavaria</t>
  </si>
  <si>
    <t>RON7.25</t>
  </si>
  <si>
    <t>Reeses</t>
  </si>
  <si>
    <t>RON5.00</t>
  </si>
  <si>
    <t>Ciocolata Ritter</t>
  </si>
  <si>
    <t>RON6.15</t>
  </si>
  <si>
    <t>RON5.69</t>
  </si>
  <si>
    <t>Afinata</t>
  </si>
  <si>
    <t>RON37.99</t>
  </si>
  <si>
    <t>Kaufland</t>
  </si>
  <si>
    <t>RON8.99</t>
  </si>
  <si>
    <t xml:space="preserve">Mercedes </t>
  </si>
  <si>
    <t>Toyota</t>
  </si>
  <si>
    <t>Black Velvet Toasted Caramel</t>
  </si>
  <si>
    <t>Duty Free</t>
  </si>
  <si>
    <t>Captain Morgan Jamaica Blend</t>
  </si>
  <si>
    <t>Equipment</t>
  </si>
  <si>
    <t>RON169.90</t>
  </si>
  <si>
    <t>Decathlon</t>
  </si>
  <si>
    <t>RON8.49</t>
  </si>
  <si>
    <t xml:space="preserve">Vin Ceptura </t>
  </si>
  <si>
    <t>RON12.49</t>
  </si>
  <si>
    <t>RON17.89</t>
  </si>
  <si>
    <t>RON39.90</t>
  </si>
  <si>
    <t>Lichid Parbriz</t>
  </si>
  <si>
    <t>Ciocolata Milka</t>
  </si>
  <si>
    <t>Briosa</t>
  </si>
  <si>
    <t>Patiserie</t>
  </si>
  <si>
    <t>Toothpaste</t>
  </si>
  <si>
    <t>RON18.99</t>
  </si>
  <si>
    <t>RON14.90</t>
  </si>
  <si>
    <t>RON5.99</t>
  </si>
  <si>
    <t>RON12.99</t>
  </si>
  <si>
    <t>RON5.49</t>
  </si>
  <si>
    <t>Salata Iceberg</t>
  </si>
  <si>
    <t>RON3.49</t>
  </si>
  <si>
    <t>Sapun</t>
  </si>
  <si>
    <t>RON2.86</t>
  </si>
  <si>
    <t>Seminte Dovleac Curatate</t>
  </si>
  <si>
    <t>RON9.99</t>
  </si>
  <si>
    <t>Nuci /  Fructe Uscate</t>
  </si>
  <si>
    <t>RON2.99</t>
  </si>
  <si>
    <t>RON9.90</t>
  </si>
  <si>
    <t xml:space="preserve">Sticla  </t>
  </si>
  <si>
    <t>RON7.90</t>
  </si>
  <si>
    <t>RON19.90</t>
  </si>
  <si>
    <t>RON7.49</t>
  </si>
  <si>
    <t>Amenda viteza</t>
  </si>
  <si>
    <t>MD</t>
  </si>
  <si>
    <t>Brinza Brie</t>
  </si>
  <si>
    <t>banane</t>
  </si>
  <si>
    <t>Curatare covoare</t>
  </si>
  <si>
    <t>Nufarul</t>
  </si>
  <si>
    <t>Lapte</t>
  </si>
  <si>
    <t>Furacilin</t>
  </si>
  <si>
    <t>Groprinosin</t>
  </si>
  <si>
    <t>Valtrex 500mg</t>
  </si>
  <si>
    <t>Librarius</t>
  </si>
  <si>
    <t>Ciocolata Torras</t>
  </si>
  <si>
    <t>Piine de hrisca</t>
  </si>
  <si>
    <t>Caricatura Roxana</t>
  </si>
  <si>
    <t>Intrare Parc Dendrariu</t>
  </si>
  <si>
    <t>Dendrarium</t>
  </si>
  <si>
    <t>Ceapa verde</t>
  </si>
  <si>
    <t>Hrustici haiduc</t>
  </si>
  <si>
    <t>Piine Minsk</t>
  </si>
  <si>
    <t>Foto Rama</t>
  </si>
  <si>
    <t xml:space="preserve">Piata </t>
  </si>
  <si>
    <t>mag foto</t>
  </si>
  <si>
    <t>Salata Valeriana</t>
  </si>
  <si>
    <t>Suc Vita, Piersici</t>
  </si>
  <si>
    <t>Miere de salcim</t>
  </si>
  <si>
    <t>Condimente</t>
  </si>
  <si>
    <t>IMC market</t>
  </si>
  <si>
    <t>Suc de mere, Mos Ion</t>
  </si>
  <si>
    <t>Ulei de in</t>
  </si>
  <si>
    <t>kaki</t>
  </si>
  <si>
    <t>Mickruni</t>
  </si>
  <si>
    <t>Kaki</t>
  </si>
  <si>
    <t>Filtru</t>
  </si>
  <si>
    <t>Pesmeti Galfim</t>
  </si>
  <si>
    <t>Pesmeti</t>
  </si>
  <si>
    <t>Accesorii par</t>
  </si>
  <si>
    <t>Gifts Ioana, ciorapei si bavetica</t>
  </si>
  <si>
    <t>Bombonici</t>
  </si>
  <si>
    <t>Ciocolata Ethiopia</t>
  </si>
  <si>
    <t>McDonalds</t>
  </si>
  <si>
    <t>Appa Morshinska, 0.75L</t>
  </si>
  <si>
    <t>Fidesco</t>
  </si>
  <si>
    <t>Sosete hike Roxana</t>
  </si>
  <si>
    <t>X-Style</t>
  </si>
  <si>
    <t>Foto print</t>
  </si>
  <si>
    <t>Seminte Dovleac, San Sanici</t>
  </si>
  <si>
    <t>1.5L</t>
  </si>
  <si>
    <t>Appa Dorna, 1.5L</t>
  </si>
  <si>
    <t>Suc Vis</t>
  </si>
  <si>
    <t>Baterii</t>
  </si>
  <si>
    <t>Tickets</t>
  </si>
  <si>
    <t>Parking</t>
  </si>
  <si>
    <t>Apr-18</t>
  </si>
  <si>
    <t>Cadou Ioana Tiltu</t>
  </si>
  <si>
    <t>Henna</t>
  </si>
  <si>
    <t>iHerb</t>
  </si>
  <si>
    <t>Sunscreen</t>
  </si>
  <si>
    <t>Cadou mama</t>
  </si>
  <si>
    <t>Ciocolata Weinrichs</t>
  </si>
  <si>
    <t>Piine Borodino</t>
  </si>
  <si>
    <t>Vodka</t>
  </si>
  <si>
    <t>1 kg</t>
  </si>
  <si>
    <t>Muesli</t>
  </si>
  <si>
    <t>400g</t>
  </si>
  <si>
    <t>legume</t>
  </si>
  <si>
    <t>Rosii</t>
  </si>
  <si>
    <t>Alexandrion</t>
  </si>
  <si>
    <t>Ruj buze</t>
  </si>
  <si>
    <t>RON10.90</t>
  </si>
  <si>
    <t>Yves Roche</t>
  </si>
  <si>
    <t>Gel de dush</t>
  </si>
  <si>
    <t>RON17.90</t>
  </si>
  <si>
    <t>RON130.99</t>
  </si>
  <si>
    <t>Cocos uscat</t>
  </si>
  <si>
    <t>Gulii</t>
  </si>
  <si>
    <t>Mustar frantuzesc</t>
  </si>
  <si>
    <t>Bureti vase</t>
  </si>
  <si>
    <t>RON14.20</t>
  </si>
  <si>
    <t>Cadou Vanea</t>
  </si>
  <si>
    <t>Unt BioGreno</t>
  </si>
  <si>
    <t>Meflocid</t>
  </si>
  <si>
    <t>Fluconazol, 150 mg</t>
  </si>
  <si>
    <t>Tetracyclin, 3 % unguent</t>
  </si>
  <si>
    <t>Energovit, caps</t>
  </si>
  <si>
    <t>Aciclovir</t>
  </si>
  <si>
    <t>Piine bavaria</t>
  </si>
  <si>
    <t>snacks</t>
  </si>
  <si>
    <t>Varza</t>
  </si>
  <si>
    <t>Cosulet pomusoare</t>
  </si>
  <si>
    <t>Airport</t>
  </si>
  <si>
    <t xml:space="preserve">Cheesecake   </t>
  </si>
  <si>
    <t>Maiou</t>
  </si>
  <si>
    <t>Shoes &amp; Clothing</t>
  </si>
  <si>
    <t>Pijame</t>
  </si>
  <si>
    <t>H&amp;M</t>
  </si>
  <si>
    <t>GE</t>
  </si>
  <si>
    <t>Socks</t>
  </si>
  <si>
    <t>MolDeco</t>
  </si>
  <si>
    <t>Art Studio</t>
  </si>
  <si>
    <t>Rochie</t>
  </si>
  <si>
    <t>Aridon</t>
  </si>
  <si>
    <t>Esenta valinilie</t>
  </si>
  <si>
    <t>Praf de copt</t>
  </si>
  <si>
    <t>Fitbit Alta Strap</t>
  </si>
  <si>
    <t>EBay</t>
  </si>
  <si>
    <t>Voltaren</t>
  </si>
  <si>
    <t>Ecografie organe</t>
  </si>
  <si>
    <t>Geanta Diana</t>
  </si>
  <si>
    <t>Vitalie Burlacu</t>
  </si>
  <si>
    <t>Portchei</t>
  </si>
  <si>
    <t>Schimbare roti</t>
  </si>
  <si>
    <t>iesire cu slavic si ana</t>
  </si>
  <si>
    <t>minus 50 Eur de la mama</t>
  </si>
  <si>
    <t>Solutie protectoare</t>
  </si>
  <si>
    <t>Sosete hike Alex</t>
  </si>
  <si>
    <t>MoldMart</t>
  </si>
  <si>
    <t>Ulei de nuca</t>
  </si>
  <si>
    <t>Briosa ciocolata</t>
  </si>
  <si>
    <t>Linella</t>
  </si>
  <si>
    <t>Suc Vita, Mere Struguri</t>
  </si>
  <si>
    <t>Suc Rosii</t>
  </si>
  <si>
    <t>Covrigi</t>
  </si>
  <si>
    <t>Pelmeni</t>
  </si>
  <si>
    <t>May-18</t>
  </si>
  <si>
    <t>Corniglia</t>
  </si>
  <si>
    <t>Pui Inimioare</t>
  </si>
  <si>
    <t>Pui</t>
  </si>
  <si>
    <t>Spray git</t>
  </si>
  <si>
    <t>piine</t>
  </si>
  <si>
    <t>DiSaronno</t>
  </si>
  <si>
    <t>IT</t>
  </si>
  <si>
    <t>Scurta Northface</t>
  </si>
  <si>
    <t>Amaro di Montenegro</t>
  </si>
  <si>
    <t>Esselunga</t>
  </si>
  <si>
    <t>Ciocolata Baci</t>
  </si>
  <si>
    <t>Paste Spaghete, Barilla</t>
  </si>
  <si>
    <t>Paste</t>
  </si>
  <si>
    <t>Nutella</t>
  </si>
  <si>
    <t>Cafea Lavazza Boabe</t>
  </si>
  <si>
    <t>Taralli</t>
  </si>
  <si>
    <t>Citobiomed</t>
  </si>
  <si>
    <t>Asparagus</t>
  </si>
  <si>
    <t>Ibuprofen</t>
  </si>
  <si>
    <t>Frunze salata</t>
  </si>
  <si>
    <t>Capsune</t>
  </si>
  <si>
    <t>Patrunjel</t>
  </si>
  <si>
    <t>marar</t>
  </si>
  <si>
    <t>Monitor</t>
  </si>
  <si>
    <t>Ceai Pufulita</t>
  </si>
  <si>
    <t>fun</t>
  </si>
  <si>
    <t>Mercedes</t>
  </si>
  <si>
    <t xml:space="preserve">Rosii </t>
  </si>
  <si>
    <t>Intrare Muzeu Tipova</t>
  </si>
  <si>
    <t>Intrare Saharna, Tipova</t>
  </si>
  <si>
    <t>Andy's</t>
  </si>
  <si>
    <t>Biliard cu Sergiu</t>
  </si>
  <si>
    <t>Plaza Bowling</t>
  </si>
  <si>
    <t>Sunca ceafa de porc</t>
  </si>
  <si>
    <t>Analize preconceptionale (1)</t>
  </si>
  <si>
    <t>Mishanea</t>
  </si>
  <si>
    <t>Malai</t>
  </si>
  <si>
    <t>Cirpe</t>
  </si>
  <si>
    <t>Zahar</t>
  </si>
  <si>
    <t>hrisca</t>
  </si>
  <si>
    <t>Baton 3 seminte</t>
  </si>
  <si>
    <t>Baton seminte dovleac</t>
  </si>
  <si>
    <t>Suc Tomate</t>
  </si>
  <si>
    <t xml:space="preserve">Usturoi </t>
  </si>
  <si>
    <t>Jardi</t>
  </si>
  <si>
    <t>Oua Prepelita</t>
  </si>
  <si>
    <t>Tirex Orhei</t>
  </si>
  <si>
    <t>Chateau vartely</t>
  </si>
  <si>
    <t>Analize preconceptionale (2) singe, hormoni</t>
  </si>
  <si>
    <t xml:space="preserve">Analize preconceptionale (3) </t>
  </si>
  <si>
    <t>Aug-18</t>
  </si>
  <si>
    <t>Soda Mincare</t>
  </si>
  <si>
    <t>Suc Mar</t>
  </si>
  <si>
    <t>Suc Coacaza</t>
  </si>
  <si>
    <t xml:space="preserve"> </t>
  </si>
  <si>
    <t>..</t>
  </si>
  <si>
    <t>Misc Food</t>
  </si>
  <si>
    <t>Appa Bucovina, 0.7L</t>
  </si>
  <si>
    <t>Mere Golden</t>
  </si>
  <si>
    <t>Baton cereale</t>
  </si>
  <si>
    <t>Oua Activita</t>
  </si>
  <si>
    <t>Bureti Vase</t>
  </si>
  <si>
    <t>Discuri Demachiante</t>
  </si>
  <si>
    <t>Suc Vis Nectar</t>
  </si>
  <si>
    <t>Suc Vis, Mere</t>
  </si>
  <si>
    <t>Jun-18</t>
  </si>
  <si>
    <t>Tastatura +  shipping</t>
  </si>
  <si>
    <t>Amazon</t>
  </si>
  <si>
    <t>Puzzle saver +  shipping</t>
  </si>
  <si>
    <t>Ceas alarm +  + shipping</t>
  </si>
  <si>
    <t>Cablu monitor +  shipping</t>
  </si>
  <si>
    <t>spanac</t>
  </si>
  <si>
    <t>castraveti</t>
  </si>
  <si>
    <t>Zmeura</t>
  </si>
  <si>
    <t>Cirese</t>
  </si>
  <si>
    <t>morcov</t>
  </si>
  <si>
    <t>Clopotel pt ursu cela</t>
  </si>
  <si>
    <t>Foto Album</t>
  </si>
  <si>
    <t>in total, 3</t>
  </si>
  <si>
    <t>vinata</t>
  </si>
  <si>
    <t>ardei</t>
  </si>
  <si>
    <t>caise</t>
  </si>
  <si>
    <t>piersici</t>
  </si>
  <si>
    <t>Pantaloni</t>
  </si>
  <si>
    <t>Outlet</t>
  </si>
  <si>
    <t>H&amp;M and other</t>
  </si>
  <si>
    <t>Miere de tei</t>
  </si>
  <si>
    <t>Icre Nisetru</t>
  </si>
  <si>
    <t>Icre Sterlet</t>
  </si>
  <si>
    <t>Cognac Balsam Cosmic</t>
  </si>
  <si>
    <t>Cognac Tinctura Macies in cognac</t>
  </si>
  <si>
    <t>Ulei de bostan</t>
  </si>
  <si>
    <t>Rosii galbene</t>
  </si>
  <si>
    <t>Piersici</t>
  </si>
  <si>
    <t>Plase trunk car</t>
  </si>
  <si>
    <t>Suc Mere</t>
  </si>
  <si>
    <t>Rosii pulpa, conserva</t>
  </si>
  <si>
    <t>Escolar Afumat</t>
  </si>
  <si>
    <t>Bazin</t>
  </si>
  <si>
    <t>Terramed</t>
  </si>
  <si>
    <t>Clorhexidin 0.05%</t>
  </si>
  <si>
    <t>Triderm</t>
  </si>
  <si>
    <t>Canephron</t>
  </si>
  <si>
    <t>dovlecei</t>
  </si>
  <si>
    <t>Synevo</t>
  </si>
  <si>
    <t>Impozit imobil</t>
  </si>
  <si>
    <t>gov md</t>
  </si>
  <si>
    <t>Groprinosim</t>
  </si>
  <si>
    <t>Finlandia, 1L</t>
  </si>
  <si>
    <t>Jul-18</t>
  </si>
  <si>
    <t>Proceduri Incalzire</t>
  </si>
  <si>
    <t>Consultatie si analize</t>
  </si>
  <si>
    <t>Chefir Armonie, 2.5%</t>
  </si>
  <si>
    <t>Borcan</t>
  </si>
  <si>
    <t>Filtru pt filtru</t>
  </si>
  <si>
    <t>Paie</t>
  </si>
  <si>
    <t>Borcan pt luminite buiucani</t>
  </si>
  <si>
    <t>Ciuperci</t>
  </si>
  <si>
    <t>Sita</t>
  </si>
  <si>
    <t>Polijen Caps</t>
  </si>
  <si>
    <t>Keks</t>
  </si>
  <si>
    <t>Afine</t>
  </si>
  <si>
    <t>Papaya uscata</t>
  </si>
  <si>
    <t>Biochefir JLC,  2,5%</t>
  </si>
  <si>
    <t>Botez Otilia Lapusneanu</t>
  </si>
  <si>
    <t>Mi Piace</t>
  </si>
  <si>
    <t>Covoras pt blide</t>
  </si>
  <si>
    <t>Chefir Bifimax, 1%</t>
  </si>
  <si>
    <t>Normobioticum</t>
  </si>
  <si>
    <t>Stim 10 mg</t>
  </si>
  <si>
    <t>Piata</t>
  </si>
  <si>
    <t>Porumb pt fiert</t>
  </si>
  <si>
    <t>Porumb</t>
  </si>
  <si>
    <t>Poama</t>
  </si>
  <si>
    <t>JLC</t>
  </si>
  <si>
    <t>Rozmarin</t>
  </si>
  <si>
    <t>Harbuz</t>
  </si>
  <si>
    <t>Intrare Gradina Botanica</t>
  </si>
  <si>
    <t>Prostamol uno</t>
  </si>
  <si>
    <t>Rhinostop</t>
  </si>
  <si>
    <t>Nospa</t>
  </si>
  <si>
    <t>Tinctura Galbenele</t>
  </si>
  <si>
    <t>Vitamine Aevit</t>
  </si>
  <si>
    <t>frunze salata</t>
  </si>
  <si>
    <t>si masaj</t>
  </si>
  <si>
    <t>HEPA filter</t>
  </si>
  <si>
    <t>Vin Dor Alb, Bostavan</t>
  </si>
  <si>
    <t>Findlandia</t>
  </si>
  <si>
    <t>Klamoks</t>
  </si>
  <si>
    <t>Ferzym</t>
  </si>
  <si>
    <t>Fluzac</t>
  </si>
  <si>
    <t>Nimesil</t>
  </si>
  <si>
    <t>Vitaprost</t>
  </si>
  <si>
    <t>Medoclor 500mg</t>
  </si>
  <si>
    <t>Nystatin</t>
  </si>
  <si>
    <t>Ceai Merisor, Dacia Plant</t>
  </si>
  <si>
    <t>Ceai Coada Calului, Dacia Plant</t>
  </si>
  <si>
    <t>Ceai Galbenele, Dacia Plant</t>
  </si>
  <si>
    <t>Cycloferon 12.5% sol injectabila</t>
  </si>
  <si>
    <t>Omnic 0.4 caps</t>
  </si>
  <si>
    <t>Mycosyst 150mg caps</t>
  </si>
  <si>
    <t>Prostatilen 30mg sup</t>
  </si>
  <si>
    <t>Muscomed 4 mg caps</t>
  </si>
  <si>
    <t xml:space="preserve">Valtrex 500mg </t>
  </si>
  <si>
    <t>Meflocid 750 mg</t>
  </si>
  <si>
    <t>Ceai pufulita, Larix</t>
  </si>
  <si>
    <t>Elody</t>
  </si>
  <si>
    <t>Ceai Ghimpe, Larix</t>
  </si>
  <si>
    <t>Ceai Coada Calului, Larix</t>
  </si>
  <si>
    <t>Injectie</t>
  </si>
  <si>
    <t>Sancos</t>
  </si>
  <si>
    <t>Unknown, ora 09:54</t>
  </si>
  <si>
    <t>Carbune activat</t>
  </si>
  <si>
    <t>Triderm crema</t>
  </si>
  <si>
    <t>Acid Folic</t>
  </si>
  <si>
    <t>Galazolin</t>
  </si>
  <si>
    <t>Plasturi</t>
  </si>
  <si>
    <t>Ceai Renal, Alevia</t>
  </si>
  <si>
    <t>Appa OM, 1,5L</t>
  </si>
  <si>
    <t>Petrecere tata</t>
  </si>
  <si>
    <t>Coca Cola</t>
  </si>
  <si>
    <t>Cognac Calarasi</t>
  </si>
  <si>
    <t>Sampanie</t>
  </si>
  <si>
    <t>Diana</t>
  </si>
  <si>
    <t>Sep-18</t>
  </si>
  <si>
    <t>Seminte Dovleac, Banzai</t>
  </si>
  <si>
    <t>Ceai Ghimpe, Dacia Plant</t>
  </si>
  <si>
    <t>Fastum Gel</t>
  </si>
  <si>
    <t>Online</t>
  </si>
  <si>
    <t>Caruso</t>
  </si>
  <si>
    <t>Napolitane cu halva</t>
  </si>
  <si>
    <t>Bucuria</t>
  </si>
  <si>
    <t>Oct-18</t>
  </si>
  <si>
    <t>Cotlet de porc</t>
  </si>
  <si>
    <t>Piine cu olive</t>
  </si>
  <si>
    <t>Telina (frunze)</t>
  </si>
  <si>
    <t>Pomusoare</t>
  </si>
  <si>
    <t>Mere Rosii</t>
  </si>
  <si>
    <t>Mere Albe</t>
  </si>
  <si>
    <t>Zamos</t>
  </si>
  <si>
    <t>Seminte Dovleac Crude</t>
  </si>
  <si>
    <t xml:space="preserve">Cathejell </t>
  </si>
  <si>
    <t>Furasol pulbere</t>
  </si>
  <si>
    <t>Urina, biochimie</t>
  </si>
  <si>
    <t>Urina, Sediment</t>
  </si>
  <si>
    <t>Voltaren 100mg sup N5</t>
  </si>
  <si>
    <t>Tifon</t>
  </si>
  <si>
    <t>Policlinica</t>
  </si>
  <si>
    <t>Dop</t>
  </si>
  <si>
    <t>Eleuterococ</t>
  </si>
  <si>
    <t>Apoteka (Esculap)</t>
  </si>
  <si>
    <t>Bahile</t>
  </si>
  <si>
    <t>Sonomed Group</t>
  </si>
  <si>
    <t>Brinzica</t>
  </si>
  <si>
    <t>WD-40</t>
  </si>
  <si>
    <t>Ovaz</t>
  </si>
  <si>
    <t>Fluzamed 150mg</t>
  </si>
  <si>
    <t>Normoven 0.45g+0.05g</t>
  </si>
  <si>
    <t>Ceai Musetel</t>
  </si>
  <si>
    <t>Oxycort aerm 75g/55ml</t>
  </si>
  <si>
    <t>Selencor</t>
  </si>
  <si>
    <t>Clotrimazol, Romania</t>
  </si>
  <si>
    <t>Spalare scurte</t>
  </si>
  <si>
    <t xml:space="preserve">Brinzica </t>
  </si>
  <si>
    <t>Cutite</t>
  </si>
  <si>
    <t>Berghoff</t>
  </si>
  <si>
    <t>Appa OM, 5L</t>
  </si>
  <si>
    <t>Piine Paris</t>
  </si>
  <si>
    <t>Tigaie</t>
  </si>
  <si>
    <t>MISA</t>
  </si>
  <si>
    <t>Capac Blin4ik</t>
  </si>
  <si>
    <t>Propolis</t>
  </si>
  <si>
    <t>Catina crengute</t>
  </si>
  <si>
    <t>Catina kg</t>
  </si>
  <si>
    <t>Macies</t>
  </si>
  <si>
    <t>Calina</t>
  </si>
  <si>
    <t>Faina de catina</t>
  </si>
  <si>
    <t>Vinaria din Vale</t>
  </si>
  <si>
    <t>Manusi menaj</t>
  </si>
  <si>
    <t>Metrogyl Denta</t>
  </si>
  <si>
    <t>Meloflam 15 mg</t>
  </si>
  <si>
    <t>Bilomag forte</t>
  </si>
  <si>
    <t>Omeprazol 20mg</t>
  </si>
  <si>
    <t>Ascutitor Cutite</t>
  </si>
  <si>
    <t>Ngiri</t>
  </si>
  <si>
    <t>Biscuiti</t>
  </si>
  <si>
    <t>Asig/Revizie/Taxa</t>
  </si>
  <si>
    <t>RCA</t>
  </si>
  <si>
    <t>Biscuiti Ovaz</t>
  </si>
  <si>
    <t>in Vitro</t>
  </si>
  <si>
    <t>Pit Stop</t>
  </si>
  <si>
    <t>Cafea si briosa</t>
  </si>
  <si>
    <t>Vin Chardonnay Matur</t>
  </si>
  <si>
    <t>Appa Dorna, 0.75L</t>
  </si>
  <si>
    <t>Travocort</t>
  </si>
  <si>
    <t>Baneocin</t>
  </si>
  <si>
    <t>Ceai Coada Calului</t>
  </si>
  <si>
    <t>Ceai Ghimpe</t>
  </si>
  <si>
    <t>Prolit Super Septo</t>
  </si>
  <si>
    <t>Cameton</t>
  </si>
  <si>
    <t>Prepelita</t>
  </si>
  <si>
    <t>Cizme</t>
  </si>
  <si>
    <t>EnergoFish</t>
  </si>
  <si>
    <t>Nov-18</t>
  </si>
  <si>
    <t>Erudit Café</t>
  </si>
  <si>
    <t>Sinupret</t>
  </si>
  <si>
    <t>Rehydron</t>
  </si>
  <si>
    <t>Ingalipt</t>
  </si>
  <si>
    <t>Iod</t>
  </si>
  <si>
    <t>Odolean, tinctura</t>
  </si>
  <si>
    <t>Cardonat</t>
  </si>
  <si>
    <t>Otet</t>
  </si>
  <si>
    <t>Butka M. Basarab linga piata</t>
  </si>
  <si>
    <t>Glucoza, vit C, pentru picuratoare</t>
  </si>
  <si>
    <t>Appa Izvorul Minunilor, 1.5L</t>
  </si>
  <si>
    <t>Cheesecake</t>
  </si>
  <si>
    <t>Cercei</t>
  </si>
  <si>
    <t>Aliexpress</t>
  </si>
  <si>
    <t>Uriclar</t>
  </si>
  <si>
    <t>Fencarol</t>
  </si>
  <si>
    <t>Furagina</t>
  </si>
  <si>
    <t>Morcov</t>
  </si>
  <si>
    <t>Mango</t>
  </si>
  <si>
    <t>Migdale necuratate</t>
  </si>
  <si>
    <t>Intrare Yard Sale</t>
  </si>
  <si>
    <t>Yard Sale</t>
  </si>
  <si>
    <t>Manusi Cristina</t>
  </si>
  <si>
    <t>Ocean Fish</t>
  </si>
  <si>
    <t>Covrigei</t>
  </si>
  <si>
    <t xml:space="preserve">Ceapa </t>
  </si>
  <si>
    <t>Foto Print</t>
  </si>
  <si>
    <t>Aeroplan print</t>
  </si>
  <si>
    <t>Orange Mamica</t>
  </si>
  <si>
    <t>Unite Alex</t>
  </si>
  <si>
    <t>Piine integrala</t>
  </si>
  <si>
    <t>Carti</t>
  </si>
  <si>
    <t>Dentist</t>
  </si>
  <si>
    <t>Rotaprost</t>
  </si>
  <si>
    <t>Urorec</t>
  </si>
  <si>
    <t>Normoven</t>
  </si>
  <si>
    <t>Depantol</t>
  </si>
  <si>
    <t>Urostim</t>
  </si>
  <si>
    <t>Chocholate cake</t>
  </si>
  <si>
    <t>Cucurma</t>
  </si>
  <si>
    <t>Atlantis</t>
  </si>
  <si>
    <t>Olive</t>
  </si>
  <si>
    <t>Farmer</t>
  </si>
  <si>
    <t>Bifidoc, JLC</t>
  </si>
  <si>
    <t>Biochefir Casuta Mea, 2.5%</t>
  </si>
  <si>
    <t>Frezura</t>
  </si>
  <si>
    <t>Danex</t>
  </si>
  <si>
    <t>Manusi Lina</t>
  </si>
  <si>
    <t>Valentio, Zorile</t>
  </si>
  <si>
    <t>Rodii</t>
  </si>
  <si>
    <t>Foretal</t>
  </si>
  <si>
    <t>Flosteron</t>
  </si>
  <si>
    <t>Seringa</t>
  </si>
  <si>
    <t xml:space="preserve">Injectie </t>
  </si>
  <si>
    <t>Chefir Milk Mark</t>
  </si>
  <si>
    <t>Ciocolata Vanini</t>
  </si>
  <si>
    <t>Farmacia Buiucani</t>
  </si>
  <si>
    <t>Ketotifen</t>
  </si>
  <si>
    <t>Reparatie computer mama</t>
  </si>
  <si>
    <t>Miere cu propolis si scortisoara</t>
  </si>
  <si>
    <t>Zabriceni</t>
  </si>
  <si>
    <t>Ceai Zabriceni, plic</t>
  </si>
  <si>
    <t>Ceai Bioceai, plic</t>
  </si>
  <si>
    <t>Ceai Ivanceai, plic</t>
  </si>
  <si>
    <t>Ceai Musetel, plic</t>
  </si>
  <si>
    <t>Ceai Menta, plic</t>
  </si>
  <si>
    <t>Ceai Galbenele, Plic</t>
  </si>
  <si>
    <t>Sirop muguri de brad</t>
  </si>
  <si>
    <t>Kvint Tiraspol</t>
  </si>
  <si>
    <t>Cognac Nastoika macies</t>
  </si>
  <si>
    <t>Cognac Cosmiceskii</t>
  </si>
  <si>
    <t>Cognac nastoica nuci</t>
  </si>
  <si>
    <t>Ciocolata wed lapte si caramela</t>
  </si>
  <si>
    <t>Biscuiti JA, duble</t>
  </si>
  <si>
    <t>Chefir JLC, 1% (pelicula)</t>
  </si>
  <si>
    <t>Biscuiti ovaz</t>
  </si>
  <si>
    <t>Soluro Cisto caps</t>
  </si>
  <si>
    <t>Panavir Spray</t>
  </si>
  <si>
    <t>Frunze Dafin</t>
  </si>
  <si>
    <t>Escalop de porc</t>
  </si>
  <si>
    <t>Patria</t>
  </si>
  <si>
    <t>Vin Carpe Diem</t>
  </si>
  <si>
    <t>wine.md</t>
  </si>
  <si>
    <t>Vin Rosu Imparat</t>
  </si>
  <si>
    <t>Pahar</t>
  </si>
  <si>
    <t>Ciao Cacao</t>
  </si>
  <si>
    <t>Foto greencard</t>
  </si>
  <si>
    <t>Vitamina C</t>
  </si>
  <si>
    <t>SSD</t>
  </si>
  <si>
    <t>Mouse</t>
  </si>
  <si>
    <t>Crocs</t>
  </si>
  <si>
    <t>Barterie Roomba</t>
  </si>
  <si>
    <t>Levomicol</t>
  </si>
  <si>
    <t>Sweater</t>
  </si>
  <si>
    <t xml:space="preserve">Manusi  </t>
  </si>
  <si>
    <t>Miez de nuca in ciocolata</t>
  </si>
  <si>
    <t>Ciocolata, Lindt les grandes</t>
  </si>
  <si>
    <t>Ciocolata  Wed Lapte si caramel</t>
  </si>
  <si>
    <t>Biscuiti bu brinza</t>
  </si>
  <si>
    <t>JLC Store</t>
  </si>
  <si>
    <t>Biscuiti madeleine cu ciocolata</t>
  </si>
  <si>
    <t>Biscuiti Marrachesh</t>
  </si>
  <si>
    <t>VelMart</t>
  </si>
  <si>
    <t>Ciocolata Panda</t>
  </si>
  <si>
    <t>Pulover</t>
  </si>
  <si>
    <t>Angora Trend</t>
  </si>
  <si>
    <t>Ciocolata Meteorit</t>
  </si>
  <si>
    <t>Consultatie Gastroenterolog</t>
  </si>
  <si>
    <t>Flatam-Plus</t>
  </si>
  <si>
    <t>Ceai senna</t>
  </si>
  <si>
    <t>Ceai strugurii ursului</t>
  </si>
  <si>
    <t>Ceai sunatoare</t>
  </si>
  <si>
    <t>Pomelo</t>
  </si>
  <si>
    <t>Lamii</t>
  </si>
  <si>
    <t>Banane Baby</t>
  </si>
  <si>
    <t>Brad</t>
  </si>
  <si>
    <t>Mini Muffins</t>
  </si>
  <si>
    <t>Turta dulce</t>
  </si>
  <si>
    <t>Curea tata</t>
  </si>
  <si>
    <t>Curea Calin</t>
  </si>
  <si>
    <t>Aparat cafea mamica</t>
  </si>
  <si>
    <t>Colanti</t>
  </si>
  <si>
    <t>Ponti</t>
  </si>
  <si>
    <t>Storage material</t>
  </si>
  <si>
    <t>Tickets Kings of leon</t>
  </si>
  <si>
    <t>Ciocolata Globuri</t>
  </si>
  <si>
    <t>Betaspan Depo  2mg+5mg</t>
  </si>
  <si>
    <t>Lordestin</t>
  </si>
  <si>
    <t>Ceai de fenicul</t>
  </si>
  <si>
    <t>Consultatie Dermatolog</t>
  </si>
  <si>
    <t>AMC</t>
  </si>
  <si>
    <t>Magnetic frigider</t>
  </si>
  <si>
    <t>Christmas Market</t>
  </si>
  <si>
    <t>Rifero</t>
  </si>
  <si>
    <t>Miere de mana</t>
  </si>
  <si>
    <t>Miere</t>
  </si>
  <si>
    <t>Biscuiti, chec ungar</t>
  </si>
  <si>
    <t>Nucusoare lapte condensat</t>
  </si>
  <si>
    <t>Chefir JLC, 2,5% (pelicula)</t>
  </si>
  <si>
    <t>Lapte Demachiant</t>
  </si>
  <si>
    <t>Plazan</t>
  </si>
  <si>
    <t>Biochefir Lapmol,  2,5%</t>
  </si>
  <si>
    <t>Acarilbial</t>
  </si>
  <si>
    <t>Trichopol</t>
  </si>
  <si>
    <t>Drojdii de bere</t>
  </si>
  <si>
    <t>Masline, Greco Atlas</t>
  </si>
  <si>
    <t>Somon slab sarat</t>
  </si>
  <si>
    <t>Rifero, Rachitele</t>
  </si>
  <si>
    <t>Casa Curata</t>
  </si>
  <si>
    <t>MedLife</t>
  </si>
  <si>
    <t>Benzinarie</t>
  </si>
  <si>
    <t>Appa OM, 0.75L</t>
  </si>
  <si>
    <t>Biscuiti Florentia</t>
  </si>
  <si>
    <t>Masline verzi, Delphi</t>
  </si>
  <si>
    <t>Acadea</t>
  </si>
  <si>
    <t>Izvar</t>
  </si>
  <si>
    <t>Trenulet Ilie</t>
  </si>
  <si>
    <t>Hotdog</t>
  </si>
  <si>
    <t>Appa OM, 3L</t>
  </si>
  <si>
    <t>Ciocolata Boluri</t>
  </si>
  <si>
    <t>Ciocolata Mos Craciun</t>
  </si>
  <si>
    <t>Flatam plus, comprimate masticabile</t>
  </si>
  <si>
    <t/>
  </si>
  <si>
    <t>Appa Morshinska, 6L</t>
  </si>
  <si>
    <t>Marar</t>
  </si>
  <si>
    <t>Appa Le nature, 3.5L</t>
  </si>
  <si>
    <t>Smintina JLC, 20%</t>
  </si>
  <si>
    <t>Placinta cu brinza</t>
  </si>
  <si>
    <t>Brinza Zanetti</t>
  </si>
  <si>
    <t>Cacao pudra</t>
  </si>
  <si>
    <t>Orez Integral</t>
  </si>
  <si>
    <t>Masline negre, Delphi</t>
  </si>
  <si>
    <t>Jan-19</t>
  </si>
  <si>
    <t>2019/1/3</t>
  </si>
  <si>
    <t>Baterii AA</t>
  </si>
  <si>
    <t>Valeriana, tinctura</t>
  </si>
  <si>
    <t>Ulei Extravirgin, Casa Rinaldi</t>
  </si>
  <si>
    <t>Ton in suc propriu, Rio del Mare</t>
  </si>
  <si>
    <t>Ciocolata Wed, cu lapte si caramel</t>
  </si>
  <si>
    <t>Hrustici Porumb, BioGreno</t>
  </si>
  <si>
    <t>Piine Bagheta Franceza</t>
  </si>
  <si>
    <t>2019/1/1</t>
  </si>
  <si>
    <t>Smintina 15%, pelicula</t>
  </si>
  <si>
    <t>Pannetone</t>
  </si>
  <si>
    <t>Ciocolata Mersi</t>
  </si>
  <si>
    <t>Ciocolata Weinrich</t>
  </si>
  <si>
    <t>Ciocolata cu rasarita</t>
  </si>
  <si>
    <t>Colanti 40 Den</t>
  </si>
  <si>
    <t>Sacosa pt cadou</t>
  </si>
  <si>
    <t>2019/1/2</t>
  </si>
  <si>
    <t>Piine Integrala</t>
  </si>
  <si>
    <t>Biscuiti cocos cu visina</t>
  </si>
  <si>
    <t>19/1/3</t>
  </si>
  <si>
    <t>19/1/4</t>
  </si>
  <si>
    <t>Sold dezosat pui</t>
  </si>
  <si>
    <t>Ciocolata Weinrichs 250g</t>
  </si>
  <si>
    <t>Biscuiti Grancereale</t>
  </si>
  <si>
    <t>Sos Pesto Casa Nero, 190g</t>
  </si>
  <si>
    <t>Biscuiti cu cereale Biscotti</t>
  </si>
  <si>
    <t>19/1/8</t>
  </si>
  <si>
    <t>Roxana pizza caruso</t>
  </si>
  <si>
    <t>19/1/5</t>
  </si>
  <si>
    <t>Roxana degustare de vin si Andys</t>
  </si>
  <si>
    <t>Alex pizza cu baietii</t>
  </si>
  <si>
    <t>19/1/9</t>
  </si>
  <si>
    <t>Masaj (Alex)</t>
  </si>
  <si>
    <t>Masaj</t>
  </si>
  <si>
    <t>Smintina JLC, 30%</t>
  </si>
  <si>
    <t>Biscuiti fara zahar, Biscotti, 200gr</t>
  </si>
  <si>
    <t>Biscuiti Piselli cu fructe, 250gr</t>
  </si>
  <si>
    <t>Cascavar DorBlu, Derkater</t>
  </si>
  <si>
    <t>Biscuiti Piselli cu ciocolata, 250gr</t>
  </si>
  <si>
    <t>19/1/6</t>
  </si>
  <si>
    <t>Pelmeni Deosebit, 1kg</t>
  </si>
  <si>
    <t>Pelmeni Olentina, Nr7, 400g</t>
  </si>
  <si>
    <t>Pelmeni econom, 1kg+100g</t>
  </si>
  <si>
    <t>Iesire cu Ana</t>
  </si>
  <si>
    <t>OPA</t>
  </si>
  <si>
    <t>Ardei kapia</t>
  </si>
  <si>
    <t>Turmeric</t>
  </si>
  <si>
    <t>Oua de prepelita</t>
  </si>
  <si>
    <t>Otet de mere</t>
  </si>
  <si>
    <t>Biscuiti M. Bian</t>
  </si>
  <si>
    <t>Grapefruit rosu</t>
  </si>
  <si>
    <t>Suc Vita, Rodii</t>
  </si>
  <si>
    <t>19/1/10</t>
  </si>
  <si>
    <t>Country</t>
  </si>
  <si>
    <t>19/1/14</t>
  </si>
  <si>
    <t>as of 14 jan 2019</t>
  </si>
  <si>
    <t>Tinctura odolean</t>
  </si>
  <si>
    <t>Acid Salicilic</t>
  </si>
  <si>
    <t>Appa Bucovina, 5L</t>
  </si>
  <si>
    <t>Rifero, Ciocomax</t>
  </si>
  <si>
    <t>Ton, in Ulei de masline, 80G</t>
  </si>
  <si>
    <t>Masline negre, fara simburi, Delphi</t>
  </si>
  <si>
    <t>Hirtie igienica,  Zewa Deluxe, 16 buc</t>
  </si>
  <si>
    <t>Vin Cabernet Sauvignon, Vinaria din Vale, 2015</t>
  </si>
  <si>
    <t>Vin Cabernet Sauvignon, Purcari</t>
  </si>
  <si>
    <t>Vin Cabernet +  Feteasca Neagra, Fautor 310</t>
  </si>
  <si>
    <t xml:space="preserve">Cafea (la work) </t>
  </si>
  <si>
    <t>Bandaj /  holder mina</t>
  </si>
  <si>
    <t>Pastile Mamica</t>
  </si>
  <si>
    <t>Tavegyl 2mg/2ml injectie</t>
  </si>
  <si>
    <t>Bethagen crema</t>
  </si>
  <si>
    <t>Unidox Solutab 100mg comp</t>
  </si>
  <si>
    <t>Acid Ascorbic glucoza</t>
  </si>
  <si>
    <t>Peroxid de Hidrogen, 100ml</t>
  </si>
  <si>
    <t>Cascaval Maasdam</t>
  </si>
  <si>
    <t>Chefir delicios</t>
  </si>
  <si>
    <t>Gorgonzola</t>
  </si>
  <si>
    <t>Cas de capra</t>
  </si>
  <si>
    <t>Pasapoarte Biometrice</t>
  </si>
  <si>
    <t>Centru Dermatologic</t>
  </si>
  <si>
    <t>Feb-19</t>
  </si>
  <si>
    <t>Iaurt Delicato</t>
  </si>
  <si>
    <t>Mazare</t>
  </si>
  <si>
    <t>Tocana de Bostan</t>
  </si>
  <si>
    <t>Piine fitness</t>
  </si>
  <si>
    <t>18/5/25</t>
  </si>
  <si>
    <t>18/9/28</t>
  </si>
  <si>
    <t>Cumetrie Rishu</t>
  </si>
  <si>
    <t>ZI de nastere veroni4ka</t>
  </si>
  <si>
    <t>Trigopax</t>
  </si>
  <si>
    <t>19/2/11</t>
  </si>
  <si>
    <t>Travazol</t>
  </si>
  <si>
    <t>19/2/14</t>
  </si>
  <si>
    <t>Guguta JLC, 2.5%</t>
  </si>
  <si>
    <t>19/2/10</t>
  </si>
  <si>
    <t>19/2/16</t>
  </si>
  <si>
    <t>19/2/13</t>
  </si>
  <si>
    <t>Usturoi</t>
  </si>
  <si>
    <t>Palas Mall</t>
  </si>
  <si>
    <t>19/2/17</t>
  </si>
  <si>
    <t>Tricou</t>
  </si>
  <si>
    <t>Levis</t>
  </si>
  <si>
    <t>Lee Cooper</t>
  </si>
  <si>
    <t>Normix</t>
  </si>
  <si>
    <t>Vigantolete ( vit. D)</t>
  </si>
  <si>
    <t>Domestos</t>
  </si>
  <si>
    <t>Shampoo</t>
  </si>
  <si>
    <t>Balsam par</t>
  </si>
  <si>
    <t>Cos gunoi</t>
  </si>
  <si>
    <t>Piine ceapa</t>
  </si>
  <si>
    <t>date not important</t>
  </si>
  <si>
    <t>19/3/15</t>
  </si>
  <si>
    <t>19/3/18</t>
  </si>
  <si>
    <t>19/3/23</t>
  </si>
  <si>
    <t>19/3/26</t>
  </si>
  <si>
    <t>19/3/25</t>
  </si>
  <si>
    <t>19/3/17</t>
  </si>
  <si>
    <t>Chefir Casuta Mea, 2.5%</t>
  </si>
  <si>
    <t>Ridiche alba</t>
  </si>
  <si>
    <t>19/3/20</t>
  </si>
  <si>
    <t>19/3/28</t>
  </si>
  <si>
    <t>Varza noua</t>
  </si>
  <si>
    <t>Brinza Casuta Mea, 9%</t>
  </si>
  <si>
    <t>19/3/27</t>
  </si>
  <si>
    <t>cafea si brioche la cafenea benzinarie</t>
  </si>
  <si>
    <t>19/3/24</t>
  </si>
  <si>
    <t>Piinisoare</t>
  </si>
  <si>
    <t>Piinisoare secara</t>
  </si>
  <si>
    <t>19/3/16</t>
  </si>
  <si>
    <t>Ciocolata Weinrichs, 100g</t>
  </si>
  <si>
    <t>Espumisan</t>
  </si>
  <si>
    <t>Ceai fenicul</t>
  </si>
  <si>
    <t>19/3/21</t>
  </si>
  <si>
    <t>19/4/1</t>
  </si>
  <si>
    <t>Avalon</t>
  </si>
  <si>
    <t>19/4/19</t>
  </si>
  <si>
    <t>Masline negre, Elita</t>
  </si>
  <si>
    <t>Cana Termos</t>
  </si>
  <si>
    <t>19/4/18</t>
  </si>
  <si>
    <t>Colomba</t>
  </si>
  <si>
    <t>Sofran, Kamis 15g</t>
  </si>
  <si>
    <t>19/5/8</t>
  </si>
  <si>
    <t>19/5/7</t>
  </si>
  <si>
    <t>19/5/9</t>
  </si>
  <si>
    <t>Lipikar</t>
  </si>
  <si>
    <t>Cutivate 0.05%</t>
  </si>
  <si>
    <t>Angioflux caps</t>
  </si>
  <si>
    <t>Nixar</t>
  </si>
  <si>
    <t>19/5/11</t>
  </si>
  <si>
    <t>Cartofi noi</t>
  </si>
  <si>
    <t>Prorumb conservat</t>
  </si>
  <si>
    <t>Lamaie</t>
  </si>
  <si>
    <t>Vermut</t>
  </si>
  <si>
    <t>19/5/12</t>
  </si>
  <si>
    <t>Ecler</t>
  </si>
  <si>
    <t>MedPark</t>
  </si>
  <si>
    <t>taxi</t>
  </si>
  <si>
    <t>Bluza</t>
  </si>
  <si>
    <t>Fusta</t>
  </si>
  <si>
    <t>Minta</t>
  </si>
  <si>
    <t>19/5/15</t>
  </si>
  <si>
    <t>19/5/18</t>
  </si>
  <si>
    <t>19/5/20</t>
  </si>
  <si>
    <t>19/5/21</t>
  </si>
  <si>
    <t>Appa Izvorul Minunilor, 0.5L</t>
  </si>
  <si>
    <t>19/5/19</t>
  </si>
  <si>
    <t>19/5/25</t>
  </si>
  <si>
    <t>19/5/24</t>
  </si>
  <si>
    <t>19/4/24</t>
  </si>
  <si>
    <t>19/4/25</t>
  </si>
  <si>
    <t>19/4/13</t>
  </si>
  <si>
    <t>19/4/23</t>
  </si>
  <si>
    <t>19/6/11</t>
  </si>
  <si>
    <t>Miez de nuca</t>
  </si>
  <si>
    <t>Fund pt piine kent</t>
  </si>
  <si>
    <t>Prune</t>
  </si>
  <si>
    <t>Muscat Ottonel</t>
  </si>
  <si>
    <t>Prajituri</t>
  </si>
  <si>
    <t>Nuci</t>
  </si>
  <si>
    <t>19/2/2</t>
  </si>
  <si>
    <t>Arakiss</t>
  </si>
  <si>
    <t>Bosstar</t>
  </si>
  <si>
    <t>Halvita</t>
  </si>
  <si>
    <t>Zimbet</t>
  </si>
  <si>
    <t>Nuca in ciocolata</t>
  </si>
  <si>
    <t>Other Rifero</t>
  </si>
  <si>
    <t>Zarzare in Migdale</t>
  </si>
  <si>
    <t>19/1/19</t>
  </si>
  <si>
    <t>RAM</t>
  </si>
  <si>
    <t>Ghete running</t>
  </si>
  <si>
    <t>19/1/22</t>
  </si>
  <si>
    <t>19/4/22</t>
  </si>
  <si>
    <t>Jun-19</t>
  </si>
  <si>
    <t>19/6/7</t>
  </si>
  <si>
    <t>phone</t>
  </si>
  <si>
    <t>infosapr</t>
  </si>
  <si>
    <t>internet</t>
  </si>
  <si>
    <t>Jul-19</t>
  </si>
  <si>
    <t>19/7/17</t>
  </si>
  <si>
    <t>19/7/9</t>
  </si>
  <si>
    <t>19/7/11</t>
  </si>
  <si>
    <t>19/7/16</t>
  </si>
  <si>
    <t>Daily life</t>
  </si>
  <si>
    <t>19/7/26</t>
  </si>
  <si>
    <t>Piata misc</t>
  </si>
  <si>
    <t>Aug-19</t>
  </si>
  <si>
    <t>19/8/4</t>
  </si>
  <si>
    <t>Inghetata, 110g</t>
  </si>
  <si>
    <t>Schweppes</t>
  </si>
  <si>
    <t>19/7/30</t>
  </si>
  <si>
    <t>19/7/24</t>
  </si>
  <si>
    <t>19/7/29</t>
  </si>
  <si>
    <t>19/7/19</t>
  </si>
  <si>
    <t>Salam bastardo crud zvintat</t>
  </si>
  <si>
    <t>Iaurt Olymp</t>
  </si>
  <si>
    <t>Suc Cappy Pulpy</t>
  </si>
  <si>
    <t>19/8/1</t>
  </si>
  <si>
    <t>Sorbifer</t>
  </si>
  <si>
    <t>Farmacie</t>
  </si>
  <si>
    <t>compensate</t>
  </si>
  <si>
    <t>Gift Ilie si Rishu</t>
  </si>
  <si>
    <t>19/7/31</t>
  </si>
  <si>
    <t>intrare parc</t>
  </si>
  <si>
    <t>Smintina Magnifico 30%</t>
  </si>
  <si>
    <t>Dorado eviscerat</t>
  </si>
  <si>
    <t>Somon congelat ( norvegia)</t>
  </si>
  <si>
    <t>19/7/27</t>
  </si>
  <si>
    <t>19/8/5</t>
  </si>
  <si>
    <t>19/8/7</t>
  </si>
  <si>
    <t>19/8/8</t>
  </si>
  <si>
    <t>Legume si fructe</t>
  </si>
  <si>
    <t>19/8/15</t>
  </si>
  <si>
    <t>19/8/14</t>
  </si>
  <si>
    <t>Legume si Fructe</t>
  </si>
  <si>
    <t>Iaurt BioMilk</t>
  </si>
  <si>
    <t>BioMilk</t>
  </si>
  <si>
    <t>19/8/18</t>
  </si>
  <si>
    <t>Consultatie neurolog</t>
  </si>
  <si>
    <t>Consultatie reumatolog</t>
  </si>
  <si>
    <t>RMN</t>
  </si>
  <si>
    <t>Galaxia</t>
  </si>
  <si>
    <t>19/8/20</t>
  </si>
  <si>
    <t>Ceai cafea la vinaria poiana</t>
  </si>
  <si>
    <t>19/8/25</t>
  </si>
  <si>
    <t>Iaurt</t>
  </si>
  <si>
    <t>Temporary, this money to be given back</t>
  </si>
  <si>
    <t>usturoi</t>
  </si>
  <si>
    <t>Pescuit</t>
  </si>
  <si>
    <t>Zarzari</t>
  </si>
  <si>
    <t>19/7/6</t>
  </si>
  <si>
    <t>19/7/5</t>
  </si>
  <si>
    <t>19/6/12</t>
  </si>
  <si>
    <t>19/6/23</t>
  </si>
  <si>
    <t>Sep-19</t>
  </si>
  <si>
    <t>19/9/6</t>
  </si>
  <si>
    <t>19/9/7</t>
  </si>
  <si>
    <t>19/9/8</t>
  </si>
  <si>
    <t>Iesire cu sergiu Saperavo</t>
  </si>
  <si>
    <t>Procedura ortoped spate</t>
  </si>
  <si>
    <t>19/9/9</t>
  </si>
  <si>
    <t>19/9/10</t>
  </si>
  <si>
    <t>iesire cu Mihai, Nastea, Valera, Tanea</t>
  </si>
  <si>
    <t>Papusa Anastasia</t>
  </si>
  <si>
    <t>Elena Bors</t>
  </si>
  <si>
    <t>19/9/14</t>
  </si>
  <si>
    <t>Ceafa vita marinata</t>
  </si>
  <si>
    <t>19/9/13</t>
  </si>
  <si>
    <t>Iuvas</t>
  </si>
  <si>
    <t>19/9/2</t>
  </si>
  <si>
    <t>19/9/3</t>
  </si>
  <si>
    <t>Tom Tailor</t>
  </si>
  <si>
    <t>Salam Nostrano crud zvintat</t>
  </si>
  <si>
    <t>Lavas armenesc</t>
  </si>
  <si>
    <t>19/9/5</t>
  </si>
  <si>
    <t>Rosii Galbene</t>
  </si>
  <si>
    <t>Utrogestan 200mg</t>
  </si>
  <si>
    <t>Papaverin sup. 20 mg</t>
  </si>
  <si>
    <t>Valeriana 30 mg</t>
  </si>
  <si>
    <t>Magne B6</t>
  </si>
  <si>
    <t>19/8/26</t>
  </si>
  <si>
    <t>Caciulita ursulet</t>
  </si>
  <si>
    <t>Crafti</t>
  </si>
  <si>
    <t>Joc 1</t>
  </si>
  <si>
    <t>Joc 2</t>
  </si>
  <si>
    <t>Burgher</t>
  </si>
  <si>
    <t>Oua prepelita</t>
  </si>
  <si>
    <t>Tarate grau</t>
  </si>
  <si>
    <t>19/8/24</t>
  </si>
  <si>
    <t>19/9/16</t>
  </si>
  <si>
    <t>Unt, Ferma cu origini</t>
  </si>
  <si>
    <t>Iaurt Bio Vanilie, Olympus</t>
  </si>
  <si>
    <t>19/8/16</t>
  </si>
  <si>
    <t>LuxDent</t>
  </si>
  <si>
    <t>covrig cu seminte</t>
  </si>
  <si>
    <t>Natasa zi de nastere</t>
  </si>
  <si>
    <t>19/9/22</t>
  </si>
  <si>
    <t>19/8/22</t>
  </si>
  <si>
    <t>Telina</t>
  </si>
  <si>
    <t>Lamai</t>
  </si>
  <si>
    <t>19/9/26</t>
  </si>
  <si>
    <t>Jalapeno</t>
  </si>
  <si>
    <t>19/9/28</t>
  </si>
  <si>
    <t>Smintina, Bravilacta</t>
  </si>
  <si>
    <t>Unt, Ferma cu Origini</t>
  </si>
  <si>
    <t>19/9/23</t>
  </si>
  <si>
    <t>Salata Rucola</t>
  </si>
  <si>
    <t>19/9/27</t>
  </si>
  <si>
    <t>19/9/17</t>
  </si>
  <si>
    <t>Ridiche neagra</t>
  </si>
  <si>
    <t>Nectarine</t>
  </si>
  <si>
    <t>19/9/25</t>
  </si>
  <si>
    <t>Struguri</t>
  </si>
  <si>
    <t>19/9/18</t>
  </si>
  <si>
    <t>19/9/20</t>
  </si>
  <si>
    <t>Appa Bucovina, 2L</t>
  </si>
  <si>
    <t>Smintina 15%</t>
  </si>
  <si>
    <t>Totema</t>
  </si>
  <si>
    <t>Magne B6 premium</t>
  </si>
  <si>
    <t>Dicloberl</t>
  </si>
  <si>
    <t>Carti Stefan</t>
  </si>
  <si>
    <t>Arahide</t>
  </si>
  <si>
    <t>19/9/21</t>
  </si>
  <si>
    <t>19/9/19</t>
  </si>
  <si>
    <t>Herbaflu Septosol</t>
  </si>
  <si>
    <t>Nimid 100g</t>
  </si>
  <si>
    <t>Pectolvan Hedera Helix 7m</t>
  </si>
  <si>
    <t>Betaklav 875mg/125mg</t>
  </si>
  <si>
    <t>Oralsept Spray</t>
  </si>
  <si>
    <t>Isla Mint herbal</t>
  </si>
  <si>
    <t>Ceai Tei</t>
  </si>
  <si>
    <t>Masca Chirurgicala</t>
  </si>
  <si>
    <t>Biban inghetat</t>
  </si>
  <si>
    <t>Macrou inghetat</t>
  </si>
  <si>
    <t>Somon, steak, inghetat</t>
  </si>
  <si>
    <t>Somon inghetat</t>
  </si>
  <si>
    <t>Pastrav inghetat</t>
  </si>
  <si>
    <t>Macrouinghetat</t>
  </si>
  <si>
    <t>salau inghetat</t>
  </si>
  <si>
    <t>Macrou sarat afumat</t>
  </si>
  <si>
    <t>Dorado inghetat</t>
  </si>
  <si>
    <t>Sibas inghetat</t>
  </si>
  <si>
    <t>Somon putin sarat afumat</t>
  </si>
  <si>
    <t>Rabbitfish inghetat</t>
  </si>
  <si>
    <t>Appa OM, 9L</t>
  </si>
  <si>
    <t>Appa Izvorul Minunilor, 1L</t>
  </si>
  <si>
    <t>18/9/19</t>
  </si>
  <si>
    <t>18/8/17</t>
  </si>
  <si>
    <t>18/9/18</t>
  </si>
  <si>
    <t>18/9/21</t>
  </si>
  <si>
    <t>18/8/25</t>
  </si>
  <si>
    <t>18/8/9</t>
  </si>
  <si>
    <t>18/8/22</t>
  </si>
  <si>
    <t>18/8/4</t>
  </si>
  <si>
    <t>18/9/2</t>
  </si>
  <si>
    <t>18/7/9</t>
  </si>
  <si>
    <t>18/8/7</t>
  </si>
  <si>
    <t>18/10/4</t>
  </si>
  <si>
    <t>Unt, BioGreno</t>
  </si>
  <si>
    <t>Unt, Lurpak</t>
  </si>
  <si>
    <t>Unt, Magnifico</t>
  </si>
  <si>
    <t>Unt, Prezident</t>
  </si>
  <si>
    <t>Unt, Arahide</t>
  </si>
  <si>
    <t>Unt, Valio</t>
  </si>
  <si>
    <t>18/8/1</t>
  </si>
  <si>
    <t>Iaurt Grecesc, 350g</t>
  </si>
  <si>
    <t>Iaurt Grecesc, 150g</t>
  </si>
  <si>
    <t>18/9/1</t>
  </si>
  <si>
    <t>18/8/10</t>
  </si>
  <si>
    <t>18/8/31</t>
  </si>
  <si>
    <t>18/8/24</t>
  </si>
  <si>
    <t>18/8/21</t>
  </si>
  <si>
    <t>18/8/26</t>
  </si>
  <si>
    <t>Miere, Biocamara</t>
  </si>
  <si>
    <t>Migdale</t>
  </si>
  <si>
    <t>Oua Premium</t>
  </si>
  <si>
    <t>Manusi</t>
  </si>
  <si>
    <t>18/6/9</t>
  </si>
  <si>
    <t>18/8/8</t>
  </si>
  <si>
    <t>18/8/11</t>
  </si>
  <si>
    <t>18/5/30</t>
  </si>
  <si>
    <t>18/5/3</t>
  </si>
  <si>
    <t>18/5/19</t>
  </si>
  <si>
    <t>18/9/16</t>
  </si>
  <si>
    <t>18/8/30</t>
  </si>
  <si>
    <t>Suc de rachitele</t>
  </si>
  <si>
    <t>Merisor zdrobit</t>
  </si>
  <si>
    <t>18/8/12</t>
  </si>
  <si>
    <t>18/8/14</t>
  </si>
  <si>
    <t>Seminte Dovleac, 60g</t>
  </si>
  <si>
    <t>Ardei Kapia</t>
  </si>
  <si>
    <t>Vin, Feateasca Neagra</t>
  </si>
  <si>
    <t>Vin,  Cabernet &amp; Feateasca Neagra</t>
  </si>
  <si>
    <t>Vin, Individo</t>
  </si>
  <si>
    <t>Matura</t>
  </si>
  <si>
    <t>Halva, 180g</t>
  </si>
  <si>
    <t>Seminte floarea soarelui, 65g</t>
  </si>
  <si>
    <t>Vin,  Cabernet</t>
  </si>
  <si>
    <t>Vin,  Cabernet Sauvignon</t>
  </si>
  <si>
    <t>18/12/8</t>
  </si>
  <si>
    <t>19/4/10</t>
  </si>
  <si>
    <t>18/4/10</t>
  </si>
  <si>
    <t>Caise</t>
  </si>
  <si>
    <t>Fulgi hrisca</t>
  </si>
  <si>
    <t>Fulgi porumb</t>
  </si>
  <si>
    <t>Mure</t>
  </si>
  <si>
    <t>18/5/15</t>
  </si>
  <si>
    <t>18/6/18</t>
  </si>
  <si>
    <t>18/7/11</t>
  </si>
  <si>
    <t>18/6/7</t>
  </si>
  <si>
    <t>18/5/16</t>
  </si>
  <si>
    <t>18/7/30</t>
  </si>
  <si>
    <t>Radacina telina</t>
  </si>
  <si>
    <t>Cadou Rishu cumetrie</t>
  </si>
  <si>
    <t>19/10/8</t>
  </si>
  <si>
    <t>Oct-19</t>
  </si>
  <si>
    <t>18/6/13</t>
  </si>
  <si>
    <t>18/7/16</t>
  </si>
  <si>
    <t>18/7/14</t>
  </si>
  <si>
    <t>18/7/15</t>
  </si>
  <si>
    <t>Bomboane</t>
  </si>
  <si>
    <t>Dendrariu</t>
  </si>
  <si>
    <t>Posta</t>
  </si>
  <si>
    <t>Seminte</t>
  </si>
  <si>
    <t>Cinema</t>
  </si>
  <si>
    <t>Snacks cinema</t>
  </si>
  <si>
    <t>Gume stergatoare</t>
  </si>
  <si>
    <t>Fructe</t>
  </si>
  <si>
    <t>18/9/20</t>
  </si>
  <si>
    <t>18/6/10</t>
  </si>
  <si>
    <t>18/8/23</t>
  </si>
  <si>
    <t>18/8/20</t>
  </si>
  <si>
    <t>18/8/13</t>
  </si>
  <si>
    <t>18/10/2</t>
  </si>
  <si>
    <t>18/7/7</t>
  </si>
  <si>
    <t>18/7/25</t>
  </si>
  <si>
    <t>18/7/24</t>
  </si>
  <si>
    <t>18/8/18</t>
  </si>
  <si>
    <t>18/5/23</t>
  </si>
  <si>
    <t>Suc Portocale, Olympus</t>
  </si>
  <si>
    <t>Croissant</t>
  </si>
  <si>
    <t>Ciocolata, Milka</t>
  </si>
  <si>
    <t>Ciocolata Katy</t>
  </si>
  <si>
    <t>19/10/20</t>
  </si>
  <si>
    <t>Milkshake</t>
  </si>
  <si>
    <t>Iubitori Cafea</t>
  </si>
  <si>
    <t>19/10/16</t>
  </si>
  <si>
    <t>Puzzle Daria si Nastea</t>
  </si>
  <si>
    <t>Carte Daria si Nastea</t>
  </si>
  <si>
    <t>19/10/12</t>
  </si>
  <si>
    <t>Paste Fusili</t>
  </si>
  <si>
    <t>19/10/13</t>
  </si>
  <si>
    <t>19/10/15</t>
  </si>
  <si>
    <t>Meli Melo</t>
  </si>
  <si>
    <t>19/10/18</t>
  </si>
  <si>
    <t>Placinte brinza</t>
  </si>
  <si>
    <t>Placinte visina</t>
  </si>
  <si>
    <t>Placinte cartofi</t>
  </si>
  <si>
    <t>Carne fileu ca acasa</t>
  </si>
  <si>
    <t>Ciocolata Milka Snickers</t>
  </si>
  <si>
    <t xml:space="preserve">Cadou mamica +  flori </t>
  </si>
  <si>
    <t>Ajutor Nadia</t>
  </si>
  <si>
    <t>Automall</t>
  </si>
  <si>
    <t>Accesorii Par</t>
  </si>
  <si>
    <t>Piept de pui</t>
  </si>
  <si>
    <t>Infuzor</t>
  </si>
  <si>
    <t>Global Store</t>
  </si>
  <si>
    <t>19/10/11</t>
  </si>
  <si>
    <t>19/10/23</t>
  </si>
  <si>
    <t>19/10/22</t>
  </si>
  <si>
    <t>19/10/24</t>
  </si>
  <si>
    <t>Test Toleranta glucoza</t>
  </si>
  <si>
    <t>Invitro</t>
  </si>
  <si>
    <t>Pesmeti piine</t>
  </si>
  <si>
    <t>Masline verzi</t>
  </si>
  <si>
    <t>Pastrama curcan</t>
  </si>
  <si>
    <t>19/10/21</t>
  </si>
  <si>
    <t>Biscuiti ciocolata</t>
  </si>
  <si>
    <t>Cheesecake lamaie</t>
  </si>
  <si>
    <t>Piine de griu</t>
  </si>
  <si>
    <t>Lapte covasit</t>
  </si>
  <si>
    <t>Spanac baby</t>
  </si>
  <si>
    <t>Appa, Borjomi</t>
  </si>
  <si>
    <t>Iaurt Muller, 150g</t>
  </si>
  <si>
    <t>Appa Borsec, 2L</t>
  </si>
  <si>
    <t>Iaurt muller, riso 150g</t>
  </si>
  <si>
    <t>Vin Asconi, Uneori, Moscato</t>
  </si>
  <si>
    <t>Chateau Vartely Divin, 5 ani, 0.5l</t>
  </si>
  <si>
    <t>Chateau Vartely Divin, 5 ani, 0.7l</t>
  </si>
  <si>
    <t>19/10/25</t>
  </si>
  <si>
    <t>Hirtie igienica,  Zewa Deluxe, 10 buc</t>
  </si>
  <si>
    <t>Consultatie vertebrolog</t>
  </si>
  <si>
    <t>Cadou Vanea, Ana si Stefan</t>
  </si>
  <si>
    <t>Bol pentru spalare salata</t>
  </si>
  <si>
    <t>19/10/28</t>
  </si>
  <si>
    <t>19/10/27</t>
  </si>
  <si>
    <t>19/10/31</t>
  </si>
  <si>
    <t>19/10/26</t>
  </si>
  <si>
    <t>Iaurt, 150g</t>
  </si>
  <si>
    <t>prepelita</t>
  </si>
  <si>
    <t>Cremvusti, 310g</t>
  </si>
  <si>
    <t>Ciocolata, 42g</t>
  </si>
  <si>
    <t>19/10/29</t>
  </si>
  <si>
    <t>Porumb Vis</t>
  </si>
  <si>
    <t>Porumb Vita</t>
  </si>
  <si>
    <t>Piine Borodinschi</t>
  </si>
  <si>
    <t>Nov-19</t>
  </si>
  <si>
    <t>19/11/1</t>
  </si>
  <si>
    <t>Cadou Ghena</t>
  </si>
  <si>
    <t>Iesire in oras Mihai, Nastea, Iulian</t>
  </si>
  <si>
    <t>Nunta Maxim, Dina - Lena</t>
  </si>
  <si>
    <t>Papusa cadou Lina</t>
  </si>
  <si>
    <t>Vitamine spate</t>
  </si>
  <si>
    <t>Rama foto si foto cadou Vanea si Ana</t>
  </si>
  <si>
    <t>Iesire Ana</t>
  </si>
  <si>
    <t>Parking la garaj fetita</t>
  </si>
  <si>
    <t>Cadou Mamica</t>
  </si>
  <si>
    <t>19/11/2</t>
  </si>
  <si>
    <t>19/10/10</t>
  </si>
  <si>
    <t>18/10/17</t>
  </si>
  <si>
    <t>Moldmart</t>
  </si>
  <si>
    <t>Acid folic</t>
  </si>
  <si>
    <t>Croissant ciocolata</t>
  </si>
  <si>
    <t>Placinta brinza</t>
  </si>
  <si>
    <t>Granier</t>
  </si>
  <si>
    <t>Rinostop</t>
  </si>
  <si>
    <t>Scaune buiucani</t>
  </si>
  <si>
    <t>Ceai urzica</t>
  </si>
  <si>
    <t>Dufalac</t>
  </si>
  <si>
    <t>Container urina</t>
  </si>
  <si>
    <t>Brownie</t>
  </si>
  <si>
    <t>Cadou Tata</t>
  </si>
  <si>
    <t>Pipeta</t>
  </si>
  <si>
    <t>Tort Praga</t>
  </si>
  <si>
    <t>Tort Retro</t>
  </si>
  <si>
    <t>19/1/18</t>
  </si>
  <si>
    <t>18/8/6</t>
  </si>
  <si>
    <t>18/8/2</t>
  </si>
  <si>
    <t>18/7/23</t>
  </si>
  <si>
    <t>18/7/4</t>
  </si>
  <si>
    <t>18/5/17</t>
  </si>
  <si>
    <t>18/5/24</t>
  </si>
  <si>
    <t>18/5/9</t>
  </si>
  <si>
    <t>18/7/27</t>
  </si>
  <si>
    <t>18/8/5</t>
  </si>
  <si>
    <t>Clothing</t>
  </si>
  <si>
    <t>Orsay</t>
  </si>
  <si>
    <t>18/6/15</t>
  </si>
  <si>
    <t>Numina</t>
  </si>
  <si>
    <t>Ana Maria</t>
  </si>
  <si>
    <t>19/11/16</t>
  </si>
  <si>
    <t>19/11/4</t>
  </si>
  <si>
    <t>19/11/12</t>
  </si>
  <si>
    <t>19/11/17</t>
  </si>
  <si>
    <t>19/11/8</t>
  </si>
  <si>
    <t>19/11/14</t>
  </si>
  <si>
    <t>19/11/9</t>
  </si>
  <si>
    <t>19/11/6</t>
  </si>
  <si>
    <t>19/11/5</t>
  </si>
  <si>
    <t>XO Chateu Vartely, 0.7L</t>
  </si>
  <si>
    <t>Alune</t>
  </si>
  <si>
    <t>Curmale</t>
  </si>
  <si>
    <t>Placemats</t>
  </si>
  <si>
    <t>19/11/10</t>
  </si>
  <si>
    <t>Chifla Brinza</t>
  </si>
  <si>
    <t>Milka Choco Snack</t>
  </si>
  <si>
    <t>Napolitane Knoppers</t>
  </si>
  <si>
    <t>Iaurt Muller, 500g</t>
  </si>
  <si>
    <t>Iaurt Muller, 250g</t>
  </si>
  <si>
    <t>Iaurt, Olympus, 150g</t>
  </si>
  <si>
    <t>Cicolata crunck milk</t>
  </si>
  <si>
    <t>Snickers</t>
  </si>
  <si>
    <t>19/11/15</t>
  </si>
  <si>
    <t>Fourchette</t>
  </si>
  <si>
    <t>18/5/4</t>
  </si>
  <si>
    <t>Ticket Moldexpo</t>
  </si>
  <si>
    <t>Mar-19</t>
  </si>
  <si>
    <t>19/3/3</t>
  </si>
  <si>
    <t>19/11/18</t>
  </si>
  <si>
    <t>Cookies Triple Choco</t>
  </si>
  <si>
    <t>Cookies Choco Hazelnut</t>
  </si>
  <si>
    <t>Muesli Axa</t>
  </si>
  <si>
    <t xml:space="preserve">Salata </t>
  </si>
  <si>
    <t>Ciocolata marzipan</t>
  </si>
  <si>
    <t>Chondroxid 50mg</t>
  </si>
  <si>
    <t>19/11/20</t>
  </si>
  <si>
    <t>19/11/19</t>
  </si>
  <si>
    <t>Abonament Unica, Sarcina</t>
  </si>
  <si>
    <t>Chepca</t>
  </si>
  <si>
    <t>Comments</t>
  </si>
  <si>
    <t>Bere in office</t>
  </si>
  <si>
    <t>Iaurt, Activia de baut</t>
  </si>
  <si>
    <t>singe, urina</t>
  </si>
  <si>
    <t>Abonament Sport</t>
  </si>
  <si>
    <t>USG, trim III + photo bebe</t>
  </si>
  <si>
    <t>USG trim II</t>
  </si>
  <si>
    <t>Dentist / Ortodont - Curatare Dinti</t>
  </si>
  <si>
    <t>Dentist / Ortodont - retainer rupt</t>
  </si>
  <si>
    <t>Pastile</t>
  </si>
  <si>
    <t>CIF  crema</t>
  </si>
  <si>
    <t>Spuma izolatoare, balcon</t>
  </si>
  <si>
    <t>masina de spalat vase</t>
  </si>
  <si>
    <t>rufe</t>
  </si>
  <si>
    <t>Detergent</t>
  </si>
  <si>
    <t>rufe, 4 kg</t>
  </si>
  <si>
    <t>rufe, silan</t>
  </si>
  <si>
    <t>mincare si diverse</t>
  </si>
  <si>
    <t>patrunjel</t>
  </si>
  <si>
    <t>19/11/7</t>
  </si>
  <si>
    <t>19/11/11</t>
  </si>
  <si>
    <t>19/11/25</t>
  </si>
  <si>
    <t>AA</t>
  </si>
  <si>
    <t>AAA</t>
  </si>
  <si>
    <t>Duracell</t>
  </si>
  <si>
    <t>AAA, Duracell</t>
  </si>
  <si>
    <t>10W</t>
  </si>
  <si>
    <t>9W</t>
  </si>
  <si>
    <t>6W</t>
  </si>
  <si>
    <t>Becuri</t>
  </si>
  <si>
    <t>Vase</t>
  </si>
  <si>
    <t>Aquaphor B100-25</t>
  </si>
  <si>
    <t>plastic</t>
  </si>
  <si>
    <t>aluminiu</t>
  </si>
  <si>
    <t>Folie</t>
  </si>
  <si>
    <t xml:space="preserve">Mecanism Bucatarie </t>
  </si>
  <si>
    <t>Podiemnic Maxi B KS</t>
  </si>
  <si>
    <t>pt vase, Fairline</t>
  </si>
  <si>
    <t xml:space="preserve">Whiskey Jack Daniels </t>
  </si>
  <si>
    <t xml:space="preserve">Pelmeni </t>
  </si>
  <si>
    <t>Olentina, Nr7, 400g</t>
  </si>
  <si>
    <t>econom, 1kg+100g</t>
  </si>
  <si>
    <t>Axxa</t>
  </si>
  <si>
    <t>Vara, Fairline</t>
  </si>
  <si>
    <t>Conte 40 Den</t>
  </si>
  <si>
    <t>Conte Active 5XL</t>
  </si>
  <si>
    <t xml:space="preserve"> 80 den</t>
  </si>
  <si>
    <t>Museum of innocence</t>
  </si>
  <si>
    <t>Inferno, Da vinci</t>
  </si>
  <si>
    <t>Carte</t>
  </si>
  <si>
    <t xml:space="preserve">Crema </t>
  </si>
  <si>
    <t>Colagenica</t>
  </si>
  <si>
    <t>Revigoranta</t>
  </si>
  <si>
    <t>Card SD</t>
  </si>
  <si>
    <t>Tort</t>
  </si>
  <si>
    <t>de miere</t>
  </si>
  <si>
    <t>propolis</t>
  </si>
  <si>
    <t>iarna</t>
  </si>
  <si>
    <t>Umerase</t>
  </si>
  <si>
    <t>fara sters</t>
  </si>
  <si>
    <t>Clarks</t>
  </si>
  <si>
    <t>mercedes</t>
  </si>
  <si>
    <t>balerini albi</t>
  </si>
  <si>
    <t>Pantofi</t>
  </si>
  <si>
    <t>Iesire in oras cu Ana</t>
  </si>
  <si>
    <t>Ata si elastic negru</t>
  </si>
  <si>
    <t>Vitara si Mercedes</t>
  </si>
  <si>
    <t>40 Den</t>
  </si>
  <si>
    <t>Grosi Sarcina</t>
  </si>
  <si>
    <t>procura pentru certificat casatorie RO</t>
  </si>
  <si>
    <t xml:space="preserve">Cercei </t>
  </si>
  <si>
    <t>Swarowski</t>
  </si>
  <si>
    <t xml:space="preserve"> Pregatire Java</t>
  </si>
  <si>
    <t>Angular</t>
  </si>
  <si>
    <t>Curs</t>
  </si>
  <si>
    <t>silicon</t>
  </si>
  <si>
    <t>rubber</t>
  </si>
  <si>
    <t>Phone case</t>
  </si>
  <si>
    <t>Xiaomi MI3</t>
  </si>
  <si>
    <t>Phone Alex</t>
  </si>
  <si>
    <t xml:space="preserve">Casti </t>
  </si>
  <si>
    <t>Xiaomi, mici</t>
  </si>
  <si>
    <t>Xiaomi, mari</t>
  </si>
  <si>
    <t>Charging Cable, Red +  Charger</t>
  </si>
  <si>
    <t>Charging Cable</t>
  </si>
  <si>
    <t>Bluetooth</t>
  </si>
  <si>
    <t>Petrecere tata, baloane</t>
  </si>
  <si>
    <t>cu lapte</t>
  </si>
  <si>
    <t>Latte</t>
  </si>
  <si>
    <t>Tastatura</t>
  </si>
  <si>
    <t>Clopotel</t>
  </si>
  <si>
    <t>Ceas alarm</t>
  </si>
  <si>
    <t>Puzzle saver</t>
  </si>
  <si>
    <t>de miini</t>
  </si>
  <si>
    <t>Vara</t>
  </si>
  <si>
    <t>Iarna, Fairline</t>
  </si>
  <si>
    <t>Iarna</t>
  </si>
  <si>
    <t>toyota</t>
  </si>
  <si>
    <t>Control tehnic</t>
  </si>
  <si>
    <t>frine</t>
  </si>
  <si>
    <t>Control misc</t>
  </si>
  <si>
    <t>Filtre</t>
  </si>
  <si>
    <t>Taxa drum</t>
  </si>
  <si>
    <t>Taxa Drum</t>
  </si>
  <si>
    <t>Asigurare</t>
  </si>
  <si>
    <t>Deservire</t>
  </si>
  <si>
    <t>motor</t>
  </si>
  <si>
    <t>schimbare</t>
  </si>
  <si>
    <t>Roti</t>
  </si>
  <si>
    <t>cadou</t>
  </si>
  <si>
    <t>anti bug balm</t>
  </si>
  <si>
    <t>Fishing</t>
  </si>
  <si>
    <t>Bazin, Ear plugs</t>
  </si>
  <si>
    <t>Hike, shoes</t>
  </si>
  <si>
    <t>Bicycle, Casca</t>
  </si>
  <si>
    <t>Fitness, Elastic</t>
  </si>
  <si>
    <t>Fitness, Pilates soft ball</t>
  </si>
  <si>
    <t>Bicycle, bottle</t>
  </si>
  <si>
    <t>with shipping</t>
  </si>
  <si>
    <t>Hike, backpack</t>
  </si>
  <si>
    <t>Hike, sholaces</t>
  </si>
  <si>
    <t>Hike, thermowear</t>
  </si>
  <si>
    <t>Bazin, Speedo nose plug</t>
  </si>
  <si>
    <t>XO Kvint, 10 ani</t>
  </si>
  <si>
    <t>desert</t>
  </si>
  <si>
    <t>brun</t>
  </si>
  <si>
    <t>rosu</t>
  </si>
  <si>
    <t>negriu</t>
  </si>
  <si>
    <t>alb</t>
  </si>
  <si>
    <t>Orez</t>
  </si>
  <si>
    <t>Seminte de in</t>
  </si>
  <si>
    <t>Orzz</t>
  </si>
  <si>
    <t>Griu</t>
  </si>
  <si>
    <t>Arpacas</t>
  </si>
  <si>
    <t>19/11/26</t>
  </si>
  <si>
    <t>19/11/27</t>
  </si>
  <si>
    <t>Mikruni</t>
  </si>
  <si>
    <t>unu, crème de la crème</t>
  </si>
  <si>
    <t>Olympus, nesarat</t>
  </si>
  <si>
    <t>Gamba de gaina af/fiert</t>
  </si>
  <si>
    <t>Grisine</t>
  </si>
  <si>
    <t>19/11/23</t>
  </si>
  <si>
    <t>Appa, Essentuki</t>
  </si>
  <si>
    <t>Ceapa Verde</t>
  </si>
  <si>
    <t>Heidi hazelnut</t>
  </si>
  <si>
    <t>cirese</t>
  </si>
  <si>
    <t>capsune</t>
  </si>
  <si>
    <t>19/12/1</t>
  </si>
  <si>
    <t>Dec-19</t>
  </si>
  <si>
    <t>Bere</t>
  </si>
  <si>
    <t>Paulaner</t>
  </si>
  <si>
    <t>Moretti, 0.5</t>
  </si>
  <si>
    <t>Paulaner, 0.33</t>
  </si>
  <si>
    <t>Ardei Iute</t>
  </si>
  <si>
    <t>Faina</t>
  </si>
  <si>
    <t>Pringles</t>
  </si>
  <si>
    <t>Zahar vanilat</t>
  </si>
  <si>
    <t>Nachos</t>
  </si>
  <si>
    <t>Heidi hazelnuts</t>
  </si>
  <si>
    <t>heidi pistacchio</t>
  </si>
  <si>
    <t>Silva</t>
  </si>
  <si>
    <t>Concert</t>
  </si>
  <si>
    <t>Bestiarium, Zdubi</t>
  </si>
  <si>
    <t>19/11/30</t>
  </si>
  <si>
    <t>19/11/29</t>
  </si>
  <si>
    <t>19/11/28</t>
  </si>
  <si>
    <t>19/11/21</t>
  </si>
  <si>
    <t>19/11/24</t>
  </si>
  <si>
    <t>Gravide</t>
  </si>
  <si>
    <t>Maicom</t>
  </si>
  <si>
    <t>Omega 3 capsule</t>
  </si>
  <si>
    <t>Sopharmacy</t>
  </si>
  <si>
    <t>Alle gel</t>
  </si>
  <si>
    <t>Elevit</t>
  </si>
  <si>
    <t>Luvitan</t>
  </si>
  <si>
    <t>Crema</t>
  </si>
  <si>
    <t>acasa + in office</t>
  </si>
  <si>
    <t>19/12/19</t>
  </si>
  <si>
    <t>Unguent</t>
  </si>
  <si>
    <t>galbenele</t>
  </si>
  <si>
    <t>19/12/4</t>
  </si>
  <si>
    <t>Oreo</t>
  </si>
  <si>
    <t>Heidi Pistacchio</t>
  </si>
  <si>
    <t>Iaurt grecesc, 150g</t>
  </si>
  <si>
    <t>Biogreno</t>
  </si>
  <si>
    <t>Piine, Bagheta Cereale</t>
  </si>
  <si>
    <t>Suunto</t>
  </si>
  <si>
    <t>Ceas Sport</t>
  </si>
  <si>
    <t>Garmin</t>
  </si>
  <si>
    <t>Heidi Grand'OR</t>
  </si>
  <si>
    <t>Obstetrician, Josan Ana</t>
  </si>
  <si>
    <t>Medpark</t>
  </si>
  <si>
    <t>Piine, Bagheta Franceza</t>
  </si>
  <si>
    <t>Hahne</t>
  </si>
  <si>
    <t>Unica insarcinate</t>
  </si>
  <si>
    <t>Unica</t>
  </si>
  <si>
    <t>19/12/2</t>
  </si>
  <si>
    <t>19/12/3</t>
  </si>
  <si>
    <t>19/10/9</t>
  </si>
  <si>
    <t>Appa, Perla Harghitei, 1L</t>
  </si>
  <si>
    <t>Palinca</t>
  </si>
  <si>
    <t>Piine, chifle</t>
  </si>
  <si>
    <t>Sampon</t>
  </si>
  <si>
    <t>Balsam</t>
  </si>
  <si>
    <t>Saci menaj</t>
  </si>
  <si>
    <t>Iaurt Muller mix, 150g</t>
  </si>
  <si>
    <t>on the way back from trip</t>
  </si>
  <si>
    <t>Reparatie</t>
  </si>
  <si>
    <t>Ridicare masina</t>
  </si>
  <si>
    <t>Reparatie misc</t>
  </si>
  <si>
    <t>Ambreaj, pus</t>
  </si>
  <si>
    <t>Curatare faruri</t>
  </si>
  <si>
    <t>Reparatie misc dupa trip</t>
  </si>
  <si>
    <t>Schimbare element roti</t>
  </si>
  <si>
    <t>Lucru schimbare element roti</t>
  </si>
  <si>
    <t>vtulnici? Mishanea</t>
  </si>
  <si>
    <t>Razval</t>
  </si>
  <si>
    <t>manual</t>
  </si>
  <si>
    <t>19/12/7</t>
  </si>
  <si>
    <t>19/12/8</t>
  </si>
  <si>
    <t>Manual</t>
  </si>
  <si>
    <t>tata</t>
  </si>
  <si>
    <t>Phone alex</t>
  </si>
  <si>
    <t>Phone case alex</t>
  </si>
  <si>
    <t>alex</t>
  </si>
  <si>
    <t>Selfie stick rox</t>
  </si>
  <si>
    <t>with delivery</t>
  </si>
  <si>
    <t>alex, with delivery</t>
  </si>
  <si>
    <t>reducere ca am luat 2 pe acelasi cec</t>
  </si>
  <si>
    <t>iarna, fairline</t>
  </si>
  <si>
    <t>fileu</t>
  </si>
  <si>
    <t>Trufe hazelnuts</t>
  </si>
  <si>
    <t>napolitana experiment</t>
  </si>
  <si>
    <t>Morcov corean</t>
  </si>
  <si>
    <t>19/12/6</t>
  </si>
  <si>
    <t>400g, potrivit picant</t>
  </si>
  <si>
    <t>200g, potrivit picant</t>
  </si>
  <si>
    <t>200g, picant, am incurcat</t>
  </si>
  <si>
    <t>Covrig</t>
  </si>
  <si>
    <t>Halat unica folosinta</t>
  </si>
  <si>
    <t>19/9/29</t>
  </si>
  <si>
    <t>19/10/3</t>
  </si>
  <si>
    <t>19/12/5</t>
  </si>
  <si>
    <t>Utrogestan</t>
  </si>
  <si>
    <t>Sirop tuse alex</t>
  </si>
  <si>
    <t>Ogestan</t>
  </si>
  <si>
    <t>tantum verde sirop tuse</t>
  </si>
  <si>
    <t>19/10/1</t>
  </si>
  <si>
    <t>19/10/4</t>
  </si>
  <si>
    <t>Iaurt Olympus, 100g</t>
  </si>
  <si>
    <t>mascarpone</t>
  </si>
  <si>
    <t>Olympus, de vaca</t>
  </si>
  <si>
    <t>Vita</t>
  </si>
  <si>
    <t>Fileu gaina marinat</t>
  </si>
  <si>
    <t>fenicul</t>
  </si>
  <si>
    <t>inVitro</t>
  </si>
  <si>
    <t>MediPartner</t>
  </si>
  <si>
    <t xml:space="preserve">sarcina, Stici </t>
  </si>
  <si>
    <t>19/9/24</t>
  </si>
  <si>
    <t>USG</t>
  </si>
  <si>
    <t>Sarcina</t>
  </si>
  <si>
    <t>analiza urina</t>
  </si>
  <si>
    <t>Hemograma cu formula leucocitara cu Hb, Ht si indici (85) / VSH (25), 25-OH-Vitamina D (550)</t>
  </si>
  <si>
    <t>19/9/11</t>
  </si>
  <si>
    <t>Urocultura (200), chlamidia trachomatis IgA (210), chlamidia trachomatis IgG (210)</t>
  </si>
  <si>
    <t>Ginecolog Stici</t>
  </si>
  <si>
    <t>analize singe general</t>
  </si>
  <si>
    <t>trim I sarcina, 12s+4z, Cotorcea</t>
  </si>
  <si>
    <t>Acid folic 5 mg N20x3</t>
  </si>
  <si>
    <t>transvaginal, I trimestru, Nikitin Egor, 6s 4z</t>
  </si>
  <si>
    <t xml:space="preserve">Ginecolog, Sinchin Tatiana </t>
  </si>
  <si>
    <t>19/6/5</t>
  </si>
  <si>
    <t>May-19</t>
  </si>
  <si>
    <t>19/5/31</t>
  </si>
  <si>
    <t>Ginecolog, Frumusache Alesea, gratis</t>
  </si>
  <si>
    <t>19/6/10</t>
  </si>
  <si>
    <t>Neurolog, Gavriliuc Mihail</t>
  </si>
  <si>
    <t>19/7/1</t>
  </si>
  <si>
    <t>Halva</t>
  </si>
  <si>
    <t>Camembert</t>
  </si>
  <si>
    <t>Lurpak</t>
  </si>
  <si>
    <t>ritter sport, 100g</t>
  </si>
  <si>
    <t>Cascaval</t>
  </si>
  <si>
    <t>GranCereale</t>
  </si>
  <si>
    <t>19/2/24</t>
  </si>
  <si>
    <t>19/3/2</t>
  </si>
  <si>
    <t>19/5/30</t>
  </si>
  <si>
    <t>19/6/14</t>
  </si>
  <si>
    <t>pelicula</t>
  </si>
  <si>
    <t>19/7/3</t>
  </si>
  <si>
    <t>Florbiotic, caps N10</t>
  </si>
  <si>
    <t>Clorhexidin sol</t>
  </si>
  <si>
    <t>Angioflux caps N10</t>
  </si>
  <si>
    <t>19/3/4</t>
  </si>
  <si>
    <t>19/5/28</t>
  </si>
  <si>
    <t>cu Daria si Iulian, noi am servit</t>
  </si>
  <si>
    <t>Antifreeze</t>
  </si>
  <si>
    <t>PrespanMedia</t>
  </si>
  <si>
    <t>Corso</t>
  </si>
  <si>
    <t>Plimbare valea morilor</t>
  </si>
  <si>
    <t>Dermatolog, Betiu Mircea</t>
  </si>
  <si>
    <t>anunt 999</t>
  </si>
  <si>
    <t>Vento</t>
  </si>
  <si>
    <t>sushi</t>
  </si>
  <si>
    <t>mere</t>
  </si>
  <si>
    <t>Seminte dovleac</t>
  </si>
  <si>
    <t>19/2/20</t>
  </si>
  <si>
    <t>19/5/16</t>
  </si>
  <si>
    <t>19/3/1</t>
  </si>
  <si>
    <t>19/2/25</t>
  </si>
  <si>
    <t>19/3/30</t>
  </si>
  <si>
    <t>19/6/15</t>
  </si>
  <si>
    <t>19/3/12</t>
  </si>
  <si>
    <t>19/2/9</t>
  </si>
  <si>
    <t>Apr-19</t>
  </si>
  <si>
    <t>19/4/6</t>
  </si>
  <si>
    <t>18/7/22</t>
  </si>
  <si>
    <t>Mercedes centru Dimo</t>
  </si>
  <si>
    <t>19/4/8</t>
  </si>
  <si>
    <t>19/4/2</t>
  </si>
  <si>
    <t>19/2/28</t>
  </si>
  <si>
    <t>19/6/2</t>
  </si>
  <si>
    <t>19/7/14</t>
  </si>
  <si>
    <t>Curea</t>
  </si>
  <si>
    <t>S-Karp</t>
  </si>
  <si>
    <t>Shoes</t>
  </si>
  <si>
    <t>Ecco</t>
  </si>
  <si>
    <t>Shoe cleaner</t>
  </si>
  <si>
    <t>19/7/15</t>
  </si>
  <si>
    <t>19/7/22</t>
  </si>
  <si>
    <t>19/7/18</t>
  </si>
  <si>
    <t>Pro-X</t>
  </si>
  <si>
    <t>Vitamin water</t>
  </si>
  <si>
    <t>Ceainic</t>
  </si>
  <si>
    <t>Floare pt baie</t>
  </si>
  <si>
    <t>iaurt</t>
  </si>
  <si>
    <t>19/9/12</t>
  </si>
  <si>
    <t>19/8/3</t>
  </si>
  <si>
    <t>Panettone</t>
  </si>
  <si>
    <t>brinza</t>
  </si>
  <si>
    <t>de masa, pt orez</t>
  </si>
  <si>
    <t>Broccoli</t>
  </si>
  <si>
    <t>piper negru</t>
  </si>
  <si>
    <t>19/3/7</t>
  </si>
  <si>
    <t>19/4/16</t>
  </si>
  <si>
    <t>19/4/14</t>
  </si>
  <si>
    <t>19/4/9</t>
  </si>
  <si>
    <t>19/5/29</t>
  </si>
  <si>
    <t>19/1/29</t>
  </si>
  <si>
    <t>19/2/5</t>
  </si>
  <si>
    <t>19/4/21</t>
  </si>
  <si>
    <t>Bronchipret</t>
  </si>
  <si>
    <t>utrogestan</t>
  </si>
  <si>
    <t>odolean</t>
  </si>
  <si>
    <t>Eslotin 5 mg</t>
  </si>
  <si>
    <t>Cutivate 0.05% crema</t>
  </si>
  <si>
    <t>Lactobio Enterosgel</t>
  </si>
  <si>
    <t>Ulei corp victoras ( pt masaj?)</t>
  </si>
  <si>
    <t>Ceai</t>
  </si>
  <si>
    <t>tifon</t>
  </si>
  <si>
    <t>musetel</t>
  </si>
  <si>
    <t>ibuprofen</t>
  </si>
  <si>
    <t>Elocom 0.1% crema</t>
  </si>
  <si>
    <t>Bethagen 15g</t>
  </si>
  <si>
    <t>Streptocid 5%</t>
  </si>
  <si>
    <t>Elidel 1% crema</t>
  </si>
  <si>
    <t>carbune</t>
  </si>
  <si>
    <t>dioxidin 10mg/1ml</t>
  </si>
  <si>
    <t>Melox sol inj. 15mg 1.5ml</t>
  </si>
  <si>
    <t>seringa</t>
  </si>
  <si>
    <t>Dexalgin</t>
  </si>
  <si>
    <t>Panacea</t>
  </si>
  <si>
    <t>Papaverin</t>
  </si>
  <si>
    <t>Duphaston</t>
  </si>
  <si>
    <t>valeriana, pastile</t>
  </si>
  <si>
    <t>valeriana, tinctura</t>
  </si>
  <si>
    <t>TheraFlu</t>
  </si>
  <si>
    <t>Unic</t>
  </si>
  <si>
    <t>rochie rox nunta valeriu&amp; tanea</t>
  </si>
  <si>
    <t>19/3/8</t>
  </si>
  <si>
    <t>19/2/26</t>
  </si>
  <si>
    <t>19/4/27</t>
  </si>
  <si>
    <t>19/3/13</t>
  </si>
  <si>
    <t>19/6/4</t>
  </si>
  <si>
    <t>complex</t>
  </si>
  <si>
    <t>Portbagaj reparatie</t>
  </si>
  <si>
    <t>smintina 25%</t>
  </si>
  <si>
    <t>Sare</t>
  </si>
  <si>
    <t>Soda</t>
  </si>
  <si>
    <t>19/8/10</t>
  </si>
  <si>
    <t>19/8/11</t>
  </si>
  <si>
    <t>19/7/7</t>
  </si>
  <si>
    <t>19/4/7</t>
  </si>
  <si>
    <t>19/4/4</t>
  </si>
  <si>
    <t>19/3/9</t>
  </si>
  <si>
    <t>19/3/6</t>
  </si>
  <si>
    <t>19/2/8</t>
  </si>
  <si>
    <t>19/2/7</t>
  </si>
  <si>
    <t>19/3/29</t>
  </si>
  <si>
    <t>19/3/31</t>
  </si>
  <si>
    <t>19/9/30</t>
  </si>
  <si>
    <t>Brinza Armonie</t>
  </si>
  <si>
    <t>18/9/6</t>
  </si>
  <si>
    <t>18/9/14</t>
  </si>
  <si>
    <t>18/7/6</t>
  </si>
  <si>
    <t>pt vin fiert</t>
  </si>
  <si>
    <t>scortisoara</t>
  </si>
  <si>
    <t>inghetata</t>
  </si>
  <si>
    <t>BioGreno</t>
  </si>
  <si>
    <t>Cous Cous</t>
  </si>
  <si>
    <t>Pastrama</t>
  </si>
  <si>
    <t>Frico ?</t>
  </si>
  <si>
    <t>biscuiti</t>
  </si>
  <si>
    <t>unt</t>
  </si>
  <si>
    <t>pachet</t>
  </si>
  <si>
    <t>bere</t>
  </si>
  <si>
    <t>paris</t>
  </si>
  <si>
    <t>cernovar</t>
  </si>
  <si>
    <t>pesmeti</t>
  </si>
  <si>
    <t>Bahlava</t>
  </si>
  <si>
    <t>Cremvusti</t>
  </si>
  <si>
    <t>Frankfurter</t>
  </si>
  <si>
    <t>Burger</t>
  </si>
  <si>
    <t>burgher + dublu burgher</t>
  </si>
  <si>
    <t>Sofran</t>
  </si>
  <si>
    <t>burgher + dublu burgher +  cafea</t>
  </si>
  <si>
    <t>cascaval</t>
  </si>
  <si>
    <t>19/1/26</t>
  </si>
  <si>
    <t>19/1/24</t>
  </si>
  <si>
    <t>19/7/4</t>
  </si>
  <si>
    <t>19/7/28</t>
  </si>
  <si>
    <t>19/7/10</t>
  </si>
  <si>
    <t>19/4/20</t>
  </si>
  <si>
    <t>19/7/12</t>
  </si>
  <si>
    <t>19/2/19</t>
  </si>
  <si>
    <t>19/3/5</t>
  </si>
  <si>
    <t>Fructe uscate</t>
  </si>
  <si>
    <t>pentru afinata</t>
  </si>
  <si>
    <t>Cocos</t>
  </si>
  <si>
    <t>18/5/20</t>
  </si>
  <si>
    <t>18/7/20</t>
  </si>
  <si>
    <t xml:space="preserve">Schweppes </t>
  </si>
  <si>
    <t>Bitter lemon</t>
  </si>
  <si>
    <t>Aperol</t>
  </si>
  <si>
    <t>Cascaval maasdam</t>
  </si>
  <si>
    <t>Landana Maasdam</t>
  </si>
  <si>
    <t>seminte dovleac</t>
  </si>
  <si>
    <t>seminte</t>
  </si>
  <si>
    <t>mustar</t>
  </si>
  <si>
    <t>curma</t>
  </si>
  <si>
    <t>appa</t>
  </si>
  <si>
    <t>19/5/23</t>
  </si>
  <si>
    <t>19/6/8</t>
  </si>
  <si>
    <t>19/2/21</t>
  </si>
  <si>
    <t>Napolitane</t>
  </si>
  <si>
    <t>Covoras</t>
  </si>
  <si>
    <t>Sapuniera</t>
  </si>
  <si>
    <t>Forma copt</t>
  </si>
  <si>
    <t>Individo Rara Neagra</t>
  </si>
  <si>
    <t>Uneoiri Moscato, Asconi</t>
  </si>
  <si>
    <t>Cabernet sauvignon</t>
  </si>
  <si>
    <t>Lichid parbriz</t>
  </si>
  <si>
    <t>pamint pt flori</t>
  </si>
  <si>
    <t>telina (radacina)</t>
  </si>
  <si>
    <t>reserve creion mecanic</t>
  </si>
  <si>
    <t>creion mecanic</t>
  </si>
  <si>
    <t>radiera</t>
  </si>
  <si>
    <t>elastice par</t>
  </si>
  <si>
    <t>Tinctura propolis</t>
  </si>
  <si>
    <t>cadou mama, crema de soare si dupa soare</t>
  </si>
  <si>
    <t>pt Romeo?</t>
  </si>
  <si>
    <t>Magnifico</t>
  </si>
  <si>
    <t>balerini albi nunta</t>
  </si>
  <si>
    <t>Zorile</t>
  </si>
  <si>
    <t>in office</t>
  </si>
  <si>
    <t>bomboane</t>
  </si>
  <si>
    <t>Meteorit pt urs</t>
  </si>
  <si>
    <t>ROgob</t>
  </si>
  <si>
    <t>flori mama</t>
  </si>
  <si>
    <t>xerox</t>
  </si>
  <si>
    <t>trimitere ceas suunto prin posta in Fin</t>
  </si>
  <si>
    <t>post terminal</t>
  </si>
  <si>
    <t>lamii si lime de la butik</t>
  </si>
  <si>
    <t>pix, radiera, mape pt casa</t>
  </si>
  <si>
    <t>matur din ala scump :)</t>
  </si>
  <si>
    <t>cadou mama set pt piine ponti</t>
  </si>
  <si>
    <t>anti age p 1-4 ??</t>
  </si>
  <si>
    <t>tort ideal</t>
  </si>
  <si>
    <t>printul negru</t>
  </si>
  <si>
    <t>butka</t>
  </si>
  <si>
    <t>Butik miron costin</t>
  </si>
  <si>
    <t>butic centru undeva</t>
  </si>
  <si>
    <t>Dermatolog, betiu mircea</t>
  </si>
  <si>
    <t>cadou mama, crema pt soare si dupa soare</t>
  </si>
  <si>
    <t>Gr.Zoologica</t>
  </si>
  <si>
    <t>Petrom</t>
  </si>
  <si>
    <t>interesting why 3, da its ok</t>
  </si>
  <si>
    <t>lac de unghii</t>
  </si>
  <si>
    <t>Moldexpo</t>
  </si>
  <si>
    <t>ruj</t>
  </si>
  <si>
    <t>Foarfece</t>
  </si>
  <si>
    <t>Betty Ice</t>
  </si>
  <si>
    <t>19/5/22</t>
  </si>
  <si>
    <t>19/4/11</t>
  </si>
  <si>
    <t>19/4/5</t>
  </si>
  <si>
    <t>19/2/27</t>
  </si>
  <si>
    <t>19/7/8</t>
  </si>
  <si>
    <t>Pesmeti galfim</t>
  </si>
  <si>
    <t>Somon fileu fresh</t>
  </si>
  <si>
    <t>Ton afumat rece</t>
  </si>
  <si>
    <t>19/4/26</t>
  </si>
  <si>
    <t>19/3/14</t>
  </si>
  <si>
    <t>19/5/27</t>
  </si>
  <si>
    <t>19/6/27</t>
  </si>
  <si>
    <t>19/8/27</t>
  </si>
  <si>
    <t>Caruso pizza</t>
  </si>
  <si>
    <t>Salata alge de mare</t>
  </si>
  <si>
    <t>Crevete fara cap</t>
  </si>
  <si>
    <t>Olimpiacos</t>
  </si>
  <si>
    <t>Piese auto</t>
  </si>
  <si>
    <t>Olmosdon</t>
  </si>
  <si>
    <t>valea morilor</t>
  </si>
  <si>
    <t>cafea</t>
  </si>
  <si>
    <t>valea morilor, lavazza</t>
  </si>
  <si>
    <t>Valik pt spate</t>
  </si>
  <si>
    <t>Echipament sport</t>
  </si>
  <si>
    <t>Darenergogaz, st cel mare 196/2</t>
  </si>
  <si>
    <t>cadou timofei cumatrie, Jumbo</t>
  </si>
  <si>
    <t>ruj igienic, fidesco jumbo</t>
  </si>
  <si>
    <t>inghetata si suc, de la gara ( dupa ce am depus cerere de casatorie)</t>
  </si>
  <si>
    <t>medpark</t>
  </si>
  <si>
    <t>Jumbo suc fresh</t>
  </si>
  <si>
    <t>Automarket Alca</t>
  </si>
  <si>
    <t>buiucani</t>
  </si>
  <si>
    <t>ceai</t>
  </si>
  <si>
    <t>Prize ( says so on the paper)</t>
  </si>
  <si>
    <t>snack in</t>
  </si>
  <si>
    <t>duplicat diploma UTM Alex</t>
  </si>
  <si>
    <t>Taxa stat depunere cerere casatorie</t>
  </si>
  <si>
    <t>depunere cerere casatorie</t>
  </si>
  <si>
    <t>te ador</t>
  </si>
  <si>
    <t>la placinte, not sure what the occasion</t>
  </si>
  <si>
    <t>Vinaria nobila</t>
  </si>
  <si>
    <t>Carpe Diem</t>
  </si>
  <si>
    <t>Post terminal</t>
  </si>
  <si>
    <t>HDD, Case</t>
  </si>
  <si>
    <t>19/4/12</t>
  </si>
  <si>
    <t>19/3/10</t>
  </si>
  <si>
    <t>19/7/13</t>
  </si>
  <si>
    <t>18/10/29</t>
  </si>
  <si>
    <t>Escalop porc</t>
  </si>
  <si>
    <t>Varza rosie</t>
  </si>
  <si>
    <t>Aripi gaina af/f</t>
  </si>
  <si>
    <t>Piept porc af/f</t>
  </si>
  <si>
    <t>Porc af/f</t>
  </si>
  <si>
    <t>Muschi vita af/f</t>
  </si>
  <si>
    <t>Porc crud af Monblanc</t>
  </si>
  <si>
    <t>Porc af/copt</t>
  </si>
  <si>
    <t>Unt de arahide</t>
  </si>
  <si>
    <t>Piine Fitness</t>
  </si>
  <si>
    <t>Biscuiti Oreo</t>
  </si>
  <si>
    <t>Biscuiti Oreo Double cream</t>
  </si>
  <si>
    <t>Heidi nuts</t>
  </si>
  <si>
    <t>supozitoare ulei catina</t>
  </si>
  <si>
    <t>to jumbo</t>
  </si>
  <si>
    <t>from jumbo</t>
  </si>
  <si>
    <t>Choco bar Pistacchio</t>
  </si>
  <si>
    <t>19/12/15</t>
  </si>
  <si>
    <t>19/12/13</t>
  </si>
  <si>
    <t>19/12/14</t>
  </si>
  <si>
    <t>19/12/16</t>
  </si>
  <si>
    <t>19/12/17</t>
  </si>
  <si>
    <t>19/12/18</t>
  </si>
  <si>
    <t>19/12/20</t>
  </si>
  <si>
    <t>19/12/21</t>
  </si>
  <si>
    <t>19/12/12</t>
  </si>
  <si>
    <t>19/12/9</t>
  </si>
  <si>
    <t>19/12/11</t>
  </si>
  <si>
    <t>Butik Matei Basarab</t>
  </si>
  <si>
    <t>Soiuz</t>
  </si>
  <si>
    <t>CD Bestiaruum</t>
  </si>
  <si>
    <t>Maiou Z &amp; Z Ursul</t>
  </si>
  <si>
    <t>Bestiarium lansare</t>
  </si>
  <si>
    <t>Appa, Perla Harghitei, 2L</t>
  </si>
  <si>
    <t>Sapun Dove</t>
  </si>
  <si>
    <t>Sapun Lichid</t>
  </si>
  <si>
    <t>Cafea rece</t>
  </si>
  <si>
    <t>Nuci (mix)</t>
  </si>
  <si>
    <t>Nuci (verzi)</t>
  </si>
  <si>
    <t>Inghetata Magnum</t>
  </si>
  <si>
    <t>19/7/2</t>
  </si>
  <si>
    <t>Tub aerisire motor</t>
  </si>
  <si>
    <t>Pescuit, bilet annual</t>
  </si>
  <si>
    <t>Pescuit, bilet zilnic</t>
  </si>
  <si>
    <t>Ciocolata Weinrichs, 250g</t>
  </si>
  <si>
    <t>Pijame Alex</t>
  </si>
  <si>
    <t>Intimissimi</t>
  </si>
  <si>
    <t>Maiou Roxana</t>
  </si>
  <si>
    <t>Camasa Alex</t>
  </si>
  <si>
    <t>Olymp</t>
  </si>
  <si>
    <t>Pantaloni Alex</t>
  </si>
  <si>
    <t>Guess</t>
  </si>
  <si>
    <t>AU</t>
  </si>
  <si>
    <t>Parndorf</t>
  </si>
  <si>
    <t>Spre Repromed, Valea crucii</t>
  </si>
  <si>
    <t>Bebe</t>
  </si>
  <si>
    <t>Body</t>
  </si>
  <si>
    <t>Pantalonasi</t>
  </si>
  <si>
    <t>Manusite</t>
  </si>
  <si>
    <t>elevit</t>
  </si>
  <si>
    <t>Untiera</t>
  </si>
  <si>
    <t>Cadou Diana set spices</t>
  </si>
  <si>
    <t>VB</t>
  </si>
  <si>
    <t>Curea calin</t>
  </si>
  <si>
    <t>Piine cereale</t>
  </si>
  <si>
    <t>Unt Sana</t>
  </si>
  <si>
    <t>heidi bar</t>
  </si>
  <si>
    <t>Lapte, 1L</t>
  </si>
  <si>
    <t>lapte, 1L</t>
  </si>
  <si>
    <t>MIsc</t>
  </si>
  <si>
    <t>Sorti Alex</t>
  </si>
  <si>
    <t>Campo Tures</t>
  </si>
  <si>
    <t>Sud Tirol Trip</t>
  </si>
  <si>
    <t>19/6/22</t>
  </si>
  <si>
    <t>Geanta Deuter Escape II</t>
  </si>
  <si>
    <t>19/6/20</t>
  </si>
  <si>
    <t>Nuci, cajou</t>
  </si>
  <si>
    <t>Nuci, migdale, 200g</t>
  </si>
  <si>
    <t>Hirtie copt</t>
  </si>
  <si>
    <t>Ciocolata, Trufe Pergalese</t>
  </si>
  <si>
    <t>Nuci, arahide</t>
  </si>
  <si>
    <t>Cognac Bardar 12 ani</t>
  </si>
  <si>
    <t>Appa, gradina nush cum</t>
  </si>
  <si>
    <t>Orez negru</t>
  </si>
  <si>
    <t>Lada multibox pt legume la balcon</t>
  </si>
  <si>
    <t>Unt, Olympus</t>
  </si>
  <si>
    <t>Ciocolata, Heidi</t>
  </si>
  <si>
    <t>Siguranta masina</t>
  </si>
  <si>
    <t>Consumabile</t>
  </si>
  <si>
    <t>Proceduri spate</t>
  </si>
  <si>
    <t>Biscuiti Craciun</t>
  </si>
  <si>
    <t>Prajitura cartoshka</t>
  </si>
  <si>
    <t>Prajitura Tiramisu</t>
  </si>
  <si>
    <t>Nastere Medpark</t>
  </si>
  <si>
    <t>Appa OM, 0.5L</t>
  </si>
  <si>
    <t>Cadou IQ puzzle mor mor</t>
  </si>
  <si>
    <t>Ilie</t>
  </si>
  <si>
    <t>Jucarenia</t>
  </si>
  <si>
    <t>Foto rama</t>
  </si>
  <si>
    <t>diana</t>
  </si>
  <si>
    <t>Costumas</t>
  </si>
  <si>
    <t>Caciulita</t>
  </si>
  <si>
    <t>mamica, 15x21</t>
  </si>
  <si>
    <t>Elefant.md</t>
  </si>
  <si>
    <t>Xiaomi</t>
  </si>
  <si>
    <t>Tata buiucani</t>
  </si>
  <si>
    <t>Paturica bebe</t>
  </si>
  <si>
    <t>19/12/25</t>
  </si>
  <si>
    <t>19/12/24</t>
  </si>
  <si>
    <t>19/12/26</t>
  </si>
  <si>
    <t>19/12/27</t>
  </si>
  <si>
    <t>19/12/28</t>
  </si>
  <si>
    <t>19/12/23</t>
  </si>
  <si>
    <t>19/7/21</t>
  </si>
  <si>
    <t>19/6/21</t>
  </si>
  <si>
    <t>Mairl Florian</t>
  </si>
  <si>
    <t>Portmoneu mor mor</t>
  </si>
  <si>
    <t>Geanta mor mor</t>
  </si>
  <si>
    <t>Eurotrip cu Ursu II (Sudtirol 2019), campo tures</t>
  </si>
  <si>
    <t>Bon jovi concert</t>
  </si>
  <si>
    <t>Vitamine Omega 3</t>
  </si>
  <si>
    <t>Abonament sport</t>
  </si>
  <si>
    <t>abonament pe 1 an</t>
  </si>
  <si>
    <t>19/12/31</t>
  </si>
  <si>
    <t>19/12/29</t>
  </si>
  <si>
    <t>19/12/30</t>
  </si>
  <si>
    <t>LIDL</t>
  </si>
  <si>
    <t>Nuci, migdale crude</t>
  </si>
  <si>
    <t>Nuci, migdale sarate prajite</t>
  </si>
  <si>
    <t>Nuci, fistic</t>
  </si>
  <si>
    <t>Nuci, fistic, Banzai 60g</t>
  </si>
  <si>
    <t>Fructe uscate, mix</t>
  </si>
  <si>
    <t>Sapun Protex</t>
  </si>
  <si>
    <t>Shopping trip iasi</t>
  </si>
  <si>
    <t>Jan-20</t>
  </si>
  <si>
    <t>20/1/4</t>
  </si>
  <si>
    <t>Ser fiziologic</t>
  </si>
  <si>
    <t>Vitamine, Elevit</t>
  </si>
  <si>
    <t>Izotonic spray nazal, marimer</t>
  </si>
  <si>
    <t>Espumisan Baby</t>
  </si>
  <si>
    <t>Protectis baby, 5ml</t>
  </si>
  <si>
    <t>Vitamine, D3 bebe</t>
  </si>
  <si>
    <t>Termometru digital</t>
  </si>
  <si>
    <t>Paracetamol supozitori bebe</t>
  </si>
  <si>
    <t>Scutece, Huggies, nr 2, pack 80</t>
  </si>
  <si>
    <t>Scutece, Huggies, nr 2, pack 66</t>
  </si>
  <si>
    <t>Scutece, Huggies, nr 3, pack 21</t>
  </si>
  <si>
    <t>Sapun intim</t>
  </si>
  <si>
    <t>Alcool sanitar</t>
  </si>
  <si>
    <t>Pasta dinti, Sensodyne</t>
  </si>
  <si>
    <t>Detergent vase</t>
  </si>
  <si>
    <t>Detergent antialergenic, bebe</t>
  </si>
  <si>
    <t>Scutece</t>
  </si>
  <si>
    <t>Phone Roxana, Samsung A70</t>
  </si>
  <si>
    <t>Emag</t>
  </si>
  <si>
    <t>20/1/5</t>
  </si>
  <si>
    <t>Ulei catina</t>
  </si>
  <si>
    <t>Ulei cocos</t>
  </si>
  <si>
    <t>Plafar</t>
  </si>
  <si>
    <t>Carte Verde</t>
  </si>
  <si>
    <t>Vinieta, gratis</t>
  </si>
  <si>
    <t>Detergent rufe</t>
  </si>
  <si>
    <t>Detergent rufe, 4kg</t>
  </si>
  <si>
    <t>Jameson</t>
  </si>
  <si>
    <t>DailyLife</t>
  </si>
  <si>
    <t>20/1/2</t>
  </si>
  <si>
    <t>19/1/2</t>
  </si>
  <si>
    <t>Ochelari soare, Roxana</t>
  </si>
  <si>
    <t>Rucsac Quasar, 28 II</t>
  </si>
  <si>
    <t>18/3/7</t>
  </si>
  <si>
    <t>Rieker</t>
  </si>
  <si>
    <t>Phone Roxana, Samsung A70, deblocare</t>
  </si>
  <si>
    <t>20/1/3</t>
  </si>
  <si>
    <t>20/1/6</t>
  </si>
  <si>
    <t>20/1/8</t>
  </si>
  <si>
    <t>Saltea bebe</t>
  </si>
  <si>
    <t>Bord pentru scutece, bebe</t>
  </si>
  <si>
    <t>Antoshka</t>
  </si>
  <si>
    <t>Phone case, Samsung A70</t>
  </si>
  <si>
    <t>Darwin</t>
  </si>
  <si>
    <t>Wishnewsky, pentru rani la deget</t>
  </si>
  <si>
    <t>Halat gravide</t>
  </si>
  <si>
    <t>Camasa de noapte gravide</t>
  </si>
  <si>
    <t>Zolushka</t>
  </si>
  <si>
    <t xml:space="preserve">Absorbante, ultra night, Always </t>
  </si>
  <si>
    <t>Absorbante, ultra night, Molped</t>
  </si>
  <si>
    <t>analzia urinei</t>
  </si>
  <si>
    <t>analiza MRS microreactie la sifilis</t>
  </si>
  <si>
    <t>Pelinca de unica folosinta</t>
  </si>
  <si>
    <t>Absorbante sini</t>
  </si>
  <si>
    <t>Pantenol spray</t>
  </si>
  <si>
    <t>Pandativ Swarowsky</t>
  </si>
  <si>
    <t>Rochie Alba Liu-Jo</t>
  </si>
  <si>
    <t>AT</t>
  </si>
  <si>
    <t>pret aproximativ</t>
  </si>
  <si>
    <t>Smintina Magnifico</t>
  </si>
  <si>
    <t>Ardei iute</t>
  </si>
  <si>
    <t>Catina</t>
  </si>
  <si>
    <t>20/1/11</t>
  </si>
  <si>
    <t>pentru mama citeva</t>
  </si>
  <si>
    <t>Appa Dorna, 2L</t>
  </si>
  <si>
    <t>FishMarket</t>
  </si>
  <si>
    <t>Pompa san, Lansinoh manuala</t>
  </si>
  <si>
    <t>Piine griu, fara drojdii</t>
  </si>
  <si>
    <t>Lapte, 0.5L</t>
  </si>
  <si>
    <t>nu era bun</t>
  </si>
  <si>
    <t>Plintusuri bucatarie</t>
  </si>
  <si>
    <t>20/1/10</t>
  </si>
  <si>
    <t>20/12/22</t>
  </si>
  <si>
    <t>19/1/13</t>
  </si>
  <si>
    <t>19/2/1</t>
  </si>
  <si>
    <t>19/5/2</t>
  </si>
  <si>
    <t>19/9/15</t>
  </si>
  <si>
    <t>Parking key</t>
  </si>
  <si>
    <t>19/8/31</t>
  </si>
  <si>
    <t>Inscriere la domiciliu</t>
  </si>
  <si>
    <t>Capac microunde</t>
  </si>
  <si>
    <t>Bomba</t>
  </si>
  <si>
    <t>Butik piata</t>
  </si>
  <si>
    <t>Xeroform, pulbere</t>
  </si>
  <si>
    <t>pesto</t>
  </si>
  <si>
    <t>20/1/14</t>
  </si>
  <si>
    <t>20/1/13</t>
  </si>
  <si>
    <t>nu au fost bune, dat la parinti pentru bucatarie</t>
  </si>
  <si>
    <t>Tandem</t>
  </si>
  <si>
    <t>20/11/25</t>
  </si>
  <si>
    <t>puzzle rishu</t>
  </si>
  <si>
    <t>gift card daria</t>
  </si>
  <si>
    <t>Toyland</t>
  </si>
  <si>
    <t>Aspirator</t>
  </si>
  <si>
    <t>Maximum</t>
  </si>
  <si>
    <t>20/1/18</t>
  </si>
  <si>
    <t>20/1/16</t>
  </si>
  <si>
    <t>Ciocolata, Heidi Bar Hazelnuts</t>
  </si>
  <si>
    <t>Morcov Corean</t>
  </si>
  <si>
    <t>Cascaval Fontal</t>
  </si>
  <si>
    <t>20/1/15</t>
  </si>
  <si>
    <t>Cubernetix</t>
  </si>
  <si>
    <t>Spring</t>
  </si>
  <si>
    <t>20/1/19</t>
  </si>
  <si>
    <t>cu jenea la pescuit</t>
  </si>
  <si>
    <t>dupa nastere, Mailen capsule vag. Moi</t>
  </si>
  <si>
    <t>20/2/23</t>
  </si>
  <si>
    <t>20/2/11</t>
  </si>
  <si>
    <t>20/2/20</t>
  </si>
  <si>
    <t>20/2/18</t>
  </si>
  <si>
    <t>Acid Folic, compensate</t>
  </si>
  <si>
    <t>20/2/17</t>
  </si>
  <si>
    <t>Olive verzi gigant</t>
  </si>
  <si>
    <t>Smintina Sana, 20%</t>
  </si>
  <si>
    <t>Suzeta Phillips Avent</t>
  </si>
  <si>
    <t>rosii Cherry</t>
  </si>
  <si>
    <t>Cremvusti Frankfurter</t>
  </si>
  <si>
    <t>Pastrama Chisinau</t>
  </si>
  <si>
    <t>Fileu porc f/af</t>
  </si>
  <si>
    <t>Reeses white</t>
  </si>
  <si>
    <t>Pastrama curcan af/f</t>
  </si>
  <si>
    <t>Bacon Preferat de porc af/c</t>
  </si>
  <si>
    <t>20/2/24</t>
  </si>
  <si>
    <t>20/2/13</t>
  </si>
  <si>
    <t>20/2/19</t>
  </si>
  <si>
    <t>20/2/9</t>
  </si>
  <si>
    <t>20/2/27</t>
  </si>
  <si>
    <t>20/2/12</t>
  </si>
  <si>
    <t>20/2/1</t>
  </si>
  <si>
    <t>20/1/21</t>
  </si>
  <si>
    <t>20/1/29</t>
  </si>
  <si>
    <t>20/1/28</t>
  </si>
  <si>
    <t>20/1/31</t>
  </si>
  <si>
    <t>Combinezon albastru</t>
  </si>
  <si>
    <t>Pelinca</t>
  </si>
  <si>
    <t>MaxiKids</t>
  </si>
  <si>
    <t>Appa Borsec, 0.75, carbogazoasa</t>
  </si>
  <si>
    <t>Gris</t>
  </si>
  <si>
    <t>pt office, pt Freddie</t>
  </si>
  <si>
    <t>Cirpe microfibra</t>
  </si>
  <si>
    <t>Prelungitor</t>
  </si>
  <si>
    <t>una gift pt mama</t>
  </si>
  <si>
    <t>20/3/1</t>
  </si>
  <si>
    <t>pret approx ca la pegas</t>
  </si>
  <si>
    <t>pret presupus</t>
  </si>
  <si>
    <t>Voglia di</t>
  </si>
  <si>
    <t>pret ca la pegas /  total bill 175</t>
  </si>
  <si>
    <t>Docs via bus</t>
  </si>
  <si>
    <t>Procuri diana pt alocatie</t>
  </si>
  <si>
    <t>Printer certif nastere Freddie</t>
  </si>
  <si>
    <t>Certificat nastere Md Freddie</t>
  </si>
  <si>
    <t>Alex cu jenea si vanea</t>
  </si>
  <si>
    <t>Veronicica Birthday</t>
  </si>
  <si>
    <t>Doctor vizita acasa</t>
  </si>
  <si>
    <t>sora medicala</t>
  </si>
  <si>
    <t>doctor</t>
  </si>
  <si>
    <t>20/3/12</t>
  </si>
  <si>
    <t>20/3/9</t>
  </si>
  <si>
    <t>20/2/25</t>
  </si>
  <si>
    <t>20/2/28</t>
  </si>
  <si>
    <t>20/2/16</t>
  </si>
  <si>
    <t>20/2/6</t>
  </si>
  <si>
    <t>20/1/27</t>
  </si>
  <si>
    <t>eroare airbag</t>
  </si>
  <si>
    <t>ca la mama acasa'</t>
  </si>
  <si>
    <t>Seminte floarea soarelui, albe, 200g</t>
  </si>
  <si>
    <t>prosoape cadou 8 martie</t>
  </si>
  <si>
    <t>Vin, Individo, Rara Neagra + Malbec</t>
  </si>
  <si>
    <t>Vin, Individo, Saperavi</t>
  </si>
  <si>
    <t>Manusi unica folosinta</t>
  </si>
  <si>
    <t>Bere Heiniken, 0.33</t>
  </si>
  <si>
    <t>Bere Moretti, 0.33</t>
  </si>
  <si>
    <t>Servetele bucatarie, Selpak, 4 buc</t>
  </si>
  <si>
    <t>Servetele bucatarie, Familia, 4 buc</t>
  </si>
  <si>
    <t>Servetele dormitor, Zewa</t>
  </si>
  <si>
    <t>Servetele bucatarie, Selpak, 12 buc</t>
  </si>
  <si>
    <t>20/3/7</t>
  </si>
  <si>
    <t>pt Ana</t>
  </si>
  <si>
    <t>Mar-20</t>
  </si>
  <si>
    <t>Feb-20</t>
  </si>
  <si>
    <t>Mamico</t>
  </si>
  <si>
    <t>20/3/5</t>
  </si>
  <si>
    <t>Livrare</t>
  </si>
  <si>
    <t>Lapte Podlacta, 1L</t>
  </si>
  <si>
    <t>Rosii Cherry</t>
  </si>
  <si>
    <t>Bere, Krombacher 0.5L</t>
  </si>
  <si>
    <t>Bere, Paulaner 0.5L</t>
  </si>
  <si>
    <t>Bere, Hofbrau 0.5L</t>
  </si>
  <si>
    <t>20/3/19</t>
  </si>
  <si>
    <t>Seminte floarea soarelui, albe, 100g</t>
  </si>
  <si>
    <t>Seminte floarea soarelui, Barin, pestrite, 150g</t>
  </si>
  <si>
    <t>Seminte floarea soarelui, Nutline, pestrite, 100g</t>
  </si>
  <si>
    <t>Arahide Fiesta, 150g</t>
  </si>
  <si>
    <t>Detergent Vase, Fairy, 450ml</t>
  </si>
  <si>
    <t>20/3/20</t>
  </si>
  <si>
    <t>Iaurt Floresti, 500g</t>
  </si>
  <si>
    <t>Milka Peanuts, 37g</t>
  </si>
  <si>
    <t>Suc Fresh Portocale</t>
  </si>
  <si>
    <t>Mustar Frantuzesc</t>
  </si>
  <si>
    <t>20/3/4</t>
  </si>
  <si>
    <t>Dalba</t>
  </si>
  <si>
    <t>Scotti</t>
  </si>
  <si>
    <t>20/3/13</t>
  </si>
  <si>
    <t>Lapte, 0.5l</t>
  </si>
  <si>
    <t>Piine, bagheta franceza</t>
  </si>
  <si>
    <t>20/1/26</t>
  </si>
  <si>
    <t xml:space="preserve">Unt Sana </t>
  </si>
  <si>
    <t>20/2/22</t>
  </si>
  <si>
    <t>Chefir 3.2%</t>
  </si>
  <si>
    <t>Smintina Sana</t>
  </si>
  <si>
    <t>20/2/5</t>
  </si>
  <si>
    <t>20/2/8</t>
  </si>
  <si>
    <t>Iaurt Sana</t>
  </si>
  <si>
    <t>Crestianskoe</t>
  </si>
  <si>
    <t>Lapte covasit, Sana</t>
  </si>
  <si>
    <t>20/2/15</t>
  </si>
  <si>
    <t>20/1/22</t>
  </si>
  <si>
    <t>Poligenax</t>
  </si>
  <si>
    <t>Aspirator Nazal, chicco</t>
  </si>
  <si>
    <t>Supozitoare betatine</t>
  </si>
  <si>
    <t>Supozitoare ketonal</t>
  </si>
  <si>
    <t>Supozitoare Glicerina</t>
  </si>
  <si>
    <t>Lactil</t>
  </si>
  <si>
    <t>Aeris, 50ml</t>
  </si>
  <si>
    <t>Protectis</t>
  </si>
  <si>
    <t>Clorhexidin</t>
  </si>
  <si>
    <t>Post-partum</t>
  </si>
  <si>
    <t>Strepsils</t>
  </si>
  <si>
    <t>20/1/24</t>
  </si>
  <si>
    <t>nu am vrut sa beau, mirolut</t>
  </si>
  <si>
    <t>Raceala</t>
  </si>
  <si>
    <t>20/2/29</t>
  </si>
  <si>
    <t>Post-Partum</t>
  </si>
  <si>
    <t>Supozitoare glicerina</t>
  </si>
  <si>
    <t>pelinci de unica folosinta</t>
  </si>
  <si>
    <t>not clear from cec</t>
  </si>
  <si>
    <t>cu Iulian si Mihai</t>
  </si>
  <si>
    <t>placinte in office si acasa</t>
  </si>
  <si>
    <t>Xerox acte</t>
  </si>
  <si>
    <t>masti</t>
  </si>
  <si>
    <t>Dolgit crema</t>
  </si>
  <si>
    <t>Ibric cafea</t>
  </si>
  <si>
    <t>Linguri cu coada lunga</t>
  </si>
  <si>
    <t>20/3/11</t>
  </si>
  <si>
    <t>20/3/2</t>
  </si>
  <si>
    <t>pompa pf format Mameloane</t>
  </si>
  <si>
    <t>BabyBoom</t>
  </si>
  <si>
    <t>foarfece canpol</t>
  </si>
  <si>
    <t>Biberon anticolic canpol</t>
  </si>
  <si>
    <t>Protectoare mameloane canpol</t>
  </si>
  <si>
    <t>seringi</t>
  </si>
  <si>
    <t>pipete</t>
  </si>
  <si>
    <t>supozitoare glicerina</t>
  </si>
  <si>
    <t>intilnit pe jenea</t>
  </si>
  <si>
    <t>pt Vanea si Ana, cind am luat scaunu</t>
  </si>
  <si>
    <t>NAN, formula bebe just in case</t>
  </si>
  <si>
    <t>20/2/2</t>
  </si>
  <si>
    <t>20/1/23</t>
  </si>
  <si>
    <t>20/2/14</t>
  </si>
  <si>
    <t>Pirtaitor</t>
  </si>
  <si>
    <t>Laveta</t>
  </si>
  <si>
    <t>cirpa bucatarie</t>
  </si>
  <si>
    <t>XO Chateu Vartely, 0.5L</t>
  </si>
  <si>
    <t>masina de spalat</t>
  </si>
  <si>
    <t>Priza</t>
  </si>
  <si>
    <t>Bec Philips</t>
  </si>
  <si>
    <t>pt garaj</t>
  </si>
  <si>
    <t>pus in garaj la pastrare</t>
  </si>
  <si>
    <t>X-style</t>
  </si>
  <si>
    <t>Ugears urs</t>
  </si>
  <si>
    <t>Xerox / Printer</t>
  </si>
  <si>
    <t>Phone delivery, tata</t>
  </si>
  <si>
    <t>mamica, Carte sapiens</t>
  </si>
  <si>
    <t>Comenzi.md</t>
  </si>
  <si>
    <t>Absorbante zilnice, Kotex, 60 buc</t>
  </si>
  <si>
    <t>Detergent, Cif</t>
  </si>
  <si>
    <t>Sampon, Dove</t>
  </si>
  <si>
    <t>Vin, Pastoral Dulce Rosu, Chateau Vartely</t>
  </si>
  <si>
    <t>20/3/31</t>
  </si>
  <si>
    <t>Cardiomagnil, Mamica</t>
  </si>
  <si>
    <t>Panangin, Mamica</t>
  </si>
  <si>
    <t>Rinostop, Mamica</t>
  </si>
  <si>
    <t>Acc Long, Mamica</t>
  </si>
  <si>
    <t>Corvitol, mamica</t>
  </si>
  <si>
    <t>Apr-20</t>
  </si>
  <si>
    <t>20/4/1</t>
  </si>
  <si>
    <t>Arahide Fiesta, fara sare, 130g</t>
  </si>
  <si>
    <t>20/3/29</t>
  </si>
  <si>
    <t>Piine, franzela capitala</t>
  </si>
  <si>
    <t>Seminte Barin, pestrite, 150g</t>
  </si>
  <si>
    <t>Seminte dovleac, Nutline, 100g</t>
  </si>
  <si>
    <t>Lapte, Prodlacta, 1L</t>
  </si>
  <si>
    <t>Cafea Lavazza</t>
  </si>
  <si>
    <t>neachitat</t>
  </si>
  <si>
    <t>Carantina</t>
  </si>
  <si>
    <t>Bere, Hofbrau</t>
  </si>
  <si>
    <t>Cremvusti Vinatoresti</t>
  </si>
  <si>
    <t>20/3/18</t>
  </si>
  <si>
    <t>20/3/25</t>
  </si>
  <si>
    <t>Cremvusti vinatoresti</t>
  </si>
  <si>
    <t>Paste, Tortiglioni</t>
  </si>
  <si>
    <t>Cafea, Hausbrandt</t>
  </si>
  <si>
    <t>Biscuiti, Dorati, 400g</t>
  </si>
  <si>
    <t>Bake rolls</t>
  </si>
  <si>
    <t>Brinzica, Big Lapik</t>
  </si>
  <si>
    <t>Pachet mediu</t>
  </si>
  <si>
    <t>Aripi pui, Axedum</t>
  </si>
  <si>
    <t>Prepelita, refr</t>
  </si>
  <si>
    <t>Crupe, Perlovaia</t>
  </si>
  <si>
    <t>Mustar Frantuzesc, Veres</t>
  </si>
  <si>
    <t>Biscuiti, JA Doppelkeks, 500g</t>
  </si>
  <si>
    <t>Biscuiti, HIT, caramel brownie, 220g</t>
  </si>
  <si>
    <t>Ciocolata Milka, Oreo</t>
  </si>
  <si>
    <t>Cascaval Montegrappe Fresco</t>
  </si>
  <si>
    <t>Cremvusti Premium</t>
  </si>
  <si>
    <t>20/4/3</t>
  </si>
  <si>
    <t>Sos Barilla</t>
  </si>
  <si>
    <t>Cacao, Nesquick</t>
  </si>
  <si>
    <t>Paste, Bio, Spaghetti</t>
  </si>
  <si>
    <t>Cacao, Dr oetker</t>
  </si>
  <si>
    <t>Cascaval Emmentaler</t>
  </si>
  <si>
    <t>Jambon porc Austria cr/af</t>
  </si>
  <si>
    <t>20/4/8</t>
  </si>
  <si>
    <t>Wine.md</t>
  </si>
  <si>
    <t>Vin, Purcari Pastoral</t>
  </si>
  <si>
    <t>Vin, Purcari Freedom Blend</t>
  </si>
  <si>
    <t>Calarasi Status Regal 10 ani</t>
  </si>
  <si>
    <t>Vin, Chateau Vartely, Pastoral</t>
  </si>
  <si>
    <t>Cognac Bardar 7 ani</t>
  </si>
  <si>
    <t>20/3/24</t>
  </si>
  <si>
    <t>Aeris</t>
  </si>
  <si>
    <t>Valeriana, picaturi /  mamica</t>
  </si>
  <si>
    <t>Masti</t>
  </si>
  <si>
    <t>Dezinfectant</t>
  </si>
  <si>
    <t>Dezinfectant, spray</t>
  </si>
  <si>
    <t>Vitamina D</t>
  </si>
  <si>
    <t>Colac innot</t>
  </si>
  <si>
    <t>20/4/10</t>
  </si>
  <si>
    <t>Arahide Fiesta, cu sare, 130g</t>
  </si>
  <si>
    <t>Drojdie uscata</t>
  </si>
  <si>
    <t>misc</t>
  </si>
  <si>
    <t>20/4/5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</si>
</sst>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_([$MDL]\ * #,##0.00_);_([$MDL]\ * \(#,##0.00\);_([$MDL]\ * &quot;-&quot;??_);_(@_)"/>
    <numFmt numFmtId="165" formatCode="[$€-2]\ #,##0.00;[Red]\-[$€-2]\ #,##0.00"/>
    <numFmt numFmtId="166" formatCode="_([$€-2]\ * #,##0.00_);_([$€-2]\ * \(#,##0.00\);_([$€-2]\ * &quot;-&quot;??_);_(@_)"/>
    <numFmt numFmtId="167" formatCode="_([$RON]\ * #,##0.00_);_([$RON]\ * \(#,##0.00\);_([$RON]\ 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5" fillId="5" borderId="0" applyNumberFormat="0" applyBorder="0" applyAlignment="0" applyProtection="0"/>
  </cellStyleXfs>
  <cellXfs count="47">
    <xf numFmtId="0" fontId="0" fillId="0" borderId="0" xfId="0"/>
    <xf numFmtId="0" fontId="3" fillId="2" borderId="0" xfId="0" applyFont="1" applyFill="1"/>
    <xf numFmtId="49" fontId="0" fillId="0" borderId="0" xfId="0" applyNumberFormat="1"/>
    <xf numFmtId="14" fontId="0" fillId="0" borderId="0" xfId="0" applyNumberFormat="1"/>
    <xf numFmtId="164" fontId="0" fillId="0" borderId="0" xfId="0" applyNumberFormat="1"/>
    <xf numFmtId="2" fontId="0" fillId="0" borderId="0" xfId="0" applyNumberFormat="1"/>
    <xf numFmtId="0" fontId="0" fillId="3" borderId="0" xfId="0" applyFill="1"/>
    <xf numFmtId="0" fontId="0" fillId="3" borderId="0" xfId="0" applyFont="1" applyFill="1"/>
    <xf numFmtId="1" fontId="0" fillId="0" borderId="0" xfId="0" applyNumberFormat="1"/>
    <xf numFmtId="17" fontId="0" fillId="0" borderId="0" xfId="0" applyNumberFormat="1"/>
    <xf numFmtId="0" fontId="0" fillId="0" borderId="0" xfId="0" applyNumberFormat="1"/>
    <xf numFmtId="44" fontId="0" fillId="0" borderId="0" xfId="1" applyFont="1"/>
    <xf numFmtId="0" fontId="0" fillId="4" borderId="0" xfId="0" applyFill="1"/>
    <xf numFmtId="0" fontId="0" fillId="0" borderId="0" xfId="0" applyFont="1"/>
    <xf numFmtId="4" fontId="0" fillId="0" borderId="0" xfId="0" applyNumberFormat="1"/>
    <xf numFmtId="165" fontId="0" fillId="0" borderId="0" xfId="0" applyNumberFormat="1"/>
    <xf numFmtId="44" fontId="0" fillId="0" borderId="0" xfId="1" applyNumberFormat="1" applyFont="1"/>
    <xf numFmtId="166" fontId="0" fillId="0" borderId="0" xfId="0" applyNumberFormat="1"/>
    <xf numFmtId="0" fontId="2" fillId="3" borderId="0" xfId="0" applyFont="1" applyFill="1"/>
    <xf numFmtId="9" fontId="0" fillId="0" borderId="0" xfId="0" applyNumberFormat="1"/>
    <xf numFmtId="167" fontId="0" fillId="0" borderId="0" xfId="0" applyNumberFormat="1"/>
    <xf numFmtId="2" fontId="2" fillId="4" borderId="0" xfId="0" applyNumberFormat="1" applyFont="1" applyFill="1"/>
    <xf numFmtId="2" fontId="0" fillId="4" borderId="0" xfId="0" applyNumberFormat="1" applyFill="1"/>
    <xf numFmtId="0" fontId="0" fillId="0" borderId="0" xfId="0" applyNumberFormat="1" applyFont="1"/>
    <xf numFmtId="9" fontId="2" fillId="3" borderId="0" xfId="0" applyNumberFormat="1" applyFont="1" applyFill="1"/>
    <xf numFmtId="9" fontId="0" fillId="3" borderId="0" xfId="0" applyNumberFormat="1" applyFont="1" applyFill="1"/>
    <xf numFmtId="0" fontId="4" fillId="2" borderId="1" xfId="0" applyFont="1" applyFill="1" applyBorder="1"/>
    <xf numFmtId="0" fontId="4" fillId="2" borderId="2" xfId="0" applyFont="1" applyFill="1" applyBorder="1"/>
    <xf numFmtId="0" fontId="4" fillId="2" borderId="3" xfId="0" applyFont="1" applyFill="1" applyBorder="1"/>
    <xf numFmtId="0" fontId="5" fillId="5" borderId="4" xfId="2" applyBorder="1"/>
    <xf numFmtId="17" fontId="0" fillId="0" borderId="0" xfId="0" applyNumberFormat="1" applyBorder="1"/>
    <xf numFmtId="0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0" fontId="0" fillId="6" borderId="0" xfId="0" applyFont="1" applyFill="1" applyBorder="1"/>
    <xf numFmtId="0" fontId="0" fillId="0" borderId="5" xfId="0" applyBorder="1"/>
    <xf numFmtId="0" fontId="6" fillId="0" borderId="0" xfId="0" applyNumberFormat="1" applyFont="1" applyFill="1"/>
    <xf numFmtId="0" fontId="0" fillId="4" borderId="0" xfId="0" applyFont="1" applyFill="1"/>
    <xf numFmtId="2" fontId="0" fillId="4" borderId="0" xfId="0" applyNumberFormat="1" applyFont="1" applyFill="1"/>
    <xf numFmtId="14" fontId="0" fillId="0" borderId="0" xfId="0" applyNumberFormat="1" applyBorder="1"/>
    <xf numFmtId="0" fontId="0" fillId="0" borderId="0" xfId="0" applyAlignment="1"/>
    <xf numFmtId="0" fontId="0" fillId="0" borderId="0" xfId="0" quotePrefix="1"/>
    <xf numFmtId="0" fontId="0" fillId="0" borderId="0" xfId="1" applyNumberFormat="1" applyFont="1"/>
    <xf numFmtId="0" fontId="0" fillId="0" borderId="0" xfId="0" applyFont="1" applyBorder="1"/>
    <xf numFmtId="0" fontId="0" fillId="0" borderId="6" xfId="0" applyBorder="1"/>
    <xf numFmtId="0" fontId="0" fillId="6" borderId="0" xfId="0" applyNumberFormat="1" applyFont="1" applyFill="1" applyBorder="1"/>
    <xf numFmtId="0" fontId="0" fillId="0" borderId="5" xfId="0" applyNumberFormat="1" applyBorder="1"/>
  </cellXfs>
  <cellStyles count="3">
    <cellStyle name="Bad" xfId="2" builtinId="27"/>
    <cellStyle name="Currency" xfId="1" builtinId="4"/>
    <cellStyle name="Normal" xfId="0" builtinId="0"/>
  </cellStyles>
  <dxfs count="14"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3" formatCode="m/d/yyyy"/>
    </dxf>
    <dxf>
      <numFmt numFmtId="22" formatCode="mmm\-yy"/>
    </dxf>
    <dxf>
      <fill>
        <patternFill patternType="solid">
          <fgColor rgb="FF000000"/>
          <bgColor rgb="FFEDEDED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</dxf>
    <dxf>
      <numFmt numFmtId="2" formatCode="0.0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7" displayName="Table7" ref="A1:S73" totalsRowShown="0" headerRowDxfId="13" headerRowBorderDxfId="12" tableBorderDxfId="11">
  <tableColumns count="19">
    <tableColumn id="1" xr3:uid="{00000000-0010-0000-0200-000001000000}" name="Month/Year"/>
    <tableColumn id="2" xr3:uid="{00000000-0010-0000-0200-000002000000}" name="Date"/>
    <tableColumn id="3" xr3:uid="{00000000-0010-0000-0200-000003000000}" name="dd"/>
    <tableColumn id="4" xr3:uid="{00000000-0010-0000-0200-000004000000}" name="mm"/>
    <tableColumn id="5" xr3:uid="{00000000-0010-0000-0200-000005000000}" name="yyyy"/>
    <tableColumn id="6" xr3:uid="{00000000-0010-0000-0200-000006000000}" name="Product"/>
    <tableColumn id="7" xr3:uid="{00000000-0010-0000-0200-000007000000}" name="Product Type"/>
    <tableColumn id="8" xr3:uid="{00000000-0010-0000-0200-000008000000}" name="Subcategory"/>
    <tableColumn id="9" xr3:uid="{00000000-0010-0000-0200-000009000000}" name="Category"/>
    <tableColumn id="10" xr3:uid="{00000000-0010-0000-0200-00000A000000}" name="Price, local Currency"/>
    <tableColumn id="11" xr3:uid="{00000000-0010-0000-0200-00000B000000}" name="Price, lei"/>
    <tableColumn id="12" xr3:uid="{00000000-0010-0000-0200-00000C000000}" name="Qty"/>
    <tableColumn id="13" xr3:uid="{00000000-0010-0000-0200-00000D000000}" name="Qty in units"/>
    <tableColumn id="14" xr3:uid="{00000000-0010-0000-0200-00000E000000}" name="Total,  lei"/>
    <tableColumn id="15" xr3:uid="{00000000-0010-0000-0200-00000F000000}" name="Total, EUR" dataDxfId="10"/>
    <tableColumn id="16" xr3:uid="{00000000-0010-0000-0200-000010000000}" name="Store"/>
    <tableColumn id="17" xr3:uid="{00000000-0010-0000-0200-000011000000}" name="Location, Country"/>
    <tableColumn id="18" xr3:uid="{00000000-0010-0000-0200-000012000000}" name="Spending Type"/>
    <tableColumn id="19" xr3:uid="{00000000-0010-0000-0200-000013000000}" name="Comments /  Trip Na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Spending_raw" displayName="Spending_raw" ref="A1:R5454" totalsRowShown="0" headerRowDxfId="9" dataDxfId="8">
  <autoFilter ref="A1:R5454" xr:uid="{00000000-0009-0000-0100-000001000000}">
    <filterColumn colId="16">
      <filters>
        <filter val="Carantina"/>
      </filters>
    </filterColumn>
  </autoFilter>
  <sortState ref="A2:R5238">
    <sortCondition ref="B1:B5238"/>
  </sortState>
  <tableColumns count="18">
    <tableColumn id="1" xr3:uid="{00000000-0010-0000-0400-000001000000}" name="Month/Year" dataDxfId="7"/>
    <tableColumn id="2" xr3:uid="{00000000-0010-0000-0400-000002000000}" name="Date" dataDxfId="6">
      <calculatedColumnFormula>CONCATENATE(E2,"/",D2,"/",C2)</calculatedColumnFormula>
    </tableColumn>
    <tableColumn id="3" xr3:uid="{00000000-0010-0000-0400-000003000000}" name="dd" dataDxfId="5"/>
    <tableColumn id="4" xr3:uid="{00000000-0010-0000-0400-000004000000}" name="mm" dataDxfId="4"/>
    <tableColumn id="5" xr3:uid="{00000000-0010-0000-0400-000005000000}" name="yyyy" dataDxfId="3"/>
    <tableColumn id="6" xr3:uid="{00000000-0010-0000-0400-000006000000}" name="Product"/>
    <tableColumn id="8" xr3:uid="{00000000-0010-0000-0400-000008000000}" name="Product Type"/>
    <tableColumn id="9" xr3:uid="{00000000-0010-0000-0400-000009000000}" name="Subcategory"/>
    <tableColumn id="10" xr3:uid="{00000000-0010-0000-0400-00000A000000}" name="Category"/>
    <tableColumn id="11" xr3:uid="{00000000-0010-0000-0400-00000B000000}" name="Price, local Currency"/>
    <tableColumn id="20" xr3:uid="{00000000-0010-0000-0400-000014000000}" name="Qty" dataDxfId="2"/>
    <tableColumn id="12" xr3:uid="{00000000-0010-0000-0400-00000C000000}" name="Price, lei"/>
    <tableColumn id="15" xr3:uid="{00000000-0010-0000-0400-00000F000000}" name="Total,  lei"/>
    <tableColumn id="16" xr3:uid="{00000000-0010-0000-0400-000010000000}" name="Total, EUR" dataDxfId="1"/>
    <tableColumn id="17" xr3:uid="{00000000-0010-0000-0400-000011000000}" name="Store"/>
    <tableColumn id="7" xr3:uid="{00000000-0010-0000-0400-000007000000}" name="Country"/>
    <tableColumn id="26" xr3:uid="{00000000-0010-0000-0400-00001A000000}" name="Spending Type" dataDxfId="0"/>
    <tableColumn id="19" xr3:uid="{00000000-0010-0000-0400-000013000000}" name="Commen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T77"/>
  <sheetViews>
    <sheetView topLeftCell="A38" zoomScale="85" zoomScaleNormal="85" workbookViewId="0">
      <selection activeCell="H80" sqref="H80"/>
    </sheetView>
  </sheetViews>
  <sheetFormatPr defaultRowHeight="15" x14ac:dyDescent="0.25"/>
  <cols>
    <col min="1" max="1" width="14" customWidth="1"/>
    <col min="2" max="2" width="7.28515625" customWidth="1"/>
    <col min="3" max="3" width="5.42578125" customWidth="1"/>
    <col min="4" max="4" width="6.5703125" customWidth="1"/>
    <col min="5" max="5" width="7.140625" customWidth="1"/>
    <col min="6" max="6" width="31.7109375" bestFit="1" customWidth="1"/>
    <col min="7" max="7" width="14.7109375" customWidth="1"/>
    <col min="8" max="8" width="14" customWidth="1"/>
    <col min="9" max="9" width="23.7109375" bestFit="1" customWidth="1"/>
    <col min="10" max="10" width="19.140625" bestFit="1" customWidth="1"/>
    <col min="11" max="11" width="10.85546875" customWidth="1"/>
    <col min="12" max="12" width="8.7109375" bestFit="1" customWidth="1"/>
    <col min="13" max="13" width="14.42578125" bestFit="1" customWidth="1"/>
    <col min="14" max="14" width="11.28515625" customWidth="1"/>
    <col min="15" max="15" width="12.140625" customWidth="1"/>
    <col min="16" max="16" width="12.140625" bestFit="1" customWidth="1"/>
    <col min="17" max="17" width="16.5703125" bestFit="1" customWidth="1"/>
    <col min="18" max="18" width="14.140625" bestFit="1" customWidth="1"/>
    <col min="19" max="19" width="24" customWidth="1"/>
  </cols>
  <sheetData>
    <row r="1" spans="1:20" x14ac:dyDescent="0.25">
      <c r="A1" s="26" t="s">
        <v>0</v>
      </c>
      <c r="B1" s="27" t="s">
        <v>1</v>
      </c>
      <c r="C1" s="27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7" t="s">
        <v>15</v>
      </c>
      <c r="Q1" s="27" t="s">
        <v>16</v>
      </c>
      <c r="R1" s="27" t="s">
        <v>17</v>
      </c>
      <c r="S1" s="28" t="s">
        <v>18</v>
      </c>
    </row>
    <row r="2" spans="1:20" x14ac:dyDescent="0.25">
      <c r="A2" t="s">
        <v>899</v>
      </c>
      <c r="B2" t="s">
        <v>900</v>
      </c>
      <c r="C2">
        <v>3</v>
      </c>
      <c r="D2">
        <v>1</v>
      </c>
      <c r="E2">
        <v>19</v>
      </c>
      <c r="F2" t="s">
        <v>901</v>
      </c>
      <c r="G2" t="s">
        <v>388</v>
      </c>
      <c r="H2" t="s">
        <v>49</v>
      </c>
      <c r="I2" t="s">
        <v>50</v>
      </c>
      <c r="J2">
        <v>12</v>
      </c>
      <c r="K2">
        <v>12</v>
      </c>
      <c r="L2">
        <v>2</v>
      </c>
      <c r="N2">
        <v>24</v>
      </c>
      <c r="O2" s="5">
        <v>1.2089665015531863</v>
      </c>
      <c r="Q2" t="s">
        <v>340</v>
      </c>
      <c r="R2" t="s">
        <v>24</v>
      </c>
      <c r="T2" t="s">
        <v>517</v>
      </c>
    </row>
    <row r="3" spans="1:20" x14ac:dyDescent="0.25">
      <c r="A3" t="s">
        <v>899</v>
      </c>
      <c r="B3" t="s">
        <v>900</v>
      </c>
      <c r="C3">
        <v>3</v>
      </c>
      <c r="D3">
        <v>1</v>
      </c>
      <c r="E3">
        <v>19</v>
      </c>
      <c r="F3" t="s">
        <v>902</v>
      </c>
      <c r="G3" t="s">
        <v>151</v>
      </c>
      <c r="H3" t="s">
        <v>104</v>
      </c>
      <c r="I3" t="s">
        <v>72</v>
      </c>
      <c r="J3">
        <v>6.13</v>
      </c>
      <c r="K3">
        <v>6.13</v>
      </c>
      <c r="L3">
        <v>1</v>
      </c>
      <c r="N3">
        <v>6.13</v>
      </c>
      <c r="O3" s="5">
        <v>0.30879019393837637</v>
      </c>
      <c r="P3" t="s">
        <v>629</v>
      </c>
      <c r="Q3" t="s">
        <v>340</v>
      </c>
      <c r="R3" t="s">
        <v>24</v>
      </c>
      <c r="T3" t="s">
        <v>517</v>
      </c>
    </row>
    <row r="4" spans="1:20" x14ac:dyDescent="0.25">
      <c r="A4" t="s">
        <v>899</v>
      </c>
      <c r="B4" t="s">
        <v>900</v>
      </c>
      <c r="C4">
        <v>3</v>
      </c>
      <c r="D4">
        <v>1</v>
      </c>
      <c r="E4">
        <v>19</v>
      </c>
      <c r="F4" t="s">
        <v>903</v>
      </c>
      <c r="H4" t="s">
        <v>165</v>
      </c>
      <c r="I4" t="s">
        <v>27</v>
      </c>
      <c r="J4">
        <v>190</v>
      </c>
      <c r="K4">
        <v>190</v>
      </c>
      <c r="L4">
        <v>1</v>
      </c>
      <c r="N4">
        <v>190</v>
      </c>
      <c r="O4" s="5">
        <v>9.570984803962725</v>
      </c>
      <c r="P4" t="s">
        <v>100</v>
      </c>
      <c r="Q4" t="s">
        <v>340</v>
      </c>
      <c r="R4" t="s">
        <v>24</v>
      </c>
      <c r="T4" t="s">
        <v>517</v>
      </c>
    </row>
    <row r="5" spans="1:20" x14ac:dyDescent="0.25">
      <c r="A5" t="s">
        <v>899</v>
      </c>
      <c r="B5" t="s">
        <v>900</v>
      </c>
      <c r="C5">
        <v>3</v>
      </c>
      <c r="D5">
        <v>1</v>
      </c>
      <c r="E5">
        <v>19</v>
      </c>
      <c r="F5" t="s">
        <v>904</v>
      </c>
      <c r="G5" t="s">
        <v>39</v>
      </c>
      <c r="H5" t="s">
        <v>69</v>
      </c>
      <c r="I5" t="s">
        <v>27</v>
      </c>
      <c r="J5">
        <v>189.7</v>
      </c>
      <c r="K5">
        <v>189.7</v>
      </c>
      <c r="L5">
        <v>1</v>
      </c>
      <c r="N5">
        <v>189.7</v>
      </c>
      <c r="O5" s="5">
        <v>9.5558727226933105</v>
      </c>
      <c r="P5" t="s">
        <v>100</v>
      </c>
      <c r="Q5" t="s">
        <v>340</v>
      </c>
      <c r="R5" t="s">
        <v>24</v>
      </c>
      <c r="T5" t="s">
        <v>517</v>
      </c>
    </row>
    <row r="6" spans="1:20" x14ac:dyDescent="0.25">
      <c r="A6" t="s">
        <v>899</v>
      </c>
      <c r="B6" t="s">
        <v>900</v>
      </c>
      <c r="C6">
        <v>3</v>
      </c>
      <c r="D6">
        <v>1</v>
      </c>
      <c r="E6">
        <v>19</v>
      </c>
      <c r="F6" t="s">
        <v>905</v>
      </c>
      <c r="H6" t="s">
        <v>155</v>
      </c>
      <c r="I6" t="s">
        <v>27</v>
      </c>
      <c r="J6">
        <v>53.2</v>
      </c>
      <c r="K6">
        <v>53.2</v>
      </c>
      <c r="L6">
        <v>2</v>
      </c>
      <c r="N6">
        <v>106.4</v>
      </c>
      <c r="O6" s="5">
        <v>5.3597514902191268</v>
      </c>
      <c r="P6" t="s">
        <v>100</v>
      </c>
      <c r="Q6" t="s">
        <v>340</v>
      </c>
      <c r="R6" t="s">
        <v>24</v>
      </c>
      <c r="T6" t="s">
        <v>517</v>
      </c>
    </row>
    <row r="7" spans="1:20" x14ac:dyDescent="0.25">
      <c r="A7" t="s">
        <v>899</v>
      </c>
      <c r="B7" t="s">
        <v>900</v>
      </c>
      <c r="C7">
        <v>3</v>
      </c>
      <c r="D7">
        <v>1</v>
      </c>
      <c r="E7">
        <v>19</v>
      </c>
      <c r="F7" t="s">
        <v>397</v>
      </c>
      <c r="H7" t="s">
        <v>155</v>
      </c>
      <c r="I7" t="s">
        <v>27</v>
      </c>
      <c r="J7">
        <v>67.599999999999994</v>
      </c>
      <c r="K7">
        <v>67.599999999999994</v>
      </c>
      <c r="L7">
        <v>2</v>
      </c>
      <c r="N7">
        <v>135.19999999999999</v>
      </c>
      <c r="O7" s="5">
        <v>6.8105112920829489</v>
      </c>
      <c r="P7" t="s">
        <v>100</v>
      </c>
      <c r="Q7" t="s">
        <v>340</v>
      </c>
      <c r="R7" t="s">
        <v>24</v>
      </c>
      <c r="T7" t="s">
        <v>517</v>
      </c>
    </row>
    <row r="8" spans="1:20" x14ac:dyDescent="0.25">
      <c r="A8" t="s">
        <v>899</v>
      </c>
      <c r="B8" t="s">
        <v>900</v>
      </c>
      <c r="C8">
        <v>3</v>
      </c>
      <c r="D8">
        <v>1</v>
      </c>
      <c r="E8">
        <v>19</v>
      </c>
      <c r="F8" t="s">
        <v>906</v>
      </c>
      <c r="H8" t="s">
        <v>518</v>
      </c>
      <c r="I8" t="s">
        <v>27</v>
      </c>
      <c r="J8">
        <v>34.700000000000003</v>
      </c>
      <c r="K8">
        <v>34.700000000000003</v>
      </c>
      <c r="L8">
        <v>3</v>
      </c>
      <c r="N8">
        <v>104.10000000000001</v>
      </c>
      <c r="O8" s="5">
        <v>5.2438922004869459</v>
      </c>
      <c r="P8" t="s">
        <v>100</v>
      </c>
      <c r="Q8" t="s">
        <v>340</v>
      </c>
      <c r="R8" t="s">
        <v>24</v>
      </c>
      <c r="T8" t="s">
        <v>517</v>
      </c>
    </row>
    <row r="9" spans="1:20" x14ac:dyDescent="0.25">
      <c r="A9" t="s">
        <v>899</v>
      </c>
      <c r="B9" t="s">
        <v>900</v>
      </c>
      <c r="C9">
        <v>3</v>
      </c>
      <c r="D9">
        <v>1</v>
      </c>
      <c r="E9">
        <v>19</v>
      </c>
      <c r="F9" t="s">
        <v>907</v>
      </c>
      <c r="H9" t="s">
        <v>40</v>
      </c>
      <c r="I9" t="s">
        <v>27</v>
      </c>
      <c r="J9">
        <v>10</v>
      </c>
      <c r="K9">
        <v>10</v>
      </c>
      <c r="L9">
        <v>1</v>
      </c>
      <c r="N9">
        <v>10</v>
      </c>
      <c r="O9" s="5">
        <v>0.50373604231382763</v>
      </c>
      <c r="P9" t="s">
        <v>100</v>
      </c>
      <c r="Q9" t="s">
        <v>340</v>
      </c>
      <c r="R9" t="s">
        <v>24</v>
      </c>
      <c r="T9" t="s">
        <v>517</v>
      </c>
    </row>
    <row r="10" spans="1:20" x14ac:dyDescent="0.25">
      <c r="A10" t="s">
        <v>899</v>
      </c>
      <c r="B10" t="s">
        <v>900</v>
      </c>
      <c r="C10">
        <v>3</v>
      </c>
      <c r="D10">
        <v>1</v>
      </c>
      <c r="E10">
        <v>19</v>
      </c>
      <c r="F10" t="s">
        <v>418</v>
      </c>
      <c r="G10" t="s">
        <v>98</v>
      </c>
      <c r="H10" t="s">
        <v>26</v>
      </c>
      <c r="I10" t="s">
        <v>27</v>
      </c>
      <c r="J10">
        <v>84.6</v>
      </c>
      <c r="K10">
        <v>84.6</v>
      </c>
      <c r="L10">
        <v>1</v>
      </c>
      <c r="N10">
        <v>84.6</v>
      </c>
      <c r="O10" s="5">
        <v>4.2616069179749818</v>
      </c>
      <c r="P10" t="s">
        <v>100</v>
      </c>
      <c r="Q10" t="s">
        <v>340</v>
      </c>
      <c r="R10" t="s">
        <v>24</v>
      </c>
      <c r="T10" t="s">
        <v>517</v>
      </c>
    </row>
    <row r="11" spans="1:20" x14ac:dyDescent="0.25">
      <c r="A11" t="s">
        <v>899</v>
      </c>
      <c r="B11" t="s">
        <v>908</v>
      </c>
      <c r="C11">
        <v>1</v>
      </c>
      <c r="D11">
        <v>1</v>
      </c>
      <c r="E11">
        <v>19</v>
      </c>
      <c r="F11" t="s">
        <v>909</v>
      </c>
      <c r="H11" t="s">
        <v>26</v>
      </c>
      <c r="I11" t="s">
        <v>27</v>
      </c>
      <c r="J11">
        <v>14.85</v>
      </c>
      <c r="K11">
        <v>14.85</v>
      </c>
      <c r="L11">
        <v>1</v>
      </c>
      <c r="N11">
        <v>14.85</v>
      </c>
      <c r="O11" s="5">
        <v>0.748048022836034</v>
      </c>
      <c r="P11" t="s">
        <v>101</v>
      </c>
      <c r="Q11" t="s">
        <v>340</v>
      </c>
      <c r="R11" t="s">
        <v>24</v>
      </c>
      <c r="T11" t="s">
        <v>517</v>
      </c>
    </row>
    <row r="12" spans="1:20" x14ac:dyDescent="0.25">
      <c r="A12" t="s">
        <v>899</v>
      </c>
      <c r="B12" t="s">
        <v>908</v>
      </c>
      <c r="C12">
        <v>1</v>
      </c>
      <c r="D12">
        <v>1</v>
      </c>
      <c r="E12">
        <v>19</v>
      </c>
      <c r="F12" t="s">
        <v>910</v>
      </c>
      <c r="H12" t="s">
        <v>131</v>
      </c>
      <c r="I12" t="s">
        <v>27</v>
      </c>
      <c r="J12">
        <v>110</v>
      </c>
      <c r="K12">
        <v>110</v>
      </c>
      <c r="L12">
        <v>1</v>
      </c>
      <c r="N12">
        <v>110</v>
      </c>
      <c r="O12" s="5">
        <v>5.541096465452104</v>
      </c>
      <c r="P12" t="s">
        <v>167</v>
      </c>
      <c r="Q12" t="s">
        <v>340</v>
      </c>
      <c r="R12" t="s">
        <v>84</v>
      </c>
      <c r="T12" t="s">
        <v>517</v>
      </c>
    </row>
    <row r="13" spans="1:20" x14ac:dyDescent="0.25">
      <c r="A13" t="s">
        <v>899</v>
      </c>
      <c r="B13" t="s">
        <v>908</v>
      </c>
      <c r="C13">
        <v>1</v>
      </c>
      <c r="D13">
        <v>1</v>
      </c>
      <c r="E13">
        <v>19</v>
      </c>
      <c r="F13" t="s">
        <v>911</v>
      </c>
      <c r="G13" t="s">
        <v>155</v>
      </c>
      <c r="H13" t="s">
        <v>131</v>
      </c>
      <c r="I13" t="s">
        <v>27</v>
      </c>
      <c r="J13">
        <v>108.85</v>
      </c>
      <c r="K13">
        <v>108.85</v>
      </c>
      <c r="L13">
        <v>1</v>
      </c>
      <c r="N13">
        <v>108.85</v>
      </c>
      <c r="O13" s="5">
        <v>5.483166820586014</v>
      </c>
      <c r="P13" t="s">
        <v>167</v>
      </c>
      <c r="Q13" t="s">
        <v>340</v>
      </c>
      <c r="R13" t="s">
        <v>84</v>
      </c>
      <c r="T13" t="s">
        <v>517</v>
      </c>
    </row>
    <row r="14" spans="1:20" x14ac:dyDescent="0.25">
      <c r="A14" t="s">
        <v>899</v>
      </c>
      <c r="B14" t="s">
        <v>908</v>
      </c>
      <c r="C14">
        <v>1</v>
      </c>
      <c r="D14">
        <v>1</v>
      </c>
      <c r="E14">
        <v>19</v>
      </c>
      <c r="F14" t="s">
        <v>912</v>
      </c>
      <c r="G14" t="s">
        <v>155</v>
      </c>
      <c r="H14" t="s">
        <v>131</v>
      </c>
      <c r="I14" t="s">
        <v>27</v>
      </c>
      <c r="J14">
        <v>40.5</v>
      </c>
      <c r="K14">
        <v>40.5</v>
      </c>
      <c r="L14">
        <v>2</v>
      </c>
      <c r="N14">
        <v>81</v>
      </c>
      <c r="O14" s="5">
        <v>4.0802619427420037</v>
      </c>
      <c r="P14" t="s">
        <v>167</v>
      </c>
      <c r="Q14" t="s">
        <v>340</v>
      </c>
      <c r="R14" t="s">
        <v>84</v>
      </c>
      <c r="T14" t="s">
        <v>517</v>
      </c>
    </row>
    <row r="15" spans="1:20" x14ac:dyDescent="0.25">
      <c r="A15" t="s">
        <v>899</v>
      </c>
      <c r="B15" t="s">
        <v>908</v>
      </c>
      <c r="C15">
        <v>1</v>
      </c>
      <c r="D15">
        <v>1</v>
      </c>
      <c r="E15">
        <v>19</v>
      </c>
      <c r="F15" t="s">
        <v>913</v>
      </c>
      <c r="G15" t="s">
        <v>155</v>
      </c>
      <c r="H15" t="s">
        <v>131</v>
      </c>
      <c r="I15" t="s">
        <v>27</v>
      </c>
      <c r="J15">
        <v>43.55</v>
      </c>
      <c r="K15">
        <v>43.55</v>
      </c>
      <c r="L15">
        <v>1</v>
      </c>
      <c r="N15">
        <v>43.55</v>
      </c>
      <c r="O15" s="5">
        <v>2.1937704642767191</v>
      </c>
      <c r="P15" t="s">
        <v>167</v>
      </c>
      <c r="Q15" t="s">
        <v>340</v>
      </c>
      <c r="R15" t="s">
        <v>84</v>
      </c>
      <c r="T15" t="s">
        <v>517</v>
      </c>
    </row>
    <row r="16" spans="1:20" x14ac:dyDescent="0.25">
      <c r="A16" t="s">
        <v>899</v>
      </c>
      <c r="B16" t="s">
        <v>908</v>
      </c>
      <c r="C16">
        <v>1</v>
      </c>
      <c r="D16">
        <v>1</v>
      </c>
      <c r="E16">
        <v>19</v>
      </c>
      <c r="F16" t="s">
        <v>914</v>
      </c>
      <c r="H16" t="s">
        <v>518</v>
      </c>
      <c r="I16" t="s">
        <v>431</v>
      </c>
      <c r="J16">
        <v>52.7</v>
      </c>
      <c r="K16">
        <v>52.7</v>
      </c>
      <c r="L16">
        <v>2</v>
      </c>
      <c r="N16">
        <v>105.4</v>
      </c>
      <c r="O16" s="5">
        <v>5.3093778859877441</v>
      </c>
      <c r="P16" t="s">
        <v>167</v>
      </c>
      <c r="Q16" t="s">
        <v>340</v>
      </c>
      <c r="R16" t="s">
        <v>84</v>
      </c>
      <c r="T16" t="s">
        <v>517</v>
      </c>
    </row>
    <row r="17" spans="1:20" x14ac:dyDescent="0.25">
      <c r="A17" t="s">
        <v>899</v>
      </c>
      <c r="B17" t="s">
        <v>908</v>
      </c>
      <c r="C17">
        <v>1</v>
      </c>
      <c r="D17">
        <v>1</v>
      </c>
      <c r="E17">
        <v>19</v>
      </c>
      <c r="F17" t="s">
        <v>915</v>
      </c>
      <c r="H17" t="s">
        <v>518</v>
      </c>
      <c r="I17" t="s">
        <v>39</v>
      </c>
      <c r="J17">
        <v>9.1</v>
      </c>
      <c r="K17">
        <v>9.1</v>
      </c>
      <c r="L17">
        <v>2</v>
      </c>
      <c r="N17">
        <v>18.2</v>
      </c>
      <c r="O17" s="5">
        <v>0.91679959701116631</v>
      </c>
      <c r="P17" t="s">
        <v>167</v>
      </c>
      <c r="Q17" t="s">
        <v>340</v>
      </c>
      <c r="R17" t="s">
        <v>84</v>
      </c>
      <c r="T17" t="s">
        <v>517</v>
      </c>
    </row>
    <row r="18" spans="1:20" x14ac:dyDescent="0.25">
      <c r="A18" t="s">
        <v>899</v>
      </c>
      <c r="B18" t="s">
        <v>908</v>
      </c>
      <c r="C18">
        <v>1</v>
      </c>
      <c r="D18">
        <v>1</v>
      </c>
      <c r="E18">
        <v>19</v>
      </c>
      <c r="F18" t="s">
        <v>915</v>
      </c>
      <c r="H18" t="s">
        <v>518</v>
      </c>
      <c r="I18" t="s">
        <v>39</v>
      </c>
      <c r="J18">
        <v>6.6</v>
      </c>
      <c r="K18">
        <v>6.6</v>
      </c>
      <c r="L18">
        <v>3</v>
      </c>
      <c r="N18">
        <v>19.799999999999997</v>
      </c>
      <c r="O18" s="5">
        <v>0.99739736378137855</v>
      </c>
      <c r="P18" t="s">
        <v>167</v>
      </c>
      <c r="Q18" t="s">
        <v>340</v>
      </c>
      <c r="R18" t="s">
        <v>84</v>
      </c>
      <c r="T18" t="s">
        <v>517</v>
      </c>
    </row>
    <row r="19" spans="1:20" x14ac:dyDescent="0.25">
      <c r="A19" t="s">
        <v>899</v>
      </c>
      <c r="B19" t="s">
        <v>916</v>
      </c>
      <c r="C19">
        <v>2</v>
      </c>
      <c r="D19">
        <v>1</v>
      </c>
      <c r="E19">
        <v>19</v>
      </c>
      <c r="F19" t="s">
        <v>802</v>
      </c>
      <c r="H19" t="s">
        <v>708</v>
      </c>
      <c r="I19" t="s">
        <v>27</v>
      </c>
      <c r="J19">
        <v>128</v>
      </c>
      <c r="K19">
        <v>128</v>
      </c>
      <c r="L19">
        <v>0.2</v>
      </c>
      <c r="N19">
        <v>25.6</v>
      </c>
      <c r="O19" s="5">
        <v>1.2895642683233988</v>
      </c>
      <c r="P19" t="s">
        <v>100</v>
      </c>
      <c r="Q19" t="s">
        <v>340</v>
      </c>
      <c r="R19" t="s">
        <v>24</v>
      </c>
      <c r="T19" t="s">
        <v>517</v>
      </c>
    </row>
    <row r="20" spans="1:20" x14ac:dyDescent="0.25">
      <c r="A20" t="s">
        <v>899</v>
      </c>
      <c r="B20" t="s">
        <v>916</v>
      </c>
      <c r="C20">
        <v>2</v>
      </c>
      <c r="D20">
        <v>1</v>
      </c>
      <c r="E20">
        <v>19</v>
      </c>
      <c r="F20" t="s">
        <v>917</v>
      </c>
      <c r="H20" t="s">
        <v>40</v>
      </c>
      <c r="I20" t="s">
        <v>27</v>
      </c>
      <c r="J20">
        <v>15.6</v>
      </c>
      <c r="K20">
        <v>15.6</v>
      </c>
      <c r="L20">
        <v>1</v>
      </c>
      <c r="N20">
        <v>15.6</v>
      </c>
      <c r="O20" s="5">
        <v>0.78582822600957114</v>
      </c>
      <c r="P20" t="s">
        <v>100</v>
      </c>
      <c r="Q20" t="s">
        <v>340</v>
      </c>
      <c r="R20" t="s">
        <v>24</v>
      </c>
      <c r="T20" t="s">
        <v>517</v>
      </c>
    </row>
    <row r="21" spans="1:20" x14ac:dyDescent="0.25">
      <c r="A21" t="s">
        <v>899</v>
      </c>
      <c r="B21" t="s">
        <v>916</v>
      </c>
      <c r="C21">
        <v>2</v>
      </c>
      <c r="D21">
        <v>1</v>
      </c>
      <c r="E21">
        <v>19</v>
      </c>
      <c r="F21" t="s">
        <v>918</v>
      </c>
      <c r="H21" t="s">
        <v>708</v>
      </c>
      <c r="I21" t="s">
        <v>27</v>
      </c>
      <c r="J21">
        <v>47.5</v>
      </c>
      <c r="K21">
        <v>47.5</v>
      </c>
      <c r="L21">
        <v>1</v>
      </c>
      <c r="N21">
        <v>47.5</v>
      </c>
      <c r="O21" s="5">
        <v>2.3927462009906812</v>
      </c>
      <c r="P21" t="s">
        <v>100</v>
      </c>
      <c r="Q21" t="s">
        <v>340</v>
      </c>
      <c r="R21" t="s">
        <v>24</v>
      </c>
      <c r="T21" t="s">
        <v>517</v>
      </c>
    </row>
    <row r="22" spans="1:20" x14ac:dyDescent="0.25">
      <c r="A22" t="s">
        <v>899</v>
      </c>
      <c r="B22" t="s">
        <v>916</v>
      </c>
      <c r="C22">
        <v>2</v>
      </c>
      <c r="D22">
        <v>1</v>
      </c>
      <c r="E22">
        <v>19</v>
      </c>
      <c r="F22" t="s">
        <v>78</v>
      </c>
      <c r="H22" t="s">
        <v>78</v>
      </c>
      <c r="I22" t="s">
        <v>79</v>
      </c>
      <c r="J22">
        <v>19.010000000000002</v>
      </c>
      <c r="L22">
        <v>48.4</v>
      </c>
      <c r="N22">
        <f>Table7[[#This Row],[Price, lei]]*Table7[[#This Row],[Qty]]</f>
        <v>0</v>
      </c>
      <c r="O22" s="5">
        <v>46.347947275627583</v>
      </c>
      <c r="P22" t="s">
        <v>103</v>
      </c>
      <c r="Q22" t="s">
        <v>340</v>
      </c>
      <c r="R22" t="s">
        <v>24</v>
      </c>
    </row>
    <row r="23" spans="1:20" x14ac:dyDescent="0.25">
      <c r="A23" t="s">
        <v>899</v>
      </c>
      <c r="B23" t="s">
        <v>919</v>
      </c>
      <c r="C23">
        <v>3</v>
      </c>
      <c r="D23">
        <v>1</v>
      </c>
      <c r="E23">
        <v>19</v>
      </c>
      <c r="F23" t="s">
        <v>179</v>
      </c>
      <c r="H23" t="s">
        <v>179</v>
      </c>
      <c r="I23" t="s">
        <v>105</v>
      </c>
      <c r="J23">
        <v>480</v>
      </c>
      <c r="K23">
        <v>480</v>
      </c>
      <c r="L23">
        <v>1</v>
      </c>
      <c r="N23">
        <v>480</v>
      </c>
      <c r="O23" s="5">
        <v>24.179330031063728</v>
      </c>
      <c r="Q23" t="s">
        <v>340</v>
      </c>
      <c r="R23" t="s">
        <v>24</v>
      </c>
    </row>
    <row r="24" spans="1:20" x14ac:dyDescent="0.25">
      <c r="A24" t="s">
        <v>899</v>
      </c>
      <c r="B24" t="s">
        <v>919</v>
      </c>
      <c r="C24">
        <v>3</v>
      </c>
      <c r="D24">
        <v>1</v>
      </c>
      <c r="E24">
        <v>19</v>
      </c>
      <c r="F24" t="s">
        <v>176</v>
      </c>
      <c r="H24" t="s">
        <v>176</v>
      </c>
      <c r="I24" t="s">
        <v>105</v>
      </c>
      <c r="J24">
        <v>196</v>
      </c>
      <c r="K24">
        <v>196</v>
      </c>
      <c r="L24">
        <v>1</v>
      </c>
      <c r="N24">
        <v>196</v>
      </c>
      <c r="O24" s="5">
        <v>9.8732264293510212</v>
      </c>
      <c r="Q24" t="s">
        <v>340</v>
      </c>
      <c r="R24" t="s">
        <v>24</v>
      </c>
    </row>
    <row r="25" spans="1:20" x14ac:dyDescent="0.25">
      <c r="A25" t="s">
        <v>899</v>
      </c>
      <c r="B25" t="s">
        <v>919</v>
      </c>
      <c r="C25">
        <v>3</v>
      </c>
      <c r="D25">
        <v>1</v>
      </c>
      <c r="E25">
        <v>19</v>
      </c>
      <c r="F25" t="s">
        <v>170</v>
      </c>
      <c r="H25" t="s">
        <v>170</v>
      </c>
      <c r="I25" t="s">
        <v>105</v>
      </c>
      <c r="J25">
        <v>210</v>
      </c>
      <c r="K25">
        <v>210</v>
      </c>
      <c r="L25">
        <v>1</v>
      </c>
      <c r="N25">
        <v>210</v>
      </c>
      <c r="O25" s="5">
        <v>10.578456888590381</v>
      </c>
      <c r="Q25" t="s">
        <v>340</v>
      </c>
      <c r="R25" t="s">
        <v>24</v>
      </c>
    </row>
    <row r="26" spans="1:20" x14ac:dyDescent="0.25">
      <c r="A26" t="s">
        <v>899</v>
      </c>
      <c r="B26" t="s">
        <v>920</v>
      </c>
      <c r="C26">
        <v>4</v>
      </c>
      <c r="D26">
        <v>1</v>
      </c>
      <c r="E26">
        <v>19</v>
      </c>
      <c r="F26" t="s">
        <v>141</v>
      </c>
      <c r="H26" t="s">
        <v>172</v>
      </c>
      <c r="I26" t="s">
        <v>39</v>
      </c>
      <c r="J26">
        <v>2</v>
      </c>
      <c r="K26">
        <v>2</v>
      </c>
      <c r="L26">
        <v>2</v>
      </c>
      <c r="N26">
        <v>4</v>
      </c>
      <c r="O26" s="5">
        <v>0.20149441692553105</v>
      </c>
      <c r="Q26" t="s">
        <v>340</v>
      </c>
      <c r="R26" t="s">
        <v>24</v>
      </c>
    </row>
    <row r="27" spans="1:20" x14ac:dyDescent="0.25">
      <c r="A27" t="s">
        <v>899</v>
      </c>
      <c r="B27" t="s">
        <v>920</v>
      </c>
      <c r="C27">
        <v>4</v>
      </c>
      <c r="D27">
        <v>1</v>
      </c>
      <c r="E27">
        <v>19</v>
      </c>
      <c r="F27" t="s">
        <v>921</v>
      </c>
      <c r="H27" t="s">
        <v>35</v>
      </c>
      <c r="I27" t="s">
        <v>27</v>
      </c>
      <c r="J27">
        <v>93.75</v>
      </c>
      <c r="K27">
        <v>93.75</v>
      </c>
      <c r="L27">
        <v>1.01</v>
      </c>
      <c r="N27">
        <v>94.6875</v>
      </c>
      <c r="O27" s="5">
        <v>4.7697506506590557</v>
      </c>
      <c r="P27" t="s">
        <v>100</v>
      </c>
      <c r="Q27" t="s">
        <v>340</v>
      </c>
      <c r="R27" t="s">
        <v>24</v>
      </c>
    </row>
    <row r="28" spans="1:20" x14ac:dyDescent="0.25">
      <c r="A28" t="s">
        <v>899</v>
      </c>
      <c r="B28" t="s">
        <v>920</v>
      </c>
      <c r="C28">
        <v>4</v>
      </c>
      <c r="D28">
        <v>1</v>
      </c>
      <c r="E28">
        <v>19</v>
      </c>
      <c r="F28" t="s">
        <v>922</v>
      </c>
      <c r="H28" t="s">
        <v>131</v>
      </c>
      <c r="I28" t="s">
        <v>27</v>
      </c>
      <c r="J28">
        <v>67.599999999999994</v>
      </c>
      <c r="K28">
        <v>67.599999999999994</v>
      </c>
      <c r="L28">
        <v>1</v>
      </c>
      <c r="N28">
        <v>67.599999999999994</v>
      </c>
      <c r="O28" s="5">
        <v>3.4052556460414745</v>
      </c>
      <c r="P28" t="s">
        <v>100</v>
      </c>
      <c r="Q28" t="s">
        <v>340</v>
      </c>
      <c r="R28" t="s">
        <v>24</v>
      </c>
    </row>
    <row r="29" spans="1:20" x14ac:dyDescent="0.25">
      <c r="A29" t="s">
        <v>899</v>
      </c>
      <c r="B29" t="s">
        <v>920</v>
      </c>
      <c r="C29">
        <v>4</v>
      </c>
      <c r="D29">
        <v>1</v>
      </c>
      <c r="E29">
        <v>19</v>
      </c>
      <c r="F29" t="s">
        <v>802</v>
      </c>
      <c r="G29" t="s">
        <v>708</v>
      </c>
      <c r="H29" t="s">
        <v>131</v>
      </c>
      <c r="I29" t="s">
        <v>27</v>
      </c>
      <c r="J29">
        <v>128</v>
      </c>
      <c r="K29">
        <v>128</v>
      </c>
      <c r="L29">
        <v>0.59</v>
      </c>
      <c r="N29">
        <v>75.52</v>
      </c>
      <c r="O29" s="5">
        <v>3.8042145915540262</v>
      </c>
      <c r="P29" t="s">
        <v>100</v>
      </c>
      <c r="Q29" t="s">
        <v>340</v>
      </c>
      <c r="R29" t="s">
        <v>24</v>
      </c>
    </row>
    <row r="30" spans="1:20" x14ac:dyDescent="0.25">
      <c r="A30" t="s">
        <v>899</v>
      </c>
      <c r="B30" t="s">
        <v>920</v>
      </c>
      <c r="C30">
        <v>4</v>
      </c>
      <c r="D30">
        <v>1</v>
      </c>
      <c r="E30">
        <v>19</v>
      </c>
      <c r="F30" t="s">
        <v>372</v>
      </c>
      <c r="H30" t="s">
        <v>65</v>
      </c>
      <c r="I30" t="s">
        <v>27</v>
      </c>
      <c r="J30">
        <v>9</v>
      </c>
      <c r="K30">
        <v>9</v>
      </c>
      <c r="L30">
        <v>1</v>
      </c>
      <c r="N30">
        <v>9</v>
      </c>
      <c r="O30" s="5">
        <v>0.45336243808244486</v>
      </c>
      <c r="P30" t="s">
        <v>100</v>
      </c>
      <c r="Q30" t="s">
        <v>340</v>
      </c>
      <c r="R30" t="s">
        <v>24</v>
      </c>
    </row>
    <row r="31" spans="1:20" x14ac:dyDescent="0.25">
      <c r="A31" t="s">
        <v>899</v>
      </c>
      <c r="B31" t="s">
        <v>920</v>
      </c>
      <c r="C31">
        <v>4</v>
      </c>
      <c r="D31">
        <v>1</v>
      </c>
      <c r="E31">
        <v>19</v>
      </c>
      <c r="F31" t="s">
        <v>923</v>
      </c>
      <c r="G31" t="s">
        <v>708</v>
      </c>
      <c r="H31" t="s">
        <v>131</v>
      </c>
      <c r="I31" t="s">
        <v>27</v>
      </c>
      <c r="J31">
        <v>31</v>
      </c>
      <c r="K31">
        <v>31</v>
      </c>
      <c r="L31">
        <v>1</v>
      </c>
      <c r="N31">
        <v>31</v>
      </c>
      <c r="O31" s="5">
        <v>1.5615817311728657</v>
      </c>
      <c r="P31" t="s">
        <v>100</v>
      </c>
      <c r="Q31" t="s">
        <v>340</v>
      </c>
      <c r="R31" t="s">
        <v>24</v>
      </c>
    </row>
    <row r="32" spans="1:20" x14ac:dyDescent="0.25">
      <c r="A32" t="s">
        <v>899</v>
      </c>
      <c r="B32" t="s">
        <v>920</v>
      </c>
      <c r="C32">
        <v>4</v>
      </c>
      <c r="D32">
        <v>1</v>
      </c>
      <c r="E32">
        <v>19</v>
      </c>
      <c r="F32" t="s">
        <v>118</v>
      </c>
      <c r="H32" t="s">
        <v>40</v>
      </c>
      <c r="I32" t="s">
        <v>27</v>
      </c>
      <c r="J32">
        <v>10</v>
      </c>
      <c r="K32">
        <v>10</v>
      </c>
      <c r="L32">
        <v>1</v>
      </c>
      <c r="N32">
        <v>10</v>
      </c>
      <c r="O32" s="5">
        <v>0.50373604231382763</v>
      </c>
      <c r="P32" t="s">
        <v>100</v>
      </c>
      <c r="Q32" t="s">
        <v>340</v>
      </c>
      <c r="R32" t="s">
        <v>24</v>
      </c>
    </row>
    <row r="33" spans="1:18" x14ac:dyDescent="0.25">
      <c r="A33" t="s">
        <v>899</v>
      </c>
      <c r="B33" t="s">
        <v>920</v>
      </c>
      <c r="C33">
        <v>4</v>
      </c>
      <c r="D33">
        <v>1</v>
      </c>
      <c r="E33">
        <v>19</v>
      </c>
      <c r="F33" t="s">
        <v>924</v>
      </c>
      <c r="G33" t="s">
        <v>127</v>
      </c>
      <c r="H33" t="s">
        <v>63</v>
      </c>
      <c r="I33" t="s">
        <v>27</v>
      </c>
      <c r="J33">
        <v>40</v>
      </c>
      <c r="K33">
        <v>40</v>
      </c>
      <c r="L33">
        <v>1</v>
      </c>
      <c r="N33">
        <v>40</v>
      </c>
      <c r="O33" s="5">
        <v>2.0149441692553105</v>
      </c>
      <c r="P33" t="s">
        <v>100</v>
      </c>
      <c r="Q33" t="s">
        <v>340</v>
      </c>
      <c r="R33" t="s">
        <v>24</v>
      </c>
    </row>
    <row r="34" spans="1:18" x14ac:dyDescent="0.25">
      <c r="A34" t="s">
        <v>899</v>
      </c>
      <c r="B34" t="s">
        <v>920</v>
      </c>
      <c r="C34">
        <v>4</v>
      </c>
      <c r="D34">
        <v>1</v>
      </c>
      <c r="E34">
        <v>19</v>
      </c>
      <c r="F34" t="s">
        <v>925</v>
      </c>
      <c r="G34" t="s">
        <v>708</v>
      </c>
      <c r="H34" t="s">
        <v>131</v>
      </c>
      <c r="I34" t="s">
        <v>27</v>
      </c>
      <c r="J34">
        <v>48</v>
      </c>
      <c r="K34">
        <v>48</v>
      </c>
      <c r="L34">
        <v>1</v>
      </c>
      <c r="N34">
        <v>48</v>
      </c>
      <c r="O34" s="5">
        <v>2.4179330031063726</v>
      </c>
      <c r="P34" t="s">
        <v>100</v>
      </c>
      <c r="Q34" t="s">
        <v>340</v>
      </c>
      <c r="R34" t="s">
        <v>24</v>
      </c>
    </row>
    <row r="35" spans="1:18" x14ac:dyDescent="0.25">
      <c r="A35" t="s">
        <v>899</v>
      </c>
      <c r="B35" t="s">
        <v>926</v>
      </c>
      <c r="C35">
        <v>8</v>
      </c>
      <c r="D35">
        <v>1</v>
      </c>
      <c r="E35">
        <v>19</v>
      </c>
      <c r="F35" t="s">
        <v>927</v>
      </c>
      <c r="I35" t="s">
        <v>87</v>
      </c>
      <c r="J35">
        <v>80</v>
      </c>
      <c r="K35">
        <v>80</v>
      </c>
      <c r="L35">
        <v>1</v>
      </c>
      <c r="N35">
        <v>80</v>
      </c>
      <c r="O35" s="5">
        <v>4.029888338510621</v>
      </c>
      <c r="Q35" t="s">
        <v>340</v>
      </c>
      <c r="R35" t="s">
        <v>24</v>
      </c>
    </row>
    <row r="36" spans="1:18" x14ac:dyDescent="0.25">
      <c r="A36" t="s">
        <v>899</v>
      </c>
      <c r="B36" t="s">
        <v>928</v>
      </c>
      <c r="C36">
        <v>5</v>
      </c>
      <c r="D36">
        <v>1</v>
      </c>
      <c r="E36">
        <v>19</v>
      </c>
      <c r="F36" t="s">
        <v>929</v>
      </c>
      <c r="I36" t="s">
        <v>87</v>
      </c>
      <c r="J36">
        <v>200</v>
      </c>
      <c r="K36">
        <v>200</v>
      </c>
      <c r="L36">
        <v>1</v>
      </c>
      <c r="N36">
        <v>200</v>
      </c>
      <c r="O36" s="5">
        <v>10.074720846276552</v>
      </c>
      <c r="Q36" t="s">
        <v>340</v>
      </c>
      <c r="R36" t="s">
        <v>24</v>
      </c>
    </row>
    <row r="37" spans="1:18" x14ac:dyDescent="0.25">
      <c r="A37" t="s">
        <v>899</v>
      </c>
      <c r="B37" t="s">
        <v>928</v>
      </c>
      <c r="C37">
        <v>5</v>
      </c>
      <c r="D37">
        <v>1</v>
      </c>
      <c r="E37">
        <v>19</v>
      </c>
      <c r="F37" t="s">
        <v>930</v>
      </c>
      <c r="I37" t="s">
        <v>87</v>
      </c>
      <c r="J37">
        <v>200</v>
      </c>
      <c r="K37">
        <v>200</v>
      </c>
      <c r="L37">
        <v>1</v>
      </c>
      <c r="N37">
        <v>200</v>
      </c>
      <c r="O37" s="5">
        <v>10.074720846276552</v>
      </c>
      <c r="Q37" t="s">
        <v>340</v>
      </c>
      <c r="R37" t="s">
        <v>24</v>
      </c>
    </row>
    <row r="38" spans="1:18" x14ac:dyDescent="0.25">
      <c r="A38" t="s">
        <v>899</v>
      </c>
      <c r="B38" t="s">
        <v>931</v>
      </c>
      <c r="C38">
        <v>9</v>
      </c>
      <c r="D38">
        <v>1</v>
      </c>
      <c r="E38">
        <v>19</v>
      </c>
      <c r="F38" t="s">
        <v>932</v>
      </c>
      <c r="H38" t="s">
        <v>933</v>
      </c>
      <c r="I38" t="s">
        <v>72</v>
      </c>
      <c r="J38">
        <v>150</v>
      </c>
      <c r="K38">
        <v>150</v>
      </c>
      <c r="L38">
        <v>1</v>
      </c>
      <c r="N38">
        <v>150</v>
      </c>
      <c r="O38" s="5">
        <v>7.5560406347074149</v>
      </c>
      <c r="Q38" t="s">
        <v>340</v>
      </c>
      <c r="R38" t="s">
        <v>24</v>
      </c>
    </row>
    <row r="39" spans="1:18" x14ac:dyDescent="0.25">
      <c r="A39" t="s">
        <v>899</v>
      </c>
      <c r="B39" t="s">
        <v>931</v>
      </c>
      <c r="C39">
        <v>9</v>
      </c>
      <c r="D39">
        <v>1</v>
      </c>
      <c r="E39">
        <v>19</v>
      </c>
      <c r="F39" t="s">
        <v>802</v>
      </c>
      <c r="G39" t="s">
        <v>708</v>
      </c>
      <c r="H39" t="s">
        <v>131</v>
      </c>
      <c r="I39" t="s">
        <v>27</v>
      </c>
      <c r="J39">
        <v>128</v>
      </c>
      <c r="K39">
        <v>128</v>
      </c>
      <c r="L39">
        <v>0.318</v>
      </c>
      <c r="N39">
        <v>40.704000000000001</v>
      </c>
      <c r="O39" s="5">
        <v>2.050407186634204</v>
      </c>
      <c r="P39" t="s">
        <v>100</v>
      </c>
      <c r="Q39" t="s">
        <v>340</v>
      </c>
      <c r="R39" t="s">
        <v>24</v>
      </c>
    </row>
    <row r="40" spans="1:18" x14ac:dyDescent="0.25">
      <c r="A40" t="s">
        <v>899</v>
      </c>
      <c r="B40" t="s">
        <v>931</v>
      </c>
      <c r="C40">
        <v>9</v>
      </c>
      <c r="D40">
        <v>1</v>
      </c>
      <c r="E40">
        <v>19</v>
      </c>
      <c r="F40" t="s">
        <v>934</v>
      </c>
      <c r="G40" t="s">
        <v>77</v>
      </c>
      <c r="H40" t="s">
        <v>26</v>
      </c>
      <c r="I40" t="s">
        <v>27</v>
      </c>
      <c r="J40">
        <v>25.6</v>
      </c>
      <c r="K40">
        <v>25.6</v>
      </c>
      <c r="L40">
        <v>1</v>
      </c>
      <c r="N40">
        <v>25.6</v>
      </c>
      <c r="O40" s="5">
        <v>1.2895642683233988</v>
      </c>
      <c r="P40" t="s">
        <v>100</v>
      </c>
      <c r="Q40" t="s">
        <v>340</v>
      </c>
      <c r="R40" t="s">
        <v>24</v>
      </c>
    </row>
    <row r="41" spans="1:18" x14ac:dyDescent="0.25">
      <c r="A41" t="s">
        <v>899</v>
      </c>
      <c r="B41" t="s">
        <v>931</v>
      </c>
      <c r="C41">
        <v>9</v>
      </c>
      <c r="D41">
        <v>1</v>
      </c>
      <c r="E41">
        <v>19</v>
      </c>
      <c r="F41" t="s">
        <v>935</v>
      </c>
      <c r="G41" t="s">
        <v>708</v>
      </c>
      <c r="H41" t="s">
        <v>131</v>
      </c>
      <c r="I41" t="s">
        <v>27</v>
      </c>
      <c r="J41">
        <v>36.6</v>
      </c>
      <c r="K41">
        <v>36.6</v>
      </c>
      <c r="L41">
        <v>1</v>
      </c>
      <c r="N41">
        <v>36.6</v>
      </c>
      <c r="O41" s="5">
        <v>1.8436739148686092</v>
      </c>
      <c r="P41" t="s">
        <v>100</v>
      </c>
      <c r="Q41" t="s">
        <v>340</v>
      </c>
      <c r="R41" t="s">
        <v>24</v>
      </c>
    </row>
    <row r="42" spans="1:18" x14ac:dyDescent="0.25">
      <c r="A42" t="s">
        <v>899</v>
      </c>
      <c r="B42" t="s">
        <v>931</v>
      </c>
      <c r="C42">
        <v>9</v>
      </c>
      <c r="D42">
        <v>1</v>
      </c>
      <c r="E42">
        <v>19</v>
      </c>
      <c r="F42" t="s">
        <v>936</v>
      </c>
      <c r="G42" t="s">
        <v>708</v>
      </c>
      <c r="H42" t="s">
        <v>131</v>
      </c>
      <c r="I42" t="s">
        <v>27</v>
      </c>
      <c r="J42">
        <v>57.6</v>
      </c>
      <c r="K42">
        <v>57.6</v>
      </c>
      <c r="L42">
        <v>1</v>
      </c>
      <c r="N42">
        <v>57.6</v>
      </c>
      <c r="O42" s="5">
        <v>2.9015196037276474</v>
      </c>
      <c r="P42" t="s">
        <v>100</v>
      </c>
      <c r="Q42" t="s">
        <v>340</v>
      </c>
      <c r="R42" t="s">
        <v>24</v>
      </c>
    </row>
    <row r="43" spans="1:18" x14ac:dyDescent="0.25">
      <c r="A43" t="s">
        <v>899</v>
      </c>
      <c r="B43" t="s">
        <v>931</v>
      </c>
      <c r="C43">
        <v>9</v>
      </c>
      <c r="D43">
        <v>1</v>
      </c>
      <c r="E43">
        <v>19</v>
      </c>
      <c r="F43" t="s">
        <v>937</v>
      </c>
      <c r="G43" t="s">
        <v>25</v>
      </c>
      <c r="H43" t="s">
        <v>26</v>
      </c>
      <c r="I43" t="s">
        <v>27</v>
      </c>
      <c r="J43">
        <v>264</v>
      </c>
      <c r="K43">
        <v>264</v>
      </c>
      <c r="L43">
        <v>0.13</v>
      </c>
      <c r="N43">
        <v>34.32</v>
      </c>
      <c r="O43" s="5">
        <v>1.7288220972210564</v>
      </c>
      <c r="P43" t="s">
        <v>100</v>
      </c>
      <c r="Q43" t="s">
        <v>340</v>
      </c>
      <c r="R43" t="s">
        <v>24</v>
      </c>
    </row>
    <row r="44" spans="1:18" x14ac:dyDescent="0.25">
      <c r="A44" t="s">
        <v>899</v>
      </c>
      <c r="B44" t="s">
        <v>931</v>
      </c>
      <c r="C44">
        <v>9</v>
      </c>
      <c r="D44">
        <v>1</v>
      </c>
      <c r="E44">
        <v>19</v>
      </c>
      <c r="F44" t="s">
        <v>938</v>
      </c>
      <c r="G44" t="s">
        <v>708</v>
      </c>
      <c r="H44" t="s">
        <v>131</v>
      </c>
      <c r="I44" t="s">
        <v>27</v>
      </c>
      <c r="J44">
        <v>56.6</v>
      </c>
      <c r="K44">
        <v>56.6</v>
      </c>
      <c r="L44">
        <v>1</v>
      </c>
      <c r="N44">
        <v>56.6</v>
      </c>
      <c r="O44" s="5">
        <v>2.8511459994962647</v>
      </c>
      <c r="P44" t="s">
        <v>100</v>
      </c>
      <c r="Q44" t="s">
        <v>340</v>
      </c>
      <c r="R44" t="s">
        <v>24</v>
      </c>
    </row>
    <row r="45" spans="1:18" x14ac:dyDescent="0.25">
      <c r="A45" t="s">
        <v>899</v>
      </c>
      <c r="B45" t="s">
        <v>931</v>
      </c>
      <c r="C45">
        <v>9</v>
      </c>
      <c r="D45">
        <v>1</v>
      </c>
      <c r="E45">
        <v>19</v>
      </c>
      <c r="F45" t="s">
        <v>118</v>
      </c>
      <c r="H45" t="s">
        <v>40</v>
      </c>
      <c r="I45" t="s">
        <v>27</v>
      </c>
      <c r="J45">
        <v>10</v>
      </c>
      <c r="K45">
        <v>10</v>
      </c>
      <c r="L45">
        <v>1</v>
      </c>
      <c r="N45">
        <v>10</v>
      </c>
      <c r="O45" s="5">
        <v>0.50373604231382763</v>
      </c>
      <c r="P45" t="s">
        <v>100</v>
      </c>
      <c r="Q45" t="s">
        <v>340</v>
      </c>
      <c r="R45" t="s">
        <v>24</v>
      </c>
    </row>
    <row r="46" spans="1:18" x14ac:dyDescent="0.25">
      <c r="A46" t="s">
        <v>899</v>
      </c>
      <c r="B46" t="s">
        <v>939</v>
      </c>
      <c r="C46">
        <v>6</v>
      </c>
      <c r="D46">
        <v>1</v>
      </c>
      <c r="E46">
        <v>19</v>
      </c>
      <c r="F46" t="s">
        <v>204</v>
      </c>
      <c r="I46" t="s">
        <v>27</v>
      </c>
      <c r="J46">
        <v>68</v>
      </c>
      <c r="K46">
        <v>68</v>
      </c>
      <c r="L46">
        <v>0.05</v>
      </c>
      <c r="N46">
        <v>3.4000000000000004</v>
      </c>
      <c r="O46" s="5">
        <v>0.17127025438670143</v>
      </c>
      <c r="P46" t="s">
        <v>101</v>
      </c>
      <c r="Q46" t="s">
        <v>340</v>
      </c>
      <c r="R46" t="s">
        <v>24</v>
      </c>
    </row>
    <row r="47" spans="1:18" x14ac:dyDescent="0.25">
      <c r="A47" t="s">
        <v>899</v>
      </c>
      <c r="B47" t="s">
        <v>939</v>
      </c>
      <c r="C47">
        <v>6</v>
      </c>
      <c r="D47">
        <v>1</v>
      </c>
      <c r="E47">
        <v>19</v>
      </c>
      <c r="F47" t="s">
        <v>146</v>
      </c>
      <c r="G47" t="s">
        <v>146</v>
      </c>
      <c r="H47" t="s">
        <v>49</v>
      </c>
      <c r="I47" t="s">
        <v>50</v>
      </c>
      <c r="J47">
        <v>0.6</v>
      </c>
      <c r="K47">
        <v>0.6</v>
      </c>
      <c r="L47">
        <v>1</v>
      </c>
      <c r="N47">
        <v>0.6</v>
      </c>
      <c r="O47" s="5">
        <v>3.0224162538829657E-2</v>
      </c>
      <c r="P47" t="s">
        <v>46</v>
      </c>
      <c r="Q47" t="s">
        <v>340</v>
      </c>
      <c r="R47" t="s">
        <v>84</v>
      </c>
    </row>
    <row r="48" spans="1:18" x14ac:dyDescent="0.25">
      <c r="A48" t="s">
        <v>899</v>
      </c>
      <c r="B48" t="s">
        <v>939</v>
      </c>
      <c r="C48">
        <v>6</v>
      </c>
      <c r="D48">
        <v>1</v>
      </c>
      <c r="E48">
        <v>19</v>
      </c>
      <c r="F48" t="s">
        <v>940</v>
      </c>
      <c r="I48" t="s">
        <v>27</v>
      </c>
      <c r="J48">
        <v>34.799999999999997</v>
      </c>
      <c r="K48">
        <v>34.799999999999997</v>
      </c>
      <c r="L48">
        <v>1</v>
      </c>
      <c r="N48">
        <v>34.799999999999997</v>
      </c>
      <c r="O48" s="5">
        <v>1.7530014272521202</v>
      </c>
      <c r="P48" t="s">
        <v>46</v>
      </c>
      <c r="Q48" t="s">
        <v>340</v>
      </c>
      <c r="R48" t="s">
        <v>84</v>
      </c>
    </row>
    <row r="49" spans="1:18" x14ac:dyDescent="0.25">
      <c r="A49" t="s">
        <v>899</v>
      </c>
      <c r="B49" t="s">
        <v>939</v>
      </c>
      <c r="C49">
        <v>6</v>
      </c>
      <c r="D49">
        <v>1</v>
      </c>
      <c r="E49">
        <v>19</v>
      </c>
      <c r="F49" t="s">
        <v>372</v>
      </c>
      <c r="G49" t="s">
        <v>373</v>
      </c>
      <c r="H49" t="s">
        <v>65</v>
      </c>
      <c r="I49" t="s">
        <v>27</v>
      </c>
      <c r="J49">
        <v>7.7</v>
      </c>
      <c r="K49">
        <v>7.7</v>
      </c>
      <c r="L49">
        <v>2</v>
      </c>
      <c r="N49">
        <v>15.4</v>
      </c>
      <c r="O49" s="5">
        <v>0.77575350516329455</v>
      </c>
      <c r="P49" t="s">
        <v>46</v>
      </c>
      <c r="Q49" t="s">
        <v>340</v>
      </c>
      <c r="R49" t="s">
        <v>24</v>
      </c>
    </row>
    <row r="50" spans="1:18" x14ac:dyDescent="0.25">
      <c r="A50" t="s">
        <v>899</v>
      </c>
      <c r="B50" t="s">
        <v>939</v>
      </c>
      <c r="C50">
        <v>6</v>
      </c>
      <c r="D50">
        <v>1</v>
      </c>
      <c r="E50">
        <v>19</v>
      </c>
      <c r="F50" t="s">
        <v>941</v>
      </c>
      <c r="I50" t="s">
        <v>27</v>
      </c>
      <c r="J50">
        <v>35.1</v>
      </c>
      <c r="K50">
        <v>35.1</v>
      </c>
      <c r="L50">
        <v>1</v>
      </c>
      <c r="N50">
        <v>35.1</v>
      </c>
      <c r="O50" s="5">
        <v>1.7681135085215351</v>
      </c>
      <c r="P50" t="s">
        <v>46</v>
      </c>
      <c r="Q50" t="s">
        <v>340</v>
      </c>
      <c r="R50" t="s">
        <v>84</v>
      </c>
    </row>
    <row r="51" spans="1:18" x14ac:dyDescent="0.25">
      <c r="A51" t="s">
        <v>899</v>
      </c>
      <c r="B51" t="s">
        <v>939</v>
      </c>
      <c r="C51">
        <v>6</v>
      </c>
      <c r="D51">
        <v>1</v>
      </c>
      <c r="E51">
        <v>19</v>
      </c>
      <c r="F51" t="s">
        <v>942</v>
      </c>
      <c r="I51" t="s">
        <v>27</v>
      </c>
      <c r="J51">
        <v>39.950000000000003</v>
      </c>
      <c r="K51">
        <v>39.950000000000003</v>
      </c>
      <c r="L51">
        <v>1</v>
      </c>
      <c r="N51">
        <v>39.950000000000003</v>
      </c>
      <c r="O51" s="5">
        <v>2.0124254890437414</v>
      </c>
      <c r="P51" t="s">
        <v>46</v>
      </c>
      <c r="Q51" t="s">
        <v>340</v>
      </c>
      <c r="R51" t="s">
        <v>84</v>
      </c>
    </row>
    <row r="52" spans="1:18" x14ac:dyDescent="0.25">
      <c r="A52" t="s">
        <v>899</v>
      </c>
      <c r="B52" t="s">
        <v>920</v>
      </c>
      <c r="C52">
        <v>4</v>
      </c>
      <c r="D52">
        <v>1</v>
      </c>
      <c r="E52">
        <v>19</v>
      </c>
      <c r="F52" t="s">
        <v>943</v>
      </c>
      <c r="H52" t="s">
        <v>518</v>
      </c>
      <c r="I52" t="s">
        <v>87</v>
      </c>
      <c r="J52">
        <v>180</v>
      </c>
      <c r="K52">
        <v>180</v>
      </c>
      <c r="L52">
        <v>1</v>
      </c>
      <c r="N52">
        <v>180</v>
      </c>
      <c r="O52" s="5">
        <v>9.0672487616488979</v>
      </c>
      <c r="P52" t="s">
        <v>944</v>
      </c>
      <c r="Q52" t="s">
        <v>340</v>
      </c>
      <c r="R52" t="s">
        <v>24</v>
      </c>
    </row>
    <row r="53" spans="1:18" x14ac:dyDescent="0.25">
      <c r="A53" t="s">
        <v>899</v>
      </c>
      <c r="B53" t="s">
        <v>926</v>
      </c>
      <c r="C53">
        <v>8</v>
      </c>
      <c r="D53">
        <v>1</v>
      </c>
      <c r="E53">
        <v>19</v>
      </c>
      <c r="F53" t="s">
        <v>75</v>
      </c>
      <c r="H53" t="s">
        <v>65</v>
      </c>
      <c r="I53" t="s">
        <v>27</v>
      </c>
      <c r="J53">
        <v>9.02</v>
      </c>
      <c r="K53">
        <v>9.02</v>
      </c>
      <c r="L53">
        <v>4</v>
      </c>
      <c r="N53">
        <v>36.08</v>
      </c>
      <c r="O53" s="5">
        <v>1.81747964066829</v>
      </c>
      <c r="P53" t="s">
        <v>90</v>
      </c>
      <c r="Q53" t="s">
        <v>340</v>
      </c>
      <c r="R53" t="s">
        <v>24</v>
      </c>
    </row>
    <row r="54" spans="1:18" x14ac:dyDescent="0.25">
      <c r="A54" t="s">
        <v>899</v>
      </c>
      <c r="B54" t="s">
        <v>926</v>
      </c>
      <c r="C54">
        <v>8</v>
      </c>
      <c r="D54">
        <v>1</v>
      </c>
      <c r="E54">
        <v>19</v>
      </c>
      <c r="F54" t="s">
        <v>55</v>
      </c>
      <c r="H54" t="s">
        <v>518</v>
      </c>
      <c r="I54" t="s">
        <v>27</v>
      </c>
      <c r="J54">
        <v>21.1</v>
      </c>
      <c r="K54">
        <v>21.1</v>
      </c>
      <c r="L54">
        <v>1.1200000000000001</v>
      </c>
      <c r="N54">
        <v>23.632000000000005</v>
      </c>
      <c r="O54" s="5">
        <v>1.1904290151960377</v>
      </c>
      <c r="P54" t="s">
        <v>90</v>
      </c>
      <c r="Q54" t="s">
        <v>340</v>
      </c>
      <c r="R54" t="s">
        <v>24</v>
      </c>
    </row>
    <row r="55" spans="1:18" x14ac:dyDescent="0.25">
      <c r="A55" t="s">
        <v>899</v>
      </c>
      <c r="B55" t="s">
        <v>926</v>
      </c>
      <c r="C55">
        <v>8</v>
      </c>
      <c r="D55">
        <v>1</v>
      </c>
      <c r="E55">
        <v>19</v>
      </c>
      <c r="F55" t="s">
        <v>945</v>
      </c>
      <c r="H55" t="s">
        <v>54</v>
      </c>
      <c r="I55" t="s">
        <v>27</v>
      </c>
      <c r="J55">
        <v>44.5</v>
      </c>
      <c r="K55">
        <v>44.5</v>
      </c>
      <c r="L55">
        <v>0.34399999999999997</v>
      </c>
      <c r="N55">
        <v>15.307999999999998</v>
      </c>
      <c r="O55" s="5">
        <v>0.7711191335740073</v>
      </c>
      <c r="P55" t="s">
        <v>90</v>
      </c>
      <c r="Q55" t="s">
        <v>340</v>
      </c>
      <c r="R55" t="s">
        <v>24</v>
      </c>
    </row>
    <row r="56" spans="1:18" x14ac:dyDescent="0.25">
      <c r="A56" t="s">
        <v>899</v>
      </c>
      <c r="B56" t="s">
        <v>926</v>
      </c>
      <c r="C56">
        <v>8</v>
      </c>
      <c r="D56">
        <v>1</v>
      </c>
      <c r="E56">
        <v>19</v>
      </c>
      <c r="F56" t="s">
        <v>934</v>
      </c>
      <c r="G56" t="s">
        <v>77</v>
      </c>
      <c r="H56" t="s">
        <v>26</v>
      </c>
      <c r="I56" t="s">
        <v>27</v>
      </c>
      <c r="J56">
        <v>21.79</v>
      </c>
      <c r="K56">
        <v>21.79</v>
      </c>
      <c r="L56">
        <v>1</v>
      </c>
      <c r="N56">
        <v>21.79</v>
      </c>
      <c r="O56" s="5">
        <v>1.0976408362018304</v>
      </c>
      <c r="P56" t="s">
        <v>90</v>
      </c>
      <c r="Q56" t="s">
        <v>340</v>
      </c>
      <c r="R56" t="s">
        <v>24</v>
      </c>
    </row>
    <row r="57" spans="1:18" x14ac:dyDescent="0.25">
      <c r="A57" t="s">
        <v>899</v>
      </c>
      <c r="B57" t="s">
        <v>926</v>
      </c>
      <c r="C57">
        <v>8</v>
      </c>
      <c r="D57">
        <v>1</v>
      </c>
      <c r="E57">
        <v>19</v>
      </c>
      <c r="F57" t="s">
        <v>118</v>
      </c>
      <c r="H57" t="s">
        <v>467</v>
      </c>
      <c r="I57" t="s">
        <v>27</v>
      </c>
      <c r="J57">
        <v>7.68</v>
      </c>
      <c r="K57">
        <v>7.68</v>
      </c>
      <c r="L57">
        <v>1</v>
      </c>
      <c r="N57">
        <v>7.68</v>
      </c>
      <c r="O57" s="5">
        <v>0.38686928049701963</v>
      </c>
      <c r="P57" t="s">
        <v>90</v>
      </c>
      <c r="Q57" t="s">
        <v>340</v>
      </c>
      <c r="R57" t="s">
        <v>24</v>
      </c>
    </row>
    <row r="58" spans="1:18" x14ac:dyDescent="0.25">
      <c r="A58" t="s">
        <v>899</v>
      </c>
      <c r="B58" t="s">
        <v>926</v>
      </c>
      <c r="C58">
        <v>8</v>
      </c>
      <c r="D58">
        <v>1</v>
      </c>
      <c r="E58">
        <v>19</v>
      </c>
      <c r="F58" t="s">
        <v>766</v>
      </c>
      <c r="G58" t="s">
        <v>364</v>
      </c>
      <c r="H58" t="s">
        <v>63</v>
      </c>
      <c r="I58" t="s">
        <v>27</v>
      </c>
      <c r="J58">
        <v>11.9</v>
      </c>
      <c r="K58">
        <v>11.9</v>
      </c>
      <c r="L58">
        <v>1</v>
      </c>
      <c r="N58">
        <v>11.9</v>
      </c>
      <c r="O58" s="5">
        <v>0.59944589035345497</v>
      </c>
      <c r="P58" t="s">
        <v>90</v>
      </c>
      <c r="Q58" t="s">
        <v>340</v>
      </c>
      <c r="R58" t="s">
        <v>24</v>
      </c>
    </row>
    <row r="59" spans="1:18" x14ac:dyDescent="0.25">
      <c r="A59" t="s">
        <v>899</v>
      </c>
      <c r="B59" t="s">
        <v>926</v>
      </c>
      <c r="C59">
        <v>8</v>
      </c>
      <c r="D59">
        <v>1</v>
      </c>
      <c r="E59">
        <v>19</v>
      </c>
      <c r="F59" t="s">
        <v>123</v>
      </c>
      <c r="G59" t="s">
        <v>776</v>
      </c>
      <c r="H59" t="s">
        <v>56</v>
      </c>
      <c r="I59" t="s">
        <v>27</v>
      </c>
      <c r="J59">
        <v>27.9</v>
      </c>
      <c r="K59">
        <v>27.9</v>
      </c>
      <c r="L59">
        <v>1.232</v>
      </c>
      <c r="N59">
        <v>34.372799999999998</v>
      </c>
      <c r="O59" s="5">
        <v>1.7314818235244733</v>
      </c>
      <c r="P59" t="s">
        <v>90</v>
      </c>
      <c r="Q59" t="s">
        <v>340</v>
      </c>
      <c r="R59" t="s">
        <v>24</v>
      </c>
    </row>
    <row r="60" spans="1:18" x14ac:dyDescent="0.25">
      <c r="A60" t="s">
        <v>899</v>
      </c>
      <c r="B60" t="s">
        <v>926</v>
      </c>
      <c r="C60">
        <v>8</v>
      </c>
      <c r="D60">
        <v>1</v>
      </c>
      <c r="E60">
        <v>19</v>
      </c>
      <c r="F60" t="s">
        <v>946</v>
      </c>
      <c r="G60" t="s">
        <v>364</v>
      </c>
      <c r="H60" t="s">
        <v>63</v>
      </c>
      <c r="I60" t="s">
        <v>27</v>
      </c>
      <c r="J60">
        <v>6.05</v>
      </c>
      <c r="K60">
        <v>6.05</v>
      </c>
      <c r="L60">
        <v>1</v>
      </c>
      <c r="N60">
        <v>6.05</v>
      </c>
      <c r="O60" s="5">
        <v>0.30476030559986572</v>
      </c>
      <c r="P60" t="s">
        <v>90</v>
      </c>
      <c r="Q60" t="s">
        <v>340</v>
      </c>
      <c r="R60" t="s">
        <v>24</v>
      </c>
    </row>
    <row r="61" spans="1:18" x14ac:dyDescent="0.25">
      <c r="A61" t="s">
        <v>899</v>
      </c>
      <c r="B61" t="s">
        <v>926</v>
      </c>
      <c r="C61">
        <v>8</v>
      </c>
      <c r="D61">
        <v>1</v>
      </c>
      <c r="E61">
        <v>19</v>
      </c>
      <c r="F61" t="s">
        <v>947</v>
      </c>
      <c r="H61" t="s">
        <v>117</v>
      </c>
      <c r="I61" t="s">
        <v>27</v>
      </c>
      <c r="J61">
        <v>13.92</v>
      </c>
      <c r="K61">
        <v>13.92</v>
      </c>
      <c r="L61">
        <v>1</v>
      </c>
      <c r="N61">
        <v>13.92</v>
      </c>
      <c r="O61" s="5">
        <v>0.70120057090084809</v>
      </c>
      <c r="P61" t="s">
        <v>90</v>
      </c>
      <c r="Q61" t="s">
        <v>340</v>
      </c>
      <c r="R61" t="s">
        <v>24</v>
      </c>
    </row>
    <row r="62" spans="1:18" x14ac:dyDescent="0.25">
      <c r="A62" t="s">
        <v>899</v>
      </c>
      <c r="B62" t="s">
        <v>926</v>
      </c>
      <c r="C62">
        <v>8</v>
      </c>
      <c r="D62">
        <v>1</v>
      </c>
      <c r="E62">
        <v>19</v>
      </c>
      <c r="F62" t="s">
        <v>204</v>
      </c>
      <c r="H62" t="s">
        <v>39</v>
      </c>
      <c r="I62" t="s">
        <v>27</v>
      </c>
      <c r="J62">
        <v>54</v>
      </c>
      <c r="K62">
        <v>54</v>
      </c>
      <c r="L62">
        <v>0.33600000000000002</v>
      </c>
      <c r="N62">
        <v>18.144000000000002</v>
      </c>
      <c r="O62" s="5">
        <v>0.91397867517420894</v>
      </c>
      <c r="P62" t="s">
        <v>90</v>
      </c>
      <c r="Q62" t="s">
        <v>340</v>
      </c>
      <c r="R62" t="s">
        <v>24</v>
      </c>
    </row>
    <row r="63" spans="1:18" x14ac:dyDescent="0.25">
      <c r="A63" t="s">
        <v>899</v>
      </c>
      <c r="B63" t="s">
        <v>926</v>
      </c>
      <c r="C63">
        <v>8</v>
      </c>
      <c r="D63">
        <v>1</v>
      </c>
      <c r="E63">
        <v>19</v>
      </c>
      <c r="F63" t="s">
        <v>948</v>
      </c>
      <c r="H63" t="s">
        <v>39</v>
      </c>
      <c r="I63" t="s">
        <v>27</v>
      </c>
      <c r="J63">
        <v>6.14</v>
      </c>
      <c r="K63">
        <v>6.14</v>
      </c>
      <c r="L63">
        <v>1</v>
      </c>
      <c r="N63">
        <v>6.14</v>
      </c>
      <c r="O63" s="5">
        <v>0.30929392998069016</v>
      </c>
      <c r="P63" t="s">
        <v>90</v>
      </c>
      <c r="Q63" t="s">
        <v>340</v>
      </c>
      <c r="R63" t="s">
        <v>24</v>
      </c>
    </row>
    <row r="64" spans="1:18" x14ac:dyDescent="0.25">
      <c r="A64" t="s">
        <v>899</v>
      </c>
      <c r="B64" t="s">
        <v>926</v>
      </c>
      <c r="C64">
        <v>8</v>
      </c>
      <c r="D64">
        <v>1</v>
      </c>
      <c r="E64">
        <v>19</v>
      </c>
      <c r="F64" t="s">
        <v>898</v>
      </c>
      <c r="G64" t="s">
        <v>38</v>
      </c>
      <c r="H64" t="s">
        <v>39</v>
      </c>
      <c r="I64" t="s">
        <v>27</v>
      </c>
      <c r="J64">
        <v>25.25</v>
      </c>
      <c r="K64">
        <v>25.25</v>
      </c>
      <c r="L64">
        <v>1</v>
      </c>
      <c r="N64">
        <v>25.25</v>
      </c>
      <c r="O64" s="5">
        <v>1.2719335068424149</v>
      </c>
      <c r="P64" t="s">
        <v>90</v>
      </c>
      <c r="Q64" t="s">
        <v>340</v>
      </c>
      <c r="R64" t="s">
        <v>24</v>
      </c>
    </row>
    <row r="65" spans="1:18" x14ac:dyDescent="0.25">
      <c r="A65" t="s">
        <v>899</v>
      </c>
      <c r="B65" t="s">
        <v>926</v>
      </c>
      <c r="C65">
        <v>8</v>
      </c>
      <c r="D65">
        <v>1</v>
      </c>
      <c r="E65">
        <v>19</v>
      </c>
      <c r="F65" t="s">
        <v>106</v>
      </c>
      <c r="G65" t="s">
        <v>106</v>
      </c>
      <c r="H65" t="s">
        <v>56</v>
      </c>
      <c r="I65" t="s">
        <v>27</v>
      </c>
      <c r="J65">
        <v>25.1</v>
      </c>
      <c r="K65">
        <v>25.1</v>
      </c>
      <c r="L65">
        <v>2.0840000000000001</v>
      </c>
      <c r="N65">
        <v>52.308400000000006</v>
      </c>
      <c r="O65" s="5">
        <v>2.6349626395768624</v>
      </c>
      <c r="P65" t="s">
        <v>90</v>
      </c>
      <c r="Q65" t="s">
        <v>340</v>
      </c>
      <c r="R65" t="s">
        <v>24</v>
      </c>
    </row>
    <row r="66" spans="1:18" x14ac:dyDescent="0.25">
      <c r="A66" t="s">
        <v>899</v>
      </c>
      <c r="B66" t="s">
        <v>926</v>
      </c>
      <c r="C66">
        <v>8</v>
      </c>
      <c r="D66">
        <v>1</v>
      </c>
      <c r="E66">
        <v>19</v>
      </c>
      <c r="F66" t="s">
        <v>949</v>
      </c>
      <c r="G66" t="s">
        <v>708</v>
      </c>
      <c r="H66" t="s">
        <v>131</v>
      </c>
      <c r="I66" t="s">
        <v>27</v>
      </c>
      <c r="J66">
        <v>22.85</v>
      </c>
      <c r="K66">
        <v>22.85</v>
      </c>
      <c r="L66">
        <v>4</v>
      </c>
      <c r="N66">
        <v>91.4</v>
      </c>
      <c r="O66" s="5">
        <v>4.6041474267483853</v>
      </c>
      <c r="P66" t="s">
        <v>90</v>
      </c>
      <c r="Q66" t="s">
        <v>340</v>
      </c>
      <c r="R66" t="s">
        <v>24</v>
      </c>
    </row>
    <row r="67" spans="1:18" x14ac:dyDescent="0.25">
      <c r="A67" t="s">
        <v>899</v>
      </c>
      <c r="B67" t="s">
        <v>926</v>
      </c>
      <c r="C67">
        <v>8</v>
      </c>
      <c r="D67">
        <v>1</v>
      </c>
      <c r="E67">
        <v>19</v>
      </c>
      <c r="F67" t="s">
        <v>950</v>
      </c>
      <c r="G67" t="s">
        <v>112</v>
      </c>
      <c r="H67" t="s">
        <v>56</v>
      </c>
      <c r="I67" t="s">
        <v>27</v>
      </c>
      <c r="J67">
        <v>25.1</v>
      </c>
      <c r="K67">
        <v>25.1</v>
      </c>
      <c r="L67">
        <v>1.502</v>
      </c>
      <c r="N67">
        <v>37.700200000000002</v>
      </c>
      <c r="O67" s="5">
        <v>1.8990949542439766</v>
      </c>
      <c r="P67" t="s">
        <v>90</v>
      </c>
      <c r="Q67" t="s">
        <v>340</v>
      </c>
      <c r="R67" t="s">
        <v>24</v>
      </c>
    </row>
    <row r="68" spans="1:18" x14ac:dyDescent="0.25">
      <c r="A68" t="s">
        <v>899</v>
      </c>
      <c r="B68" t="s">
        <v>926</v>
      </c>
      <c r="C68">
        <v>8</v>
      </c>
      <c r="D68">
        <v>1</v>
      </c>
      <c r="E68">
        <v>19</v>
      </c>
      <c r="F68" t="s">
        <v>737</v>
      </c>
      <c r="H68" t="s">
        <v>53</v>
      </c>
      <c r="I68" t="s">
        <v>27</v>
      </c>
      <c r="J68">
        <v>10.37</v>
      </c>
      <c r="K68">
        <v>10.37</v>
      </c>
      <c r="L68">
        <v>1</v>
      </c>
      <c r="N68">
        <v>10.37</v>
      </c>
      <c r="O68" s="5">
        <v>0.52237427587943919</v>
      </c>
      <c r="P68" t="s">
        <v>90</v>
      </c>
      <c r="Q68" t="s">
        <v>340</v>
      </c>
      <c r="R68" t="s">
        <v>24</v>
      </c>
    </row>
    <row r="69" spans="1:18" x14ac:dyDescent="0.25">
      <c r="A69" t="s">
        <v>899</v>
      </c>
      <c r="B69" t="s">
        <v>926</v>
      </c>
      <c r="C69">
        <v>8</v>
      </c>
      <c r="D69">
        <v>1</v>
      </c>
      <c r="E69">
        <v>19</v>
      </c>
      <c r="F69" t="s">
        <v>951</v>
      </c>
      <c r="H69" t="s">
        <v>44</v>
      </c>
      <c r="I69" t="s">
        <v>27</v>
      </c>
      <c r="J69">
        <v>28.03</v>
      </c>
      <c r="K69">
        <v>28.03</v>
      </c>
      <c r="L69">
        <v>2</v>
      </c>
      <c r="N69">
        <v>56.06</v>
      </c>
      <c r="O69" s="5">
        <v>2.8239442532113177</v>
      </c>
      <c r="P69" t="s">
        <v>90</v>
      </c>
      <c r="Q69" t="s">
        <v>340</v>
      </c>
      <c r="R69" t="s">
        <v>24</v>
      </c>
    </row>
    <row r="70" spans="1:18" x14ac:dyDescent="0.25">
      <c r="A70" t="s">
        <v>899</v>
      </c>
      <c r="B70" t="s">
        <v>926</v>
      </c>
      <c r="C70">
        <v>8</v>
      </c>
      <c r="D70">
        <v>1</v>
      </c>
      <c r="E70">
        <v>19</v>
      </c>
      <c r="F70" t="s">
        <v>840</v>
      </c>
      <c r="G70" t="s">
        <v>840</v>
      </c>
      <c r="H70" t="s">
        <v>56</v>
      </c>
      <c r="I70" t="s">
        <v>27</v>
      </c>
      <c r="J70">
        <v>18.2</v>
      </c>
      <c r="K70">
        <v>18.2</v>
      </c>
      <c r="L70">
        <v>0.22800000000000001</v>
      </c>
      <c r="N70">
        <v>4.1496000000000004</v>
      </c>
      <c r="O70" s="5">
        <v>0.20903030811854595</v>
      </c>
      <c r="P70" t="s">
        <v>90</v>
      </c>
      <c r="Q70" t="s">
        <v>340</v>
      </c>
      <c r="R70" t="s">
        <v>24</v>
      </c>
    </row>
    <row r="71" spans="1:18" x14ac:dyDescent="0.25">
      <c r="A71" t="s">
        <v>899</v>
      </c>
      <c r="B71" t="s">
        <v>926</v>
      </c>
      <c r="C71">
        <v>8</v>
      </c>
      <c r="D71">
        <v>1</v>
      </c>
      <c r="E71">
        <v>19</v>
      </c>
      <c r="F71" t="s">
        <v>202</v>
      </c>
      <c r="G71" t="s">
        <v>202</v>
      </c>
      <c r="H71" t="s">
        <v>54</v>
      </c>
      <c r="I71" t="s">
        <v>27</v>
      </c>
      <c r="J71">
        <v>71.900000000000006</v>
      </c>
      <c r="K71">
        <v>71.900000000000006</v>
      </c>
      <c r="L71">
        <v>0.46</v>
      </c>
      <c r="N71">
        <v>33.074000000000005</v>
      </c>
      <c r="O71" s="5">
        <v>1.6660565863487538</v>
      </c>
      <c r="P71" t="s">
        <v>90</v>
      </c>
      <c r="Q71" t="s">
        <v>340</v>
      </c>
      <c r="R71" t="s">
        <v>24</v>
      </c>
    </row>
    <row r="72" spans="1:18" x14ac:dyDescent="0.25">
      <c r="A72" t="s">
        <v>899</v>
      </c>
      <c r="B72" t="s">
        <v>928</v>
      </c>
      <c r="C72">
        <v>5</v>
      </c>
      <c r="D72">
        <v>1</v>
      </c>
      <c r="E72">
        <v>19</v>
      </c>
      <c r="F72" t="s">
        <v>878</v>
      </c>
      <c r="H72" t="s">
        <v>53</v>
      </c>
      <c r="I72" t="s">
        <v>27</v>
      </c>
      <c r="J72">
        <v>7.5</v>
      </c>
      <c r="K72">
        <v>7.5</v>
      </c>
      <c r="L72">
        <v>1</v>
      </c>
      <c r="N72">
        <v>7.5</v>
      </c>
      <c r="O72" s="5">
        <v>0.37780203173537075</v>
      </c>
      <c r="P72" t="s">
        <v>101</v>
      </c>
      <c r="Q72" t="s">
        <v>340</v>
      </c>
      <c r="R72" t="s">
        <v>24</v>
      </c>
    </row>
    <row r="73" spans="1:18" x14ac:dyDescent="0.25">
      <c r="A73" t="s">
        <v>899</v>
      </c>
      <c r="B73" t="s">
        <v>952</v>
      </c>
      <c r="C73">
        <v>10</v>
      </c>
      <c r="D73">
        <v>1</v>
      </c>
      <c r="E73">
        <v>19</v>
      </c>
      <c r="F73" t="s">
        <v>353</v>
      </c>
      <c r="G73" t="s">
        <v>889</v>
      </c>
      <c r="H73" t="s">
        <v>21</v>
      </c>
      <c r="I73" t="s">
        <v>22</v>
      </c>
      <c r="J73">
        <v>4</v>
      </c>
      <c r="K73">
        <v>4</v>
      </c>
      <c r="L73">
        <v>1</v>
      </c>
      <c r="N73">
        <v>4</v>
      </c>
      <c r="O73" s="5">
        <v>0.20149441692553105</v>
      </c>
      <c r="P73" t="s">
        <v>354</v>
      </c>
      <c r="Q73" t="s">
        <v>340</v>
      </c>
      <c r="R73" t="s">
        <v>24</v>
      </c>
    </row>
    <row r="74" spans="1:18" x14ac:dyDescent="0.25">
      <c r="A74" t="s">
        <v>899</v>
      </c>
      <c r="B74" t="s">
        <v>954</v>
      </c>
      <c r="C74">
        <v>14</v>
      </c>
      <c r="D74">
        <v>1</v>
      </c>
      <c r="E74">
        <v>19</v>
      </c>
      <c r="F74" t="s">
        <v>932</v>
      </c>
      <c r="H74" t="s">
        <v>933</v>
      </c>
      <c r="I74" t="s">
        <v>72</v>
      </c>
      <c r="J74">
        <v>150</v>
      </c>
      <c r="K74">
        <v>150</v>
      </c>
      <c r="L74">
        <v>1</v>
      </c>
      <c r="N74">
        <v>150</v>
      </c>
      <c r="O74">
        <v>7.5560406347074149</v>
      </c>
      <c r="Q74" t="s">
        <v>340</v>
      </c>
      <c r="R74" t="s">
        <v>24</v>
      </c>
    </row>
    <row r="76" spans="1:18" ht="15.75" thickBot="1" x14ac:dyDescent="0.3">
      <c r="F76" s="29" t="s">
        <v>955</v>
      </c>
    </row>
    <row r="77" spans="1:18" ht="15.75" thickTop="1" x14ac:dyDescent="0.25"/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C00000"/>
  </sheetPr>
  <dimension ref="A1:S5454"/>
  <sheetViews>
    <sheetView tabSelected="1" zoomScale="85" zoomScaleNormal="85" workbookViewId="0">
      <selection activeCell="H5177" sqref="H5177"/>
    </sheetView>
  </sheetViews>
  <sheetFormatPr defaultRowHeight="15" outlineLevelCol="1" x14ac:dyDescent="0.25"/>
  <cols>
    <col min="1" max="1" width="14" customWidth="1"/>
    <col min="2" max="2" width="10.140625" customWidth="1"/>
    <col min="6" max="6" width="49.85546875" customWidth="1"/>
    <col min="7" max="7" width="25.5703125" customWidth="1" outlineLevel="1"/>
    <col min="8" max="8" width="27.28515625" customWidth="1" outlineLevel="1"/>
    <col min="9" max="9" width="16.7109375" customWidth="1" outlineLevel="1"/>
    <col min="10" max="11" width="21" customWidth="1"/>
    <col min="12" max="12" width="16.7109375" customWidth="1"/>
    <col min="13" max="13" width="17" customWidth="1"/>
    <col min="14" max="14" width="12.5703125" bestFit="1" customWidth="1"/>
    <col min="15" max="15" width="17.5703125" customWidth="1"/>
    <col min="16" max="17" width="18.85546875" customWidth="1"/>
    <col min="18" max="18" width="28" bestFit="1" customWidth="1"/>
  </cols>
  <sheetData>
    <row r="1" spans="1:1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11</v>
      </c>
      <c r="L1" s="1" t="s">
        <v>10</v>
      </c>
      <c r="M1" s="1" t="s">
        <v>13</v>
      </c>
      <c r="N1" s="1" t="s">
        <v>14</v>
      </c>
      <c r="O1" s="1" t="s">
        <v>15</v>
      </c>
      <c r="P1" s="1" t="s">
        <v>953</v>
      </c>
      <c r="Q1" s="1" t="s">
        <v>17</v>
      </c>
      <c r="R1" s="1" t="s">
        <v>1488</v>
      </c>
    </row>
    <row r="2" spans="1:18" hidden="1" x14ac:dyDescent="0.25">
      <c r="A2" s="2" t="s">
        <v>19</v>
      </c>
      <c r="B2" s="3" t="str">
        <f t="shared" ref="B2:B65" si="0">CONCATENATE(E2,"/",D2,"/",C2)</f>
        <v>18/1/1</v>
      </c>
      <c r="C2">
        <v>1</v>
      </c>
      <c r="D2">
        <v>1</v>
      </c>
      <c r="E2">
        <v>18</v>
      </c>
      <c r="F2" t="s">
        <v>1492</v>
      </c>
      <c r="H2" t="s">
        <v>21</v>
      </c>
      <c r="I2" t="s">
        <v>22</v>
      </c>
      <c r="J2" s="4">
        <v>1846</v>
      </c>
      <c r="K2">
        <v>2</v>
      </c>
      <c r="L2">
        <v>1846</v>
      </c>
      <c r="M2">
        <v>3692</v>
      </c>
      <c r="N2" s="5">
        <v>185.71428571428572</v>
      </c>
      <c r="O2" t="s">
        <v>23</v>
      </c>
      <c r="P2" t="s">
        <v>340</v>
      </c>
      <c r="Q2" t="s">
        <v>24</v>
      </c>
      <c r="R2" t="s">
        <v>20</v>
      </c>
    </row>
    <row r="3" spans="1:18" hidden="1" x14ac:dyDescent="0.25">
      <c r="A3" s="2" t="s">
        <v>19</v>
      </c>
      <c r="B3" s="3" t="str">
        <f t="shared" si="0"/>
        <v>18/1/10</v>
      </c>
      <c r="C3">
        <v>10</v>
      </c>
      <c r="D3">
        <v>1</v>
      </c>
      <c r="E3">
        <v>18</v>
      </c>
      <c r="F3" t="s">
        <v>25</v>
      </c>
      <c r="G3" t="s">
        <v>25</v>
      </c>
      <c r="H3" t="s">
        <v>26</v>
      </c>
      <c r="I3" t="s">
        <v>27</v>
      </c>
      <c r="J3" s="4">
        <v>128</v>
      </c>
      <c r="K3">
        <v>0.29599999999999999</v>
      </c>
      <c r="L3">
        <v>128</v>
      </c>
      <c r="M3">
        <v>37.887999999999998</v>
      </c>
      <c r="N3" s="5">
        <v>1.9058350100603623</v>
      </c>
      <c r="O3" t="s">
        <v>829</v>
      </c>
      <c r="P3" t="s">
        <v>340</v>
      </c>
      <c r="Q3" t="s">
        <v>24</v>
      </c>
      <c r="R3" t="s">
        <v>29</v>
      </c>
    </row>
    <row r="4" spans="1:18" hidden="1" x14ac:dyDescent="0.25">
      <c r="A4" s="2" t="s">
        <v>19</v>
      </c>
      <c r="B4" s="3" t="str">
        <f t="shared" si="0"/>
        <v>18/1/10</v>
      </c>
      <c r="C4">
        <v>10</v>
      </c>
      <c r="D4">
        <v>1</v>
      </c>
      <c r="E4">
        <v>18</v>
      </c>
      <c r="F4" t="s">
        <v>25</v>
      </c>
      <c r="G4" t="s">
        <v>25</v>
      </c>
      <c r="H4" t="s">
        <v>26</v>
      </c>
      <c r="I4" t="s">
        <v>27</v>
      </c>
      <c r="J4" s="4">
        <v>156</v>
      </c>
      <c r="K4">
        <v>0.27400000000000002</v>
      </c>
      <c r="L4">
        <v>156</v>
      </c>
      <c r="M4">
        <v>42.744</v>
      </c>
      <c r="N4" s="5">
        <v>2.1501006036217305</v>
      </c>
      <c r="O4" t="s">
        <v>829</v>
      </c>
      <c r="P4" t="s">
        <v>340</v>
      </c>
      <c r="Q4" t="s">
        <v>24</v>
      </c>
      <c r="R4" t="s">
        <v>29</v>
      </c>
    </row>
    <row r="5" spans="1:18" hidden="1" x14ac:dyDescent="0.25">
      <c r="A5" s="2" t="s">
        <v>19</v>
      </c>
      <c r="B5" s="3" t="str">
        <f t="shared" si="0"/>
        <v>18/1/10</v>
      </c>
      <c r="C5">
        <v>10</v>
      </c>
      <c r="D5">
        <v>1</v>
      </c>
      <c r="E5">
        <v>18</v>
      </c>
      <c r="F5" t="s">
        <v>30</v>
      </c>
      <c r="G5" t="s">
        <v>31</v>
      </c>
      <c r="H5" t="s">
        <v>26</v>
      </c>
      <c r="I5" t="s">
        <v>27</v>
      </c>
      <c r="J5" s="4">
        <v>11.7</v>
      </c>
      <c r="K5">
        <v>1</v>
      </c>
      <c r="L5">
        <v>11.7</v>
      </c>
      <c r="M5">
        <v>11.7</v>
      </c>
      <c r="N5" s="5">
        <v>0.58853118712273644</v>
      </c>
      <c r="O5" t="s">
        <v>32</v>
      </c>
      <c r="P5" t="s">
        <v>340</v>
      </c>
      <c r="Q5" t="s">
        <v>24</v>
      </c>
    </row>
    <row r="6" spans="1:18" hidden="1" x14ac:dyDescent="0.25">
      <c r="A6" s="2" t="s">
        <v>19</v>
      </c>
      <c r="B6" s="3" t="str">
        <f t="shared" si="0"/>
        <v>18/1/10</v>
      </c>
      <c r="C6">
        <v>10</v>
      </c>
      <c r="D6">
        <v>1</v>
      </c>
      <c r="E6">
        <v>18</v>
      </c>
      <c r="F6" t="s">
        <v>34</v>
      </c>
      <c r="G6" t="s">
        <v>33</v>
      </c>
      <c r="H6" t="s">
        <v>35</v>
      </c>
      <c r="I6" t="s">
        <v>27</v>
      </c>
      <c r="J6" s="4">
        <v>280.60000000000002</v>
      </c>
      <c r="K6">
        <v>0.112</v>
      </c>
      <c r="L6">
        <v>280.60000000000002</v>
      </c>
      <c r="M6">
        <v>31.427199999999999</v>
      </c>
      <c r="N6" s="5">
        <v>1.5808450704225352</v>
      </c>
      <c r="O6" t="s">
        <v>36</v>
      </c>
      <c r="P6" t="s">
        <v>340</v>
      </c>
      <c r="Q6" t="s">
        <v>24</v>
      </c>
    </row>
    <row r="7" spans="1:18" hidden="1" x14ac:dyDescent="0.25">
      <c r="A7" s="2" t="s">
        <v>19</v>
      </c>
      <c r="B7" s="3" t="str">
        <f t="shared" si="0"/>
        <v>18/1/10</v>
      </c>
      <c r="C7">
        <v>10</v>
      </c>
      <c r="D7">
        <v>1</v>
      </c>
      <c r="E7">
        <v>18</v>
      </c>
      <c r="F7" t="s">
        <v>2044</v>
      </c>
      <c r="H7" t="s">
        <v>35</v>
      </c>
      <c r="I7" t="s">
        <v>27</v>
      </c>
      <c r="J7" s="4">
        <v>219.6</v>
      </c>
      <c r="K7">
        <v>0.156</v>
      </c>
      <c r="L7">
        <v>219.6</v>
      </c>
      <c r="M7">
        <v>34.257599999999996</v>
      </c>
      <c r="N7" s="5">
        <v>1.7232193158953721</v>
      </c>
      <c r="O7" t="s">
        <v>36</v>
      </c>
      <c r="P7" t="s">
        <v>340</v>
      </c>
      <c r="Q7" t="s">
        <v>24</v>
      </c>
    </row>
    <row r="8" spans="1:18" hidden="1" x14ac:dyDescent="0.25">
      <c r="A8" s="2" t="s">
        <v>19</v>
      </c>
      <c r="B8" s="3" t="str">
        <f t="shared" si="0"/>
        <v>18/1/10</v>
      </c>
      <c r="C8">
        <v>10</v>
      </c>
      <c r="D8">
        <v>1</v>
      </c>
      <c r="E8">
        <v>18</v>
      </c>
      <c r="F8" t="s">
        <v>37</v>
      </c>
      <c r="G8" t="s">
        <v>31</v>
      </c>
      <c r="H8" t="s">
        <v>26</v>
      </c>
      <c r="I8" t="s">
        <v>27</v>
      </c>
      <c r="J8" s="4">
        <v>7.4</v>
      </c>
      <c r="K8">
        <v>1</v>
      </c>
      <c r="L8">
        <v>7.4</v>
      </c>
      <c r="M8">
        <v>7.4</v>
      </c>
      <c r="N8" s="5">
        <v>0.37223340040241454</v>
      </c>
      <c r="O8" t="s">
        <v>32</v>
      </c>
      <c r="P8" t="s">
        <v>340</v>
      </c>
      <c r="Q8" t="s">
        <v>24</v>
      </c>
    </row>
    <row r="9" spans="1:18" hidden="1" x14ac:dyDescent="0.25">
      <c r="A9" s="2" t="s">
        <v>19</v>
      </c>
      <c r="B9" s="3" t="str">
        <f t="shared" si="0"/>
        <v>18/1/10</v>
      </c>
      <c r="C9">
        <v>10</v>
      </c>
      <c r="D9">
        <v>1</v>
      </c>
      <c r="E9">
        <v>18</v>
      </c>
      <c r="F9" t="s">
        <v>38</v>
      </c>
      <c r="G9" t="s">
        <v>38</v>
      </c>
      <c r="H9" t="s">
        <v>39</v>
      </c>
      <c r="I9" t="s">
        <v>27</v>
      </c>
      <c r="J9" s="4">
        <v>71</v>
      </c>
      <c r="K9">
        <v>0.442</v>
      </c>
      <c r="L9">
        <v>71</v>
      </c>
      <c r="M9">
        <v>31.382000000000001</v>
      </c>
      <c r="N9" s="5">
        <v>1.5785714285714287</v>
      </c>
      <c r="O9" t="s">
        <v>2239</v>
      </c>
      <c r="P9" t="s">
        <v>340</v>
      </c>
      <c r="Q9" t="s">
        <v>24</v>
      </c>
      <c r="R9" t="s">
        <v>29</v>
      </c>
    </row>
    <row r="10" spans="1:18" hidden="1" x14ac:dyDescent="0.25">
      <c r="A10" s="2" t="s">
        <v>19</v>
      </c>
      <c r="B10" s="3" t="str">
        <f t="shared" si="0"/>
        <v>18/1/10</v>
      </c>
      <c r="C10">
        <v>10</v>
      </c>
      <c r="D10">
        <v>1</v>
      </c>
      <c r="E10">
        <v>18</v>
      </c>
      <c r="F10" t="s">
        <v>40</v>
      </c>
      <c r="H10" t="s">
        <v>40</v>
      </c>
      <c r="I10" t="s">
        <v>27</v>
      </c>
      <c r="J10" s="4">
        <v>15</v>
      </c>
      <c r="K10">
        <v>1</v>
      </c>
      <c r="L10">
        <v>15</v>
      </c>
      <c r="M10">
        <v>15</v>
      </c>
      <c r="N10" s="5">
        <v>0.75452716297786726</v>
      </c>
      <c r="O10" t="s">
        <v>36</v>
      </c>
      <c r="P10" t="s">
        <v>340</v>
      </c>
      <c r="Q10" t="s">
        <v>24</v>
      </c>
    </row>
    <row r="11" spans="1:18" hidden="1" x14ac:dyDescent="0.25">
      <c r="A11" s="2" t="s">
        <v>19</v>
      </c>
      <c r="B11" s="3" t="str">
        <f t="shared" si="0"/>
        <v>18/1/10</v>
      </c>
      <c r="C11">
        <v>10</v>
      </c>
      <c r="D11">
        <v>1</v>
      </c>
      <c r="E11">
        <v>18</v>
      </c>
      <c r="F11" t="s">
        <v>41</v>
      </c>
      <c r="H11" t="s">
        <v>39</v>
      </c>
      <c r="I11" t="s">
        <v>27</v>
      </c>
      <c r="J11" s="4">
        <v>11</v>
      </c>
      <c r="K11">
        <v>30</v>
      </c>
      <c r="L11">
        <v>11</v>
      </c>
      <c r="M11">
        <v>330</v>
      </c>
      <c r="N11" s="5">
        <v>16.599597585513081</v>
      </c>
      <c r="O11" t="s">
        <v>42</v>
      </c>
      <c r="P11" t="s">
        <v>340</v>
      </c>
      <c r="Q11" t="s">
        <v>24</v>
      </c>
      <c r="R11" t="s">
        <v>29</v>
      </c>
    </row>
    <row r="12" spans="1:18" hidden="1" x14ac:dyDescent="0.25">
      <c r="A12" s="2" t="s">
        <v>19</v>
      </c>
      <c r="B12" s="3" t="str">
        <f t="shared" si="0"/>
        <v>18/1/10</v>
      </c>
      <c r="C12">
        <v>10</v>
      </c>
      <c r="D12">
        <v>1</v>
      </c>
      <c r="E12">
        <v>18</v>
      </c>
      <c r="F12" t="s">
        <v>43</v>
      </c>
      <c r="H12" t="s">
        <v>44</v>
      </c>
      <c r="I12" t="s">
        <v>27</v>
      </c>
      <c r="J12" s="4">
        <v>30</v>
      </c>
      <c r="K12">
        <v>2</v>
      </c>
      <c r="L12">
        <v>30</v>
      </c>
      <c r="M12">
        <v>60</v>
      </c>
      <c r="N12" s="5">
        <v>3.018108651911469</v>
      </c>
      <c r="O12" t="s">
        <v>28</v>
      </c>
      <c r="P12" t="s">
        <v>340</v>
      </c>
      <c r="Q12" t="s">
        <v>24</v>
      </c>
    </row>
    <row r="13" spans="1:18" hidden="1" x14ac:dyDescent="0.25">
      <c r="A13" s="2" t="s">
        <v>19</v>
      </c>
      <c r="B13" s="3" t="str">
        <f t="shared" si="0"/>
        <v>18/1/11</v>
      </c>
      <c r="C13">
        <v>11</v>
      </c>
      <c r="D13">
        <v>1</v>
      </c>
      <c r="E13">
        <v>18</v>
      </c>
      <c r="F13" t="s">
        <v>45</v>
      </c>
      <c r="G13" t="s">
        <v>31</v>
      </c>
      <c r="H13" t="s">
        <v>26</v>
      </c>
      <c r="I13" t="s">
        <v>27</v>
      </c>
      <c r="J13" s="4">
        <v>14.7</v>
      </c>
      <c r="K13">
        <v>2</v>
      </c>
      <c r="L13">
        <v>14.7</v>
      </c>
      <c r="M13">
        <v>29.4</v>
      </c>
      <c r="N13" s="5">
        <v>1.4788732394366197</v>
      </c>
      <c r="O13" t="s">
        <v>46</v>
      </c>
      <c r="P13" t="s">
        <v>340</v>
      </c>
      <c r="Q13" t="s">
        <v>24</v>
      </c>
    </row>
    <row r="14" spans="1:18" hidden="1" x14ac:dyDescent="0.25">
      <c r="A14" s="2" t="s">
        <v>19</v>
      </c>
      <c r="B14" s="3" t="str">
        <f t="shared" si="0"/>
        <v>18/1/11</v>
      </c>
      <c r="C14">
        <v>11</v>
      </c>
      <c r="D14">
        <v>1</v>
      </c>
      <c r="E14">
        <v>18</v>
      </c>
      <c r="F14" t="s">
        <v>47</v>
      </c>
      <c r="G14" t="s">
        <v>31</v>
      </c>
      <c r="H14" t="s">
        <v>26</v>
      </c>
      <c r="I14" t="s">
        <v>27</v>
      </c>
      <c r="J14" s="4">
        <v>5.7</v>
      </c>
      <c r="K14">
        <v>1</v>
      </c>
      <c r="L14">
        <v>5.7</v>
      </c>
      <c r="M14">
        <v>5.7</v>
      </c>
      <c r="N14" s="5">
        <v>0.28672032193158958</v>
      </c>
      <c r="O14" t="s">
        <v>46</v>
      </c>
      <c r="P14" t="s">
        <v>340</v>
      </c>
      <c r="Q14" t="s">
        <v>24</v>
      </c>
    </row>
    <row r="15" spans="1:18" hidden="1" x14ac:dyDescent="0.25">
      <c r="A15" s="2" t="s">
        <v>19</v>
      </c>
      <c r="B15" s="3" t="str">
        <f t="shared" si="0"/>
        <v>18/1/11</v>
      </c>
      <c r="C15">
        <v>11</v>
      </c>
      <c r="D15">
        <v>1</v>
      </c>
      <c r="E15">
        <v>18</v>
      </c>
      <c r="F15" t="s">
        <v>37</v>
      </c>
      <c r="G15" t="s">
        <v>31</v>
      </c>
      <c r="H15" t="s">
        <v>26</v>
      </c>
      <c r="I15" t="s">
        <v>27</v>
      </c>
      <c r="J15" s="4">
        <v>7.35</v>
      </c>
      <c r="K15">
        <v>1</v>
      </c>
      <c r="L15">
        <v>7.35</v>
      </c>
      <c r="M15">
        <v>7.35</v>
      </c>
      <c r="N15" s="5">
        <v>0.36971830985915494</v>
      </c>
      <c r="O15" t="s">
        <v>46</v>
      </c>
      <c r="P15" t="s">
        <v>340</v>
      </c>
      <c r="Q15" t="s">
        <v>24</v>
      </c>
    </row>
    <row r="16" spans="1:18" hidden="1" x14ac:dyDescent="0.25">
      <c r="A16" s="2" t="s">
        <v>19</v>
      </c>
      <c r="B16" s="3" t="str">
        <f t="shared" si="0"/>
        <v>18/1/12</v>
      </c>
      <c r="C16">
        <v>12</v>
      </c>
      <c r="D16">
        <v>1</v>
      </c>
      <c r="E16">
        <v>18</v>
      </c>
      <c r="F16" t="s">
        <v>48</v>
      </c>
      <c r="H16" t="s">
        <v>49</v>
      </c>
      <c r="I16" t="s">
        <v>50</v>
      </c>
      <c r="J16" s="4">
        <v>39.11</v>
      </c>
      <c r="K16">
        <v>1</v>
      </c>
      <c r="L16">
        <v>39.11</v>
      </c>
      <c r="M16">
        <v>39.11</v>
      </c>
      <c r="N16" s="5">
        <v>1.9673038229376258</v>
      </c>
      <c r="O16" t="s">
        <v>51</v>
      </c>
      <c r="P16" t="s">
        <v>340</v>
      </c>
      <c r="Q16" t="s">
        <v>24</v>
      </c>
    </row>
    <row r="17" spans="1:18" hidden="1" x14ac:dyDescent="0.25">
      <c r="A17" s="2" t="s">
        <v>19</v>
      </c>
      <c r="B17" s="3" t="str">
        <f t="shared" si="0"/>
        <v>18/1/12</v>
      </c>
      <c r="C17">
        <v>12</v>
      </c>
      <c r="D17">
        <v>1</v>
      </c>
      <c r="E17">
        <v>18</v>
      </c>
      <c r="F17" t="s">
        <v>52</v>
      </c>
      <c r="H17" t="s">
        <v>53</v>
      </c>
      <c r="I17" t="s">
        <v>27</v>
      </c>
      <c r="J17" s="4">
        <v>32.39</v>
      </c>
      <c r="K17">
        <v>6</v>
      </c>
      <c r="L17">
        <v>32.39</v>
      </c>
      <c r="M17">
        <v>194.34</v>
      </c>
      <c r="N17" s="5">
        <v>9.775653923541249</v>
      </c>
      <c r="O17" t="s">
        <v>51</v>
      </c>
      <c r="P17" t="s">
        <v>340</v>
      </c>
      <c r="Q17" t="s">
        <v>24</v>
      </c>
    </row>
    <row r="18" spans="1:18" hidden="1" x14ac:dyDescent="0.25">
      <c r="A18" s="2" t="s">
        <v>19</v>
      </c>
      <c r="B18" s="3" t="str">
        <f t="shared" si="0"/>
        <v>18/1/12</v>
      </c>
      <c r="C18">
        <v>12</v>
      </c>
      <c r="D18">
        <v>1</v>
      </c>
      <c r="E18">
        <v>18</v>
      </c>
      <c r="F18" t="s">
        <v>53</v>
      </c>
      <c r="H18" t="s">
        <v>54</v>
      </c>
      <c r="I18" t="s">
        <v>27</v>
      </c>
      <c r="J18" s="4">
        <v>42.49</v>
      </c>
      <c r="K18">
        <v>0.53</v>
      </c>
      <c r="L18">
        <v>42.49</v>
      </c>
      <c r="M18">
        <v>22.5197</v>
      </c>
      <c r="N18" s="5">
        <v>1.1327816901408452</v>
      </c>
      <c r="O18" t="s">
        <v>51</v>
      </c>
      <c r="P18" t="s">
        <v>340</v>
      </c>
      <c r="Q18" t="s">
        <v>24</v>
      </c>
    </row>
    <row r="19" spans="1:18" hidden="1" x14ac:dyDescent="0.25">
      <c r="A19" s="2" t="s">
        <v>19</v>
      </c>
      <c r="B19" s="3" t="str">
        <f t="shared" si="0"/>
        <v>18/1/12</v>
      </c>
      <c r="C19">
        <v>12</v>
      </c>
      <c r="D19">
        <v>1</v>
      </c>
      <c r="E19">
        <v>18</v>
      </c>
      <c r="F19" t="s">
        <v>55</v>
      </c>
      <c r="H19" t="s">
        <v>56</v>
      </c>
      <c r="I19" t="s">
        <v>27</v>
      </c>
      <c r="J19" s="4">
        <v>29.29</v>
      </c>
      <c r="K19">
        <v>1.68</v>
      </c>
      <c r="L19">
        <v>29.29</v>
      </c>
      <c r="M19">
        <v>49.2072</v>
      </c>
      <c r="N19" s="5">
        <v>2.4752112676056339</v>
      </c>
      <c r="O19" t="s">
        <v>51</v>
      </c>
      <c r="P19" t="s">
        <v>340</v>
      </c>
      <c r="Q19" t="s">
        <v>24</v>
      </c>
    </row>
    <row r="20" spans="1:18" hidden="1" x14ac:dyDescent="0.25">
      <c r="A20" s="2" t="s">
        <v>19</v>
      </c>
      <c r="B20" s="3" t="str">
        <f t="shared" si="0"/>
        <v>18/1/12</v>
      </c>
      <c r="C20">
        <v>12</v>
      </c>
      <c r="D20">
        <v>1</v>
      </c>
      <c r="E20">
        <v>18</v>
      </c>
      <c r="F20" t="s">
        <v>57</v>
      </c>
      <c r="G20" t="s">
        <v>58</v>
      </c>
      <c r="H20" t="s">
        <v>59</v>
      </c>
      <c r="I20" t="s">
        <v>27</v>
      </c>
      <c r="J20" s="4">
        <v>66.900000000000006</v>
      </c>
      <c r="K20">
        <v>2</v>
      </c>
      <c r="L20">
        <v>66.900000000000006</v>
      </c>
      <c r="M20">
        <v>133.80000000000001</v>
      </c>
      <c r="N20" s="5">
        <v>6.7303822937625766</v>
      </c>
      <c r="O20" t="s">
        <v>51</v>
      </c>
      <c r="P20" t="s">
        <v>340</v>
      </c>
      <c r="Q20" t="s">
        <v>24</v>
      </c>
    </row>
    <row r="21" spans="1:18" hidden="1" x14ac:dyDescent="0.25">
      <c r="A21" s="2" t="s">
        <v>19</v>
      </c>
      <c r="B21" s="3" t="str">
        <f t="shared" si="0"/>
        <v>18/1/12</v>
      </c>
      <c r="C21">
        <v>12</v>
      </c>
      <c r="D21">
        <v>1</v>
      </c>
      <c r="E21">
        <v>18</v>
      </c>
      <c r="F21" t="s">
        <v>60</v>
      </c>
      <c r="G21" t="s">
        <v>31</v>
      </c>
      <c r="H21" t="s">
        <v>26</v>
      </c>
      <c r="I21" t="s">
        <v>27</v>
      </c>
      <c r="J21" s="4">
        <v>6.99</v>
      </c>
      <c r="K21">
        <v>2</v>
      </c>
      <c r="L21">
        <v>6.99</v>
      </c>
      <c r="M21">
        <v>13.98</v>
      </c>
      <c r="N21" s="5">
        <v>0.70321931589537234</v>
      </c>
      <c r="O21" t="s">
        <v>51</v>
      </c>
      <c r="P21" t="s">
        <v>340</v>
      </c>
      <c r="Q21" t="s">
        <v>24</v>
      </c>
    </row>
    <row r="22" spans="1:18" hidden="1" x14ac:dyDescent="0.25">
      <c r="A22" s="2" t="s">
        <v>19</v>
      </c>
      <c r="B22" s="3" t="str">
        <f t="shared" si="0"/>
        <v>18/1/12</v>
      </c>
      <c r="C22">
        <v>12</v>
      </c>
      <c r="D22">
        <v>1</v>
      </c>
      <c r="E22">
        <v>18</v>
      </c>
      <c r="F22" t="s">
        <v>962</v>
      </c>
      <c r="H22" t="s">
        <v>49</v>
      </c>
      <c r="I22" t="s">
        <v>50</v>
      </c>
      <c r="J22" s="4">
        <v>89.9</v>
      </c>
      <c r="K22">
        <v>1</v>
      </c>
      <c r="L22">
        <v>89.9</v>
      </c>
      <c r="M22">
        <v>89.9</v>
      </c>
      <c r="N22" s="5">
        <v>4.522132796780685</v>
      </c>
      <c r="O22" t="s">
        <v>51</v>
      </c>
      <c r="P22" t="s">
        <v>340</v>
      </c>
      <c r="Q22" t="s">
        <v>24</v>
      </c>
    </row>
    <row r="23" spans="1:18" hidden="1" x14ac:dyDescent="0.25">
      <c r="A23" s="2" t="s">
        <v>19</v>
      </c>
      <c r="B23" s="3" t="str">
        <f t="shared" si="0"/>
        <v>18/1/12</v>
      </c>
      <c r="C23">
        <v>12</v>
      </c>
      <c r="D23">
        <v>1</v>
      </c>
      <c r="E23">
        <v>18</v>
      </c>
      <c r="F23" t="s">
        <v>61</v>
      </c>
      <c r="H23" t="s">
        <v>62</v>
      </c>
      <c r="I23" t="s">
        <v>27</v>
      </c>
      <c r="J23" s="4">
        <v>9.48</v>
      </c>
      <c r="K23">
        <v>1</v>
      </c>
      <c r="L23">
        <v>9.48</v>
      </c>
      <c r="M23">
        <v>9.48</v>
      </c>
      <c r="N23" s="5">
        <v>0.47686116700201214</v>
      </c>
      <c r="O23" t="s">
        <v>51</v>
      </c>
      <c r="P23" t="s">
        <v>340</v>
      </c>
      <c r="Q23" t="s">
        <v>24</v>
      </c>
    </row>
    <row r="24" spans="1:18" hidden="1" x14ac:dyDescent="0.25">
      <c r="A24" s="2" t="s">
        <v>19</v>
      </c>
      <c r="B24" s="3" t="str">
        <f t="shared" si="0"/>
        <v>18/1/12</v>
      </c>
      <c r="C24">
        <v>12</v>
      </c>
      <c r="D24">
        <v>1</v>
      </c>
      <c r="E24">
        <v>18</v>
      </c>
      <c r="F24" t="s">
        <v>64</v>
      </c>
      <c r="G24" t="s">
        <v>39</v>
      </c>
      <c r="H24" t="s">
        <v>65</v>
      </c>
      <c r="I24" t="s">
        <v>27</v>
      </c>
      <c r="J24" s="4">
        <v>11.99</v>
      </c>
      <c r="K24">
        <v>2</v>
      </c>
      <c r="L24">
        <v>11.99</v>
      </c>
      <c r="M24">
        <v>23.98</v>
      </c>
      <c r="N24" s="5">
        <v>1.2062374245472838</v>
      </c>
      <c r="O24" t="s">
        <v>51</v>
      </c>
      <c r="P24" t="s">
        <v>340</v>
      </c>
      <c r="Q24" t="s">
        <v>24</v>
      </c>
    </row>
    <row r="25" spans="1:18" hidden="1" x14ac:dyDescent="0.25">
      <c r="A25" s="2" t="s">
        <v>19</v>
      </c>
      <c r="B25" s="3" t="str">
        <f t="shared" si="0"/>
        <v>18/1/12</v>
      </c>
      <c r="C25">
        <v>12</v>
      </c>
      <c r="D25">
        <v>1</v>
      </c>
      <c r="E25">
        <v>18</v>
      </c>
      <c r="F25" t="s">
        <v>1292</v>
      </c>
      <c r="G25" t="s">
        <v>58</v>
      </c>
      <c r="H25" t="s">
        <v>59</v>
      </c>
      <c r="I25" t="s">
        <v>27</v>
      </c>
      <c r="J25" s="4">
        <v>112.9</v>
      </c>
      <c r="K25">
        <v>1</v>
      </c>
      <c r="L25">
        <v>112.9</v>
      </c>
      <c r="M25">
        <v>112.9</v>
      </c>
      <c r="N25" s="5">
        <v>5.6790744466800813</v>
      </c>
      <c r="O25" t="s">
        <v>51</v>
      </c>
      <c r="P25" t="s">
        <v>340</v>
      </c>
      <c r="Q25" t="s">
        <v>24</v>
      </c>
    </row>
    <row r="26" spans="1:18" hidden="1" x14ac:dyDescent="0.25">
      <c r="A26" s="2" t="s">
        <v>19</v>
      </c>
      <c r="B26" s="3" t="str">
        <f t="shared" si="0"/>
        <v>18/1/12</v>
      </c>
      <c r="C26">
        <v>12</v>
      </c>
      <c r="D26">
        <v>1</v>
      </c>
      <c r="E26">
        <v>18</v>
      </c>
      <c r="F26" t="s">
        <v>66</v>
      </c>
      <c r="G26" t="s">
        <v>67</v>
      </c>
      <c r="H26" t="s">
        <v>59</v>
      </c>
      <c r="I26" t="s">
        <v>27</v>
      </c>
      <c r="J26" s="4">
        <v>160.55000000000001</v>
      </c>
      <c r="K26">
        <v>3</v>
      </c>
      <c r="L26">
        <v>160.55000000000001</v>
      </c>
      <c r="M26">
        <v>481.65</v>
      </c>
      <c r="N26" s="5">
        <v>24.227867203219315</v>
      </c>
      <c r="O26" t="s">
        <v>51</v>
      </c>
      <c r="P26" t="s">
        <v>340</v>
      </c>
      <c r="Q26" t="s">
        <v>24</v>
      </c>
    </row>
    <row r="27" spans="1:18" hidden="1" x14ac:dyDescent="0.25">
      <c r="A27" s="2" t="s">
        <v>19</v>
      </c>
      <c r="B27" s="3" t="str">
        <f t="shared" si="0"/>
        <v>18/1/12</v>
      </c>
      <c r="C27">
        <v>12</v>
      </c>
      <c r="D27">
        <v>1</v>
      </c>
      <c r="E27">
        <v>18</v>
      </c>
      <c r="F27" t="s">
        <v>1232</v>
      </c>
      <c r="H27" t="s">
        <v>69</v>
      </c>
      <c r="I27" t="s">
        <v>27</v>
      </c>
      <c r="J27" s="4">
        <v>80.09</v>
      </c>
      <c r="K27">
        <v>0.31</v>
      </c>
      <c r="L27">
        <v>80.09</v>
      </c>
      <c r="M27">
        <v>24.8279</v>
      </c>
      <c r="N27" s="5">
        <v>1.2488883299798794</v>
      </c>
      <c r="O27" t="s">
        <v>51</v>
      </c>
      <c r="P27" t="s">
        <v>340</v>
      </c>
      <c r="Q27" t="s">
        <v>24</v>
      </c>
    </row>
    <row r="28" spans="1:18" hidden="1" x14ac:dyDescent="0.25">
      <c r="A28" s="2" t="s">
        <v>19</v>
      </c>
      <c r="B28" s="3" t="str">
        <f t="shared" si="0"/>
        <v>18/1/12</v>
      </c>
      <c r="C28">
        <v>12</v>
      </c>
      <c r="D28">
        <v>1</v>
      </c>
      <c r="E28">
        <v>18</v>
      </c>
      <c r="F28" t="s">
        <v>71</v>
      </c>
      <c r="I28" t="s">
        <v>72</v>
      </c>
      <c r="J28" s="4">
        <v>200</v>
      </c>
      <c r="K28">
        <v>1</v>
      </c>
      <c r="L28">
        <v>200</v>
      </c>
      <c r="M28">
        <v>200</v>
      </c>
      <c r="N28" s="5">
        <v>10.06036217303823</v>
      </c>
      <c r="O28" t="s">
        <v>39</v>
      </c>
      <c r="P28" t="s">
        <v>340</v>
      </c>
      <c r="Q28" t="s">
        <v>24</v>
      </c>
      <c r="R28" t="s">
        <v>70</v>
      </c>
    </row>
    <row r="29" spans="1:18" hidden="1" x14ac:dyDescent="0.25">
      <c r="A29" s="2" t="s">
        <v>19</v>
      </c>
      <c r="B29" s="3" t="str">
        <f t="shared" si="0"/>
        <v>18/1/12</v>
      </c>
      <c r="C29">
        <v>12</v>
      </c>
      <c r="D29">
        <v>1</v>
      </c>
      <c r="E29">
        <v>18</v>
      </c>
      <c r="F29" t="s">
        <v>73</v>
      </c>
      <c r="H29" t="s">
        <v>73</v>
      </c>
      <c r="I29" t="s">
        <v>27</v>
      </c>
      <c r="J29" s="4">
        <v>24.96</v>
      </c>
      <c r="K29">
        <v>1</v>
      </c>
      <c r="L29">
        <v>24.96</v>
      </c>
      <c r="M29">
        <v>24.96</v>
      </c>
      <c r="N29" s="5">
        <v>1.255533199195171</v>
      </c>
      <c r="O29" t="s">
        <v>51</v>
      </c>
      <c r="P29" t="s">
        <v>340</v>
      </c>
      <c r="Q29" t="s">
        <v>24</v>
      </c>
    </row>
    <row r="30" spans="1:18" hidden="1" x14ac:dyDescent="0.25">
      <c r="A30" s="2" t="s">
        <v>19</v>
      </c>
      <c r="B30" s="3" t="str">
        <f t="shared" si="0"/>
        <v>18/1/12</v>
      </c>
      <c r="C30">
        <v>12</v>
      </c>
      <c r="D30">
        <v>1</v>
      </c>
      <c r="E30">
        <v>18</v>
      </c>
      <c r="F30" t="s">
        <v>40</v>
      </c>
      <c r="H30" t="s">
        <v>40</v>
      </c>
      <c r="I30" t="s">
        <v>27</v>
      </c>
      <c r="J30" s="4">
        <f>Spending_raw[[#This Row],[Price, lei]]</f>
        <v>9.49</v>
      </c>
      <c r="K30">
        <v>1</v>
      </c>
      <c r="L30">
        <v>9.49</v>
      </c>
      <c r="M30">
        <v>9.49</v>
      </c>
      <c r="N30" s="5">
        <v>0.47736418511066403</v>
      </c>
      <c r="O30" t="s">
        <v>51</v>
      </c>
      <c r="P30" t="s">
        <v>340</v>
      </c>
      <c r="Q30" t="s">
        <v>24</v>
      </c>
    </row>
    <row r="31" spans="1:18" hidden="1" x14ac:dyDescent="0.25">
      <c r="A31" s="2" t="s">
        <v>19</v>
      </c>
      <c r="B31" s="3" t="str">
        <f t="shared" si="0"/>
        <v>18/1/12</v>
      </c>
      <c r="C31">
        <v>12</v>
      </c>
      <c r="D31">
        <v>1</v>
      </c>
      <c r="E31">
        <v>18</v>
      </c>
      <c r="F31" t="s">
        <v>74</v>
      </c>
      <c r="H31" t="s">
        <v>56</v>
      </c>
      <c r="I31" t="s">
        <v>27</v>
      </c>
      <c r="J31" s="4">
        <f>Spending_raw[[#This Row],[Price, lei]]</f>
        <v>28.9</v>
      </c>
      <c r="K31">
        <v>1.4350000000000001</v>
      </c>
      <c r="L31">
        <v>28.9</v>
      </c>
      <c r="M31">
        <v>41.471499999999999</v>
      </c>
      <c r="N31" s="5">
        <v>2.0860915492957748</v>
      </c>
      <c r="O31" t="s">
        <v>51</v>
      </c>
      <c r="P31" t="s">
        <v>340</v>
      </c>
      <c r="Q31" t="s">
        <v>24</v>
      </c>
    </row>
    <row r="32" spans="1:18" hidden="1" x14ac:dyDescent="0.25">
      <c r="A32" s="2" t="s">
        <v>19</v>
      </c>
      <c r="B32" s="3" t="str">
        <f t="shared" si="0"/>
        <v>18/1/12</v>
      </c>
      <c r="C32">
        <v>12</v>
      </c>
      <c r="D32">
        <v>1</v>
      </c>
      <c r="E32">
        <v>18</v>
      </c>
      <c r="F32" t="s">
        <v>1692</v>
      </c>
      <c r="H32" t="s">
        <v>49</v>
      </c>
      <c r="I32" t="s">
        <v>50</v>
      </c>
      <c r="J32" s="4">
        <v>29.93</v>
      </c>
      <c r="K32">
        <v>2</v>
      </c>
      <c r="L32">
        <v>29.93</v>
      </c>
      <c r="M32">
        <v>59.86</v>
      </c>
      <c r="N32" s="5">
        <v>3.0110663983903421</v>
      </c>
      <c r="O32" t="s">
        <v>51</v>
      </c>
      <c r="P32" t="s">
        <v>340</v>
      </c>
      <c r="Q32" t="s">
        <v>24</v>
      </c>
    </row>
    <row r="33" spans="1:18" hidden="1" x14ac:dyDescent="0.25">
      <c r="A33" s="2" t="s">
        <v>19</v>
      </c>
      <c r="B33" s="3" t="str">
        <f t="shared" si="0"/>
        <v>18/1/12</v>
      </c>
      <c r="C33">
        <v>12</v>
      </c>
      <c r="D33">
        <v>1</v>
      </c>
      <c r="E33">
        <v>18</v>
      </c>
      <c r="F33" t="s">
        <v>1692</v>
      </c>
      <c r="H33" t="s">
        <v>49</v>
      </c>
      <c r="I33" t="s">
        <v>50</v>
      </c>
      <c r="J33" s="4">
        <v>25.38</v>
      </c>
      <c r="K33">
        <v>1</v>
      </c>
      <c r="L33">
        <v>25.38</v>
      </c>
      <c r="M33">
        <v>25.38</v>
      </c>
      <c r="N33" s="5">
        <v>1.2766599597585513</v>
      </c>
      <c r="O33" t="s">
        <v>51</v>
      </c>
      <c r="P33" t="s">
        <v>340</v>
      </c>
      <c r="Q33" t="s">
        <v>24</v>
      </c>
    </row>
    <row r="34" spans="1:18" hidden="1" x14ac:dyDescent="0.25">
      <c r="A34" s="2" t="s">
        <v>19</v>
      </c>
      <c r="B34" s="3" t="str">
        <f t="shared" si="0"/>
        <v>18/1/12</v>
      </c>
      <c r="C34">
        <v>12</v>
      </c>
      <c r="D34">
        <v>1</v>
      </c>
      <c r="E34">
        <v>18</v>
      </c>
      <c r="F34" t="s">
        <v>75</v>
      </c>
      <c r="H34" t="s">
        <v>65</v>
      </c>
      <c r="I34" t="s">
        <v>27</v>
      </c>
      <c r="J34" s="4">
        <f>Spending_raw[[#This Row],[Price, lei]]</f>
        <v>13.99</v>
      </c>
      <c r="K34">
        <v>3</v>
      </c>
      <c r="L34">
        <v>13.99</v>
      </c>
      <c r="M34">
        <v>41.97</v>
      </c>
      <c r="N34" s="5">
        <v>2.1111670020120723</v>
      </c>
      <c r="O34" t="s">
        <v>51</v>
      </c>
      <c r="P34" t="s">
        <v>340</v>
      </c>
      <c r="Q34" t="s">
        <v>24</v>
      </c>
    </row>
    <row r="35" spans="1:18" hidden="1" x14ac:dyDescent="0.25">
      <c r="A35" s="2" t="s">
        <v>19</v>
      </c>
      <c r="B35" s="3" t="str">
        <f t="shared" si="0"/>
        <v>18/1/12</v>
      </c>
      <c r="C35">
        <v>12</v>
      </c>
      <c r="D35">
        <v>1</v>
      </c>
      <c r="E35">
        <v>18</v>
      </c>
      <c r="F35" t="s">
        <v>75</v>
      </c>
      <c r="H35" t="s">
        <v>65</v>
      </c>
      <c r="I35" t="s">
        <v>27</v>
      </c>
      <c r="J35" s="4">
        <f>Spending_raw[[#This Row],[Price, lei]]</f>
        <v>16.989999999999998</v>
      </c>
      <c r="K35">
        <v>2</v>
      </c>
      <c r="L35">
        <v>16.989999999999998</v>
      </c>
      <c r="M35">
        <v>33.979999999999997</v>
      </c>
      <c r="N35" s="5">
        <v>1.7092555331991952</v>
      </c>
      <c r="O35" t="s">
        <v>51</v>
      </c>
      <c r="P35" t="s">
        <v>340</v>
      </c>
      <c r="Q35" t="s">
        <v>24</v>
      </c>
    </row>
    <row r="36" spans="1:18" hidden="1" x14ac:dyDescent="0.25">
      <c r="A36" s="2" t="s">
        <v>19</v>
      </c>
      <c r="B36" s="3" t="str">
        <f t="shared" si="0"/>
        <v>18/1/12</v>
      </c>
      <c r="C36">
        <v>12</v>
      </c>
      <c r="D36">
        <v>1</v>
      </c>
      <c r="E36">
        <v>18</v>
      </c>
      <c r="F36" s="7" t="s">
        <v>77</v>
      </c>
      <c r="G36" t="s">
        <v>77</v>
      </c>
      <c r="H36" t="s">
        <v>26</v>
      </c>
      <c r="I36" t="s">
        <v>27</v>
      </c>
      <c r="J36" s="4">
        <f>Spending_raw[[#This Row],[Price, lei]]</f>
        <v>23.49</v>
      </c>
      <c r="K36">
        <v>1</v>
      </c>
      <c r="L36">
        <v>23.49</v>
      </c>
      <c r="M36">
        <v>23.49</v>
      </c>
      <c r="N36" s="5">
        <v>1.18158953722334</v>
      </c>
      <c r="O36" t="s">
        <v>51</v>
      </c>
      <c r="P36" t="s">
        <v>340</v>
      </c>
      <c r="Q36" t="s">
        <v>24</v>
      </c>
    </row>
    <row r="37" spans="1:18" hidden="1" x14ac:dyDescent="0.25">
      <c r="A37" s="2" t="s">
        <v>19</v>
      </c>
      <c r="B37" s="3" t="str">
        <f t="shared" si="0"/>
        <v>18/1/12</v>
      </c>
      <c r="C37">
        <v>12</v>
      </c>
      <c r="D37">
        <v>1</v>
      </c>
      <c r="E37">
        <v>18</v>
      </c>
      <c r="F37" t="s">
        <v>44</v>
      </c>
      <c r="H37" t="s">
        <v>44</v>
      </c>
      <c r="I37" t="s">
        <v>27</v>
      </c>
      <c r="J37" s="4">
        <f>Spending_raw[[#This Row],[Price, lei]]</f>
        <v>14.99</v>
      </c>
      <c r="K37">
        <v>2</v>
      </c>
      <c r="L37">
        <v>14.99</v>
      </c>
      <c r="M37">
        <v>29.98</v>
      </c>
      <c r="N37" s="5">
        <v>1.5080482897384306</v>
      </c>
      <c r="O37" t="s">
        <v>51</v>
      </c>
      <c r="P37" t="s">
        <v>340</v>
      </c>
      <c r="Q37" t="s">
        <v>24</v>
      </c>
    </row>
    <row r="38" spans="1:18" hidden="1" x14ac:dyDescent="0.25">
      <c r="A38" s="2" t="s">
        <v>19</v>
      </c>
      <c r="B38" s="3" t="str">
        <f t="shared" si="0"/>
        <v>18/1/13</v>
      </c>
      <c r="C38">
        <v>13</v>
      </c>
      <c r="D38">
        <v>1</v>
      </c>
      <c r="E38">
        <v>18</v>
      </c>
      <c r="F38" t="s">
        <v>78</v>
      </c>
      <c r="H38" t="s">
        <v>78</v>
      </c>
      <c r="I38" t="s">
        <v>79</v>
      </c>
      <c r="J38" s="4">
        <v>17.600000000000001</v>
      </c>
      <c r="K38">
        <v>50</v>
      </c>
      <c r="L38">
        <v>17.600000000000001</v>
      </c>
      <c r="M38">
        <v>860</v>
      </c>
      <c r="N38" s="5">
        <v>43.25955734406439</v>
      </c>
      <c r="O38" t="s">
        <v>80</v>
      </c>
      <c r="P38" t="s">
        <v>340</v>
      </c>
      <c r="Q38" t="s">
        <v>24</v>
      </c>
    </row>
    <row r="39" spans="1:18" hidden="1" x14ac:dyDescent="0.25">
      <c r="A39" s="2" t="s">
        <v>19</v>
      </c>
      <c r="B39" s="3" t="str">
        <f t="shared" si="0"/>
        <v>18/1/13</v>
      </c>
      <c r="C39">
        <v>13</v>
      </c>
      <c r="D39">
        <v>1</v>
      </c>
      <c r="E39">
        <v>18</v>
      </c>
      <c r="F39" t="s">
        <v>81</v>
      </c>
      <c r="I39" t="s">
        <v>82</v>
      </c>
      <c r="J39" s="4">
        <f>Spending_raw[[#This Row],[Price, lei]]</f>
        <v>240</v>
      </c>
      <c r="K39">
        <v>1</v>
      </c>
      <c r="L39">
        <v>240</v>
      </c>
      <c r="M39">
        <v>240</v>
      </c>
      <c r="N39" s="5">
        <v>12.072434607645876</v>
      </c>
      <c r="O39" t="s">
        <v>83</v>
      </c>
      <c r="P39" t="s">
        <v>340</v>
      </c>
      <c r="Q39" t="s">
        <v>84</v>
      </c>
      <c r="R39" t="s">
        <v>85</v>
      </c>
    </row>
    <row r="40" spans="1:18" hidden="1" x14ac:dyDescent="0.25">
      <c r="A40" s="2" t="s">
        <v>19</v>
      </c>
      <c r="B40" s="3" t="str">
        <f t="shared" si="0"/>
        <v>18/1/13</v>
      </c>
      <c r="C40">
        <v>13</v>
      </c>
      <c r="D40">
        <v>1</v>
      </c>
      <c r="E40">
        <v>18</v>
      </c>
      <c r="F40" t="s">
        <v>86</v>
      </c>
      <c r="H40" t="s">
        <v>102</v>
      </c>
      <c r="I40" t="s">
        <v>27</v>
      </c>
      <c r="J40" s="4">
        <f>Spending_raw[[#This Row],[Price, lei]]</f>
        <v>15</v>
      </c>
      <c r="K40">
        <v>2</v>
      </c>
      <c r="L40">
        <v>15</v>
      </c>
      <c r="M40">
        <v>30</v>
      </c>
      <c r="N40" s="5">
        <v>1.5090543259557345</v>
      </c>
      <c r="O40" t="s">
        <v>88</v>
      </c>
      <c r="P40" t="s">
        <v>340</v>
      </c>
      <c r="Q40" t="s">
        <v>24</v>
      </c>
    </row>
    <row r="41" spans="1:18" hidden="1" x14ac:dyDescent="0.25">
      <c r="A41" s="2" t="s">
        <v>19</v>
      </c>
      <c r="B41" s="3" t="str">
        <f t="shared" si="0"/>
        <v>18/1/14</v>
      </c>
      <c r="C41">
        <v>14</v>
      </c>
      <c r="D41">
        <v>1</v>
      </c>
      <c r="E41">
        <v>18</v>
      </c>
      <c r="F41" t="s">
        <v>641</v>
      </c>
      <c r="H41" t="s">
        <v>53</v>
      </c>
      <c r="I41" t="s">
        <v>27</v>
      </c>
      <c r="J41" s="4">
        <f>Spending_raw[[#This Row],[Price, lei]]</f>
        <v>13</v>
      </c>
      <c r="K41">
        <v>1</v>
      </c>
      <c r="L41">
        <v>13</v>
      </c>
      <c r="M41">
        <v>13</v>
      </c>
      <c r="N41" s="5">
        <v>0.65392354124748497</v>
      </c>
      <c r="O41" t="s">
        <v>23</v>
      </c>
      <c r="P41" t="s">
        <v>340</v>
      </c>
      <c r="Q41" t="s">
        <v>24</v>
      </c>
    </row>
    <row r="42" spans="1:18" hidden="1" x14ac:dyDescent="0.25">
      <c r="A42" s="2" t="s">
        <v>19</v>
      </c>
      <c r="B42" s="3" t="str">
        <f t="shared" si="0"/>
        <v>18/1/14</v>
      </c>
      <c r="C42">
        <v>14</v>
      </c>
      <c r="D42">
        <v>1</v>
      </c>
      <c r="E42">
        <v>18</v>
      </c>
      <c r="F42" t="s">
        <v>89</v>
      </c>
      <c r="G42" t="s">
        <v>31</v>
      </c>
      <c r="H42" t="s">
        <v>26</v>
      </c>
      <c r="I42" t="s">
        <v>27</v>
      </c>
      <c r="J42" s="4">
        <f>Spending_raw[[#This Row],[Price, lei]]</f>
        <v>6.86</v>
      </c>
      <c r="K42">
        <v>3</v>
      </c>
      <c r="L42">
        <v>6.86</v>
      </c>
      <c r="M42">
        <v>20.58</v>
      </c>
      <c r="N42" s="5">
        <v>1.0352112676056338</v>
      </c>
      <c r="O42" t="s">
        <v>90</v>
      </c>
      <c r="P42" t="s">
        <v>340</v>
      </c>
      <c r="Q42" t="s">
        <v>24</v>
      </c>
    </row>
    <row r="43" spans="1:18" hidden="1" x14ac:dyDescent="0.25">
      <c r="A43" s="2" t="s">
        <v>19</v>
      </c>
      <c r="B43" s="3" t="str">
        <f t="shared" si="0"/>
        <v>18/1/14</v>
      </c>
      <c r="C43">
        <v>14</v>
      </c>
      <c r="D43">
        <v>1</v>
      </c>
      <c r="E43">
        <v>18</v>
      </c>
      <c r="F43" t="s">
        <v>39</v>
      </c>
      <c r="H43" t="s">
        <v>65</v>
      </c>
      <c r="I43" t="s">
        <v>27</v>
      </c>
      <c r="J43" s="4">
        <f>Spending_raw[[#This Row],[Price, lei]]</f>
        <v>44.7</v>
      </c>
      <c r="K43">
        <v>1</v>
      </c>
      <c r="L43">
        <v>44.7</v>
      </c>
      <c r="M43">
        <v>44.7</v>
      </c>
      <c r="N43" s="5">
        <v>2.2484909456740447</v>
      </c>
      <c r="O43" t="s">
        <v>90</v>
      </c>
      <c r="P43" t="s">
        <v>340</v>
      </c>
      <c r="Q43" t="s">
        <v>24</v>
      </c>
      <c r="R43" t="s">
        <v>91</v>
      </c>
    </row>
    <row r="44" spans="1:18" hidden="1" x14ac:dyDescent="0.25">
      <c r="A44" s="2" t="s">
        <v>19</v>
      </c>
      <c r="B44" s="3" t="str">
        <f t="shared" si="0"/>
        <v>18/1/14</v>
      </c>
      <c r="C44">
        <v>14</v>
      </c>
      <c r="D44">
        <v>1</v>
      </c>
      <c r="E44">
        <v>18</v>
      </c>
      <c r="F44" t="s">
        <v>92</v>
      </c>
      <c r="H44" t="s">
        <v>69</v>
      </c>
      <c r="I44" s="32" t="s">
        <v>27</v>
      </c>
      <c r="J44" s="4">
        <v>247.94</v>
      </c>
      <c r="K44">
        <v>0.33800000000000002</v>
      </c>
      <c r="L44">
        <v>247.94</v>
      </c>
      <c r="M44">
        <v>83.8</v>
      </c>
      <c r="N44" s="5">
        <v>4.2152917505030185</v>
      </c>
      <c r="O44" t="s">
        <v>90</v>
      </c>
      <c r="P44" t="s">
        <v>340</v>
      </c>
      <c r="Q44" t="s">
        <v>24</v>
      </c>
    </row>
    <row r="45" spans="1:18" hidden="1" x14ac:dyDescent="0.25">
      <c r="A45" s="2" t="s">
        <v>19</v>
      </c>
      <c r="B45" s="3" t="str">
        <f t="shared" si="0"/>
        <v>18/1/14</v>
      </c>
      <c r="C45">
        <v>14</v>
      </c>
      <c r="D45">
        <v>1</v>
      </c>
      <c r="E45">
        <v>18</v>
      </c>
      <c r="F45" t="s">
        <v>40</v>
      </c>
      <c r="H45" t="s">
        <v>40</v>
      </c>
      <c r="I45" t="s">
        <v>27</v>
      </c>
      <c r="J45" s="4">
        <f>Spending_raw[[#This Row],[Price, lei]]</f>
        <v>14.21</v>
      </c>
      <c r="K45">
        <v>1</v>
      </c>
      <c r="L45">
        <v>14.21</v>
      </c>
      <c r="M45">
        <v>14.21</v>
      </c>
      <c r="N45" s="5">
        <v>0.71478873239436624</v>
      </c>
      <c r="O45" t="s">
        <v>90</v>
      </c>
      <c r="P45" t="s">
        <v>340</v>
      </c>
      <c r="Q45" t="s">
        <v>24</v>
      </c>
    </row>
    <row r="46" spans="1:18" hidden="1" x14ac:dyDescent="0.25">
      <c r="A46" s="2" t="s">
        <v>19</v>
      </c>
      <c r="B46" s="3" t="str">
        <f t="shared" si="0"/>
        <v>18/1/14</v>
      </c>
      <c r="C46">
        <v>14</v>
      </c>
      <c r="D46">
        <v>1</v>
      </c>
      <c r="E46">
        <v>18</v>
      </c>
      <c r="F46" t="s">
        <v>40</v>
      </c>
      <c r="H46" t="s">
        <v>40</v>
      </c>
      <c r="I46" t="s">
        <v>27</v>
      </c>
      <c r="J46" s="4">
        <f>Spending_raw[[#This Row],[Price, lei]]</f>
        <v>7.84</v>
      </c>
      <c r="K46">
        <v>1</v>
      </c>
      <c r="L46">
        <v>7.84</v>
      </c>
      <c r="M46">
        <v>7.84</v>
      </c>
      <c r="N46" s="5">
        <v>0.39436619718309862</v>
      </c>
      <c r="O46" t="s">
        <v>90</v>
      </c>
      <c r="P46" t="s">
        <v>340</v>
      </c>
      <c r="Q46" t="s">
        <v>24</v>
      </c>
    </row>
    <row r="47" spans="1:18" hidden="1" x14ac:dyDescent="0.25">
      <c r="A47" s="2" t="s">
        <v>19</v>
      </c>
      <c r="B47" s="3" t="str">
        <f t="shared" si="0"/>
        <v>18/1/14</v>
      </c>
      <c r="C47">
        <v>14</v>
      </c>
      <c r="D47">
        <v>1</v>
      </c>
      <c r="E47">
        <v>18</v>
      </c>
      <c r="F47" t="s">
        <v>77</v>
      </c>
      <c r="G47" t="s">
        <v>77</v>
      </c>
      <c r="H47" t="s">
        <v>26</v>
      </c>
      <c r="I47" t="s">
        <v>27</v>
      </c>
      <c r="J47" s="4">
        <f>Spending_raw[[#This Row],[Price, lei]]</f>
        <v>13.6</v>
      </c>
      <c r="K47">
        <v>1</v>
      </c>
      <c r="L47">
        <v>13.6</v>
      </c>
      <c r="M47">
        <v>13.6</v>
      </c>
      <c r="N47" s="5">
        <v>0.68410462776659964</v>
      </c>
      <c r="O47" t="s">
        <v>90</v>
      </c>
      <c r="P47" t="s">
        <v>340</v>
      </c>
      <c r="Q47" t="s">
        <v>24</v>
      </c>
    </row>
    <row r="48" spans="1:18" hidden="1" x14ac:dyDescent="0.25">
      <c r="A48" s="2" t="s">
        <v>19</v>
      </c>
      <c r="B48" s="3" t="str">
        <f t="shared" si="0"/>
        <v>18/1/14</v>
      </c>
      <c r="C48">
        <v>14</v>
      </c>
      <c r="D48">
        <v>1</v>
      </c>
      <c r="E48">
        <v>18</v>
      </c>
      <c r="F48" s="7" t="s">
        <v>77</v>
      </c>
      <c r="G48" t="s">
        <v>77</v>
      </c>
      <c r="H48" t="s">
        <v>26</v>
      </c>
      <c r="I48" t="s">
        <v>27</v>
      </c>
      <c r="J48" s="4">
        <f>Spending_raw[[#This Row],[Price, lei]]</f>
        <v>17.350000000000001</v>
      </c>
      <c r="K48">
        <v>1</v>
      </c>
      <c r="L48">
        <v>17.350000000000001</v>
      </c>
      <c r="M48">
        <v>17.350000000000001</v>
      </c>
      <c r="N48" s="5">
        <v>0.87273641851106654</v>
      </c>
      <c r="O48" t="s">
        <v>90</v>
      </c>
      <c r="P48" t="s">
        <v>340</v>
      </c>
      <c r="Q48" t="s">
        <v>24</v>
      </c>
    </row>
    <row r="49" spans="1:18" hidden="1" x14ac:dyDescent="0.25">
      <c r="A49" s="2" t="s">
        <v>19</v>
      </c>
      <c r="B49" s="3" t="str">
        <f t="shared" si="0"/>
        <v>18/1/14</v>
      </c>
      <c r="C49">
        <v>14</v>
      </c>
      <c r="D49">
        <v>1</v>
      </c>
      <c r="E49">
        <v>18</v>
      </c>
      <c r="F49" t="s">
        <v>93</v>
      </c>
      <c r="H49" t="s">
        <v>69</v>
      </c>
      <c r="I49" t="s">
        <v>27</v>
      </c>
      <c r="J49" s="4">
        <v>382.2</v>
      </c>
      <c r="K49">
        <v>0.28599999999999998</v>
      </c>
      <c r="L49">
        <v>382.2</v>
      </c>
      <c r="M49">
        <v>109.31</v>
      </c>
      <c r="N49" s="5">
        <v>5.4984909456740443</v>
      </c>
      <c r="O49" t="s">
        <v>90</v>
      </c>
      <c r="P49" t="s">
        <v>340</v>
      </c>
      <c r="Q49" t="s">
        <v>24</v>
      </c>
    </row>
    <row r="50" spans="1:18" hidden="1" x14ac:dyDescent="0.25">
      <c r="A50" s="2" t="s">
        <v>19</v>
      </c>
      <c r="B50" s="3" t="str">
        <f t="shared" si="0"/>
        <v>18/1/14</v>
      </c>
      <c r="C50">
        <v>14</v>
      </c>
      <c r="D50">
        <v>1</v>
      </c>
      <c r="E50">
        <v>18</v>
      </c>
      <c r="F50" t="s">
        <v>94</v>
      </c>
      <c r="I50" t="s">
        <v>87</v>
      </c>
      <c r="J50" s="4">
        <f>Spending_raw[[#This Row],[Price, lei]]</f>
        <v>29.7</v>
      </c>
      <c r="K50">
        <v>1</v>
      </c>
      <c r="L50">
        <v>29.7</v>
      </c>
      <c r="M50">
        <v>29.7</v>
      </c>
      <c r="N50" s="5">
        <v>1.4939637826961771</v>
      </c>
      <c r="O50" t="s">
        <v>39</v>
      </c>
      <c r="P50" t="s">
        <v>340</v>
      </c>
      <c r="Q50" t="s">
        <v>24</v>
      </c>
    </row>
    <row r="51" spans="1:18" hidden="1" x14ac:dyDescent="0.25">
      <c r="A51" s="2" t="s">
        <v>19</v>
      </c>
      <c r="B51" s="3" t="str">
        <f t="shared" si="0"/>
        <v>18/1/15</v>
      </c>
      <c r="C51">
        <v>15</v>
      </c>
      <c r="D51">
        <v>1</v>
      </c>
      <c r="E51">
        <v>18</v>
      </c>
      <c r="F51" t="s">
        <v>39</v>
      </c>
      <c r="I51" t="s">
        <v>96</v>
      </c>
      <c r="J51" s="4">
        <v>4</v>
      </c>
      <c r="K51">
        <v>1</v>
      </c>
      <c r="L51">
        <v>67.400000000000006</v>
      </c>
      <c r="M51">
        <v>67.400000000000006</v>
      </c>
      <c r="N51" s="5">
        <v>3.3903420523138839</v>
      </c>
      <c r="O51" t="s">
        <v>97</v>
      </c>
      <c r="P51" t="s">
        <v>651</v>
      </c>
      <c r="Q51" t="s">
        <v>24</v>
      </c>
      <c r="R51" t="s">
        <v>95</v>
      </c>
    </row>
    <row r="52" spans="1:18" hidden="1" x14ac:dyDescent="0.25">
      <c r="A52" s="2" t="s">
        <v>19</v>
      </c>
      <c r="B52" s="3" t="str">
        <f t="shared" si="0"/>
        <v>18/1/17</v>
      </c>
      <c r="C52">
        <v>17</v>
      </c>
      <c r="D52">
        <v>1</v>
      </c>
      <c r="E52">
        <v>18</v>
      </c>
      <c r="F52" t="s">
        <v>89</v>
      </c>
      <c r="G52" t="s">
        <v>31</v>
      </c>
      <c r="H52" t="s">
        <v>26</v>
      </c>
      <c r="I52" t="s">
        <v>27</v>
      </c>
      <c r="J52" s="4">
        <f>Spending_raw[[#This Row],[Price, lei]]</f>
        <v>11.7</v>
      </c>
      <c r="K52">
        <v>1</v>
      </c>
      <c r="L52">
        <v>11.7</v>
      </c>
      <c r="M52">
        <v>11.7</v>
      </c>
      <c r="N52" s="5">
        <v>0.58853118712273644</v>
      </c>
      <c r="O52" t="s">
        <v>32</v>
      </c>
      <c r="P52" t="s">
        <v>340</v>
      </c>
      <c r="Q52" t="s">
        <v>24</v>
      </c>
    </row>
    <row r="53" spans="1:18" hidden="1" x14ac:dyDescent="0.25">
      <c r="A53" s="2" t="s">
        <v>19</v>
      </c>
      <c r="B53" s="3" t="str">
        <f t="shared" si="0"/>
        <v>18/1/17</v>
      </c>
      <c r="C53">
        <v>17</v>
      </c>
      <c r="D53">
        <v>1</v>
      </c>
      <c r="E53">
        <v>18</v>
      </c>
      <c r="F53" t="s">
        <v>89</v>
      </c>
      <c r="G53" t="s">
        <v>31</v>
      </c>
      <c r="H53" t="s">
        <v>26</v>
      </c>
      <c r="I53" t="s">
        <v>27</v>
      </c>
      <c r="J53" s="4">
        <f>Spending_raw[[#This Row],[Price, lei]]</f>
        <v>7.4</v>
      </c>
      <c r="K53">
        <v>1</v>
      </c>
      <c r="L53">
        <v>7.4</v>
      </c>
      <c r="M53">
        <v>7.4</v>
      </c>
      <c r="N53" s="5">
        <v>0.37223340040241454</v>
      </c>
      <c r="O53" t="s">
        <v>32</v>
      </c>
      <c r="P53" t="s">
        <v>340</v>
      </c>
      <c r="Q53" t="s">
        <v>24</v>
      </c>
    </row>
    <row r="54" spans="1:18" hidden="1" x14ac:dyDescent="0.25">
      <c r="A54" s="2" t="s">
        <v>19</v>
      </c>
      <c r="B54" s="3" t="str">
        <f t="shared" si="0"/>
        <v>18/1/17</v>
      </c>
      <c r="C54">
        <v>17</v>
      </c>
      <c r="D54">
        <v>1</v>
      </c>
      <c r="E54">
        <v>18</v>
      </c>
      <c r="F54" s="7" t="s">
        <v>77</v>
      </c>
      <c r="G54" t="s">
        <v>77</v>
      </c>
      <c r="H54" t="s">
        <v>26</v>
      </c>
      <c r="I54" t="s">
        <v>27</v>
      </c>
      <c r="J54" s="4">
        <f>Spending_raw[[#This Row],[Price, lei]]</f>
        <v>18.7</v>
      </c>
      <c r="K54">
        <v>1</v>
      </c>
      <c r="L54">
        <v>18.7</v>
      </c>
      <c r="M54">
        <v>18.7</v>
      </c>
      <c r="N54" s="5">
        <v>0.94064386317907445</v>
      </c>
      <c r="O54" t="s">
        <v>32</v>
      </c>
      <c r="P54" t="s">
        <v>340</v>
      </c>
      <c r="Q54" t="s">
        <v>24</v>
      </c>
    </row>
    <row r="55" spans="1:18" hidden="1" x14ac:dyDescent="0.25">
      <c r="A55" s="2" t="s">
        <v>19</v>
      </c>
      <c r="B55" s="3" t="str">
        <f t="shared" si="0"/>
        <v>18/1/17</v>
      </c>
      <c r="C55">
        <v>17</v>
      </c>
      <c r="D55">
        <v>1</v>
      </c>
      <c r="E55">
        <v>18</v>
      </c>
      <c r="F55" t="s">
        <v>98</v>
      </c>
      <c r="H55" t="s">
        <v>26</v>
      </c>
      <c r="I55" t="s">
        <v>27</v>
      </c>
      <c r="J55" s="4">
        <v>25.9</v>
      </c>
      <c r="K55">
        <v>1</v>
      </c>
      <c r="L55">
        <v>25.9</v>
      </c>
      <c r="M55">
        <v>25.9</v>
      </c>
      <c r="N55" s="5">
        <v>1.3028169014084507</v>
      </c>
      <c r="O55" t="s">
        <v>32</v>
      </c>
      <c r="P55" t="s">
        <v>340</v>
      </c>
      <c r="Q55" t="s">
        <v>24</v>
      </c>
      <c r="R55" t="s">
        <v>1259</v>
      </c>
    </row>
    <row r="56" spans="1:18" hidden="1" x14ac:dyDescent="0.25">
      <c r="A56" s="2" t="s">
        <v>19</v>
      </c>
      <c r="B56" s="3" t="str">
        <f t="shared" si="0"/>
        <v>18/1/18</v>
      </c>
      <c r="C56">
        <v>18</v>
      </c>
      <c r="D56">
        <v>1</v>
      </c>
      <c r="E56">
        <v>18</v>
      </c>
      <c r="F56" t="s">
        <v>99</v>
      </c>
      <c r="H56" t="s">
        <v>40</v>
      </c>
      <c r="I56" t="s">
        <v>27</v>
      </c>
      <c r="J56" s="4">
        <f>Spending_raw[[#This Row],[Price, lei]]</f>
        <v>10</v>
      </c>
      <c r="K56">
        <v>1</v>
      </c>
      <c r="L56">
        <v>10</v>
      </c>
      <c r="M56">
        <v>10</v>
      </c>
      <c r="N56" s="5">
        <v>0.50301810865191154</v>
      </c>
      <c r="O56" t="s">
        <v>100</v>
      </c>
      <c r="P56" t="s">
        <v>340</v>
      </c>
      <c r="Q56" t="s">
        <v>24</v>
      </c>
    </row>
    <row r="57" spans="1:18" hidden="1" x14ac:dyDescent="0.25">
      <c r="A57" s="2" t="s">
        <v>19</v>
      </c>
      <c r="B57" s="3" t="str">
        <f t="shared" si="0"/>
        <v>18/1/18</v>
      </c>
      <c r="C57">
        <v>18</v>
      </c>
      <c r="D57">
        <v>1</v>
      </c>
      <c r="E57">
        <v>18</v>
      </c>
      <c r="F57" t="s">
        <v>89</v>
      </c>
      <c r="G57" t="s">
        <v>31</v>
      </c>
      <c r="H57" t="s">
        <v>26</v>
      </c>
      <c r="I57" t="s">
        <v>27</v>
      </c>
      <c r="J57" s="4">
        <v>6.75</v>
      </c>
      <c r="K57">
        <v>3</v>
      </c>
      <c r="L57">
        <v>6.75</v>
      </c>
      <c r="M57">
        <v>20.25</v>
      </c>
      <c r="N57" s="5">
        <v>1.0186116700201209</v>
      </c>
      <c r="O57" t="s">
        <v>101</v>
      </c>
      <c r="P57" t="s">
        <v>340</v>
      </c>
      <c r="Q57" t="s">
        <v>24</v>
      </c>
    </row>
    <row r="58" spans="1:18" hidden="1" x14ac:dyDescent="0.25">
      <c r="A58" s="2" t="s">
        <v>19</v>
      </c>
      <c r="B58" s="3" t="str">
        <f t="shared" si="0"/>
        <v>18/1/19</v>
      </c>
      <c r="C58">
        <v>19</v>
      </c>
      <c r="D58">
        <v>1</v>
      </c>
      <c r="E58">
        <v>18</v>
      </c>
      <c r="F58" t="s">
        <v>104</v>
      </c>
      <c r="I58" t="s">
        <v>72</v>
      </c>
      <c r="J58" s="4">
        <v>42.6</v>
      </c>
      <c r="K58">
        <v>1</v>
      </c>
      <c r="L58">
        <v>42.6</v>
      </c>
      <c r="M58">
        <v>42.6</v>
      </c>
      <c r="N58" s="5">
        <v>2.1428571428571432</v>
      </c>
      <c r="O58" t="s">
        <v>39</v>
      </c>
      <c r="P58" t="s">
        <v>340</v>
      </c>
      <c r="Q58" t="s">
        <v>84</v>
      </c>
      <c r="R58" t="s">
        <v>646</v>
      </c>
    </row>
    <row r="59" spans="1:18" hidden="1" x14ac:dyDescent="0.25">
      <c r="A59" s="2" t="s">
        <v>19</v>
      </c>
      <c r="B59" s="3" t="str">
        <f t="shared" si="0"/>
        <v>18/1/2</v>
      </c>
      <c r="C59">
        <v>2</v>
      </c>
      <c r="D59">
        <v>1</v>
      </c>
      <c r="E59">
        <v>18</v>
      </c>
      <c r="F59" t="s">
        <v>106</v>
      </c>
      <c r="H59" t="s">
        <v>56</v>
      </c>
      <c r="I59" t="s">
        <v>27</v>
      </c>
      <c r="J59" s="4">
        <f>Spending_raw[[#This Row],[Price, lei]]</f>
        <v>32.5</v>
      </c>
      <c r="K59">
        <v>1.69</v>
      </c>
      <c r="L59">
        <v>32.5</v>
      </c>
      <c r="M59">
        <v>54.924999999999997</v>
      </c>
      <c r="N59" s="5">
        <v>2.7628269617706236</v>
      </c>
      <c r="O59" t="s">
        <v>90</v>
      </c>
      <c r="P59" t="s">
        <v>340</v>
      </c>
      <c r="Q59" t="s">
        <v>24</v>
      </c>
    </row>
    <row r="60" spans="1:18" hidden="1" x14ac:dyDescent="0.25">
      <c r="A60" s="2" t="s">
        <v>19</v>
      </c>
      <c r="B60" s="3" t="str">
        <f t="shared" si="0"/>
        <v>18/1/2</v>
      </c>
      <c r="C60">
        <v>2</v>
      </c>
      <c r="D60">
        <v>1</v>
      </c>
      <c r="E60">
        <v>18</v>
      </c>
      <c r="F60" t="s">
        <v>107</v>
      </c>
      <c r="H60" t="s">
        <v>53</v>
      </c>
      <c r="I60" t="s">
        <v>27</v>
      </c>
      <c r="J60" s="4">
        <v>11.87</v>
      </c>
      <c r="K60">
        <v>1</v>
      </c>
      <c r="L60">
        <v>11.87</v>
      </c>
      <c r="M60">
        <v>11.87</v>
      </c>
      <c r="N60" s="5">
        <v>0.59708249496981891</v>
      </c>
      <c r="O60" t="s">
        <v>90</v>
      </c>
      <c r="P60" t="s">
        <v>340</v>
      </c>
      <c r="Q60" t="s">
        <v>24</v>
      </c>
    </row>
    <row r="61" spans="1:18" hidden="1" x14ac:dyDescent="0.25">
      <c r="A61" s="2" t="s">
        <v>19</v>
      </c>
      <c r="B61" s="3" t="str">
        <f t="shared" si="0"/>
        <v>18/1/2</v>
      </c>
      <c r="C61">
        <v>2</v>
      </c>
      <c r="D61">
        <v>1</v>
      </c>
      <c r="E61">
        <v>18</v>
      </c>
      <c r="F61" t="s">
        <v>108</v>
      </c>
      <c r="H61" t="s">
        <v>54</v>
      </c>
      <c r="I61" t="s">
        <v>27</v>
      </c>
      <c r="J61" s="4">
        <f>Spending_raw[[#This Row],[Price, lei]]</f>
        <v>44.6</v>
      </c>
      <c r="K61">
        <v>0.23799999999999999</v>
      </c>
      <c r="L61">
        <v>44.6</v>
      </c>
      <c r="M61">
        <v>10.614800000000001</v>
      </c>
      <c r="N61" s="5">
        <v>0.53394366197183107</v>
      </c>
      <c r="O61" t="s">
        <v>90</v>
      </c>
      <c r="P61" t="s">
        <v>340</v>
      </c>
      <c r="Q61" t="s">
        <v>24</v>
      </c>
    </row>
    <row r="62" spans="1:18" hidden="1" x14ac:dyDescent="0.25">
      <c r="A62" s="2" t="s">
        <v>19</v>
      </c>
      <c r="B62" s="3" t="str">
        <f t="shared" si="0"/>
        <v>18/1/2</v>
      </c>
      <c r="C62">
        <v>2</v>
      </c>
      <c r="D62">
        <v>1</v>
      </c>
      <c r="E62">
        <v>18</v>
      </c>
      <c r="F62" t="s">
        <v>109</v>
      </c>
      <c r="H62" t="s">
        <v>54</v>
      </c>
      <c r="I62" t="s">
        <v>27</v>
      </c>
      <c r="J62" s="4">
        <f>Spending_raw[[#This Row],[Price, lei]]</f>
        <v>36.5</v>
      </c>
      <c r="K62">
        <v>0.39200000000000002</v>
      </c>
      <c r="L62">
        <v>36.5</v>
      </c>
      <c r="M62">
        <v>14.308</v>
      </c>
      <c r="N62" s="5">
        <v>0.71971830985915497</v>
      </c>
      <c r="O62" t="s">
        <v>90</v>
      </c>
      <c r="P62" t="s">
        <v>340</v>
      </c>
      <c r="Q62" t="s">
        <v>24</v>
      </c>
    </row>
    <row r="63" spans="1:18" hidden="1" x14ac:dyDescent="0.25">
      <c r="A63" s="2" t="s">
        <v>19</v>
      </c>
      <c r="B63" s="3" t="str">
        <f t="shared" si="0"/>
        <v>18/1/2</v>
      </c>
      <c r="C63">
        <v>2</v>
      </c>
      <c r="D63">
        <v>1</v>
      </c>
      <c r="E63">
        <v>18</v>
      </c>
      <c r="F63" t="s">
        <v>110</v>
      </c>
      <c r="H63" t="s">
        <v>56</v>
      </c>
      <c r="I63" t="s">
        <v>27</v>
      </c>
      <c r="J63" s="4">
        <f>Spending_raw[[#This Row],[Price, lei]]</f>
        <v>31.8</v>
      </c>
      <c r="K63">
        <v>0.67</v>
      </c>
      <c r="L63">
        <v>31.8</v>
      </c>
      <c r="M63">
        <v>21.306000000000001</v>
      </c>
      <c r="N63" s="5">
        <v>1.0717303822937627</v>
      </c>
      <c r="O63" t="s">
        <v>90</v>
      </c>
      <c r="P63" t="s">
        <v>340</v>
      </c>
      <c r="Q63" t="s">
        <v>24</v>
      </c>
    </row>
    <row r="64" spans="1:18" hidden="1" x14ac:dyDescent="0.25">
      <c r="A64" s="2" t="s">
        <v>19</v>
      </c>
      <c r="B64" s="3" t="str">
        <f t="shared" si="0"/>
        <v>18/1/2</v>
      </c>
      <c r="C64">
        <v>2</v>
      </c>
      <c r="D64">
        <v>1</v>
      </c>
      <c r="E64">
        <v>18</v>
      </c>
      <c r="F64" t="s">
        <v>92</v>
      </c>
      <c r="H64" t="s">
        <v>69</v>
      </c>
      <c r="I64" t="s">
        <v>27</v>
      </c>
      <c r="J64" s="4">
        <v>240.35</v>
      </c>
      <c r="K64">
        <v>0.42599999999999999</v>
      </c>
      <c r="L64">
        <v>240.35</v>
      </c>
      <c r="M64">
        <v>102.39</v>
      </c>
      <c r="N64" s="5">
        <v>5.1504024144869218</v>
      </c>
      <c r="O64" t="s">
        <v>90</v>
      </c>
      <c r="P64" t="s">
        <v>340</v>
      </c>
      <c r="Q64" t="s">
        <v>24</v>
      </c>
    </row>
    <row r="65" spans="1:17" hidden="1" x14ac:dyDescent="0.25">
      <c r="A65" s="2" t="s">
        <v>19</v>
      </c>
      <c r="B65" s="3" t="str">
        <f t="shared" si="0"/>
        <v>18/1/2</v>
      </c>
      <c r="C65">
        <v>2</v>
      </c>
      <c r="D65">
        <v>1</v>
      </c>
      <c r="E65">
        <v>18</v>
      </c>
      <c r="F65" t="s">
        <v>111</v>
      </c>
      <c r="H65" t="s">
        <v>54</v>
      </c>
      <c r="I65" t="s">
        <v>27</v>
      </c>
      <c r="J65" s="4">
        <f>Spending_raw[[#This Row],[Price, lei]]</f>
        <v>25.4</v>
      </c>
      <c r="K65">
        <v>0.53200000000000003</v>
      </c>
      <c r="L65">
        <v>25.4</v>
      </c>
      <c r="M65">
        <v>13.5128</v>
      </c>
      <c r="N65" s="5">
        <v>0.67971830985915493</v>
      </c>
      <c r="O65" t="s">
        <v>90</v>
      </c>
      <c r="P65" t="s">
        <v>340</v>
      </c>
      <c r="Q65" t="s">
        <v>24</v>
      </c>
    </row>
    <row r="66" spans="1:17" hidden="1" x14ac:dyDescent="0.25">
      <c r="A66" s="2" t="s">
        <v>19</v>
      </c>
      <c r="B66" s="3" t="str">
        <f t="shared" ref="B66:B129" si="1">CONCATENATE(E66,"/",D66,"/",C66)</f>
        <v>18/1/2</v>
      </c>
      <c r="C66">
        <v>2</v>
      </c>
      <c r="D66">
        <v>1</v>
      </c>
      <c r="E66">
        <v>18</v>
      </c>
      <c r="F66" t="s">
        <v>112</v>
      </c>
      <c r="H66" t="s">
        <v>56</v>
      </c>
      <c r="I66" t="s">
        <v>27</v>
      </c>
      <c r="J66" s="4">
        <f>Spending_raw[[#This Row],[Price, lei]]</f>
        <v>24.8</v>
      </c>
      <c r="K66">
        <v>1.27</v>
      </c>
      <c r="L66">
        <v>24.8</v>
      </c>
      <c r="M66">
        <v>31.495999999999999</v>
      </c>
      <c r="N66" s="5">
        <v>1.5843058350100603</v>
      </c>
      <c r="O66" t="s">
        <v>90</v>
      </c>
      <c r="P66" t="s">
        <v>340</v>
      </c>
      <c r="Q66" t="s">
        <v>24</v>
      </c>
    </row>
    <row r="67" spans="1:17" hidden="1" x14ac:dyDescent="0.25">
      <c r="A67" s="2" t="s">
        <v>19</v>
      </c>
      <c r="B67" s="3" t="str">
        <f t="shared" si="1"/>
        <v>18/1/2</v>
      </c>
      <c r="C67">
        <v>2</v>
      </c>
      <c r="D67">
        <v>1</v>
      </c>
      <c r="E67">
        <v>18</v>
      </c>
      <c r="F67" t="s">
        <v>113</v>
      </c>
      <c r="H67" t="s">
        <v>69</v>
      </c>
      <c r="I67" t="s">
        <v>27</v>
      </c>
      <c r="J67" s="4">
        <v>52.44</v>
      </c>
      <c r="K67">
        <v>0.4</v>
      </c>
      <c r="L67">
        <v>52.44</v>
      </c>
      <c r="M67">
        <v>20.975999999999999</v>
      </c>
      <c r="N67" s="5">
        <v>1.0551307847082496</v>
      </c>
      <c r="O67" t="s">
        <v>90</v>
      </c>
      <c r="P67" t="s">
        <v>340</v>
      </c>
      <c r="Q67" t="s">
        <v>24</v>
      </c>
    </row>
    <row r="68" spans="1:17" hidden="1" x14ac:dyDescent="0.25">
      <c r="A68" s="2" t="s">
        <v>19</v>
      </c>
      <c r="B68" s="3" t="str">
        <f t="shared" si="1"/>
        <v>18/1/2</v>
      </c>
      <c r="C68">
        <v>2</v>
      </c>
      <c r="D68">
        <v>1</v>
      </c>
      <c r="E68">
        <v>18</v>
      </c>
      <c r="F68" t="s">
        <v>114</v>
      </c>
      <c r="H68" t="s">
        <v>39</v>
      </c>
      <c r="I68" t="s">
        <v>27</v>
      </c>
      <c r="J68" s="4">
        <v>24.23</v>
      </c>
      <c r="K68">
        <v>1</v>
      </c>
      <c r="L68">
        <v>24.23</v>
      </c>
      <c r="M68">
        <v>24.23</v>
      </c>
      <c r="N68" s="5">
        <v>1.2188128772635816</v>
      </c>
      <c r="O68" t="s">
        <v>90</v>
      </c>
      <c r="P68" t="s">
        <v>340</v>
      </c>
      <c r="Q68" t="s">
        <v>24</v>
      </c>
    </row>
    <row r="69" spans="1:17" hidden="1" x14ac:dyDescent="0.25">
      <c r="A69" s="2" t="s">
        <v>19</v>
      </c>
      <c r="B69" s="3" t="str">
        <f t="shared" si="1"/>
        <v>18/1/2</v>
      </c>
      <c r="C69">
        <v>2</v>
      </c>
      <c r="D69">
        <v>1</v>
      </c>
      <c r="E69">
        <v>18</v>
      </c>
      <c r="F69" t="s">
        <v>115</v>
      </c>
      <c r="H69" t="s">
        <v>39</v>
      </c>
      <c r="I69" t="s">
        <v>27</v>
      </c>
      <c r="J69" s="4">
        <v>399</v>
      </c>
      <c r="K69">
        <v>5.6000000000000001E-2</v>
      </c>
      <c r="L69">
        <v>399</v>
      </c>
      <c r="M69">
        <v>22.344000000000001</v>
      </c>
      <c r="N69" s="5">
        <v>1.123943661971831</v>
      </c>
      <c r="O69" t="s">
        <v>90</v>
      </c>
      <c r="P69" t="s">
        <v>340</v>
      </c>
      <c r="Q69" t="s">
        <v>24</v>
      </c>
    </row>
    <row r="70" spans="1:17" hidden="1" x14ac:dyDescent="0.25">
      <c r="A70" s="2" t="s">
        <v>19</v>
      </c>
      <c r="B70" s="3" t="str">
        <f t="shared" si="1"/>
        <v>18/1/2</v>
      </c>
      <c r="C70">
        <v>2</v>
      </c>
      <c r="D70">
        <v>1</v>
      </c>
      <c r="E70">
        <v>18</v>
      </c>
      <c r="F70" t="s">
        <v>116</v>
      </c>
      <c r="H70" t="s">
        <v>54</v>
      </c>
      <c r="I70" t="s">
        <v>27</v>
      </c>
      <c r="J70" s="4">
        <v>6.2</v>
      </c>
      <c r="K70">
        <v>1.6519999999999999</v>
      </c>
      <c r="L70">
        <v>6.2</v>
      </c>
      <c r="M70">
        <v>10.2424</v>
      </c>
      <c r="N70" s="5">
        <v>0.51521126760563385</v>
      </c>
      <c r="O70" t="s">
        <v>90</v>
      </c>
      <c r="P70" t="s">
        <v>340</v>
      </c>
      <c r="Q70" t="s">
        <v>24</v>
      </c>
    </row>
    <row r="71" spans="1:17" hidden="1" x14ac:dyDescent="0.25">
      <c r="A71" s="2" t="s">
        <v>19</v>
      </c>
      <c r="B71" s="3" t="str">
        <f t="shared" si="1"/>
        <v>18/1/2</v>
      </c>
      <c r="C71">
        <v>2</v>
      </c>
      <c r="D71">
        <v>1</v>
      </c>
      <c r="E71">
        <v>18</v>
      </c>
      <c r="F71" t="s">
        <v>73</v>
      </c>
      <c r="H71" t="s">
        <v>117</v>
      </c>
      <c r="I71" t="s">
        <v>27</v>
      </c>
      <c r="J71" s="4">
        <v>23.56</v>
      </c>
      <c r="K71">
        <v>1</v>
      </c>
      <c r="L71">
        <v>23.56</v>
      </c>
      <c r="M71">
        <v>23.56</v>
      </c>
      <c r="N71" s="5">
        <v>1.1851106639839035</v>
      </c>
      <c r="O71" t="s">
        <v>90</v>
      </c>
      <c r="P71" t="s">
        <v>340</v>
      </c>
      <c r="Q71" t="s">
        <v>24</v>
      </c>
    </row>
    <row r="72" spans="1:17" hidden="1" x14ac:dyDescent="0.25">
      <c r="A72" s="2" t="s">
        <v>19</v>
      </c>
      <c r="B72" s="3" t="str">
        <f t="shared" si="1"/>
        <v>18/1/2</v>
      </c>
      <c r="C72">
        <v>2</v>
      </c>
      <c r="D72">
        <v>1</v>
      </c>
      <c r="E72">
        <v>18</v>
      </c>
      <c r="F72" t="s">
        <v>118</v>
      </c>
      <c r="H72" t="s">
        <v>40</v>
      </c>
      <c r="I72" t="s">
        <v>27</v>
      </c>
      <c r="J72" s="4">
        <v>11.97</v>
      </c>
      <c r="K72">
        <v>1</v>
      </c>
      <c r="L72">
        <v>11.97</v>
      </c>
      <c r="M72">
        <v>11.97</v>
      </c>
      <c r="N72" s="5">
        <v>0.60211267605633811</v>
      </c>
      <c r="O72" t="s">
        <v>90</v>
      </c>
      <c r="P72" t="s">
        <v>340</v>
      </c>
      <c r="Q72" t="s">
        <v>24</v>
      </c>
    </row>
    <row r="73" spans="1:17" hidden="1" x14ac:dyDescent="0.25">
      <c r="A73" s="2" t="s">
        <v>19</v>
      </c>
      <c r="B73" s="3" t="str">
        <f t="shared" si="1"/>
        <v>18/1/2</v>
      </c>
      <c r="C73">
        <v>2</v>
      </c>
      <c r="D73">
        <v>1</v>
      </c>
      <c r="E73">
        <v>18</v>
      </c>
      <c r="F73" t="s">
        <v>74</v>
      </c>
      <c r="H73" t="s">
        <v>56</v>
      </c>
      <c r="I73" t="s">
        <v>27</v>
      </c>
      <c r="J73" s="4">
        <v>21.7</v>
      </c>
      <c r="K73">
        <v>0.95</v>
      </c>
      <c r="L73">
        <v>21.7</v>
      </c>
      <c r="M73">
        <v>20.614999999999998</v>
      </c>
      <c r="N73" s="5">
        <v>1.0369718309859155</v>
      </c>
      <c r="O73" t="s">
        <v>90</v>
      </c>
      <c r="P73" t="s">
        <v>340</v>
      </c>
      <c r="Q73" t="s">
        <v>24</v>
      </c>
    </row>
    <row r="74" spans="1:17" hidden="1" x14ac:dyDescent="0.25">
      <c r="A74" s="2" t="s">
        <v>19</v>
      </c>
      <c r="B74" s="3" t="str">
        <f t="shared" si="1"/>
        <v>18/1/2</v>
      </c>
      <c r="C74">
        <v>2</v>
      </c>
      <c r="D74">
        <v>1</v>
      </c>
      <c r="E74">
        <v>18</v>
      </c>
      <c r="F74" t="s">
        <v>119</v>
      </c>
      <c r="H74" t="s">
        <v>56</v>
      </c>
      <c r="I74" t="s">
        <v>27</v>
      </c>
      <c r="J74" s="4">
        <v>21.1</v>
      </c>
      <c r="K74">
        <v>1.0580000000000001</v>
      </c>
      <c r="L74">
        <v>21.1</v>
      </c>
      <c r="M74">
        <v>22.323799999999999</v>
      </c>
      <c r="N74" s="5">
        <v>1.1229275653923541</v>
      </c>
      <c r="O74" t="s">
        <v>90</v>
      </c>
      <c r="P74" t="s">
        <v>340</v>
      </c>
      <c r="Q74" t="s">
        <v>24</v>
      </c>
    </row>
    <row r="75" spans="1:17" hidden="1" x14ac:dyDescent="0.25">
      <c r="A75" s="2" t="s">
        <v>19</v>
      </c>
      <c r="B75" s="3" t="str">
        <f t="shared" si="1"/>
        <v>18/1/2</v>
      </c>
      <c r="C75">
        <v>2</v>
      </c>
      <c r="D75">
        <v>1</v>
      </c>
      <c r="E75">
        <v>18</v>
      </c>
      <c r="F75" t="s">
        <v>120</v>
      </c>
      <c r="H75" t="s">
        <v>54</v>
      </c>
      <c r="I75" t="s">
        <v>27</v>
      </c>
      <c r="J75" s="4">
        <v>24</v>
      </c>
      <c r="K75">
        <v>8.5999999999999993E-2</v>
      </c>
      <c r="L75">
        <v>24</v>
      </c>
      <c r="M75">
        <v>2.0640000000000001</v>
      </c>
      <c r="N75" s="5">
        <v>0.10382293762575454</v>
      </c>
      <c r="O75" t="s">
        <v>90</v>
      </c>
      <c r="P75" t="s">
        <v>340</v>
      </c>
      <c r="Q75" t="s">
        <v>24</v>
      </c>
    </row>
    <row r="76" spans="1:17" hidden="1" x14ac:dyDescent="0.25">
      <c r="A76" s="2" t="s">
        <v>19</v>
      </c>
      <c r="B76" s="3" t="str">
        <f t="shared" si="1"/>
        <v>18/1/2</v>
      </c>
      <c r="C76">
        <v>2</v>
      </c>
      <c r="D76">
        <v>1</v>
      </c>
      <c r="E76">
        <v>18</v>
      </c>
      <c r="F76" t="s">
        <v>121</v>
      </c>
      <c r="H76" t="s">
        <v>54</v>
      </c>
      <c r="I76" t="s">
        <v>27</v>
      </c>
      <c r="J76" s="4">
        <v>16.100000000000001</v>
      </c>
      <c r="K76">
        <v>1.042</v>
      </c>
      <c r="L76">
        <v>16.100000000000001</v>
      </c>
      <c r="M76">
        <v>16.776199999999999</v>
      </c>
      <c r="N76" s="5">
        <v>0.84387323943661974</v>
      </c>
      <c r="O76" t="s">
        <v>90</v>
      </c>
      <c r="P76" t="s">
        <v>340</v>
      </c>
      <c r="Q76" t="s">
        <v>24</v>
      </c>
    </row>
    <row r="77" spans="1:17" hidden="1" x14ac:dyDescent="0.25">
      <c r="A77" s="2" t="s">
        <v>19</v>
      </c>
      <c r="B77" s="3" t="str">
        <f t="shared" si="1"/>
        <v>18/1/2</v>
      </c>
      <c r="C77">
        <v>2</v>
      </c>
      <c r="D77">
        <v>1</v>
      </c>
      <c r="E77">
        <v>18</v>
      </c>
      <c r="F77" t="s">
        <v>122</v>
      </c>
      <c r="H77" t="s">
        <v>54</v>
      </c>
      <c r="I77" t="s">
        <v>27</v>
      </c>
      <c r="J77" s="4">
        <v>6.3</v>
      </c>
      <c r="K77">
        <v>0.60799999999999998</v>
      </c>
      <c r="L77">
        <v>6.3</v>
      </c>
      <c r="M77">
        <v>3.8304</v>
      </c>
      <c r="N77" s="5">
        <v>0.19267605633802817</v>
      </c>
      <c r="O77" t="s">
        <v>90</v>
      </c>
      <c r="P77" t="s">
        <v>340</v>
      </c>
      <c r="Q77" t="s">
        <v>24</v>
      </c>
    </row>
    <row r="78" spans="1:17" hidden="1" x14ac:dyDescent="0.25">
      <c r="A78" s="2" t="s">
        <v>19</v>
      </c>
      <c r="B78" s="3" t="str">
        <f t="shared" si="1"/>
        <v>18/1/2</v>
      </c>
      <c r="C78">
        <v>2</v>
      </c>
      <c r="D78">
        <v>1</v>
      </c>
      <c r="E78">
        <v>18</v>
      </c>
      <c r="F78" t="s">
        <v>776</v>
      </c>
      <c r="H78" t="s">
        <v>56</v>
      </c>
      <c r="I78" t="s">
        <v>27</v>
      </c>
      <c r="J78" s="4">
        <v>29.8</v>
      </c>
      <c r="K78">
        <v>0.41199999999999998</v>
      </c>
      <c r="L78">
        <v>29.8</v>
      </c>
      <c r="M78">
        <v>12.2776</v>
      </c>
      <c r="N78" s="5">
        <v>0.61758551307847087</v>
      </c>
      <c r="O78" t="s">
        <v>90</v>
      </c>
      <c r="P78" t="s">
        <v>340</v>
      </c>
      <c r="Q78" t="s">
        <v>24</v>
      </c>
    </row>
    <row r="79" spans="1:17" hidden="1" x14ac:dyDescent="0.25">
      <c r="A79" s="2" t="s">
        <v>19</v>
      </c>
      <c r="B79" s="3" t="str">
        <f t="shared" si="1"/>
        <v>18/1/2</v>
      </c>
      <c r="C79">
        <v>2</v>
      </c>
      <c r="D79">
        <v>1</v>
      </c>
      <c r="E79">
        <v>18</v>
      </c>
      <c r="F79" t="s">
        <v>124</v>
      </c>
      <c r="H79" t="s">
        <v>54</v>
      </c>
      <c r="I79" t="s">
        <v>27</v>
      </c>
      <c r="J79" s="4">
        <v>45.6</v>
      </c>
      <c r="K79">
        <v>0.61</v>
      </c>
      <c r="L79">
        <v>45.6</v>
      </c>
      <c r="M79">
        <v>27.815999999999999</v>
      </c>
      <c r="N79" s="5">
        <v>1.399195171026157</v>
      </c>
      <c r="O79" t="s">
        <v>90</v>
      </c>
      <c r="P79" t="s">
        <v>340</v>
      </c>
      <c r="Q79" t="s">
        <v>24</v>
      </c>
    </row>
    <row r="80" spans="1:17" hidden="1" x14ac:dyDescent="0.25">
      <c r="A80" s="2" t="s">
        <v>19</v>
      </c>
      <c r="B80" s="3" t="str">
        <f t="shared" si="1"/>
        <v>18/1/2</v>
      </c>
      <c r="C80">
        <v>2</v>
      </c>
      <c r="D80">
        <v>1</v>
      </c>
      <c r="E80">
        <v>18</v>
      </c>
      <c r="F80" t="s">
        <v>75</v>
      </c>
      <c r="G80" t="s">
        <v>75</v>
      </c>
      <c r="H80" t="s">
        <v>65</v>
      </c>
      <c r="I80" t="s">
        <v>27</v>
      </c>
      <c r="J80" s="4">
        <v>17.86</v>
      </c>
      <c r="K80">
        <v>1</v>
      </c>
      <c r="L80">
        <v>17.86</v>
      </c>
      <c r="M80">
        <v>17.86</v>
      </c>
      <c r="N80" s="5">
        <v>0.89839034205231394</v>
      </c>
      <c r="O80" t="s">
        <v>90</v>
      </c>
      <c r="P80" t="s">
        <v>340</v>
      </c>
      <c r="Q80" t="s">
        <v>24</v>
      </c>
    </row>
    <row r="81" spans="1:18" hidden="1" x14ac:dyDescent="0.25">
      <c r="A81" s="2" t="s">
        <v>19</v>
      </c>
      <c r="B81" s="3" t="str">
        <f t="shared" si="1"/>
        <v>18/1/2</v>
      </c>
      <c r="C81">
        <v>2</v>
      </c>
      <c r="D81">
        <v>1</v>
      </c>
      <c r="E81">
        <v>18</v>
      </c>
      <c r="F81" t="s">
        <v>75</v>
      </c>
      <c r="G81" t="s">
        <v>75</v>
      </c>
      <c r="H81" t="s">
        <v>65</v>
      </c>
      <c r="I81" t="s">
        <v>27</v>
      </c>
      <c r="J81" s="4">
        <v>7.31</v>
      </c>
      <c r="K81">
        <v>1</v>
      </c>
      <c r="L81">
        <v>7.31</v>
      </c>
      <c r="M81">
        <v>7.31</v>
      </c>
      <c r="N81" s="5">
        <v>0.36770623742454728</v>
      </c>
      <c r="O81" t="s">
        <v>90</v>
      </c>
      <c r="P81" t="s">
        <v>340</v>
      </c>
      <c r="Q81" t="s">
        <v>24</v>
      </c>
    </row>
    <row r="82" spans="1:18" hidden="1" x14ac:dyDescent="0.25">
      <c r="A82" s="2" t="s">
        <v>19</v>
      </c>
      <c r="B82" s="3" t="str">
        <f t="shared" si="1"/>
        <v>18/1/2</v>
      </c>
      <c r="C82">
        <v>2</v>
      </c>
      <c r="D82">
        <v>1</v>
      </c>
      <c r="E82">
        <v>18</v>
      </c>
      <c r="F82" t="s">
        <v>75</v>
      </c>
      <c r="G82" t="s">
        <v>75</v>
      </c>
      <c r="H82" t="s">
        <v>65</v>
      </c>
      <c r="I82" t="s">
        <v>27</v>
      </c>
      <c r="J82" s="4">
        <v>7.03</v>
      </c>
      <c r="K82">
        <v>2</v>
      </c>
      <c r="L82">
        <v>7.03</v>
      </c>
      <c r="M82">
        <v>14.06</v>
      </c>
      <c r="N82" s="5">
        <v>0.70724346076458755</v>
      </c>
      <c r="O82" t="s">
        <v>90</v>
      </c>
      <c r="P82" t="s">
        <v>340</v>
      </c>
      <c r="Q82" t="s">
        <v>24</v>
      </c>
    </row>
    <row r="83" spans="1:18" hidden="1" x14ac:dyDescent="0.25">
      <c r="A83" s="2" t="s">
        <v>19</v>
      </c>
      <c r="B83" s="3" t="str">
        <f t="shared" si="1"/>
        <v>18/1/2</v>
      </c>
      <c r="C83">
        <v>2</v>
      </c>
      <c r="D83">
        <v>1</v>
      </c>
      <c r="E83">
        <v>18</v>
      </c>
      <c r="F83" t="s">
        <v>125</v>
      </c>
      <c r="H83" t="s">
        <v>54</v>
      </c>
      <c r="I83" t="s">
        <v>27</v>
      </c>
      <c r="J83" s="4">
        <v>4</v>
      </c>
      <c r="K83">
        <v>0.76200000000000001</v>
      </c>
      <c r="L83">
        <v>4</v>
      </c>
      <c r="M83">
        <v>3.048</v>
      </c>
      <c r="N83" s="5">
        <v>0.15331991951710264</v>
      </c>
      <c r="O83" t="s">
        <v>90</v>
      </c>
      <c r="P83" t="s">
        <v>340</v>
      </c>
      <c r="Q83" t="s">
        <v>24</v>
      </c>
    </row>
    <row r="84" spans="1:18" hidden="1" x14ac:dyDescent="0.25">
      <c r="A84" s="2" t="s">
        <v>19</v>
      </c>
      <c r="B84" s="3" t="str">
        <f t="shared" si="1"/>
        <v>18/1/2</v>
      </c>
      <c r="C84">
        <v>2</v>
      </c>
      <c r="D84">
        <v>1</v>
      </c>
      <c r="E84">
        <v>18</v>
      </c>
      <c r="F84" s="7" t="s">
        <v>77</v>
      </c>
      <c r="G84" t="s">
        <v>77</v>
      </c>
      <c r="H84" t="s">
        <v>26</v>
      </c>
      <c r="I84" t="s">
        <v>27</v>
      </c>
      <c r="J84" s="4">
        <v>21.94</v>
      </c>
      <c r="K84">
        <v>1</v>
      </c>
      <c r="L84">
        <v>21.94</v>
      </c>
      <c r="M84">
        <v>21.94</v>
      </c>
      <c r="N84" s="5">
        <v>1.1036217303822939</v>
      </c>
      <c r="O84" t="s">
        <v>90</v>
      </c>
      <c r="P84" t="s">
        <v>340</v>
      </c>
      <c r="Q84" t="s">
        <v>24</v>
      </c>
    </row>
    <row r="85" spans="1:18" hidden="1" x14ac:dyDescent="0.25">
      <c r="A85" s="2" t="s">
        <v>19</v>
      </c>
      <c r="B85" s="3" t="str">
        <f t="shared" si="1"/>
        <v>18/1/2</v>
      </c>
      <c r="C85">
        <v>2</v>
      </c>
      <c r="D85">
        <v>1</v>
      </c>
      <c r="E85">
        <v>18</v>
      </c>
      <c r="F85" t="s">
        <v>126</v>
      </c>
      <c r="H85" t="s">
        <v>63</v>
      </c>
      <c r="I85" t="s">
        <v>27</v>
      </c>
      <c r="J85" s="4">
        <v>35.24</v>
      </c>
      <c r="K85">
        <v>1</v>
      </c>
      <c r="L85">
        <v>35.24</v>
      </c>
      <c r="M85">
        <v>35.24</v>
      </c>
      <c r="N85" s="5">
        <v>1.7726358148893362</v>
      </c>
      <c r="O85" t="s">
        <v>90</v>
      </c>
      <c r="P85" t="s">
        <v>340</v>
      </c>
      <c r="Q85" t="s">
        <v>24</v>
      </c>
    </row>
    <row r="86" spans="1:18" hidden="1" x14ac:dyDescent="0.25">
      <c r="A86" s="2" t="s">
        <v>19</v>
      </c>
      <c r="B86" s="3" t="str">
        <f t="shared" si="1"/>
        <v>18/1/2</v>
      </c>
      <c r="C86">
        <v>2</v>
      </c>
      <c r="D86">
        <v>1</v>
      </c>
      <c r="E86">
        <v>18</v>
      </c>
      <c r="F86" t="s">
        <v>44</v>
      </c>
      <c r="H86" t="s">
        <v>128</v>
      </c>
      <c r="I86" t="s">
        <v>27</v>
      </c>
      <c r="J86" s="4">
        <f>Spending_raw[[#This Row],[Price, lei]]</f>
        <v>24.51</v>
      </c>
      <c r="K86">
        <v>1</v>
      </c>
      <c r="L86">
        <v>24.51</v>
      </c>
      <c r="M86">
        <v>24.51</v>
      </c>
      <c r="N86" s="5">
        <v>1.2328973843058351</v>
      </c>
      <c r="O86" t="s">
        <v>90</v>
      </c>
      <c r="P86" t="s">
        <v>340</v>
      </c>
      <c r="Q86" t="s">
        <v>24</v>
      </c>
    </row>
    <row r="87" spans="1:18" hidden="1" x14ac:dyDescent="0.25">
      <c r="A87" s="2" t="s">
        <v>19</v>
      </c>
      <c r="B87" s="3" t="str">
        <f t="shared" si="1"/>
        <v>18/1/2</v>
      </c>
      <c r="C87">
        <v>2</v>
      </c>
      <c r="D87">
        <v>1</v>
      </c>
      <c r="E87">
        <v>18</v>
      </c>
      <c r="F87" t="s">
        <v>129</v>
      </c>
      <c r="H87" t="s">
        <v>54</v>
      </c>
      <c r="I87" t="s">
        <v>27</v>
      </c>
      <c r="J87" s="4">
        <f>Spending_raw[[#This Row],[Price, lei]]</f>
        <v>30.8</v>
      </c>
      <c r="K87">
        <v>0.64</v>
      </c>
      <c r="L87">
        <v>30.8</v>
      </c>
      <c r="M87">
        <v>19.712</v>
      </c>
      <c r="N87" s="5">
        <v>0.9915492957746479</v>
      </c>
      <c r="O87" t="s">
        <v>90</v>
      </c>
      <c r="P87" t="s">
        <v>340</v>
      </c>
      <c r="Q87" t="s">
        <v>24</v>
      </c>
    </row>
    <row r="88" spans="1:18" hidden="1" x14ac:dyDescent="0.25">
      <c r="A88" s="2" t="s">
        <v>19</v>
      </c>
      <c r="B88" s="3" t="str">
        <f t="shared" si="1"/>
        <v>18/1/20</v>
      </c>
      <c r="C88">
        <v>20</v>
      </c>
      <c r="D88">
        <v>1</v>
      </c>
      <c r="E88">
        <v>18</v>
      </c>
      <c r="F88" t="s">
        <v>1546</v>
      </c>
      <c r="H88" t="s">
        <v>63</v>
      </c>
      <c r="I88" t="s">
        <v>50</v>
      </c>
      <c r="J88" s="4">
        <v>14.9</v>
      </c>
      <c r="K88">
        <v>1</v>
      </c>
      <c r="L88">
        <v>65.858000000000004</v>
      </c>
      <c r="M88">
        <v>65.858000000000004</v>
      </c>
      <c r="N88" s="5">
        <v>3.3127766599597588</v>
      </c>
      <c r="O88" t="s">
        <v>130</v>
      </c>
      <c r="P88" t="s">
        <v>148</v>
      </c>
      <c r="Q88" t="s">
        <v>84</v>
      </c>
    </row>
    <row r="89" spans="1:18" hidden="1" x14ac:dyDescent="0.25">
      <c r="A89" s="2" t="s">
        <v>19</v>
      </c>
      <c r="B89" s="3" t="str">
        <f t="shared" si="1"/>
        <v>18/1/20</v>
      </c>
      <c r="C89">
        <v>20</v>
      </c>
      <c r="D89">
        <v>1</v>
      </c>
      <c r="E89">
        <v>18</v>
      </c>
      <c r="F89" t="s">
        <v>132</v>
      </c>
      <c r="H89" t="s">
        <v>63</v>
      </c>
      <c r="I89" t="s">
        <v>50</v>
      </c>
      <c r="J89" s="4">
        <v>14.9</v>
      </c>
      <c r="K89">
        <v>1</v>
      </c>
      <c r="L89">
        <v>65.858000000000004</v>
      </c>
      <c r="M89">
        <v>65.858000000000004</v>
      </c>
      <c r="N89" s="5">
        <v>3.3127766599597588</v>
      </c>
      <c r="O89" t="s">
        <v>130</v>
      </c>
      <c r="P89" t="s">
        <v>148</v>
      </c>
      <c r="Q89" t="s">
        <v>24</v>
      </c>
    </row>
    <row r="90" spans="1:18" hidden="1" x14ac:dyDescent="0.25">
      <c r="A90" s="2" t="s">
        <v>19</v>
      </c>
      <c r="B90" s="3" t="str">
        <f t="shared" si="1"/>
        <v>18/1/20</v>
      </c>
      <c r="C90">
        <v>20</v>
      </c>
      <c r="D90">
        <v>1</v>
      </c>
      <c r="E90">
        <v>18</v>
      </c>
      <c r="F90" t="s">
        <v>132</v>
      </c>
      <c r="H90" t="s">
        <v>63</v>
      </c>
      <c r="I90" t="s">
        <v>50</v>
      </c>
      <c r="J90" s="4">
        <v>16.899999999999999</v>
      </c>
      <c r="K90">
        <v>2</v>
      </c>
      <c r="L90">
        <v>74.697999999999993</v>
      </c>
      <c r="M90">
        <v>149.39599999999999</v>
      </c>
      <c r="N90" s="5">
        <v>7.514889336016096</v>
      </c>
      <c r="O90" t="s">
        <v>130</v>
      </c>
      <c r="P90" t="s">
        <v>148</v>
      </c>
      <c r="Q90" t="s">
        <v>24</v>
      </c>
    </row>
    <row r="91" spans="1:18" hidden="1" x14ac:dyDescent="0.25">
      <c r="A91" s="2" t="s">
        <v>19</v>
      </c>
      <c r="B91" s="3" t="str">
        <f t="shared" si="1"/>
        <v>18/1/20</v>
      </c>
      <c r="C91">
        <v>20</v>
      </c>
      <c r="D91">
        <v>1</v>
      </c>
      <c r="E91">
        <v>18</v>
      </c>
      <c r="F91" t="s">
        <v>102</v>
      </c>
      <c r="H91" t="s">
        <v>102</v>
      </c>
      <c r="I91" t="s">
        <v>27</v>
      </c>
      <c r="J91" s="4">
        <v>19.989999999999998</v>
      </c>
      <c r="K91">
        <v>1</v>
      </c>
      <c r="L91">
        <v>88.355800000000002</v>
      </c>
      <c r="M91">
        <v>88.355800000000002</v>
      </c>
      <c r="N91" s="5">
        <v>4.4444567404426563</v>
      </c>
      <c r="O91" t="s">
        <v>39</v>
      </c>
      <c r="Q91" t="s">
        <v>24</v>
      </c>
      <c r="R91" t="s">
        <v>133</v>
      </c>
    </row>
    <row r="92" spans="1:18" hidden="1" x14ac:dyDescent="0.25">
      <c r="A92" s="2" t="s">
        <v>19</v>
      </c>
      <c r="B92" s="3" t="str">
        <f t="shared" si="1"/>
        <v>18/1/20</v>
      </c>
      <c r="C92">
        <v>20</v>
      </c>
      <c r="D92">
        <v>1</v>
      </c>
      <c r="E92">
        <v>18</v>
      </c>
      <c r="F92" t="s">
        <v>102</v>
      </c>
      <c r="H92" t="s">
        <v>102</v>
      </c>
      <c r="I92" t="s">
        <v>27</v>
      </c>
      <c r="J92" s="4">
        <v>13.99</v>
      </c>
      <c r="K92">
        <v>1</v>
      </c>
      <c r="L92">
        <v>61.835799999999999</v>
      </c>
      <c r="M92">
        <v>61.835799999999999</v>
      </c>
      <c r="N92" s="5">
        <v>3.1104527162977869</v>
      </c>
      <c r="O92" t="s">
        <v>39</v>
      </c>
      <c r="Q92" t="s">
        <v>24</v>
      </c>
      <c r="R92" t="s">
        <v>134</v>
      </c>
    </row>
    <row r="93" spans="1:18" hidden="1" x14ac:dyDescent="0.25">
      <c r="A93" s="2" t="s">
        <v>19</v>
      </c>
      <c r="B93" s="3" t="str">
        <f t="shared" si="1"/>
        <v>18/1/20</v>
      </c>
      <c r="C93">
        <v>20</v>
      </c>
      <c r="D93">
        <v>1</v>
      </c>
      <c r="E93">
        <v>18</v>
      </c>
      <c r="F93" t="s">
        <v>135</v>
      </c>
      <c r="H93" t="s">
        <v>49</v>
      </c>
      <c r="I93" t="s">
        <v>50</v>
      </c>
      <c r="J93" s="4">
        <v>4.9000000000000004</v>
      </c>
      <c r="K93">
        <v>1</v>
      </c>
      <c r="L93">
        <v>21.658000000000001</v>
      </c>
      <c r="M93">
        <v>21.658000000000001</v>
      </c>
      <c r="N93" s="5">
        <v>1.0894366197183101</v>
      </c>
      <c r="O93" t="s">
        <v>130</v>
      </c>
      <c r="P93" t="s">
        <v>148</v>
      </c>
      <c r="Q93" t="s">
        <v>24</v>
      </c>
    </row>
    <row r="94" spans="1:18" hidden="1" x14ac:dyDescent="0.25">
      <c r="A94" s="2" t="s">
        <v>19</v>
      </c>
      <c r="B94" s="3" t="str">
        <f t="shared" si="1"/>
        <v>18/1/20</v>
      </c>
      <c r="C94">
        <v>20</v>
      </c>
      <c r="D94">
        <v>1</v>
      </c>
      <c r="E94">
        <v>18</v>
      </c>
      <c r="F94" t="s">
        <v>136</v>
      </c>
      <c r="H94" t="s">
        <v>49</v>
      </c>
      <c r="I94" t="s">
        <v>50</v>
      </c>
      <c r="J94" s="4">
        <v>1.49</v>
      </c>
      <c r="K94">
        <v>2</v>
      </c>
      <c r="L94">
        <v>6.5857999999999999</v>
      </c>
      <c r="M94">
        <v>13.1716</v>
      </c>
      <c r="N94" s="5">
        <v>0.66255533199195171</v>
      </c>
      <c r="O94" t="s">
        <v>130</v>
      </c>
      <c r="P94" t="s">
        <v>148</v>
      </c>
      <c r="Q94" t="s">
        <v>24</v>
      </c>
    </row>
    <row r="95" spans="1:18" hidden="1" x14ac:dyDescent="0.25">
      <c r="A95" s="2" t="s">
        <v>19</v>
      </c>
      <c r="B95" s="3" t="str">
        <f t="shared" si="1"/>
        <v>18/1/20</v>
      </c>
      <c r="C95">
        <v>20</v>
      </c>
      <c r="D95">
        <v>1</v>
      </c>
      <c r="E95">
        <v>18</v>
      </c>
      <c r="F95" t="s">
        <v>137</v>
      </c>
      <c r="H95" t="s">
        <v>49</v>
      </c>
      <c r="I95" t="s">
        <v>50</v>
      </c>
      <c r="J95" s="4">
        <v>4.9000000000000004</v>
      </c>
      <c r="K95">
        <v>2</v>
      </c>
      <c r="L95">
        <v>21.658000000000001</v>
      </c>
      <c r="M95">
        <v>43.316000000000003</v>
      </c>
      <c r="N95" s="5">
        <v>2.1788732394366201</v>
      </c>
      <c r="O95" t="s">
        <v>130</v>
      </c>
      <c r="P95" t="s">
        <v>148</v>
      </c>
      <c r="Q95" t="s">
        <v>24</v>
      </c>
    </row>
    <row r="96" spans="1:18" hidden="1" x14ac:dyDescent="0.25">
      <c r="A96" s="2" t="s">
        <v>19</v>
      </c>
      <c r="B96" s="3" t="str">
        <f t="shared" si="1"/>
        <v>18/1/20</v>
      </c>
      <c r="C96">
        <v>20</v>
      </c>
      <c r="D96">
        <v>1</v>
      </c>
      <c r="E96">
        <v>18</v>
      </c>
      <c r="F96" t="s">
        <v>1537</v>
      </c>
      <c r="I96" t="s">
        <v>139</v>
      </c>
      <c r="J96" s="4">
        <v>10.49</v>
      </c>
      <c r="K96">
        <v>1</v>
      </c>
      <c r="L96">
        <v>46.3658</v>
      </c>
      <c r="M96">
        <v>46.3658</v>
      </c>
      <c r="N96" s="5">
        <v>2.3322837022132799</v>
      </c>
      <c r="O96" t="s">
        <v>39</v>
      </c>
      <c r="Q96" t="s">
        <v>24</v>
      </c>
      <c r="R96" t="s">
        <v>138</v>
      </c>
    </row>
    <row r="97" spans="1:18" hidden="1" x14ac:dyDescent="0.25">
      <c r="A97" s="2" t="s">
        <v>19</v>
      </c>
      <c r="B97" s="3" t="str">
        <f t="shared" si="1"/>
        <v>18/1/20</v>
      </c>
      <c r="C97">
        <v>20</v>
      </c>
      <c r="D97">
        <v>1</v>
      </c>
      <c r="E97">
        <v>18</v>
      </c>
      <c r="F97" t="s">
        <v>140</v>
      </c>
      <c r="H97" t="s">
        <v>49</v>
      </c>
      <c r="I97" t="s">
        <v>50</v>
      </c>
      <c r="J97" s="4">
        <v>5.9</v>
      </c>
      <c r="K97">
        <v>2</v>
      </c>
      <c r="L97">
        <v>26.077999999999999</v>
      </c>
      <c r="M97">
        <v>52.155999999999999</v>
      </c>
      <c r="N97" s="5">
        <v>2.6235412474849094</v>
      </c>
      <c r="O97" t="s">
        <v>130</v>
      </c>
      <c r="P97" t="s">
        <v>148</v>
      </c>
      <c r="Q97" t="s">
        <v>24</v>
      </c>
    </row>
    <row r="98" spans="1:18" hidden="1" x14ac:dyDescent="0.25">
      <c r="A98" s="2" t="s">
        <v>19</v>
      </c>
      <c r="B98" s="3" t="str">
        <f t="shared" si="1"/>
        <v>18/1/20</v>
      </c>
      <c r="C98">
        <v>20</v>
      </c>
      <c r="D98">
        <v>1</v>
      </c>
      <c r="E98">
        <v>18</v>
      </c>
      <c r="F98" t="s">
        <v>1546</v>
      </c>
      <c r="H98" t="s">
        <v>63</v>
      </c>
      <c r="I98" t="s">
        <v>50</v>
      </c>
      <c r="J98" s="4">
        <v>3.9</v>
      </c>
      <c r="K98">
        <v>3</v>
      </c>
      <c r="L98">
        <v>17.238</v>
      </c>
      <c r="M98">
        <v>51.713999999999999</v>
      </c>
      <c r="N98" s="5">
        <v>2.6013078470824951</v>
      </c>
      <c r="O98" t="s">
        <v>130</v>
      </c>
      <c r="P98" t="s">
        <v>148</v>
      </c>
      <c r="Q98" t="s">
        <v>84</v>
      </c>
    </row>
    <row r="99" spans="1:18" hidden="1" x14ac:dyDescent="0.25">
      <c r="A99" s="2" t="s">
        <v>19</v>
      </c>
      <c r="B99" s="3" t="str">
        <f t="shared" si="1"/>
        <v>18/1/21</v>
      </c>
      <c r="C99">
        <v>21</v>
      </c>
      <c r="D99">
        <v>1</v>
      </c>
      <c r="E99">
        <v>18</v>
      </c>
      <c r="F99" t="s">
        <v>144</v>
      </c>
      <c r="G99" t="s">
        <v>58</v>
      </c>
      <c r="H99" t="s">
        <v>59</v>
      </c>
      <c r="I99" t="s">
        <v>27</v>
      </c>
      <c r="J99" s="4">
        <v>30.05</v>
      </c>
      <c r="K99">
        <v>1</v>
      </c>
      <c r="L99">
        <v>132.821</v>
      </c>
      <c r="M99">
        <v>132.821</v>
      </c>
      <c r="N99" s="5">
        <v>6.6811368209255537</v>
      </c>
      <c r="O99" t="s">
        <v>145</v>
      </c>
      <c r="P99" t="s">
        <v>148</v>
      </c>
      <c r="Q99" t="s">
        <v>84</v>
      </c>
    </row>
    <row r="100" spans="1:18" hidden="1" x14ac:dyDescent="0.25">
      <c r="A100" s="2" t="s">
        <v>19</v>
      </c>
      <c r="B100" s="3" t="str">
        <f t="shared" si="1"/>
        <v>18/1/21</v>
      </c>
      <c r="C100">
        <v>21</v>
      </c>
      <c r="D100">
        <v>1</v>
      </c>
      <c r="E100">
        <v>18</v>
      </c>
      <c r="F100" t="s">
        <v>146</v>
      </c>
      <c r="H100" t="s">
        <v>49</v>
      </c>
      <c r="I100" t="s">
        <v>50</v>
      </c>
      <c r="J100" s="4">
        <v>0.38</v>
      </c>
      <c r="K100">
        <v>1</v>
      </c>
      <c r="L100">
        <v>1.6796</v>
      </c>
      <c r="M100">
        <v>1.6796</v>
      </c>
      <c r="N100" s="5">
        <v>8.4486921529175057E-2</v>
      </c>
      <c r="O100" t="s">
        <v>145</v>
      </c>
      <c r="P100" t="s">
        <v>148</v>
      </c>
      <c r="Q100" t="s">
        <v>84</v>
      </c>
    </row>
    <row r="101" spans="1:18" hidden="1" x14ac:dyDescent="0.25">
      <c r="A101" s="2" t="s">
        <v>19</v>
      </c>
      <c r="B101" s="3" t="str">
        <f t="shared" si="1"/>
        <v>18/1/22</v>
      </c>
      <c r="C101">
        <v>22</v>
      </c>
      <c r="D101">
        <v>1</v>
      </c>
      <c r="E101">
        <v>18</v>
      </c>
      <c r="F101" t="s">
        <v>89</v>
      </c>
      <c r="G101" t="s">
        <v>31</v>
      </c>
      <c r="H101" t="s">
        <v>26</v>
      </c>
      <c r="I101" t="s">
        <v>27</v>
      </c>
      <c r="J101" s="4">
        <v>3.05</v>
      </c>
      <c r="K101">
        <v>4</v>
      </c>
      <c r="L101">
        <v>13.481</v>
      </c>
      <c r="M101">
        <v>53.923999999999999</v>
      </c>
      <c r="N101" s="5">
        <v>2.7124748490945674</v>
      </c>
      <c r="O101" t="s">
        <v>147</v>
      </c>
      <c r="P101" t="s">
        <v>148</v>
      </c>
      <c r="Q101" t="s">
        <v>24</v>
      </c>
    </row>
    <row r="102" spans="1:18" hidden="1" x14ac:dyDescent="0.25">
      <c r="A102" s="2" t="s">
        <v>19</v>
      </c>
      <c r="B102" s="3" t="str">
        <f t="shared" si="1"/>
        <v>18/1/22</v>
      </c>
      <c r="C102">
        <v>22</v>
      </c>
      <c r="D102">
        <v>1</v>
      </c>
      <c r="E102">
        <v>18</v>
      </c>
      <c r="F102" t="s">
        <v>25</v>
      </c>
      <c r="G102" t="s">
        <v>25</v>
      </c>
      <c r="H102" t="s">
        <v>26</v>
      </c>
      <c r="I102" t="s">
        <v>27</v>
      </c>
      <c r="J102" s="4">
        <v>4.76</v>
      </c>
      <c r="K102">
        <v>4</v>
      </c>
      <c r="L102">
        <v>21.04</v>
      </c>
      <c r="M102">
        <v>84.16</v>
      </c>
      <c r="N102" s="5">
        <v>4.2334004024144871</v>
      </c>
      <c r="O102" t="s">
        <v>147</v>
      </c>
      <c r="P102" t="s">
        <v>148</v>
      </c>
      <c r="Q102" t="s">
        <v>24</v>
      </c>
    </row>
    <row r="103" spans="1:18" hidden="1" x14ac:dyDescent="0.25">
      <c r="A103" s="2" t="s">
        <v>19</v>
      </c>
      <c r="B103" s="3" t="str">
        <f t="shared" si="1"/>
        <v>18/1/22</v>
      </c>
      <c r="C103">
        <v>22</v>
      </c>
      <c r="D103">
        <v>1</v>
      </c>
      <c r="E103">
        <v>18</v>
      </c>
      <c r="F103" t="s">
        <v>53</v>
      </c>
      <c r="H103" t="s">
        <v>53</v>
      </c>
      <c r="I103" t="s">
        <v>27</v>
      </c>
      <c r="J103" s="4">
        <v>4.9000000000000004</v>
      </c>
      <c r="K103">
        <v>2</v>
      </c>
      <c r="L103">
        <v>21.658000000000001</v>
      </c>
      <c r="M103">
        <v>43.316000000000003</v>
      </c>
      <c r="N103" s="5">
        <v>2.1788732394366201</v>
      </c>
      <c r="O103" t="s">
        <v>147</v>
      </c>
      <c r="P103" t="s">
        <v>148</v>
      </c>
      <c r="Q103" t="s">
        <v>24</v>
      </c>
    </row>
    <row r="104" spans="1:18" hidden="1" x14ac:dyDescent="0.25">
      <c r="A104" s="2" t="s">
        <v>19</v>
      </c>
      <c r="B104" s="3" t="str">
        <f t="shared" si="1"/>
        <v>18/1/22</v>
      </c>
      <c r="C104">
        <v>22</v>
      </c>
      <c r="D104">
        <v>1</v>
      </c>
      <c r="E104">
        <v>18</v>
      </c>
      <c r="F104" t="s">
        <v>53</v>
      </c>
      <c r="H104" t="s">
        <v>53</v>
      </c>
      <c r="I104" t="s">
        <v>27</v>
      </c>
      <c r="J104" s="4">
        <v>1.2</v>
      </c>
      <c r="K104">
        <v>1</v>
      </c>
      <c r="L104">
        <v>5.3040000000000003</v>
      </c>
      <c r="M104">
        <v>5.3040000000000003</v>
      </c>
      <c r="N104" s="5">
        <v>0.26680080482897389</v>
      </c>
      <c r="O104" t="s">
        <v>147</v>
      </c>
      <c r="P104" t="s">
        <v>148</v>
      </c>
      <c r="Q104" t="s">
        <v>24</v>
      </c>
    </row>
    <row r="105" spans="1:18" hidden="1" x14ac:dyDescent="0.25">
      <c r="A105" s="2" t="s">
        <v>19</v>
      </c>
      <c r="B105" s="3" t="str">
        <f t="shared" si="1"/>
        <v>18/1/22</v>
      </c>
      <c r="C105">
        <v>22</v>
      </c>
      <c r="D105">
        <v>1</v>
      </c>
      <c r="E105">
        <v>18</v>
      </c>
      <c r="F105" t="s">
        <v>53</v>
      </c>
      <c r="H105" t="s">
        <v>53</v>
      </c>
      <c r="I105" t="s">
        <v>27</v>
      </c>
      <c r="J105" s="4">
        <v>1.91</v>
      </c>
      <c r="K105">
        <v>1</v>
      </c>
      <c r="L105">
        <v>8.4421999999999997</v>
      </c>
      <c r="M105">
        <v>8.4421999999999997</v>
      </c>
      <c r="N105" s="5">
        <v>0.4246579476861167</v>
      </c>
      <c r="O105" t="s">
        <v>147</v>
      </c>
      <c r="P105" t="s">
        <v>148</v>
      </c>
      <c r="Q105" t="s">
        <v>24</v>
      </c>
    </row>
    <row r="106" spans="1:18" hidden="1" x14ac:dyDescent="0.25">
      <c r="A106" s="2" t="s">
        <v>19</v>
      </c>
      <c r="B106" s="3" t="str">
        <f t="shared" si="1"/>
        <v>18/1/22</v>
      </c>
      <c r="C106">
        <v>22</v>
      </c>
      <c r="D106">
        <v>1</v>
      </c>
      <c r="E106">
        <v>18</v>
      </c>
      <c r="F106" t="s">
        <v>149</v>
      </c>
      <c r="H106" t="s">
        <v>49</v>
      </c>
      <c r="I106" t="s">
        <v>50</v>
      </c>
      <c r="J106" s="4">
        <v>21.4</v>
      </c>
      <c r="K106">
        <v>1</v>
      </c>
      <c r="L106">
        <v>94.587999999999994</v>
      </c>
      <c r="M106">
        <v>94.587999999999994</v>
      </c>
      <c r="N106" s="5">
        <v>4.7579476861167</v>
      </c>
      <c r="O106" t="s">
        <v>147</v>
      </c>
      <c r="P106" t="s">
        <v>148</v>
      </c>
      <c r="Q106" t="s">
        <v>24</v>
      </c>
    </row>
    <row r="107" spans="1:18" hidden="1" x14ac:dyDescent="0.25">
      <c r="A107" s="2" t="s">
        <v>19</v>
      </c>
      <c r="B107" s="3" t="str">
        <f t="shared" si="1"/>
        <v>18/1/22</v>
      </c>
      <c r="C107">
        <v>22</v>
      </c>
      <c r="D107">
        <v>1</v>
      </c>
      <c r="E107">
        <v>18</v>
      </c>
      <c r="F107" t="s">
        <v>55</v>
      </c>
      <c r="H107" t="s">
        <v>56</v>
      </c>
      <c r="I107" t="s">
        <v>27</v>
      </c>
      <c r="J107" s="4">
        <v>5.49</v>
      </c>
      <c r="K107">
        <v>0.9</v>
      </c>
      <c r="L107">
        <v>24.265799999999999</v>
      </c>
      <c r="M107">
        <v>21.839220000000001</v>
      </c>
      <c r="N107" s="5">
        <v>1.0985523138833</v>
      </c>
      <c r="O107" t="s">
        <v>147</v>
      </c>
      <c r="P107" t="s">
        <v>148</v>
      </c>
      <c r="Q107" t="s">
        <v>24</v>
      </c>
    </row>
    <row r="108" spans="1:18" hidden="1" x14ac:dyDescent="0.25">
      <c r="A108" s="2" t="s">
        <v>19</v>
      </c>
      <c r="B108" s="3" t="str">
        <f t="shared" si="1"/>
        <v>18/1/22</v>
      </c>
      <c r="C108">
        <v>22</v>
      </c>
      <c r="D108">
        <v>1</v>
      </c>
      <c r="E108">
        <v>18</v>
      </c>
      <c r="F108" t="s">
        <v>151</v>
      </c>
      <c r="I108" t="s">
        <v>72</v>
      </c>
      <c r="J108" s="4">
        <v>8.98</v>
      </c>
      <c r="K108">
        <v>1</v>
      </c>
      <c r="L108">
        <v>39.691600000000001</v>
      </c>
      <c r="M108">
        <v>39.691600000000001</v>
      </c>
      <c r="N108" s="5">
        <v>1.9965593561368211</v>
      </c>
      <c r="O108" t="s">
        <v>152</v>
      </c>
      <c r="P108" t="s">
        <v>148</v>
      </c>
      <c r="Q108" t="s">
        <v>24</v>
      </c>
      <c r="R108" t="s">
        <v>150</v>
      </c>
    </row>
    <row r="109" spans="1:18" hidden="1" x14ac:dyDescent="0.25">
      <c r="A109" s="2" t="s">
        <v>19</v>
      </c>
      <c r="B109" s="3" t="str">
        <f t="shared" si="1"/>
        <v>18/1/22</v>
      </c>
      <c r="C109">
        <v>22</v>
      </c>
      <c r="D109">
        <v>1</v>
      </c>
      <c r="E109">
        <v>18</v>
      </c>
      <c r="F109" t="s">
        <v>132</v>
      </c>
      <c r="H109" t="s">
        <v>63</v>
      </c>
      <c r="I109" t="s">
        <v>50</v>
      </c>
      <c r="J109" s="4">
        <v>9.99</v>
      </c>
      <c r="K109">
        <v>1</v>
      </c>
      <c r="L109">
        <v>44.155799999999999</v>
      </c>
      <c r="M109">
        <v>44.155799999999999</v>
      </c>
      <c r="N109" s="5">
        <v>2.2211167002012071</v>
      </c>
      <c r="O109" t="s">
        <v>147</v>
      </c>
      <c r="P109" t="s">
        <v>148</v>
      </c>
      <c r="Q109" t="s">
        <v>24</v>
      </c>
    </row>
    <row r="110" spans="1:18" hidden="1" x14ac:dyDescent="0.25">
      <c r="A110" s="2" t="s">
        <v>19</v>
      </c>
      <c r="B110" s="3" t="str">
        <f t="shared" si="1"/>
        <v>18/1/22</v>
      </c>
      <c r="C110">
        <v>22</v>
      </c>
      <c r="D110">
        <v>1</v>
      </c>
      <c r="E110">
        <v>18</v>
      </c>
      <c r="F110" t="s">
        <v>153</v>
      </c>
      <c r="G110" t="s">
        <v>58</v>
      </c>
      <c r="H110" t="s">
        <v>59</v>
      </c>
      <c r="I110" t="s">
        <v>27</v>
      </c>
      <c r="J110" s="4">
        <v>18</v>
      </c>
      <c r="K110">
        <v>1</v>
      </c>
      <c r="L110">
        <v>79.56</v>
      </c>
      <c r="M110">
        <v>79.56</v>
      </c>
      <c r="N110" s="5">
        <v>4.0020120724346082</v>
      </c>
      <c r="O110" t="s">
        <v>147</v>
      </c>
      <c r="P110" t="s">
        <v>148</v>
      </c>
      <c r="Q110" t="s">
        <v>24</v>
      </c>
    </row>
    <row r="111" spans="1:18" hidden="1" x14ac:dyDescent="0.25">
      <c r="A111" s="2" t="s">
        <v>19</v>
      </c>
      <c r="B111" s="3" t="str">
        <f t="shared" si="1"/>
        <v>18/1/22</v>
      </c>
      <c r="C111">
        <v>22</v>
      </c>
      <c r="D111">
        <v>1</v>
      </c>
      <c r="E111">
        <v>18</v>
      </c>
      <c r="F111" t="s">
        <v>154</v>
      </c>
      <c r="G111" t="s">
        <v>155</v>
      </c>
      <c r="H111" t="s">
        <v>131</v>
      </c>
      <c r="I111" t="s">
        <v>27</v>
      </c>
      <c r="J111" s="4">
        <v>13.95</v>
      </c>
      <c r="K111">
        <v>1</v>
      </c>
      <c r="L111">
        <v>61.658999999999999</v>
      </c>
      <c r="M111">
        <v>61.658999999999999</v>
      </c>
      <c r="N111" s="5">
        <v>3.1015593561368209</v>
      </c>
      <c r="O111" t="s">
        <v>147</v>
      </c>
      <c r="P111" t="s">
        <v>148</v>
      </c>
      <c r="Q111" t="s">
        <v>24</v>
      </c>
    </row>
    <row r="112" spans="1:18" hidden="1" x14ac:dyDescent="0.25">
      <c r="A112" s="2" t="s">
        <v>19</v>
      </c>
      <c r="B112" s="3" t="str">
        <f t="shared" si="1"/>
        <v>18/1/22</v>
      </c>
      <c r="C112">
        <v>22</v>
      </c>
      <c r="D112">
        <v>1</v>
      </c>
      <c r="E112">
        <v>18</v>
      </c>
      <c r="F112" t="s">
        <v>156</v>
      </c>
      <c r="G112" t="s">
        <v>155</v>
      </c>
      <c r="H112" t="s">
        <v>131</v>
      </c>
      <c r="I112" t="s">
        <v>27</v>
      </c>
      <c r="J112" s="4">
        <v>5.2</v>
      </c>
      <c r="K112">
        <v>1</v>
      </c>
      <c r="L112">
        <v>22.984000000000002</v>
      </c>
      <c r="M112">
        <v>22.984000000000002</v>
      </c>
      <c r="N112" s="5">
        <v>1.1561368209255534</v>
      </c>
      <c r="O112" t="s">
        <v>147</v>
      </c>
      <c r="P112" t="s">
        <v>148</v>
      </c>
      <c r="Q112" t="s">
        <v>24</v>
      </c>
    </row>
    <row r="113" spans="1:18" hidden="1" x14ac:dyDescent="0.25">
      <c r="A113" s="2" t="s">
        <v>19</v>
      </c>
      <c r="B113" s="3" t="str">
        <f t="shared" si="1"/>
        <v>18/1/22</v>
      </c>
      <c r="C113">
        <v>22</v>
      </c>
      <c r="D113">
        <v>1</v>
      </c>
      <c r="E113">
        <v>18</v>
      </c>
      <c r="F113" t="s">
        <v>1502</v>
      </c>
      <c r="H113" t="s">
        <v>49</v>
      </c>
      <c r="I113" t="s">
        <v>50</v>
      </c>
      <c r="J113" s="4">
        <v>26.25</v>
      </c>
      <c r="K113">
        <v>1</v>
      </c>
      <c r="L113">
        <v>116.02500000000001</v>
      </c>
      <c r="M113">
        <v>116.02500000000001</v>
      </c>
      <c r="N113" s="5">
        <v>5.836267605633803</v>
      </c>
      <c r="O113" t="s">
        <v>147</v>
      </c>
      <c r="P113" t="s">
        <v>148</v>
      </c>
      <c r="Q113" t="s">
        <v>24</v>
      </c>
      <c r="R113" t="s">
        <v>1500</v>
      </c>
    </row>
    <row r="114" spans="1:18" hidden="1" x14ac:dyDescent="0.25">
      <c r="A114" s="2" t="s">
        <v>19</v>
      </c>
      <c r="B114" s="3" t="str">
        <f t="shared" si="1"/>
        <v>18/1/22</v>
      </c>
      <c r="C114">
        <v>22</v>
      </c>
      <c r="D114">
        <v>1</v>
      </c>
      <c r="E114">
        <v>18</v>
      </c>
      <c r="F114" t="s">
        <v>112</v>
      </c>
      <c r="H114" t="s">
        <v>56</v>
      </c>
      <c r="I114" t="s">
        <v>27</v>
      </c>
      <c r="J114" s="4">
        <v>4.49</v>
      </c>
      <c r="K114">
        <v>0.876</v>
      </c>
      <c r="L114">
        <v>19.845800000000001</v>
      </c>
      <c r="M114">
        <v>17.3849208</v>
      </c>
      <c r="N114" s="5">
        <v>0.87449299798792757</v>
      </c>
      <c r="O114" t="s">
        <v>147</v>
      </c>
      <c r="P114" t="s">
        <v>148</v>
      </c>
      <c r="Q114" t="s">
        <v>24</v>
      </c>
    </row>
    <row r="115" spans="1:18" hidden="1" x14ac:dyDescent="0.25">
      <c r="A115" s="2" t="s">
        <v>19</v>
      </c>
      <c r="B115" s="3" t="str">
        <f t="shared" si="1"/>
        <v>18/1/22</v>
      </c>
      <c r="C115">
        <v>22</v>
      </c>
      <c r="D115">
        <v>1</v>
      </c>
      <c r="E115">
        <v>18</v>
      </c>
      <c r="F115" t="s">
        <v>157</v>
      </c>
      <c r="H115" t="s">
        <v>65</v>
      </c>
      <c r="I115" t="s">
        <v>27</v>
      </c>
      <c r="J115" s="4">
        <v>2.95</v>
      </c>
      <c r="K115">
        <v>3</v>
      </c>
      <c r="L115">
        <v>13.039</v>
      </c>
      <c r="M115">
        <v>39.116999999999997</v>
      </c>
      <c r="N115" s="5">
        <v>1.967655935613682</v>
      </c>
      <c r="O115" t="s">
        <v>147</v>
      </c>
      <c r="P115" t="s">
        <v>148</v>
      </c>
      <c r="Q115" t="s">
        <v>24</v>
      </c>
    </row>
    <row r="116" spans="1:18" hidden="1" x14ac:dyDescent="0.25">
      <c r="A116" s="2" t="s">
        <v>19</v>
      </c>
      <c r="B116" s="3" t="str">
        <f t="shared" si="1"/>
        <v>18/1/22</v>
      </c>
      <c r="C116">
        <v>22</v>
      </c>
      <c r="D116">
        <v>1</v>
      </c>
      <c r="E116">
        <v>18</v>
      </c>
      <c r="F116" t="s">
        <v>67</v>
      </c>
      <c r="G116" t="s">
        <v>67</v>
      </c>
      <c r="H116" t="s">
        <v>59</v>
      </c>
      <c r="I116" t="s">
        <v>27</v>
      </c>
      <c r="J116" s="4">
        <v>7.4</v>
      </c>
      <c r="K116">
        <v>4</v>
      </c>
      <c r="L116">
        <v>152.73599999999999</v>
      </c>
      <c r="M116">
        <v>610.94399999999996</v>
      </c>
      <c r="N116" s="5">
        <v>30.731589537223339</v>
      </c>
      <c r="O116" t="s">
        <v>39</v>
      </c>
      <c r="Q116" t="s">
        <v>24</v>
      </c>
    </row>
    <row r="117" spans="1:18" hidden="1" x14ac:dyDescent="0.25">
      <c r="A117" s="2" t="s">
        <v>19</v>
      </c>
      <c r="B117" s="3" t="str">
        <f t="shared" si="1"/>
        <v>18/1/22</v>
      </c>
      <c r="C117">
        <v>22</v>
      </c>
      <c r="D117">
        <v>1</v>
      </c>
      <c r="E117">
        <v>18</v>
      </c>
      <c r="F117" t="s">
        <v>316</v>
      </c>
      <c r="H117" t="s">
        <v>49</v>
      </c>
      <c r="I117" t="s">
        <v>79</v>
      </c>
      <c r="J117" s="4">
        <v>16.899999999999999</v>
      </c>
      <c r="K117">
        <v>2</v>
      </c>
      <c r="L117">
        <v>74.697999999999993</v>
      </c>
      <c r="M117">
        <v>149.39599999999999</v>
      </c>
      <c r="N117" s="5">
        <v>7.514889336016096</v>
      </c>
      <c r="O117" t="s">
        <v>147</v>
      </c>
      <c r="P117" t="s">
        <v>148</v>
      </c>
      <c r="Q117" t="s">
        <v>24</v>
      </c>
      <c r="R117" t="s">
        <v>1545</v>
      </c>
    </row>
    <row r="118" spans="1:18" hidden="1" x14ac:dyDescent="0.25">
      <c r="A118" s="2" t="s">
        <v>19</v>
      </c>
      <c r="B118" s="3" t="str">
        <f t="shared" si="1"/>
        <v>18/1/22</v>
      </c>
      <c r="C118">
        <v>22</v>
      </c>
      <c r="D118">
        <v>1</v>
      </c>
      <c r="E118">
        <v>18</v>
      </c>
      <c r="F118" t="s">
        <v>159</v>
      </c>
      <c r="I118" t="s">
        <v>72</v>
      </c>
      <c r="J118" s="4">
        <v>46.99</v>
      </c>
      <c r="K118">
        <v>1</v>
      </c>
      <c r="L118">
        <v>207.69579999999999</v>
      </c>
      <c r="M118">
        <v>207.69579999999999</v>
      </c>
      <c r="N118" s="5">
        <v>10.447474849094567</v>
      </c>
      <c r="O118" t="s">
        <v>152</v>
      </c>
      <c r="P118" t="s">
        <v>148</v>
      </c>
      <c r="Q118" t="s">
        <v>24</v>
      </c>
      <c r="R118" t="s">
        <v>158</v>
      </c>
    </row>
    <row r="119" spans="1:18" hidden="1" x14ac:dyDescent="0.25">
      <c r="A119" s="2" t="s">
        <v>19</v>
      </c>
      <c r="B119" s="3" t="str">
        <f t="shared" si="1"/>
        <v>18/1/22</v>
      </c>
      <c r="C119">
        <v>22</v>
      </c>
      <c r="D119">
        <v>1</v>
      </c>
      <c r="E119">
        <v>18</v>
      </c>
      <c r="F119" t="s">
        <v>160</v>
      </c>
      <c r="H119" t="s">
        <v>65</v>
      </c>
      <c r="I119" t="s">
        <v>27</v>
      </c>
      <c r="J119" s="4">
        <v>1.99</v>
      </c>
      <c r="K119">
        <v>1</v>
      </c>
      <c r="L119">
        <v>8.7957999999999998</v>
      </c>
      <c r="M119">
        <v>8.7957999999999998</v>
      </c>
      <c r="N119" s="5">
        <v>0.44244466800804833</v>
      </c>
      <c r="O119" t="s">
        <v>147</v>
      </c>
      <c r="P119" t="s">
        <v>148</v>
      </c>
      <c r="Q119" t="s">
        <v>24</v>
      </c>
    </row>
    <row r="120" spans="1:18" hidden="1" x14ac:dyDescent="0.25">
      <c r="A120" s="2" t="s">
        <v>19</v>
      </c>
      <c r="B120" s="3" t="str">
        <f t="shared" si="1"/>
        <v>18/1/22</v>
      </c>
      <c r="C120">
        <v>22</v>
      </c>
      <c r="D120">
        <v>1</v>
      </c>
      <c r="E120">
        <v>18</v>
      </c>
      <c r="F120" t="s">
        <v>160</v>
      </c>
      <c r="H120" t="s">
        <v>65</v>
      </c>
      <c r="I120" t="s">
        <v>27</v>
      </c>
      <c r="J120" s="4">
        <v>0.66</v>
      </c>
      <c r="K120">
        <v>2</v>
      </c>
      <c r="L120">
        <v>2.9171999999999998</v>
      </c>
      <c r="M120">
        <v>5.8343999999999996</v>
      </c>
      <c r="N120" s="5">
        <v>0.29348088531187122</v>
      </c>
      <c r="O120" t="s">
        <v>147</v>
      </c>
      <c r="P120" t="s">
        <v>148</v>
      </c>
      <c r="Q120" t="s">
        <v>24</v>
      </c>
    </row>
    <row r="121" spans="1:18" hidden="1" x14ac:dyDescent="0.25">
      <c r="A121" s="2" t="s">
        <v>19</v>
      </c>
      <c r="B121" s="3" t="str">
        <f t="shared" si="1"/>
        <v>18/1/22</v>
      </c>
      <c r="C121">
        <v>22</v>
      </c>
      <c r="D121">
        <v>1</v>
      </c>
      <c r="E121">
        <v>18</v>
      </c>
      <c r="F121" t="s">
        <v>161</v>
      </c>
      <c r="H121" t="s">
        <v>65</v>
      </c>
      <c r="I121" t="s">
        <v>27</v>
      </c>
      <c r="J121" s="4">
        <v>1.29</v>
      </c>
      <c r="K121">
        <v>1</v>
      </c>
      <c r="L121">
        <v>5.7018000000000004</v>
      </c>
      <c r="M121">
        <v>5.7018000000000004</v>
      </c>
      <c r="N121" s="5">
        <v>0.2868108651911469</v>
      </c>
      <c r="O121" t="s">
        <v>147</v>
      </c>
      <c r="P121" t="s">
        <v>148</v>
      </c>
      <c r="Q121" t="s">
        <v>24</v>
      </c>
    </row>
    <row r="122" spans="1:18" hidden="1" x14ac:dyDescent="0.25">
      <c r="A122" s="2" t="s">
        <v>19</v>
      </c>
      <c r="B122" s="3" t="str">
        <f t="shared" si="1"/>
        <v>18/1/22</v>
      </c>
      <c r="C122">
        <v>22</v>
      </c>
      <c r="D122">
        <v>1</v>
      </c>
      <c r="E122">
        <v>18</v>
      </c>
      <c r="F122" t="s">
        <v>162</v>
      </c>
      <c r="H122" t="s">
        <v>49</v>
      </c>
      <c r="I122" t="s">
        <v>50</v>
      </c>
      <c r="J122" s="4">
        <v>16.989999999999998</v>
      </c>
      <c r="K122">
        <v>1</v>
      </c>
      <c r="L122">
        <v>75.095799999999997</v>
      </c>
      <c r="M122">
        <v>75.095799999999997</v>
      </c>
      <c r="N122" s="5">
        <v>3.7774547283702216</v>
      </c>
      <c r="O122" t="s">
        <v>152</v>
      </c>
      <c r="P122" t="s">
        <v>148</v>
      </c>
      <c r="Q122" t="s">
        <v>24</v>
      </c>
    </row>
    <row r="123" spans="1:18" hidden="1" x14ac:dyDescent="0.25">
      <c r="A123" s="2" t="s">
        <v>19</v>
      </c>
      <c r="B123" s="3" t="str">
        <f t="shared" si="1"/>
        <v>18/1/22</v>
      </c>
      <c r="C123">
        <v>22</v>
      </c>
      <c r="D123">
        <v>1</v>
      </c>
      <c r="E123">
        <v>18</v>
      </c>
      <c r="F123" t="s">
        <v>124</v>
      </c>
      <c r="H123" t="s">
        <v>54</v>
      </c>
      <c r="I123" t="s">
        <v>27</v>
      </c>
      <c r="J123" s="4">
        <v>3.99</v>
      </c>
      <c r="K123">
        <v>1</v>
      </c>
      <c r="L123">
        <v>17.6358</v>
      </c>
      <c r="M123">
        <v>17.6358</v>
      </c>
      <c r="N123" s="5">
        <v>0.88711267605633803</v>
      </c>
      <c r="O123" t="s">
        <v>147</v>
      </c>
      <c r="P123" t="s">
        <v>148</v>
      </c>
      <c r="Q123" t="s">
        <v>24</v>
      </c>
    </row>
    <row r="124" spans="1:18" hidden="1" x14ac:dyDescent="0.25">
      <c r="A124" s="2" t="s">
        <v>19</v>
      </c>
      <c r="B124" s="3" t="str">
        <f t="shared" si="1"/>
        <v>18/1/22</v>
      </c>
      <c r="C124">
        <v>22</v>
      </c>
      <c r="D124">
        <v>1</v>
      </c>
      <c r="E124">
        <v>18</v>
      </c>
      <c r="F124" t="s">
        <v>328</v>
      </c>
      <c r="G124" t="s">
        <v>328</v>
      </c>
      <c r="H124" t="s">
        <v>49</v>
      </c>
      <c r="I124" t="s">
        <v>50</v>
      </c>
      <c r="J124" s="4">
        <v>2.92</v>
      </c>
      <c r="K124">
        <v>1</v>
      </c>
      <c r="L124">
        <v>12.9064</v>
      </c>
      <c r="M124">
        <v>12.9064</v>
      </c>
      <c r="N124" s="5">
        <v>0.64921529175050308</v>
      </c>
      <c r="O124" t="s">
        <v>147</v>
      </c>
      <c r="P124" t="s">
        <v>148</v>
      </c>
      <c r="Q124" t="s">
        <v>24</v>
      </c>
    </row>
    <row r="125" spans="1:18" hidden="1" x14ac:dyDescent="0.25">
      <c r="A125" s="2" t="s">
        <v>19</v>
      </c>
      <c r="B125" s="3" t="str">
        <f t="shared" si="1"/>
        <v>18/1/22</v>
      </c>
      <c r="C125">
        <v>22</v>
      </c>
      <c r="D125">
        <v>1</v>
      </c>
      <c r="E125">
        <v>18</v>
      </c>
      <c r="F125" t="s">
        <v>328</v>
      </c>
      <c r="G125" t="s">
        <v>328</v>
      </c>
      <c r="H125" t="s">
        <v>49</v>
      </c>
      <c r="I125" t="s">
        <v>50</v>
      </c>
      <c r="J125" s="4">
        <v>3.39</v>
      </c>
      <c r="K125">
        <v>1</v>
      </c>
      <c r="L125">
        <v>14.9838</v>
      </c>
      <c r="M125">
        <v>14.9838</v>
      </c>
      <c r="N125" s="5">
        <v>0.75371227364185112</v>
      </c>
      <c r="O125" t="s">
        <v>147</v>
      </c>
      <c r="P125" t="s">
        <v>148</v>
      </c>
      <c r="Q125" t="s">
        <v>24</v>
      </c>
    </row>
    <row r="126" spans="1:18" hidden="1" x14ac:dyDescent="0.25">
      <c r="A126" s="2" t="s">
        <v>19</v>
      </c>
      <c r="B126" s="3" t="str">
        <f t="shared" si="1"/>
        <v>18/1/22</v>
      </c>
      <c r="C126">
        <v>22</v>
      </c>
      <c r="D126">
        <v>1</v>
      </c>
      <c r="E126">
        <v>18</v>
      </c>
      <c r="F126" t="s">
        <v>328</v>
      </c>
      <c r="G126" t="s">
        <v>328</v>
      </c>
      <c r="H126" t="s">
        <v>49</v>
      </c>
      <c r="I126" t="s">
        <v>50</v>
      </c>
      <c r="J126" s="4">
        <v>2.91</v>
      </c>
      <c r="K126">
        <v>1</v>
      </c>
      <c r="L126">
        <v>12.8622</v>
      </c>
      <c r="M126">
        <v>12.8622</v>
      </c>
      <c r="N126" s="5">
        <v>0.64699195171026158</v>
      </c>
      <c r="O126" t="s">
        <v>147</v>
      </c>
      <c r="P126" t="s">
        <v>148</v>
      </c>
      <c r="Q126" t="s">
        <v>24</v>
      </c>
    </row>
    <row r="127" spans="1:18" hidden="1" x14ac:dyDescent="0.25">
      <c r="A127" s="2" t="s">
        <v>19</v>
      </c>
      <c r="B127" s="3" t="str">
        <f t="shared" si="1"/>
        <v>18/1/22</v>
      </c>
      <c r="C127">
        <v>22</v>
      </c>
      <c r="D127">
        <v>1</v>
      </c>
      <c r="E127">
        <v>18</v>
      </c>
      <c r="F127" t="s">
        <v>328</v>
      </c>
      <c r="G127" t="s">
        <v>328</v>
      </c>
      <c r="H127" t="s">
        <v>49</v>
      </c>
      <c r="I127" t="s">
        <v>50</v>
      </c>
      <c r="J127" s="4">
        <v>13.99</v>
      </c>
      <c r="K127">
        <v>1</v>
      </c>
      <c r="L127">
        <v>61.835799999999999</v>
      </c>
      <c r="M127">
        <v>61.835799999999999</v>
      </c>
      <c r="N127" s="5">
        <v>3.1104527162977869</v>
      </c>
      <c r="O127" t="s">
        <v>147</v>
      </c>
      <c r="P127" t="s">
        <v>148</v>
      </c>
      <c r="Q127" t="s">
        <v>24</v>
      </c>
    </row>
    <row r="128" spans="1:18" hidden="1" x14ac:dyDescent="0.25">
      <c r="A128" s="2" t="s">
        <v>19</v>
      </c>
      <c r="B128" s="3" t="str">
        <f t="shared" si="1"/>
        <v>18/1/22</v>
      </c>
      <c r="C128">
        <v>22</v>
      </c>
      <c r="D128">
        <v>1</v>
      </c>
      <c r="E128">
        <v>18</v>
      </c>
      <c r="F128" t="s">
        <v>75</v>
      </c>
      <c r="G128" t="s">
        <v>75</v>
      </c>
      <c r="H128" t="s">
        <v>65</v>
      </c>
      <c r="I128" t="s">
        <v>27</v>
      </c>
      <c r="J128" s="4">
        <v>8.5500000000000007</v>
      </c>
      <c r="K128">
        <v>3</v>
      </c>
      <c r="L128">
        <v>37.790999999999997</v>
      </c>
      <c r="M128">
        <v>113.373</v>
      </c>
      <c r="N128" s="5">
        <v>5.7028672032193164</v>
      </c>
      <c r="O128" t="s">
        <v>147</v>
      </c>
      <c r="P128" t="s">
        <v>148</v>
      </c>
      <c r="Q128" t="s">
        <v>24</v>
      </c>
    </row>
    <row r="129" spans="1:18" hidden="1" x14ac:dyDescent="0.25">
      <c r="A129" s="2" t="s">
        <v>19</v>
      </c>
      <c r="B129" s="3" t="str">
        <f t="shared" si="1"/>
        <v>18/1/22</v>
      </c>
      <c r="C129">
        <v>22</v>
      </c>
      <c r="D129">
        <v>1</v>
      </c>
      <c r="E129">
        <v>18</v>
      </c>
      <c r="F129" t="s">
        <v>39</v>
      </c>
      <c r="G129" t="s">
        <v>304</v>
      </c>
      <c r="H129" t="s">
        <v>49</v>
      </c>
      <c r="I129" t="s">
        <v>79</v>
      </c>
      <c r="J129" s="4">
        <v>9.2100000000000009</v>
      </c>
      <c r="K129">
        <v>1</v>
      </c>
      <c r="L129">
        <v>40.708199999999998</v>
      </c>
      <c r="M129">
        <v>40.708199999999998</v>
      </c>
      <c r="N129" s="5">
        <v>2.0476961770623743</v>
      </c>
      <c r="O129" t="s">
        <v>147</v>
      </c>
      <c r="P129" t="s">
        <v>148</v>
      </c>
      <c r="Q129" t="s">
        <v>24</v>
      </c>
      <c r="R129" t="s">
        <v>163</v>
      </c>
    </row>
    <row r="130" spans="1:18" hidden="1" x14ac:dyDescent="0.25">
      <c r="A130" s="2" t="s">
        <v>19</v>
      </c>
      <c r="B130" s="3" t="str">
        <f t="shared" ref="B130:B193" si="2">CONCATENATE(E130,"/",D130,"/",C130)</f>
        <v>18/1/22</v>
      </c>
      <c r="C130">
        <v>22</v>
      </c>
      <c r="D130">
        <v>1</v>
      </c>
      <c r="E130">
        <v>18</v>
      </c>
      <c r="F130" t="s">
        <v>164</v>
      </c>
      <c r="H130" t="s">
        <v>165</v>
      </c>
      <c r="I130" t="s">
        <v>27</v>
      </c>
      <c r="J130" s="4">
        <v>42.77</v>
      </c>
      <c r="K130">
        <v>1</v>
      </c>
      <c r="L130">
        <v>189.04339999999999</v>
      </c>
      <c r="M130">
        <v>189.04339999999999</v>
      </c>
      <c r="N130" s="5">
        <v>9.5092253521126757</v>
      </c>
      <c r="O130" t="s">
        <v>147</v>
      </c>
      <c r="P130" t="s">
        <v>148</v>
      </c>
      <c r="Q130" t="s">
        <v>24</v>
      </c>
    </row>
    <row r="131" spans="1:18" hidden="1" x14ac:dyDescent="0.25">
      <c r="A131" s="2" t="s">
        <v>19</v>
      </c>
      <c r="B131" s="3" t="str">
        <f t="shared" si="2"/>
        <v>18/1/23</v>
      </c>
      <c r="C131">
        <v>23</v>
      </c>
      <c r="D131">
        <v>1</v>
      </c>
      <c r="E131">
        <v>18</v>
      </c>
      <c r="F131" t="s">
        <v>89</v>
      </c>
      <c r="G131" t="s">
        <v>31</v>
      </c>
      <c r="H131" t="s">
        <v>26</v>
      </c>
      <c r="I131" t="s">
        <v>27</v>
      </c>
      <c r="J131" s="4">
        <v>6.75</v>
      </c>
      <c r="K131">
        <v>3</v>
      </c>
      <c r="L131">
        <v>6.75</v>
      </c>
      <c r="M131">
        <v>20.25</v>
      </c>
      <c r="N131" s="5">
        <v>1.0186116700201209</v>
      </c>
      <c r="O131" t="s">
        <v>101</v>
      </c>
      <c r="P131" t="s">
        <v>340</v>
      </c>
      <c r="Q131" t="s">
        <v>24</v>
      </c>
    </row>
    <row r="132" spans="1:18" hidden="1" x14ac:dyDescent="0.25">
      <c r="A132" s="2" t="s">
        <v>19</v>
      </c>
      <c r="B132" s="3" t="str">
        <f t="shared" si="2"/>
        <v>18/1/23</v>
      </c>
      <c r="C132">
        <v>23</v>
      </c>
      <c r="D132">
        <v>1</v>
      </c>
      <c r="E132">
        <v>18</v>
      </c>
      <c r="F132" s="7" t="s">
        <v>166</v>
      </c>
      <c r="G132" t="s">
        <v>77</v>
      </c>
      <c r="H132" t="s">
        <v>26</v>
      </c>
      <c r="I132" t="s">
        <v>27</v>
      </c>
      <c r="J132" s="4">
        <f>Spending_raw[[#This Row],[Price, lei]]</f>
        <v>19</v>
      </c>
      <c r="K132">
        <v>1</v>
      </c>
      <c r="L132">
        <v>19</v>
      </c>
      <c r="M132">
        <v>19</v>
      </c>
      <c r="N132" s="5">
        <v>0.95573440643863183</v>
      </c>
      <c r="O132" t="s">
        <v>101</v>
      </c>
      <c r="P132" t="s">
        <v>340</v>
      </c>
      <c r="Q132" t="s">
        <v>24</v>
      </c>
    </row>
    <row r="133" spans="1:18" hidden="1" x14ac:dyDescent="0.25">
      <c r="A133" s="2" t="s">
        <v>19</v>
      </c>
      <c r="B133" s="3" t="str">
        <f t="shared" si="2"/>
        <v>18/1/24</v>
      </c>
      <c r="C133">
        <v>24</v>
      </c>
      <c r="D133">
        <v>1</v>
      </c>
      <c r="E133">
        <v>18</v>
      </c>
      <c r="F133" t="s">
        <v>89</v>
      </c>
      <c r="G133" t="s">
        <v>31</v>
      </c>
      <c r="H133" t="s">
        <v>26</v>
      </c>
      <c r="I133" t="s">
        <v>27</v>
      </c>
      <c r="J133" s="4">
        <f>Spending_raw[[#This Row],[Price, lei]]</f>
        <v>6.06</v>
      </c>
      <c r="K133">
        <v>3</v>
      </c>
      <c r="L133">
        <v>6.06</v>
      </c>
      <c r="M133">
        <v>18.18</v>
      </c>
      <c r="N133" s="5">
        <v>0.9144869215291751</v>
      </c>
      <c r="O133" t="s">
        <v>1472</v>
      </c>
      <c r="P133" t="s">
        <v>340</v>
      </c>
      <c r="Q133" t="s">
        <v>24</v>
      </c>
    </row>
    <row r="134" spans="1:18" hidden="1" x14ac:dyDescent="0.25">
      <c r="A134" s="2" t="s">
        <v>19</v>
      </c>
      <c r="B134" s="3" t="str">
        <f t="shared" si="2"/>
        <v>18/1/24</v>
      </c>
      <c r="C134">
        <v>24</v>
      </c>
      <c r="D134">
        <v>1</v>
      </c>
      <c r="E134">
        <v>18</v>
      </c>
      <c r="F134" s="7" t="s">
        <v>166</v>
      </c>
      <c r="G134" t="s">
        <v>77</v>
      </c>
      <c r="H134" t="s">
        <v>26</v>
      </c>
      <c r="I134" t="s">
        <v>27</v>
      </c>
      <c r="J134" s="4">
        <f>Spending_raw[[#This Row],[Price, lei]]</f>
        <v>17.670000000000002</v>
      </c>
      <c r="K134">
        <v>1</v>
      </c>
      <c r="L134">
        <v>17.670000000000002</v>
      </c>
      <c r="M134">
        <v>17.670000000000002</v>
      </c>
      <c r="N134" s="5">
        <v>0.8888329979879277</v>
      </c>
      <c r="O134" t="s">
        <v>1472</v>
      </c>
      <c r="P134" t="s">
        <v>340</v>
      </c>
      <c r="Q134" t="s">
        <v>24</v>
      </c>
    </row>
    <row r="135" spans="1:18" hidden="1" x14ac:dyDescent="0.25">
      <c r="A135" s="2" t="s">
        <v>19</v>
      </c>
      <c r="B135" s="3" t="str">
        <f t="shared" si="2"/>
        <v>18/1/25</v>
      </c>
      <c r="C135">
        <v>25</v>
      </c>
      <c r="D135">
        <v>1</v>
      </c>
      <c r="E135">
        <v>18</v>
      </c>
      <c r="F135" t="s">
        <v>94</v>
      </c>
      <c r="I135" t="s">
        <v>87</v>
      </c>
      <c r="J135" s="4">
        <v>215</v>
      </c>
      <c r="K135">
        <v>1</v>
      </c>
      <c r="L135">
        <v>215</v>
      </c>
      <c r="M135">
        <v>215</v>
      </c>
      <c r="N135" s="5">
        <v>10.814889336016098</v>
      </c>
      <c r="O135" t="s">
        <v>39</v>
      </c>
      <c r="Q135" t="s">
        <v>24</v>
      </c>
    </row>
    <row r="136" spans="1:18" hidden="1" x14ac:dyDescent="0.25">
      <c r="A136" s="2" t="s">
        <v>19</v>
      </c>
      <c r="B136" s="3" t="str">
        <f t="shared" si="2"/>
        <v>18/1/25</v>
      </c>
      <c r="C136">
        <v>25</v>
      </c>
      <c r="D136">
        <v>1</v>
      </c>
      <c r="E136">
        <v>18</v>
      </c>
      <c r="F136" t="s">
        <v>169</v>
      </c>
      <c r="H136" t="s">
        <v>170</v>
      </c>
      <c r="I136" t="s">
        <v>105</v>
      </c>
      <c r="J136" s="4">
        <v>210</v>
      </c>
      <c r="K136">
        <v>1</v>
      </c>
      <c r="L136">
        <v>210</v>
      </c>
      <c r="M136">
        <v>210</v>
      </c>
      <c r="N136" s="5">
        <v>10.563380281690142</v>
      </c>
      <c r="O136" t="s">
        <v>39</v>
      </c>
      <c r="Q136" t="s">
        <v>24</v>
      </c>
    </row>
    <row r="137" spans="1:18" hidden="1" x14ac:dyDescent="0.25">
      <c r="A137" s="2" t="s">
        <v>19</v>
      </c>
      <c r="B137" s="3" t="str">
        <f t="shared" si="2"/>
        <v>18/1/25</v>
      </c>
      <c r="C137">
        <v>25</v>
      </c>
      <c r="D137">
        <v>1</v>
      </c>
      <c r="E137">
        <v>18</v>
      </c>
      <c r="F137" t="s">
        <v>171</v>
      </c>
      <c r="H137" t="s">
        <v>168</v>
      </c>
      <c r="I137" t="s">
        <v>105</v>
      </c>
      <c r="J137" s="4">
        <f>Spending_raw[[#This Row],[Price, lei]]</f>
        <v>9.25</v>
      </c>
      <c r="K137">
        <v>1</v>
      </c>
      <c r="L137">
        <v>9.25</v>
      </c>
      <c r="M137">
        <v>9.25</v>
      </c>
      <c r="N137" s="5">
        <v>0.46529175050301813</v>
      </c>
      <c r="O137" t="s">
        <v>39</v>
      </c>
      <c r="Q137" t="s">
        <v>24</v>
      </c>
    </row>
    <row r="138" spans="1:18" hidden="1" x14ac:dyDescent="0.25">
      <c r="A138" s="2" t="s">
        <v>19</v>
      </c>
      <c r="B138" s="3" t="str">
        <f t="shared" si="2"/>
        <v>18/1/25</v>
      </c>
      <c r="C138">
        <v>25</v>
      </c>
      <c r="D138">
        <v>1</v>
      </c>
      <c r="E138">
        <v>18</v>
      </c>
      <c r="F138" t="s">
        <v>141</v>
      </c>
      <c r="H138" t="s">
        <v>172</v>
      </c>
      <c r="I138" t="s">
        <v>39</v>
      </c>
      <c r="J138" s="4">
        <v>2</v>
      </c>
      <c r="K138">
        <v>1</v>
      </c>
      <c r="L138">
        <v>2</v>
      </c>
      <c r="M138">
        <v>2</v>
      </c>
      <c r="N138" s="5">
        <v>0.1006036217303823</v>
      </c>
      <c r="O138" t="s">
        <v>39</v>
      </c>
      <c r="Q138" t="s">
        <v>24</v>
      </c>
    </row>
    <row r="139" spans="1:18" hidden="1" x14ac:dyDescent="0.25">
      <c r="A139" s="2" t="s">
        <v>19</v>
      </c>
      <c r="B139" s="3" t="str">
        <f t="shared" si="2"/>
        <v>18/1/26</v>
      </c>
      <c r="C139">
        <v>26</v>
      </c>
      <c r="D139">
        <v>1</v>
      </c>
      <c r="E139">
        <v>18</v>
      </c>
      <c r="F139" t="s">
        <v>108</v>
      </c>
      <c r="H139" t="s">
        <v>54</v>
      </c>
      <c r="I139" t="s">
        <v>27</v>
      </c>
      <c r="J139" s="4">
        <f>Spending_raw[[#This Row],[Price, lei]]</f>
        <v>39.9</v>
      </c>
      <c r="K139">
        <v>0.81200000000000006</v>
      </c>
      <c r="L139">
        <v>39.9</v>
      </c>
      <c r="M139">
        <v>32.398800000000001</v>
      </c>
      <c r="N139" s="5">
        <v>1.629718309859155</v>
      </c>
      <c r="O139" t="s">
        <v>90</v>
      </c>
      <c r="P139" t="s">
        <v>340</v>
      </c>
      <c r="Q139" t="s">
        <v>24</v>
      </c>
    </row>
    <row r="140" spans="1:18" hidden="1" x14ac:dyDescent="0.25">
      <c r="A140" s="2" t="s">
        <v>19</v>
      </c>
      <c r="B140" s="3" t="str">
        <f t="shared" si="2"/>
        <v>18/1/26</v>
      </c>
      <c r="C140">
        <v>26</v>
      </c>
      <c r="D140">
        <v>1</v>
      </c>
      <c r="E140">
        <v>18</v>
      </c>
      <c r="F140" t="s">
        <v>99</v>
      </c>
      <c r="H140" t="s">
        <v>40</v>
      </c>
      <c r="I140" t="s">
        <v>27</v>
      </c>
      <c r="J140" s="4">
        <f>Spending_raw[[#This Row],[Price, lei]]</f>
        <v>6.98</v>
      </c>
      <c r="K140">
        <v>1</v>
      </c>
      <c r="L140">
        <v>6.98</v>
      </c>
      <c r="M140">
        <v>6.98</v>
      </c>
      <c r="N140" s="5">
        <v>0.35110663983903423</v>
      </c>
      <c r="O140" t="s">
        <v>90</v>
      </c>
      <c r="P140" t="s">
        <v>340</v>
      </c>
      <c r="Q140" t="s">
        <v>24</v>
      </c>
    </row>
    <row r="141" spans="1:18" hidden="1" x14ac:dyDescent="0.25">
      <c r="A141" s="2" t="s">
        <v>19</v>
      </c>
      <c r="B141" s="3" t="str">
        <f t="shared" si="2"/>
        <v>18/1/26</v>
      </c>
      <c r="C141">
        <v>26</v>
      </c>
      <c r="D141">
        <v>1</v>
      </c>
      <c r="E141">
        <v>18</v>
      </c>
      <c r="F141" t="s">
        <v>173</v>
      </c>
      <c r="G141" t="s">
        <v>174</v>
      </c>
      <c r="H141" t="s">
        <v>54</v>
      </c>
      <c r="I141" t="s">
        <v>27</v>
      </c>
      <c r="J141" s="4">
        <f>Spending_raw[[#This Row],[Price, lei]]</f>
        <v>8.6</v>
      </c>
      <c r="K141">
        <v>0.57599999999999996</v>
      </c>
      <c r="L141">
        <v>8.6</v>
      </c>
      <c r="M141">
        <v>4.9535999999999998</v>
      </c>
      <c r="N141" s="5">
        <v>0.24917505030181086</v>
      </c>
      <c r="O141" t="s">
        <v>90</v>
      </c>
      <c r="P141" t="s">
        <v>340</v>
      </c>
      <c r="Q141" t="s">
        <v>24</v>
      </c>
    </row>
    <row r="142" spans="1:18" hidden="1" x14ac:dyDescent="0.25">
      <c r="A142" s="2" t="s">
        <v>19</v>
      </c>
      <c r="B142" s="3" t="str">
        <f t="shared" si="2"/>
        <v>18/1/26</v>
      </c>
      <c r="C142">
        <v>26</v>
      </c>
      <c r="D142">
        <v>1</v>
      </c>
      <c r="E142">
        <v>18</v>
      </c>
      <c r="F142" t="s">
        <v>89</v>
      </c>
      <c r="G142" t="s">
        <v>31</v>
      </c>
      <c r="H142" t="s">
        <v>26</v>
      </c>
      <c r="I142" t="s">
        <v>27</v>
      </c>
      <c r="J142" s="4">
        <f>Spending_raw[[#This Row],[Price, lei]]</f>
        <v>5.92</v>
      </c>
      <c r="K142">
        <v>3</v>
      </c>
      <c r="L142">
        <v>5.92</v>
      </c>
      <c r="M142">
        <v>17.760000000000002</v>
      </c>
      <c r="N142" s="5">
        <v>0.89336016096579485</v>
      </c>
      <c r="O142" t="s">
        <v>90</v>
      </c>
      <c r="P142" t="s">
        <v>340</v>
      </c>
      <c r="Q142" t="s">
        <v>24</v>
      </c>
    </row>
    <row r="143" spans="1:18" hidden="1" x14ac:dyDescent="0.25">
      <c r="A143" s="2" t="s">
        <v>19</v>
      </c>
      <c r="B143" s="3" t="str">
        <f t="shared" si="2"/>
        <v>18/1/26</v>
      </c>
      <c r="C143">
        <v>26</v>
      </c>
      <c r="D143">
        <v>1</v>
      </c>
      <c r="E143">
        <v>18</v>
      </c>
      <c r="F143" t="s">
        <v>89</v>
      </c>
      <c r="G143" t="s">
        <v>31</v>
      </c>
      <c r="H143" t="s">
        <v>26</v>
      </c>
      <c r="I143" t="s">
        <v>27</v>
      </c>
      <c r="J143" s="4">
        <v>6.75</v>
      </c>
      <c r="K143">
        <v>2</v>
      </c>
      <c r="L143">
        <v>6.75</v>
      </c>
      <c r="M143">
        <v>13.5</v>
      </c>
      <c r="N143" s="5">
        <v>0.67907444668008055</v>
      </c>
      <c r="O143" t="s">
        <v>101</v>
      </c>
      <c r="P143" t="s">
        <v>340</v>
      </c>
      <c r="Q143" t="s">
        <v>24</v>
      </c>
    </row>
    <row r="144" spans="1:18" hidden="1" x14ac:dyDescent="0.25">
      <c r="A144" s="2" t="s">
        <v>19</v>
      </c>
      <c r="B144" s="3" t="str">
        <f t="shared" si="2"/>
        <v>18/1/26</v>
      </c>
      <c r="C144">
        <v>26</v>
      </c>
      <c r="D144">
        <v>1</v>
      </c>
      <c r="E144">
        <v>18</v>
      </c>
      <c r="F144" t="s">
        <v>92</v>
      </c>
      <c r="H144" t="s">
        <v>69</v>
      </c>
      <c r="I144" t="s">
        <v>27</v>
      </c>
      <c r="J144" s="4">
        <v>245.41</v>
      </c>
      <c r="K144">
        <v>0.28399999999999997</v>
      </c>
      <c r="L144">
        <v>245.41</v>
      </c>
      <c r="M144">
        <v>69.7</v>
      </c>
      <c r="N144" s="5">
        <v>3.5060362173038233</v>
      </c>
      <c r="O144" t="s">
        <v>90</v>
      </c>
      <c r="P144" t="s">
        <v>340</v>
      </c>
      <c r="Q144" t="s">
        <v>24</v>
      </c>
    </row>
    <row r="145" spans="1:17" hidden="1" x14ac:dyDescent="0.25">
      <c r="A145" s="2" t="s">
        <v>19</v>
      </c>
      <c r="B145" s="3" t="str">
        <f t="shared" si="2"/>
        <v>18/1/26</v>
      </c>
      <c r="C145">
        <v>26</v>
      </c>
      <c r="D145">
        <v>1</v>
      </c>
      <c r="E145">
        <v>18</v>
      </c>
      <c r="F145" t="s">
        <v>111</v>
      </c>
      <c r="H145" t="s">
        <v>54</v>
      </c>
      <c r="I145" t="s">
        <v>27</v>
      </c>
      <c r="J145" s="4">
        <f>Spending_raw[[#This Row],[Price, lei]]</f>
        <v>25.1</v>
      </c>
      <c r="K145">
        <v>0.79400000000000004</v>
      </c>
      <c r="L145">
        <v>25.1</v>
      </c>
      <c r="M145">
        <v>19.929400000000001</v>
      </c>
      <c r="N145" s="5">
        <v>1.0024849094567405</v>
      </c>
      <c r="O145" t="s">
        <v>90</v>
      </c>
      <c r="P145" t="s">
        <v>340</v>
      </c>
      <c r="Q145" t="s">
        <v>24</v>
      </c>
    </row>
    <row r="146" spans="1:17" hidden="1" x14ac:dyDescent="0.25">
      <c r="A146" s="2" t="s">
        <v>19</v>
      </c>
      <c r="B146" s="3" t="str">
        <f t="shared" si="2"/>
        <v>18/1/26</v>
      </c>
      <c r="C146">
        <v>26</v>
      </c>
      <c r="D146">
        <v>1</v>
      </c>
      <c r="E146">
        <v>18</v>
      </c>
      <c r="F146" t="s">
        <v>112</v>
      </c>
      <c r="H146" t="s">
        <v>56</v>
      </c>
      <c r="I146" t="s">
        <v>27</v>
      </c>
      <c r="J146" s="4">
        <f>Spending_raw[[#This Row],[Price, lei]]</f>
        <v>24.5</v>
      </c>
      <c r="K146">
        <v>1.1639999999999999</v>
      </c>
      <c r="L146">
        <v>24.5</v>
      </c>
      <c r="M146">
        <v>28.518000000000001</v>
      </c>
      <c r="N146" s="5">
        <v>1.4345070422535213</v>
      </c>
      <c r="O146" t="s">
        <v>90</v>
      </c>
      <c r="P146" t="s">
        <v>340</v>
      </c>
      <c r="Q146" t="s">
        <v>24</v>
      </c>
    </row>
    <row r="147" spans="1:17" hidden="1" x14ac:dyDescent="0.25">
      <c r="A147" s="2" t="s">
        <v>19</v>
      </c>
      <c r="B147" s="3" t="str">
        <f t="shared" si="2"/>
        <v>18/1/26</v>
      </c>
      <c r="C147">
        <v>26</v>
      </c>
      <c r="D147">
        <v>1</v>
      </c>
      <c r="E147">
        <v>18</v>
      </c>
      <c r="F147" t="s">
        <v>175</v>
      </c>
      <c r="H147" t="s">
        <v>56</v>
      </c>
      <c r="I147" t="s">
        <v>27</v>
      </c>
      <c r="J147" s="4">
        <f>Spending_raw[[#This Row],[Price, lei]]</f>
        <v>31.4</v>
      </c>
      <c r="K147">
        <v>0.51</v>
      </c>
      <c r="L147">
        <v>31.4</v>
      </c>
      <c r="M147">
        <v>16.013999999999999</v>
      </c>
      <c r="N147" s="5">
        <v>0.80553319919517108</v>
      </c>
      <c r="O147" t="s">
        <v>90</v>
      </c>
      <c r="P147" t="s">
        <v>340</v>
      </c>
      <c r="Q147" t="s">
        <v>24</v>
      </c>
    </row>
    <row r="148" spans="1:17" hidden="1" x14ac:dyDescent="0.25">
      <c r="A148" s="2" t="s">
        <v>19</v>
      </c>
      <c r="B148" s="3" t="str">
        <f t="shared" si="2"/>
        <v>18/1/26</v>
      </c>
      <c r="C148">
        <v>26</v>
      </c>
      <c r="D148">
        <v>1</v>
      </c>
      <c r="E148">
        <v>18</v>
      </c>
      <c r="F148" t="s">
        <v>176</v>
      </c>
      <c r="H148" t="s">
        <v>176</v>
      </c>
      <c r="I148" t="s">
        <v>105</v>
      </c>
      <c r="J148" s="4">
        <f>Spending_raw[[#This Row],[Price, lei]]</f>
        <v>2.2656666670000001</v>
      </c>
      <c r="K148">
        <v>90</v>
      </c>
      <c r="L148" s="5">
        <v>2.2656666670000001</v>
      </c>
      <c r="M148">
        <v>203.91</v>
      </c>
      <c r="N148" s="5">
        <v>10.257042253521128</v>
      </c>
      <c r="O148" t="s">
        <v>39</v>
      </c>
      <c r="Q148" t="s">
        <v>24</v>
      </c>
    </row>
    <row r="149" spans="1:17" hidden="1" x14ac:dyDescent="0.25">
      <c r="A149" s="2" t="s">
        <v>19</v>
      </c>
      <c r="B149" s="3" t="str">
        <f t="shared" si="2"/>
        <v>18/1/26</v>
      </c>
      <c r="C149">
        <v>26</v>
      </c>
      <c r="D149">
        <v>1</v>
      </c>
      <c r="E149">
        <v>18</v>
      </c>
      <c r="F149" t="s">
        <v>115</v>
      </c>
      <c r="H149" t="s">
        <v>39</v>
      </c>
      <c r="I149" t="s">
        <v>27</v>
      </c>
      <c r="J149" s="4">
        <f>Spending_raw[[#This Row],[Price, lei]]</f>
        <v>399</v>
      </c>
      <c r="K149">
        <v>6.2E-2</v>
      </c>
      <c r="L149">
        <v>399</v>
      </c>
      <c r="M149">
        <v>24.738</v>
      </c>
      <c r="N149" s="5">
        <v>1.2443661971830986</v>
      </c>
      <c r="O149" t="s">
        <v>90</v>
      </c>
      <c r="P149" t="s">
        <v>340</v>
      </c>
      <c r="Q149" t="s">
        <v>24</v>
      </c>
    </row>
    <row r="150" spans="1:17" hidden="1" x14ac:dyDescent="0.25">
      <c r="A150" s="2" t="s">
        <v>19</v>
      </c>
      <c r="B150" s="3" t="str">
        <f t="shared" si="2"/>
        <v>18/1/26</v>
      </c>
      <c r="C150">
        <v>26</v>
      </c>
      <c r="D150">
        <v>1</v>
      </c>
      <c r="E150">
        <v>18</v>
      </c>
      <c r="F150" t="s">
        <v>177</v>
      </c>
      <c r="H150" t="s">
        <v>56</v>
      </c>
      <c r="I150" t="s">
        <v>27</v>
      </c>
      <c r="J150" s="4">
        <f>Spending_raw[[#This Row],[Price, lei]]</f>
        <v>12.5</v>
      </c>
      <c r="K150">
        <v>0.69399999999999995</v>
      </c>
      <c r="L150">
        <v>12.5</v>
      </c>
      <c r="M150">
        <v>8.6750000000000007</v>
      </c>
      <c r="N150" s="5">
        <v>0.43636820925553327</v>
      </c>
      <c r="O150" t="s">
        <v>90</v>
      </c>
      <c r="P150" t="s">
        <v>340</v>
      </c>
      <c r="Q150" t="s">
        <v>24</v>
      </c>
    </row>
    <row r="151" spans="1:17" hidden="1" x14ac:dyDescent="0.25">
      <c r="A151" s="2" t="s">
        <v>19</v>
      </c>
      <c r="B151" s="3" t="str">
        <f t="shared" si="2"/>
        <v>18/1/26</v>
      </c>
      <c r="C151">
        <v>26</v>
      </c>
      <c r="D151">
        <v>1</v>
      </c>
      <c r="E151">
        <v>18</v>
      </c>
      <c r="F151" t="s">
        <v>178</v>
      </c>
      <c r="H151" t="s">
        <v>179</v>
      </c>
      <c r="I151" t="s">
        <v>105</v>
      </c>
      <c r="J151" s="4">
        <v>641.66999999999996</v>
      </c>
      <c r="K151">
        <v>98</v>
      </c>
      <c r="L151">
        <v>6.55</v>
      </c>
      <c r="M151">
        <v>641.66999999999996</v>
      </c>
      <c r="N151" s="5">
        <v>32.277162977867199</v>
      </c>
      <c r="O151" t="s">
        <v>39</v>
      </c>
      <c r="Q151" t="s">
        <v>24</v>
      </c>
    </row>
    <row r="152" spans="1:17" hidden="1" x14ac:dyDescent="0.25">
      <c r="A152" s="2" t="s">
        <v>19</v>
      </c>
      <c r="B152" s="3" t="str">
        <f t="shared" si="2"/>
        <v>18/1/26</v>
      </c>
      <c r="C152">
        <v>26</v>
      </c>
      <c r="D152">
        <v>1</v>
      </c>
      <c r="E152">
        <v>18</v>
      </c>
      <c r="F152" t="s">
        <v>116</v>
      </c>
      <c r="H152" t="s">
        <v>54</v>
      </c>
      <c r="I152" t="s">
        <v>27</v>
      </c>
      <c r="J152" s="4">
        <f>Spending_raw[[#This Row],[Price, lei]]</f>
        <v>7.3</v>
      </c>
      <c r="K152">
        <v>1.702</v>
      </c>
      <c r="L152">
        <v>7.3</v>
      </c>
      <c r="M152">
        <v>12.4246</v>
      </c>
      <c r="N152" s="5">
        <v>0.6249798792756539</v>
      </c>
      <c r="O152" t="s">
        <v>90</v>
      </c>
      <c r="P152" t="s">
        <v>340</v>
      </c>
      <c r="Q152" t="s">
        <v>24</v>
      </c>
    </row>
    <row r="153" spans="1:17" hidden="1" x14ac:dyDescent="0.25">
      <c r="A153" s="2" t="s">
        <v>19</v>
      </c>
      <c r="B153" s="3" t="str">
        <f t="shared" si="2"/>
        <v>18/1/26</v>
      </c>
      <c r="C153">
        <v>26</v>
      </c>
      <c r="D153">
        <v>1</v>
      </c>
      <c r="E153">
        <v>18</v>
      </c>
      <c r="F153" t="s">
        <v>73</v>
      </c>
      <c r="H153" t="s">
        <v>117</v>
      </c>
      <c r="I153" t="s">
        <v>27</v>
      </c>
      <c r="J153" s="4">
        <v>22.79</v>
      </c>
      <c r="K153">
        <v>1</v>
      </c>
      <c r="L153">
        <v>22.79</v>
      </c>
      <c r="M153">
        <v>22.79</v>
      </c>
      <c r="N153" s="5">
        <v>1.1463782696177063</v>
      </c>
      <c r="O153" t="s">
        <v>90</v>
      </c>
      <c r="P153" t="s">
        <v>340</v>
      </c>
      <c r="Q153" t="s">
        <v>24</v>
      </c>
    </row>
    <row r="154" spans="1:17" hidden="1" x14ac:dyDescent="0.25">
      <c r="A154" s="2" t="s">
        <v>19</v>
      </c>
      <c r="B154" s="3" t="str">
        <f t="shared" si="2"/>
        <v>18/1/26</v>
      </c>
      <c r="C154">
        <v>26</v>
      </c>
      <c r="D154">
        <v>1</v>
      </c>
      <c r="E154">
        <v>18</v>
      </c>
      <c r="F154" t="s">
        <v>119</v>
      </c>
      <c r="H154" t="s">
        <v>56</v>
      </c>
      <c r="I154" t="s">
        <v>27</v>
      </c>
      <c r="J154" s="4">
        <f>Spending_raw[[#This Row],[Price, lei]]</f>
        <v>27.4</v>
      </c>
      <c r="K154">
        <v>1.5780000000000001</v>
      </c>
      <c r="L154">
        <v>27.4</v>
      </c>
      <c r="M154">
        <v>43.237200000000001</v>
      </c>
      <c r="N154" s="5">
        <v>2.1749094567404428</v>
      </c>
      <c r="O154" t="s">
        <v>90</v>
      </c>
      <c r="P154" t="s">
        <v>340</v>
      </c>
      <c r="Q154" t="s">
        <v>24</v>
      </c>
    </row>
    <row r="155" spans="1:17" hidden="1" x14ac:dyDescent="0.25">
      <c r="A155" s="2" t="s">
        <v>19</v>
      </c>
      <c r="B155" s="3" t="str">
        <f t="shared" si="2"/>
        <v>18/1/26</v>
      </c>
      <c r="C155">
        <v>26</v>
      </c>
      <c r="D155">
        <v>1</v>
      </c>
      <c r="E155">
        <v>18</v>
      </c>
      <c r="F155" t="s">
        <v>121</v>
      </c>
      <c r="H155" t="s">
        <v>54</v>
      </c>
      <c r="I155" t="s">
        <v>27</v>
      </c>
      <c r="J155" s="4">
        <f>Spending_raw[[#This Row],[Price, lei]]</f>
        <v>14.7</v>
      </c>
      <c r="K155">
        <v>1.3360000000000001</v>
      </c>
      <c r="L155">
        <v>14.7</v>
      </c>
      <c r="M155">
        <v>19.639199999999999</v>
      </c>
      <c r="N155" s="5">
        <v>0.98788732394366197</v>
      </c>
      <c r="O155" t="s">
        <v>90</v>
      </c>
      <c r="P155" t="s">
        <v>340</v>
      </c>
      <c r="Q155" t="s">
        <v>24</v>
      </c>
    </row>
    <row r="156" spans="1:17" hidden="1" x14ac:dyDescent="0.25">
      <c r="A156" s="2" t="s">
        <v>19</v>
      </c>
      <c r="B156" s="3" t="str">
        <f t="shared" si="2"/>
        <v>18/1/26</v>
      </c>
      <c r="C156">
        <v>26</v>
      </c>
      <c r="D156">
        <v>1</v>
      </c>
      <c r="E156">
        <v>18</v>
      </c>
      <c r="F156" t="s">
        <v>124</v>
      </c>
      <c r="H156" t="s">
        <v>54</v>
      </c>
      <c r="I156" t="s">
        <v>27</v>
      </c>
      <c r="J156" s="4">
        <f>Spending_raw[[#This Row],[Price, lei]]</f>
        <v>32.5</v>
      </c>
      <c r="K156">
        <v>0.73799999999999999</v>
      </c>
      <c r="L156">
        <v>32.5</v>
      </c>
      <c r="M156">
        <v>23.984999999999999</v>
      </c>
      <c r="N156" s="5">
        <v>1.2064889336016096</v>
      </c>
      <c r="O156" t="s">
        <v>90</v>
      </c>
      <c r="P156" t="s">
        <v>340</v>
      </c>
      <c r="Q156" t="s">
        <v>24</v>
      </c>
    </row>
    <row r="157" spans="1:17" hidden="1" x14ac:dyDescent="0.25">
      <c r="A157" s="2" t="s">
        <v>19</v>
      </c>
      <c r="B157" s="3" t="str">
        <f t="shared" si="2"/>
        <v>18/1/26</v>
      </c>
      <c r="C157">
        <v>26</v>
      </c>
      <c r="D157">
        <v>1</v>
      </c>
      <c r="E157">
        <v>18</v>
      </c>
      <c r="F157" t="s">
        <v>125</v>
      </c>
      <c r="H157" t="s">
        <v>54</v>
      </c>
      <c r="I157" t="s">
        <v>27</v>
      </c>
      <c r="J157" s="4">
        <f>Spending_raw[[#This Row],[Price, lei]]</f>
        <v>4.2</v>
      </c>
      <c r="K157">
        <v>0.42399999999999999</v>
      </c>
      <c r="L157">
        <v>4.2</v>
      </c>
      <c r="M157">
        <v>1.7807999999999999</v>
      </c>
      <c r="N157" s="5">
        <v>8.9577464788732394E-2</v>
      </c>
      <c r="O157" t="s">
        <v>90</v>
      </c>
      <c r="P157" t="s">
        <v>340</v>
      </c>
      <c r="Q157" t="s">
        <v>24</v>
      </c>
    </row>
    <row r="158" spans="1:17" hidden="1" x14ac:dyDescent="0.25">
      <c r="A158" s="2" t="s">
        <v>19</v>
      </c>
      <c r="B158" s="3" t="str">
        <f t="shared" si="2"/>
        <v>18/1/26</v>
      </c>
      <c r="C158">
        <v>26</v>
      </c>
      <c r="D158">
        <v>1</v>
      </c>
      <c r="E158">
        <v>18</v>
      </c>
      <c r="F158" t="s">
        <v>44</v>
      </c>
      <c r="H158" t="s">
        <v>128</v>
      </c>
      <c r="I158" t="s">
        <v>27</v>
      </c>
      <c r="J158" s="4">
        <f>Spending_raw[[#This Row],[Price, lei]]</f>
        <v>25.03</v>
      </c>
      <c r="K158">
        <v>1</v>
      </c>
      <c r="L158">
        <v>25.03</v>
      </c>
      <c r="M158">
        <v>25.03</v>
      </c>
      <c r="N158" s="5">
        <v>1.2590543259557345</v>
      </c>
      <c r="O158" t="s">
        <v>90</v>
      </c>
      <c r="P158" t="s">
        <v>340</v>
      </c>
      <c r="Q158" t="s">
        <v>24</v>
      </c>
    </row>
    <row r="159" spans="1:17" hidden="1" x14ac:dyDescent="0.25">
      <c r="A159" s="2" t="s">
        <v>19</v>
      </c>
      <c r="B159" s="3" t="str">
        <f t="shared" si="2"/>
        <v>18/1/26</v>
      </c>
      <c r="C159">
        <v>26</v>
      </c>
      <c r="D159">
        <v>1</v>
      </c>
      <c r="E159">
        <v>18</v>
      </c>
      <c r="F159" t="s">
        <v>168</v>
      </c>
      <c r="H159" t="s">
        <v>168</v>
      </c>
      <c r="I159" t="s">
        <v>105</v>
      </c>
      <c r="J159" s="4">
        <v>202</v>
      </c>
      <c r="K159">
        <v>1</v>
      </c>
      <c r="L159">
        <v>202</v>
      </c>
      <c r="M159">
        <v>202</v>
      </c>
      <c r="N159" s="5">
        <v>10.175468054739319</v>
      </c>
      <c r="O159" t="s">
        <v>39</v>
      </c>
      <c r="Q159" t="s">
        <v>24</v>
      </c>
    </row>
    <row r="160" spans="1:17" hidden="1" x14ac:dyDescent="0.25">
      <c r="A160" s="2" t="s">
        <v>19</v>
      </c>
      <c r="B160" s="3" t="str">
        <f t="shared" si="2"/>
        <v>18/1/27</v>
      </c>
      <c r="C160">
        <v>27</v>
      </c>
      <c r="D160">
        <v>1</v>
      </c>
      <c r="E160">
        <v>18</v>
      </c>
      <c r="F160" t="s">
        <v>89</v>
      </c>
      <c r="G160" t="s">
        <v>31</v>
      </c>
      <c r="H160" t="s">
        <v>26</v>
      </c>
      <c r="I160" t="s">
        <v>27</v>
      </c>
      <c r="J160" s="4">
        <v>7.4</v>
      </c>
      <c r="K160">
        <v>1</v>
      </c>
      <c r="L160">
        <v>7.4</v>
      </c>
      <c r="M160">
        <v>7.4</v>
      </c>
      <c r="N160" s="5">
        <v>0.37223340040241454</v>
      </c>
      <c r="O160" t="s">
        <v>32</v>
      </c>
      <c r="P160" t="s">
        <v>340</v>
      </c>
      <c r="Q160" t="s">
        <v>24</v>
      </c>
    </row>
    <row r="161" spans="1:18" hidden="1" x14ac:dyDescent="0.25">
      <c r="A161" s="2" t="s">
        <v>19</v>
      </c>
      <c r="B161" s="3" t="str">
        <f t="shared" si="2"/>
        <v>18/1/27</v>
      </c>
      <c r="C161">
        <v>27</v>
      </c>
      <c r="D161">
        <v>1</v>
      </c>
      <c r="E161">
        <v>18</v>
      </c>
      <c r="F161" t="s">
        <v>146</v>
      </c>
      <c r="H161" t="s">
        <v>49</v>
      </c>
      <c r="I161" t="s">
        <v>50</v>
      </c>
      <c r="J161" s="4">
        <v>0.5</v>
      </c>
      <c r="K161">
        <v>1</v>
      </c>
      <c r="L161">
        <v>0.5</v>
      </c>
      <c r="M161">
        <v>0.5</v>
      </c>
      <c r="N161" s="5">
        <v>2.5150905432595575E-2</v>
      </c>
      <c r="O161" t="s">
        <v>32</v>
      </c>
      <c r="P161" t="s">
        <v>340</v>
      </c>
      <c r="Q161" t="s">
        <v>24</v>
      </c>
    </row>
    <row r="162" spans="1:18" hidden="1" x14ac:dyDescent="0.25">
      <c r="A162" s="2" t="s">
        <v>19</v>
      </c>
      <c r="B162" s="3" t="str">
        <f t="shared" si="2"/>
        <v>18/1/27</v>
      </c>
      <c r="C162">
        <v>27</v>
      </c>
      <c r="D162">
        <v>1</v>
      </c>
      <c r="E162">
        <v>18</v>
      </c>
      <c r="F162" s="7" t="s">
        <v>166</v>
      </c>
      <c r="G162" t="s">
        <v>77</v>
      </c>
      <c r="H162" t="s">
        <v>26</v>
      </c>
      <c r="I162" t="s">
        <v>27</v>
      </c>
      <c r="J162" s="4">
        <f>Spending_raw[[#This Row],[Price, lei]]</f>
        <v>17.5</v>
      </c>
      <c r="K162">
        <v>1</v>
      </c>
      <c r="L162">
        <v>17.5</v>
      </c>
      <c r="M162">
        <v>17.5</v>
      </c>
      <c r="N162" s="5">
        <v>0.88028169014084512</v>
      </c>
      <c r="O162" t="s">
        <v>32</v>
      </c>
      <c r="P162" t="s">
        <v>340</v>
      </c>
      <c r="Q162" t="s">
        <v>24</v>
      </c>
      <c r="R162" t="s">
        <v>180</v>
      </c>
    </row>
    <row r="163" spans="1:18" hidden="1" x14ac:dyDescent="0.25">
      <c r="A163" s="2" t="s">
        <v>19</v>
      </c>
      <c r="B163" s="3" t="str">
        <f t="shared" si="2"/>
        <v>18/1/27</v>
      </c>
      <c r="C163">
        <v>27</v>
      </c>
      <c r="D163">
        <v>1</v>
      </c>
      <c r="E163">
        <v>18</v>
      </c>
      <c r="F163" t="s">
        <v>98</v>
      </c>
      <c r="H163" t="s">
        <v>26</v>
      </c>
      <c r="I163" t="s">
        <v>27</v>
      </c>
      <c r="J163" s="4">
        <v>23.4</v>
      </c>
      <c r="K163">
        <v>1</v>
      </c>
      <c r="L163">
        <v>23.4</v>
      </c>
      <c r="M163">
        <v>23.4</v>
      </c>
      <c r="N163" s="5">
        <v>1.1770623742454729</v>
      </c>
      <c r="O163" t="s">
        <v>32</v>
      </c>
      <c r="P163" t="s">
        <v>340</v>
      </c>
      <c r="Q163" t="s">
        <v>24</v>
      </c>
      <c r="R163" t="s">
        <v>1259</v>
      </c>
    </row>
    <row r="164" spans="1:18" hidden="1" x14ac:dyDescent="0.25">
      <c r="A164" s="2" t="s">
        <v>19</v>
      </c>
      <c r="B164" s="3" t="str">
        <f t="shared" si="2"/>
        <v>18/1/28</v>
      </c>
      <c r="C164">
        <v>28</v>
      </c>
      <c r="D164">
        <v>1</v>
      </c>
      <c r="E164">
        <v>18</v>
      </c>
      <c r="F164" t="s">
        <v>89</v>
      </c>
      <c r="G164" t="s">
        <v>31</v>
      </c>
      <c r="H164" t="s">
        <v>26</v>
      </c>
      <c r="I164" t="s">
        <v>27</v>
      </c>
      <c r="J164" s="4">
        <f>Spending_raw[[#This Row],[Price, lei]]</f>
        <v>14.2</v>
      </c>
      <c r="K164">
        <v>1</v>
      </c>
      <c r="L164">
        <v>14.2</v>
      </c>
      <c r="M164">
        <v>14.2</v>
      </c>
      <c r="N164" s="5">
        <v>0.7142857142857143</v>
      </c>
      <c r="O164" t="s">
        <v>181</v>
      </c>
      <c r="P164" t="s">
        <v>340</v>
      </c>
      <c r="Q164" t="s">
        <v>24</v>
      </c>
    </row>
    <row r="165" spans="1:18" hidden="1" x14ac:dyDescent="0.25">
      <c r="A165" s="2" t="s">
        <v>19</v>
      </c>
      <c r="B165" s="3" t="str">
        <f t="shared" si="2"/>
        <v>18/1/28</v>
      </c>
      <c r="C165">
        <v>28</v>
      </c>
      <c r="D165">
        <v>1</v>
      </c>
      <c r="E165">
        <v>18</v>
      </c>
      <c r="F165" t="s">
        <v>146</v>
      </c>
      <c r="H165" t="s">
        <v>49</v>
      </c>
      <c r="I165" t="s">
        <v>50</v>
      </c>
      <c r="J165" s="4">
        <v>1</v>
      </c>
      <c r="K165">
        <v>1</v>
      </c>
      <c r="L165">
        <v>1</v>
      </c>
      <c r="M165">
        <v>1</v>
      </c>
      <c r="N165" s="5">
        <v>5.030181086519115E-2</v>
      </c>
      <c r="O165" t="s">
        <v>39</v>
      </c>
      <c r="P165" t="s">
        <v>340</v>
      </c>
      <c r="Q165" t="s">
        <v>24</v>
      </c>
    </row>
    <row r="166" spans="1:18" hidden="1" x14ac:dyDescent="0.25">
      <c r="A166" s="2" t="s">
        <v>19</v>
      </c>
      <c r="B166" s="3" t="str">
        <f t="shared" si="2"/>
        <v>18/1/28</v>
      </c>
      <c r="C166">
        <v>28</v>
      </c>
      <c r="D166">
        <v>1</v>
      </c>
      <c r="E166">
        <v>18</v>
      </c>
      <c r="F166" t="s">
        <v>182</v>
      </c>
      <c r="H166" t="s">
        <v>63</v>
      </c>
      <c r="I166" t="s">
        <v>50</v>
      </c>
      <c r="J166" s="4">
        <v>422</v>
      </c>
      <c r="K166">
        <v>1</v>
      </c>
      <c r="L166">
        <v>422</v>
      </c>
      <c r="M166">
        <v>422</v>
      </c>
      <c r="N166" s="5">
        <v>21.227364185110666</v>
      </c>
      <c r="O166" t="s">
        <v>183</v>
      </c>
      <c r="P166" t="s">
        <v>340</v>
      </c>
      <c r="Q166" t="s">
        <v>24</v>
      </c>
    </row>
    <row r="167" spans="1:18" hidden="1" x14ac:dyDescent="0.25">
      <c r="A167" s="2" t="s">
        <v>19</v>
      </c>
      <c r="B167" s="3" t="str">
        <f t="shared" si="2"/>
        <v>18/1/28</v>
      </c>
      <c r="C167">
        <v>28</v>
      </c>
      <c r="D167">
        <v>1</v>
      </c>
      <c r="E167">
        <v>18</v>
      </c>
      <c r="F167" t="s">
        <v>184</v>
      </c>
      <c r="H167" t="s">
        <v>184</v>
      </c>
      <c r="I167" t="s">
        <v>79</v>
      </c>
      <c r="J167" s="4">
        <f>Spending_raw[[#This Row],[Price, lei]]</f>
        <v>90</v>
      </c>
      <c r="K167">
        <v>1</v>
      </c>
      <c r="L167">
        <v>90</v>
      </c>
      <c r="M167">
        <v>90</v>
      </c>
      <c r="N167" s="5">
        <v>4.5271629778672038</v>
      </c>
      <c r="O167" t="s">
        <v>185</v>
      </c>
      <c r="P167" t="s">
        <v>340</v>
      </c>
      <c r="Q167" t="s">
        <v>24</v>
      </c>
    </row>
    <row r="168" spans="1:18" hidden="1" x14ac:dyDescent="0.25">
      <c r="A168" s="2" t="s">
        <v>19</v>
      </c>
      <c r="B168" s="3" t="str">
        <f t="shared" si="2"/>
        <v>18/1/28</v>
      </c>
      <c r="C168">
        <v>28</v>
      </c>
      <c r="D168">
        <v>1</v>
      </c>
      <c r="E168">
        <v>18</v>
      </c>
      <c r="F168" t="s">
        <v>1499</v>
      </c>
      <c r="H168" t="s">
        <v>49</v>
      </c>
      <c r="I168" t="s">
        <v>50</v>
      </c>
      <c r="J168" s="4">
        <v>65</v>
      </c>
      <c r="K168">
        <v>1</v>
      </c>
      <c r="L168">
        <v>65</v>
      </c>
      <c r="M168">
        <v>65</v>
      </c>
      <c r="N168" s="5">
        <v>3.2696177062374248</v>
      </c>
      <c r="O168" t="s">
        <v>187</v>
      </c>
      <c r="P168" t="s">
        <v>340</v>
      </c>
      <c r="Q168" t="s">
        <v>24</v>
      </c>
    </row>
    <row r="169" spans="1:18" hidden="1" x14ac:dyDescent="0.25">
      <c r="A169" s="2" t="s">
        <v>19</v>
      </c>
      <c r="B169" s="3" t="str">
        <f t="shared" si="2"/>
        <v>18/1/29</v>
      </c>
      <c r="C169">
        <v>29</v>
      </c>
      <c r="D169">
        <v>1</v>
      </c>
      <c r="E169">
        <v>18</v>
      </c>
      <c r="F169" t="s">
        <v>106</v>
      </c>
      <c r="H169" t="s">
        <v>56</v>
      </c>
      <c r="I169" t="s">
        <v>27</v>
      </c>
      <c r="J169" s="4">
        <f>Spending_raw[[#This Row],[Price, lei]]</f>
        <v>29.3</v>
      </c>
      <c r="K169">
        <v>1.45</v>
      </c>
      <c r="L169">
        <v>29.3</v>
      </c>
      <c r="M169">
        <v>42.484999999999999</v>
      </c>
      <c r="N169" s="5">
        <v>2.1370724346076457</v>
      </c>
      <c r="O169" t="s">
        <v>90</v>
      </c>
      <c r="P169" t="s">
        <v>340</v>
      </c>
      <c r="Q169" t="s">
        <v>24</v>
      </c>
    </row>
    <row r="170" spans="1:18" hidden="1" x14ac:dyDescent="0.25">
      <c r="A170" s="2" t="s">
        <v>19</v>
      </c>
      <c r="B170" s="3" t="str">
        <f t="shared" si="2"/>
        <v>18/1/29</v>
      </c>
      <c r="C170">
        <v>29</v>
      </c>
      <c r="D170">
        <v>1</v>
      </c>
      <c r="E170">
        <v>18</v>
      </c>
      <c r="F170" t="s">
        <v>112</v>
      </c>
      <c r="H170" t="s">
        <v>56</v>
      </c>
      <c r="I170" t="s">
        <v>27</v>
      </c>
      <c r="J170" s="4">
        <f>Spending_raw[[#This Row],[Price, lei]]</f>
        <v>25.1</v>
      </c>
      <c r="K170">
        <v>1.18</v>
      </c>
      <c r="L170">
        <v>25.1</v>
      </c>
      <c r="M170">
        <v>29.617999999999999</v>
      </c>
      <c r="N170" s="5">
        <v>1.4898390342052314</v>
      </c>
      <c r="O170" t="s">
        <v>90</v>
      </c>
      <c r="P170" t="s">
        <v>340</v>
      </c>
      <c r="Q170" t="s">
        <v>24</v>
      </c>
    </row>
    <row r="171" spans="1:18" hidden="1" x14ac:dyDescent="0.25">
      <c r="A171" s="2" t="s">
        <v>19</v>
      </c>
      <c r="B171" s="3" t="str">
        <f t="shared" si="2"/>
        <v>18/1/29</v>
      </c>
      <c r="C171">
        <v>29</v>
      </c>
      <c r="D171">
        <v>1</v>
      </c>
      <c r="E171">
        <v>18</v>
      </c>
      <c r="F171" t="s">
        <v>40</v>
      </c>
      <c r="H171" t="s">
        <v>40</v>
      </c>
      <c r="I171" t="s">
        <v>27</v>
      </c>
      <c r="J171" s="4">
        <f>Spending_raw[[#This Row],[Price, lei]]</f>
        <v>6.37</v>
      </c>
      <c r="K171">
        <v>1</v>
      </c>
      <c r="L171">
        <v>6.37</v>
      </c>
      <c r="M171">
        <v>6.37</v>
      </c>
      <c r="N171" s="5">
        <v>0.32042253521126762</v>
      </c>
      <c r="O171" t="s">
        <v>90</v>
      </c>
      <c r="P171" t="s">
        <v>340</v>
      </c>
      <c r="Q171" t="s">
        <v>24</v>
      </c>
    </row>
    <row r="172" spans="1:18" hidden="1" x14ac:dyDescent="0.25">
      <c r="A172" s="2" t="s">
        <v>19</v>
      </c>
      <c r="B172" s="3" t="str">
        <f t="shared" si="2"/>
        <v>18/1/29</v>
      </c>
      <c r="C172">
        <v>29</v>
      </c>
      <c r="D172">
        <v>1</v>
      </c>
      <c r="E172">
        <v>18</v>
      </c>
      <c r="F172" s="7" t="s">
        <v>188</v>
      </c>
      <c r="G172" t="s">
        <v>77</v>
      </c>
      <c r="H172" t="s">
        <v>26</v>
      </c>
      <c r="I172" t="s">
        <v>27</v>
      </c>
      <c r="J172" s="4">
        <f>Spending_raw[[#This Row],[Price, lei]]</f>
        <v>22.64</v>
      </c>
      <c r="K172">
        <v>1</v>
      </c>
      <c r="L172">
        <v>22.64</v>
      </c>
      <c r="M172">
        <v>22.64</v>
      </c>
      <c r="N172" s="5">
        <v>1.1388329979879277</v>
      </c>
      <c r="O172" t="s">
        <v>90</v>
      </c>
      <c r="P172" t="s">
        <v>340</v>
      </c>
      <c r="Q172" t="s">
        <v>24</v>
      </c>
    </row>
    <row r="173" spans="1:18" hidden="1" x14ac:dyDescent="0.25">
      <c r="A173" s="2" t="s">
        <v>19</v>
      </c>
      <c r="B173" s="3" t="str">
        <f t="shared" si="2"/>
        <v>18/1/29</v>
      </c>
      <c r="C173">
        <v>29</v>
      </c>
      <c r="D173">
        <v>1</v>
      </c>
      <c r="E173">
        <v>18</v>
      </c>
      <c r="F173" t="s">
        <v>189</v>
      </c>
      <c r="H173" t="s">
        <v>172</v>
      </c>
      <c r="I173" t="s">
        <v>39</v>
      </c>
      <c r="J173" s="4">
        <v>35</v>
      </c>
      <c r="K173">
        <v>1</v>
      </c>
      <c r="L173">
        <v>35</v>
      </c>
      <c r="M173">
        <v>35</v>
      </c>
      <c r="N173" s="5">
        <v>1.7605633802816902</v>
      </c>
      <c r="O173" t="s">
        <v>39</v>
      </c>
      <c r="Q173" t="s">
        <v>24</v>
      </c>
    </row>
    <row r="174" spans="1:18" hidden="1" x14ac:dyDescent="0.25">
      <c r="A174" s="2" t="s">
        <v>19</v>
      </c>
      <c r="B174" s="3" t="str">
        <f t="shared" si="2"/>
        <v>18/1/3</v>
      </c>
      <c r="C174">
        <v>3</v>
      </c>
      <c r="D174">
        <v>1</v>
      </c>
      <c r="E174">
        <v>18</v>
      </c>
      <c r="F174" t="s">
        <v>89</v>
      </c>
      <c r="G174" t="s">
        <v>31</v>
      </c>
      <c r="H174" t="s">
        <v>26</v>
      </c>
      <c r="I174" t="s">
        <v>27</v>
      </c>
      <c r="J174" s="4">
        <v>6.25</v>
      </c>
      <c r="K174">
        <v>3</v>
      </c>
      <c r="L174">
        <v>6.25</v>
      </c>
      <c r="M174">
        <v>18.75</v>
      </c>
      <c r="N174" s="5">
        <v>0.94315895372233405</v>
      </c>
      <c r="O174" t="s">
        <v>101</v>
      </c>
      <c r="P174" t="s">
        <v>340</v>
      </c>
      <c r="Q174" t="s">
        <v>24</v>
      </c>
    </row>
    <row r="175" spans="1:18" hidden="1" x14ac:dyDescent="0.25">
      <c r="A175" s="2" t="s">
        <v>19</v>
      </c>
      <c r="B175" s="3" t="str">
        <f t="shared" si="2"/>
        <v>18/1/30</v>
      </c>
      <c r="C175">
        <v>30</v>
      </c>
      <c r="D175">
        <v>1</v>
      </c>
      <c r="E175">
        <v>18</v>
      </c>
      <c r="F175" t="s">
        <v>89</v>
      </c>
      <c r="G175" t="s">
        <v>31</v>
      </c>
      <c r="H175" t="s">
        <v>26</v>
      </c>
      <c r="I175" t="s">
        <v>27</v>
      </c>
      <c r="J175" s="4">
        <v>6.25</v>
      </c>
      <c r="K175">
        <v>1</v>
      </c>
      <c r="L175">
        <v>6.25</v>
      </c>
      <c r="M175">
        <v>6.25</v>
      </c>
      <c r="N175" s="5">
        <v>0.3143863179074447</v>
      </c>
      <c r="O175" t="s">
        <v>101</v>
      </c>
      <c r="P175" t="s">
        <v>340</v>
      </c>
      <c r="Q175" t="s">
        <v>24</v>
      </c>
    </row>
    <row r="176" spans="1:18" hidden="1" x14ac:dyDescent="0.25">
      <c r="A176" s="2" t="s">
        <v>19</v>
      </c>
      <c r="B176" s="3" t="str">
        <f t="shared" si="2"/>
        <v>18/1/30</v>
      </c>
      <c r="C176">
        <v>30</v>
      </c>
      <c r="D176">
        <v>1</v>
      </c>
      <c r="E176">
        <v>18</v>
      </c>
      <c r="F176" t="s">
        <v>89</v>
      </c>
      <c r="G176" t="s">
        <v>31</v>
      </c>
      <c r="H176" t="s">
        <v>26</v>
      </c>
      <c r="I176" t="s">
        <v>27</v>
      </c>
      <c r="J176" s="4">
        <v>6.75</v>
      </c>
      <c r="K176">
        <v>1</v>
      </c>
      <c r="L176">
        <v>6.75</v>
      </c>
      <c r="M176">
        <v>6.75</v>
      </c>
      <c r="N176" s="5">
        <v>0.33953722334004027</v>
      </c>
      <c r="O176" t="s">
        <v>101</v>
      </c>
      <c r="P176" t="s">
        <v>340</v>
      </c>
      <c r="Q176" t="s">
        <v>24</v>
      </c>
    </row>
    <row r="177" spans="1:17" hidden="1" x14ac:dyDescent="0.25">
      <c r="A177" s="2" t="s">
        <v>19</v>
      </c>
      <c r="B177" s="3" t="str">
        <f t="shared" si="2"/>
        <v>18/1/30</v>
      </c>
      <c r="C177">
        <v>30</v>
      </c>
      <c r="D177">
        <v>1</v>
      </c>
      <c r="E177">
        <v>18</v>
      </c>
      <c r="F177" t="s">
        <v>89</v>
      </c>
      <c r="G177" t="s">
        <v>31</v>
      </c>
      <c r="H177" t="s">
        <v>26</v>
      </c>
      <c r="I177" t="s">
        <v>27</v>
      </c>
      <c r="J177" s="4">
        <v>6.25</v>
      </c>
      <c r="K177">
        <v>2</v>
      </c>
      <c r="L177">
        <v>6.25</v>
      </c>
      <c r="M177">
        <v>12.5</v>
      </c>
      <c r="N177" s="5">
        <v>0.6287726358148894</v>
      </c>
      <c r="O177" t="s">
        <v>101</v>
      </c>
      <c r="P177" t="s">
        <v>340</v>
      </c>
      <c r="Q177" t="s">
        <v>24</v>
      </c>
    </row>
    <row r="178" spans="1:17" hidden="1" x14ac:dyDescent="0.25">
      <c r="A178" s="2" t="s">
        <v>19</v>
      </c>
      <c r="B178" s="3" t="str">
        <f t="shared" si="2"/>
        <v>18/1/31</v>
      </c>
      <c r="C178">
        <v>31</v>
      </c>
      <c r="D178">
        <v>1</v>
      </c>
      <c r="E178">
        <v>18</v>
      </c>
      <c r="F178" t="s">
        <v>89</v>
      </c>
      <c r="G178" t="s">
        <v>31</v>
      </c>
      <c r="H178" t="s">
        <v>26</v>
      </c>
      <c r="I178" t="s">
        <v>27</v>
      </c>
      <c r="J178" s="4">
        <v>6.25</v>
      </c>
      <c r="K178">
        <v>2</v>
      </c>
      <c r="L178">
        <v>6.25</v>
      </c>
      <c r="M178">
        <v>12.5</v>
      </c>
      <c r="N178" s="5">
        <v>0.6287726358148894</v>
      </c>
      <c r="O178" t="s">
        <v>101</v>
      </c>
      <c r="P178" t="s">
        <v>340</v>
      </c>
      <c r="Q178" t="s">
        <v>24</v>
      </c>
    </row>
    <row r="179" spans="1:17" hidden="1" x14ac:dyDescent="0.25">
      <c r="A179" s="2" t="s">
        <v>19</v>
      </c>
      <c r="B179" s="3" t="str">
        <f t="shared" si="2"/>
        <v>18/1/5</v>
      </c>
      <c r="C179">
        <v>5</v>
      </c>
      <c r="D179">
        <v>1</v>
      </c>
      <c r="E179">
        <v>18</v>
      </c>
      <c r="F179" t="s">
        <v>190</v>
      </c>
      <c r="G179" t="s">
        <v>155</v>
      </c>
      <c r="H179" t="s">
        <v>131</v>
      </c>
      <c r="I179" t="s">
        <v>27</v>
      </c>
      <c r="J179" s="4">
        <v>17</v>
      </c>
      <c r="K179">
        <v>1</v>
      </c>
      <c r="L179">
        <v>17</v>
      </c>
      <c r="M179">
        <v>17</v>
      </c>
      <c r="N179" s="5">
        <v>0.85513078470824955</v>
      </c>
      <c r="O179" t="s">
        <v>39</v>
      </c>
      <c r="Q179" t="s">
        <v>24</v>
      </c>
    </row>
    <row r="180" spans="1:17" hidden="1" x14ac:dyDescent="0.25">
      <c r="A180" s="2" t="s">
        <v>19</v>
      </c>
      <c r="B180" s="3" t="str">
        <f t="shared" si="2"/>
        <v>18/1/5</v>
      </c>
      <c r="C180">
        <v>5</v>
      </c>
      <c r="D180">
        <v>1</v>
      </c>
      <c r="E180">
        <v>18</v>
      </c>
      <c r="F180" t="s">
        <v>191</v>
      </c>
      <c r="G180" t="s">
        <v>155</v>
      </c>
      <c r="H180" t="s">
        <v>131</v>
      </c>
      <c r="I180" t="s">
        <v>27</v>
      </c>
      <c r="J180" s="4">
        <v>25</v>
      </c>
      <c r="K180">
        <v>1</v>
      </c>
      <c r="L180">
        <v>25</v>
      </c>
      <c r="M180">
        <v>25</v>
      </c>
      <c r="N180" s="5">
        <v>1.2575452716297788</v>
      </c>
      <c r="O180" t="s">
        <v>39</v>
      </c>
      <c r="Q180" t="s">
        <v>24</v>
      </c>
    </row>
    <row r="181" spans="1:17" hidden="1" x14ac:dyDescent="0.25">
      <c r="A181" s="2" t="s">
        <v>19</v>
      </c>
      <c r="B181" s="3" t="str">
        <f t="shared" si="2"/>
        <v>18/1/5</v>
      </c>
      <c r="C181">
        <v>5</v>
      </c>
      <c r="D181">
        <v>1</v>
      </c>
      <c r="E181">
        <v>18</v>
      </c>
      <c r="F181" t="s">
        <v>192</v>
      </c>
      <c r="G181" t="s">
        <v>155</v>
      </c>
      <c r="H181" t="s">
        <v>131</v>
      </c>
      <c r="I181" t="s">
        <v>27</v>
      </c>
      <c r="J181" s="4">
        <v>20</v>
      </c>
      <c r="K181">
        <v>1</v>
      </c>
      <c r="L181">
        <v>20</v>
      </c>
      <c r="M181">
        <v>20</v>
      </c>
      <c r="N181" s="5">
        <v>1.0060362173038231</v>
      </c>
      <c r="O181" t="s">
        <v>39</v>
      </c>
      <c r="Q181" t="s">
        <v>24</v>
      </c>
    </row>
    <row r="182" spans="1:17" hidden="1" x14ac:dyDescent="0.25">
      <c r="A182" s="2" t="s">
        <v>19</v>
      </c>
      <c r="B182" s="3" t="str">
        <f t="shared" si="2"/>
        <v>18/1/5</v>
      </c>
      <c r="C182">
        <v>5</v>
      </c>
      <c r="D182">
        <v>1</v>
      </c>
      <c r="E182">
        <v>18</v>
      </c>
      <c r="F182" t="s">
        <v>193</v>
      </c>
      <c r="G182" t="s">
        <v>155</v>
      </c>
      <c r="H182" t="s">
        <v>131</v>
      </c>
      <c r="I182" t="s">
        <v>27</v>
      </c>
      <c r="J182" s="4">
        <v>24</v>
      </c>
      <c r="K182">
        <v>1</v>
      </c>
      <c r="L182">
        <v>24</v>
      </c>
      <c r="M182">
        <v>24</v>
      </c>
      <c r="N182" s="5">
        <v>1.2072434607645877</v>
      </c>
      <c r="O182" t="s">
        <v>39</v>
      </c>
      <c r="Q182" t="s">
        <v>24</v>
      </c>
    </row>
    <row r="183" spans="1:17" hidden="1" x14ac:dyDescent="0.25">
      <c r="A183" s="2" t="s">
        <v>19</v>
      </c>
      <c r="B183" s="3" t="str">
        <f t="shared" si="2"/>
        <v>18/1/5</v>
      </c>
      <c r="C183">
        <v>5</v>
      </c>
      <c r="D183">
        <v>1</v>
      </c>
      <c r="E183">
        <v>18</v>
      </c>
      <c r="F183" t="s">
        <v>194</v>
      </c>
      <c r="G183" t="s">
        <v>155</v>
      </c>
      <c r="H183" t="s">
        <v>131</v>
      </c>
      <c r="I183" t="s">
        <v>27</v>
      </c>
      <c r="J183" s="4">
        <v>15</v>
      </c>
      <c r="K183">
        <v>1</v>
      </c>
      <c r="L183">
        <v>15</v>
      </c>
      <c r="M183">
        <v>15</v>
      </c>
      <c r="N183" s="5">
        <v>0.75452716297786726</v>
      </c>
      <c r="O183" t="s">
        <v>39</v>
      </c>
      <c r="Q183" t="s">
        <v>24</v>
      </c>
    </row>
    <row r="184" spans="1:17" hidden="1" x14ac:dyDescent="0.25">
      <c r="A184" s="2" t="s">
        <v>19</v>
      </c>
      <c r="B184" s="3" t="str">
        <f t="shared" si="2"/>
        <v>18/1/5</v>
      </c>
      <c r="C184">
        <v>5</v>
      </c>
      <c r="D184">
        <v>1</v>
      </c>
      <c r="E184">
        <v>18</v>
      </c>
      <c r="F184" t="s">
        <v>195</v>
      </c>
      <c r="G184" t="s">
        <v>58</v>
      </c>
      <c r="H184" t="s">
        <v>59</v>
      </c>
      <c r="I184" t="s">
        <v>27</v>
      </c>
      <c r="J184" s="4">
        <v>15</v>
      </c>
      <c r="K184">
        <v>1</v>
      </c>
      <c r="L184">
        <v>15</v>
      </c>
      <c r="M184">
        <v>15</v>
      </c>
      <c r="N184" s="5">
        <v>0.75452716297786726</v>
      </c>
      <c r="O184" t="s">
        <v>39</v>
      </c>
      <c r="Q184" t="s">
        <v>24</v>
      </c>
    </row>
    <row r="185" spans="1:17" hidden="1" x14ac:dyDescent="0.25">
      <c r="A185" s="2" t="s">
        <v>19</v>
      </c>
      <c r="B185" s="3" t="str">
        <f t="shared" si="2"/>
        <v>18/1/5</v>
      </c>
      <c r="C185">
        <v>5</v>
      </c>
      <c r="D185">
        <v>1</v>
      </c>
      <c r="E185">
        <v>18</v>
      </c>
      <c r="F185" t="s">
        <v>196</v>
      </c>
      <c r="G185" t="s">
        <v>155</v>
      </c>
      <c r="H185" t="s">
        <v>131</v>
      </c>
      <c r="I185" t="s">
        <v>27</v>
      </c>
      <c r="J185" s="4">
        <v>20</v>
      </c>
      <c r="K185">
        <v>1</v>
      </c>
      <c r="L185">
        <v>20</v>
      </c>
      <c r="M185">
        <v>20</v>
      </c>
      <c r="N185" s="5">
        <v>1.0060362173038231</v>
      </c>
      <c r="O185" t="s">
        <v>39</v>
      </c>
      <c r="Q185" t="s">
        <v>24</v>
      </c>
    </row>
    <row r="186" spans="1:17" hidden="1" x14ac:dyDescent="0.25">
      <c r="A186" s="2" t="s">
        <v>19</v>
      </c>
      <c r="B186" s="3" t="str">
        <f t="shared" si="2"/>
        <v>18/1/6</v>
      </c>
      <c r="C186">
        <v>6</v>
      </c>
      <c r="D186">
        <v>1</v>
      </c>
      <c r="E186">
        <v>18</v>
      </c>
      <c r="F186" t="s">
        <v>89</v>
      </c>
      <c r="G186" t="s">
        <v>31</v>
      </c>
      <c r="H186" t="s">
        <v>26</v>
      </c>
      <c r="I186" t="s">
        <v>27</v>
      </c>
      <c r="J186" s="4">
        <v>6.25</v>
      </c>
      <c r="K186">
        <v>3</v>
      </c>
      <c r="L186">
        <v>6.25</v>
      </c>
      <c r="M186">
        <v>18.75</v>
      </c>
      <c r="N186" s="5">
        <v>0.94315895372233405</v>
      </c>
      <c r="O186" t="s">
        <v>101</v>
      </c>
      <c r="P186" t="s">
        <v>340</v>
      </c>
      <c r="Q186" t="s">
        <v>24</v>
      </c>
    </row>
    <row r="187" spans="1:17" hidden="1" x14ac:dyDescent="0.25">
      <c r="A187" s="2" t="s">
        <v>19</v>
      </c>
      <c r="B187" s="3" t="str">
        <f t="shared" si="2"/>
        <v>18/1/7</v>
      </c>
      <c r="C187">
        <v>7</v>
      </c>
      <c r="D187">
        <v>1</v>
      </c>
      <c r="E187">
        <v>18</v>
      </c>
      <c r="F187" t="s">
        <v>52</v>
      </c>
      <c r="H187" t="s">
        <v>53</v>
      </c>
      <c r="I187" t="s">
        <v>27</v>
      </c>
      <c r="J187" s="4">
        <v>33.9</v>
      </c>
      <c r="K187">
        <v>2</v>
      </c>
      <c r="L187">
        <v>33.9</v>
      </c>
      <c r="M187">
        <v>67.8</v>
      </c>
      <c r="N187" s="5">
        <v>3.4104627766599598</v>
      </c>
      <c r="O187" t="s">
        <v>46</v>
      </c>
      <c r="P187" t="s">
        <v>340</v>
      </c>
      <c r="Q187" t="s">
        <v>24</v>
      </c>
    </row>
    <row r="188" spans="1:17" hidden="1" x14ac:dyDescent="0.25">
      <c r="A188" s="2" t="s">
        <v>19</v>
      </c>
      <c r="B188" s="3" t="str">
        <f t="shared" si="2"/>
        <v>18/1/8</v>
      </c>
      <c r="C188">
        <v>8</v>
      </c>
      <c r="D188">
        <v>1</v>
      </c>
      <c r="E188">
        <v>18</v>
      </c>
      <c r="F188" t="s">
        <v>89</v>
      </c>
      <c r="G188" t="s">
        <v>31</v>
      </c>
      <c r="H188" t="s">
        <v>26</v>
      </c>
      <c r="I188" t="s">
        <v>27</v>
      </c>
      <c r="J188" s="4">
        <v>6.25</v>
      </c>
      <c r="K188">
        <v>2</v>
      </c>
      <c r="L188">
        <v>6.25</v>
      </c>
      <c r="M188">
        <v>12.5</v>
      </c>
      <c r="N188" s="5">
        <v>0.6287726358148894</v>
      </c>
      <c r="O188" t="s">
        <v>101</v>
      </c>
      <c r="P188" t="s">
        <v>340</v>
      </c>
      <c r="Q188" t="s">
        <v>24</v>
      </c>
    </row>
    <row r="189" spans="1:17" hidden="1" x14ac:dyDescent="0.25">
      <c r="A189" s="2" t="s">
        <v>19</v>
      </c>
      <c r="B189" s="3" t="str">
        <f t="shared" si="2"/>
        <v>18/1/8</v>
      </c>
      <c r="C189">
        <v>8</v>
      </c>
      <c r="D189">
        <v>1</v>
      </c>
      <c r="E189">
        <v>18</v>
      </c>
      <c r="F189" t="s">
        <v>197</v>
      </c>
      <c r="H189" t="s">
        <v>198</v>
      </c>
      <c r="I189" t="s">
        <v>105</v>
      </c>
      <c r="J189" s="4">
        <v>150</v>
      </c>
      <c r="K189">
        <v>2</v>
      </c>
      <c r="L189">
        <v>150</v>
      </c>
      <c r="M189">
        <v>300</v>
      </c>
      <c r="N189" s="5">
        <v>15.090543259557345</v>
      </c>
      <c r="O189" t="s">
        <v>39</v>
      </c>
      <c r="Q189" t="s">
        <v>24</v>
      </c>
    </row>
    <row r="190" spans="1:17" hidden="1" x14ac:dyDescent="0.25">
      <c r="A190" s="2" t="s">
        <v>19</v>
      </c>
      <c r="B190" s="3" t="str">
        <f t="shared" si="2"/>
        <v>18/1/8</v>
      </c>
      <c r="C190">
        <v>8</v>
      </c>
      <c r="D190">
        <v>1</v>
      </c>
      <c r="E190">
        <v>18</v>
      </c>
      <c r="F190" t="s">
        <v>199</v>
      </c>
      <c r="H190" t="s">
        <v>198</v>
      </c>
      <c r="I190" t="s">
        <v>105</v>
      </c>
      <c r="J190" s="4">
        <v>100</v>
      </c>
      <c r="K190">
        <v>2</v>
      </c>
      <c r="L190">
        <v>100</v>
      </c>
      <c r="M190">
        <v>200</v>
      </c>
      <c r="N190" s="5">
        <v>10.06036217303823</v>
      </c>
      <c r="O190" t="s">
        <v>39</v>
      </c>
      <c r="Q190" t="s">
        <v>24</v>
      </c>
    </row>
    <row r="191" spans="1:17" hidden="1" x14ac:dyDescent="0.25">
      <c r="A191" s="2" t="s">
        <v>19</v>
      </c>
      <c r="B191" s="3" t="str">
        <f t="shared" si="2"/>
        <v>18/1/8</v>
      </c>
      <c r="C191">
        <v>8</v>
      </c>
      <c r="D191">
        <v>1</v>
      </c>
      <c r="E191">
        <v>18</v>
      </c>
      <c r="F191" s="7" t="s">
        <v>200</v>
      </c>
      <c r="G191" t="s">
        <v>77</v>
      </c>
      <c r="H191" t="s">
        <v>26</v>
      </c>
      <c r="I191" t="s">
        <v>27</v>
      </c>
      <c r="J191" s="4">
        <f>Spending_raw[[#This Row],[Price, lei]]</f>
        <v>16.399999999999999</v>
      </c>
      <c r="K191">
        <v>1</v>
      </c>
      <c r="L191">
        <v>16.399999999999999</v>
      </c>
      <c r="M191">
        <v>16.399999999999999</v>
      </c>
      <c r="N191" s="5">
        <v>0.82494969818913477</v>
      </c>
      <c r="O191" t="s">
        <v>101</v>
      </c>
      <c r="P191" t="s">
        <v>340</v>
      </c>
      <c r="Q191" t="s">
        <v>24</v>
      </c>
    </row>
    <row r="192" spans="1:17" hidden="1" x14ac:dyDescent="0.25">
      <c r="A192" s="2" t="s">
        <v>19</v>
      </c>
      <c r="B192" s="3" t="str">
        <f t="shared" si="2"/>
        <v>18/1/8</v>
      </c>
      <c r="C192">
        <v>8</v>
      </c>
      <c r="D192">
        <v>1</v>
      </c>
      <c r="E192">
        <v>18</v>
      </c>
      <c r="F192" s="7" t="s">
        <v>166</v>
      </c>
      <c r="G192" t="s">
        <v>77</v>
      </c>
      <c r="H192" t="s">
        <v>26</v>
      </c>
      <c r="I192" t="s">
        <v>27</v>
      </c>
      <c r="J192" s="4">
        <f>Spending_raw[[#This Row],[Price, lei]]</f>
        <v>19</v>
      </c>
      <c r="K192">
        <v>1</v>
      </c>
      <c r="L192">
        <v>19</v>
      </c>
      <c r="M192">
        <v>19</v>
      </c>
      <c r="N192" s="5">
        <v>0.95573440643863183</v>
      </c>
      <c r="O192" t="s">
        <v>101</v>
      </c>
      <c r="P192" t="s">
        <v>340</v>
      </c>
      <c r="Q192" t="s">
        <v>24</v>
      </c>
    </row>
    <row r="193" spans="1:18" hidden="1" x14ac:dyDescent="0.25">
      <c r="A193" s="2" t="s">
        <v>19</v>
      </c>
      <c r="B193" s="3" t="str">
        <f t="shared" si="2"/>
        <v>18/1/8</v>
      </c>
      <c r="C193">
        <v>8</v>
      </c>
      <c r="D193">
        <v>1</v>
      </c>
      <c r="E193">
        <v>18</v>
      </c>
      <c r="F193" t="s">
        <v>184</v>
      </c>
      <c r="H193" t="s">
        <v>184</v>
      </c>
      <c r="I193" t="s">
        <v>79</v>
      </c>
      <c r="J193" s="4">
        <v>130</v>
      </c>
      <c r="K193">
        <v>1</v>
      </c>
      <c r="L193">
        <v>130</v>
      </c>
      <c r="M193">
        <v>130</v>
      </c>
      <c r="N193" s="5">
        <v>6.5392354124748495</v>
      </c>
      <c r="O193" t="s">
        <v>39</v>
      </c>
      <c r="Q193" t="s">
        <v>24</v>
      </c>
    </row>
    <row r="194" spans="1:18" hidden="1" x14ac:dyDescent="0.25">
      <c r="A194" s="2" t="s">
        <v>19</v>
      </c>
      <c r="B194" s="3" t="str">
        <f t="shared" ref="B194:B246" si="3">CONCATENATE(E194,"/",D194,"/",C194)</f>
        <v>18/1/8</v>
      </c>
      <c r="C194">
        <v>8</v>
      </c>
      <c r="D194">
        <v>1</v>
      </c>
      <c r="E194">
        <v>18</v>
      </c>
      <c r="F194" t="s">
        <v>756</v>
      </c>
      <c r="H194" t="s">
        <v>198</v>
      </c>
      <c r="I194" t="s">
        <v>105</v>
      </c>
      <c r="J194" s="4">
        <v>50</v>
      </c>
      <c r="K194">
        <v>3</v>
      </c>
      <c r="L194">
        <v>50</v>
      </c>
      <c r="M194">
        <v>150</v>
      </c>
      <c r="N194" s="5">
        <v>7.5452716297786724</v>
      </c>
      <c r="O194" t="s">
        <v>39</v>
      </c>
      <c r="Q194" t="s">
        <v>24</v>
      </c>
    </row>
    <row r="195" spans="1:18" hidden="1" x14ac:dyDescent="0.25">
      <c r="A195" s="2" t="s">
        <v>19</v>
      </c>
      <c r="B195" s="3" t="str">
        <f t="shared" si="3"/>
        <v>18/1/9</v>
      </c>
      <c r="C195">
        <v>9</v>
      </c>
      <c r="D195">
        <v>1</v>
      </c>
      <c r="E195">
        <v>18</v>
      </c>
      <c r="F195" t="s">
        <v>89</v>
      </c>
      <c r="G195" t="s">
        <v>31</v>
      </c>
      <c r="H195" t="s">
        <v>26</v>
      </c>
      <c r="I195" t="s">
        <v>27</v>
      </c>
      <c r="J195" s="4">
        <v>6.25</v>
      </c>
      <c r="K195">
        <v>2</v>
      </c>
      <c r="L195">
        <v>6.25</v>
      </c>
      <c r="M195">
        <v>12.5</v>
      </c>
      <c r="N195" s="5">
        <v>0.6287726358148894</v>
      </c>
      <c r="O195" t="s">
        <v>101</v>
      </c>
      <c r="P195" t="s">
        <v>340</v>
      </c>
      <c r="Q195" t="s">
        <v>24</v>
      </c>
    </row>
    <row r="196" spans="1:18" hidden="1" x14ac:dyDescent="0.25">
      <c r="A196" s="2" t="s">
        <v>655</v>
      </c>
      <c r="B196" s="3" t="str">
        <f t="shared" si="3"/>
        <v>18/10/1</v>
      </c>
      <c r="C196" s="10">
        <v>1</v>
      </c>
      <c r="D196" s="10">
        <v>10</v>
      </c>
      <c r="E196" s="10">
        <v>18</v>
      </c>
      <c r="F196" t="s">
        <v>71</v>
      </c>
      <c r="I196" t="s">
        <v>72</v>
      </c>
      <c r="J196" s="4">
        <v>200</v>
      </c>
      <c r="K196">
        <v>1</v>
      </c>
      <c r="L196">
        <v>200</v>
      </c>
      <c r="M196">
        <v>200</v>
      </c>
      <c r="N196" s="5">
        <v>10.06036217303823</v>
      </c>
      <c r="O196" t="s">
        <v>670</v>
      </c>
      <c r="P196" t="s">
        <v>340</v>
      </c>
      <c r="Q196" t="s">
        <v>24</v>
      </c>
    </row>
    <row r="197" spans="1:18" hidden="1" x14ac:dyDescent="0.25">
      <c r="A197" s="2" t="s">
        <v>655</v>
      </c>
      <c r="B197" s="3" t="str">
        <f t="shared" si="3"/>
        <v>18/10/1</v>
      </c>
      <c r="C197" s="10">
        <v>1</v>
      </c>
      <c r="D197" s="10">
        <v>10</v>
      </c>
      <c r="E197" s="10">
        <v>18</v>
      </c>
      <c r="F197" t="s">
        <v>246</v>
      </c>
      <c r="I197" t="s">
        <v>72</v>
      </c>
      <c r="J197" s="4">
        <v>200</v>
      </c>
      <c r="K197">
        <v>1</v>
      </c>
      <c r="L197">
        <v>200</v>
      </c>
      <c r="M197">
        <v>200</v>
      </c>
      <c r="N197" s="5">
        <v>10.06036217303823</v>
      </c>
      <c r="O197" t="s">
        <v>670</v>
      </c>
      <c r="P197" t="s">
        <v>340</v>
      </c>
      <c r="Q197" t="s">
        <v>24</v>
      </c>
    </row>
    <row r="198" spans="1:18" hidden="1" x14ac:dyDescent="0.25">
      <c r="A198" s="2" t="s">
        <v>655</v>
      </c>
      <c r="B198" s="3" t="str">
        <f t="shared" si="3"/>
        <v>18/10/1</v>
      </c>
      <c r="C198" s="10">
        <v>1</v>
      </c>
      <c r="D198" s="10">
        <v>10</v>
      </c>
      <c r="E198" s="10">
        <v>18</v>
      </c>
      <c r="F198" t="s">
        <v>246</v>
      </c>
      <c r="I198" t="s">
        <v>72</v>
      </c>
      <c r="J198" s="4">
        <v>300</v>
      </c>
      <c r="K198">
        <v>1</v>
      </c>
      <c r="L198">
        <v>300</v>
      </c>
      <c r="M198">
        <v>300</v>
      </c>
      <c r="N198" s="5">
        <v>15.090543259557345</v>
      </c>
      <c r="O198" t="s">
        <v>670</v>
      </c>
      <c r="P198" t="s">
        <v>340</v>
      </c>
      <c r="Q198" t="s">
        <v>24</v>
      </c>
    </row>
    <row r="199" spans="1:18" hidden="1" x14ac:dyDescent="0.25">
      <c r="A199" s="2" t="s">
        <v>655</v>
      </c>
      <c r="B199" s="3" t="str">
        <f t="shared" si="3"/>
        <v>18/10/10</v>
      </c>
      <c r="C199" s="10">
        <v>10</v>
      </c>
      <c r="D199" s="10">
        <v>10</v>
      </c>
      <c r="E199" s="10">
        <v>18</v>
      </c>
      <c r="F199" t="s">
        <v>89</v>
      </c>
      <c r="G199" t="s">
        <v>31</v>
      </c>
      <c r="H199" t="s">
        <v>26</v>
      </c>
      <c r="I199" t="s">
        <v>27</v>
      </c>
      <c r="J199" s="4">
        <v>13.3</v>
      </c>
      <c r="K199">
        <v>1</v>
      </c>
      <c r="L199">
        <v>13.3</v>
      </c>
      <c r="M199">
        <v>13.3</v>
      </c>
      <c r="N199" s="5">
        <v>0.66901408450704236</v>
      </c>
      <c r="O199" t="s">
        <v>32</v>
      </c>
      <c r="P199" t="s">
        <v>340</v>
      </c>
      <c r="Q199" t="s">
        <v>24</v>
      </c>
    </row>
    <row r="200" spans="1:18" hidden="1" x14ac:dyDescent="0.25">
      <c r="A200" s="2" t="s">
        <v>655</v>
      </c>
      <c r="B200" s="3" t="str">
        <f t="shared" si="3"/>
        <v>18/10/11</v>
      </c>
      <c r="C200" s="10">
        <v>11</v>
      </c>
      <c r="D200" s="10">
        <v>10</v>
      </c>
      <c r="E200" s="10">
        <v>18</v>
      </c>
      <c r="F200" t="s">
        <v>1568</v>
      </c>
      <c r="I200" t="s">
        <v>96</v>
      </c>
      <c r="J200" s="4">
        <v>16.809999999999999</v>
      </c>
      <c r="K200">
        <v>1</v>
      </c>
      <c r="L200">
        <v>287.95529999999997</v>
      </c>
      <c r="M200">
        <v>287.95529999999997</v>
      </c>
      <c r="N200" s="5">
        <v>14.484673038229376</v>
      </c>
      <c r="O200" t="s">
        <v>39</v>
      </c>
      <c r="Q200" t="s">
        <v>24</v>
      </c>
      <c r="R200" t="s">
        <v>1569</v>
      </c>
    </row>
    <row r="201" spans="1:18" hidden="1" x14ac:dyDescent="0.25">
      <c r="A201" s="2" t="s">
        <v>655</v>
      </c>
      <c r="B201" s="3" t="str">
        <f t="shared" si="3"/>
        <v>18/10/11</v>
      </c>
      <c r="C201" s="10">
        <v>11</v>
      </c>
      <c r="D201" s="10">
        <v>10</v>
      </c>
      <c r="E201" s="10">
        <v>18</v>
      </c>
      <c r="F201" t="s">
        <v>671</v>
      </c>
      <c r="H201" t="s">
        <v>63</v>
      </c>
      <c r="I201" t="s">
        <v>50</v>
      </c>
      <c r="J201" s="4">
        <v>17</v>
      </c>
      <c r="K201">
        <v>1</v>
      </c>
      <c r="L201">
        <v>291.20999999999998</v>
      </c>
      <c r="M201" s="8">
        <v>291.20999999999998</v>
      </c>
      <c r="N201" s="5">
        <v>14.648390342052313</v>
      </c>
      <c r="O201" t="s">
        <v>39</v>
      </c>
      <c r="P201" t="s">
        <v>651</v>
      </c>
      <c r="Q201" t="s">
        <v>24</v>
      </c>
    </row>
    <row r="202" spans="1:18" hidden="1" x14ac:dyDescent="0.25">
      <c r="A202" s="2" t="s">
        <v>655</v>
      </c>
      <c r="B202" s="3" t="str">
        <f t="shared" si="3"/>
        <v>18/10/11</v>
      </c>
      <c r="C202" s="10">
        <v>11</v>
      </c>
      <c r="D202" s="10">
        <v>10</v>
      </c>
      <c r="E202" s="10">
        <v>18</v>
      </c>
      <c r="F202" t="s">
        <v>104</v>
      </c>
      <c r="I202" t="s">
        <v>72</v>
      </c>
      <c r="J202" s="4">
        <v>21.55</v>
      </c>
      <c r="K202">
        <v>1</v>
      </c>
      <c r="L202">
        <v>21.55</v>
      </c>
      <c r="M202">
        <v>21.55</v>
      </c>
      <c r="N202" s="5">
        <v>1.0840040241448694</v>
      </c>
      <c r="O202" t="s">
        <v>673</v>
      </c>
      <c r="P202" t="s">
        <v>340</v>
      </c>
      <c r="Q202" t="s">
        <v>24</v>
      </c>
      <c r="R202" t="s">
        <v>672</v>
      </c>
    </row>
    <row r="203" spans="1:18" hidden="1" x14ac:dyDescent="0.25">
      <c r="A203" s="2" t="s">
        <v>655</v>
      </c>
      <c r="B203" s="3" t="str">
        <f t="shared" si="3"/>
        <v>18/10/12</v>
      </c>
      <c r="C203" s="10">
        <v>12</v>
      </c>
      <c r="D203" s="10">
        <v>10</v>
      </c>
      <c r="E203" s="10">
        <v>18</v>
      </c>
      <c r="F203" t="s">
        <v>674</v>
      </c>
      <c r="I203" t="s">
        <v>72</v>
      </c>
      <c r="J203" s="4">
        <v>1.06</v>
      </c>
      <c r="K203">
        <v>4</v>
      </c>
      <c r="L203">
        <v>1.06</v>
      </c>
      <c r="M203">
        <v>4.24</v>
      </c>
      <c r="N203" s="5">
        <v>0.21327967806841047</v>
      </c>
      <c r="O203" t="s">
        <v>39</v>
      </c>
      <c r="Q203" t="s">
        <v>24</v>
      </c>
    </row>
    <row r="204" spans="1:18" hidden="1" x14ac:dyDescent="0.25">
      <c r="A204" s="2" t="s">
        <v>655</v>
      </c>
      <c r="B204" s="3" t="str">
        <f t="shared" si="3"/>
        <v>18/10/12</v>
      </c>
      <c r="C204" s="10">
        <v>12</v>
      </c>
      <c r="D204" s="10">
        <v>10</v>
      </c>
      <c r="E204" s="10">
        <v>18</v>
      </c>
      <c r="F204" t="s">
        <v>638</v>
      </c>
      <c r="I204" t="s">
        <v>72</v>
      </c>
      <c r="J204" s="4">
        <v>21.25</v>
      </c>
      <c r="K204">
        <v>2</v>
      </c>
      <c r="L204">
        <v>21.25</v>
      </c>
      <c r="M204">
        <v>42.5</v>
      </c>
      <c r="N204" s="5">
        <v>2.137826961770624</v>
      </c>
      <c r="O204" t="s">
        <v>233</v>
      </c>
      <c r="P204" t="s">
        <v>340</v>
      </c>
      <c r="Q204" t="s">
        <v>24</v>
      </c>
      <c r="R204" t="s">
        <v>638</v>
      </c>
    </row>
    <row r="205" spans="1:18" hidden="1" x14ac:dyDescent="0.25">
      <c r="A205" s="2" t="s">
        <v>655</v>
      </c>
      <c r="B205" s="3" t="str">
        <f t="shared" si="3"/>
        <v>18/10/12</v>
      </c>
      <c r="C205" s="10">
        <v>12</v>
      </c>
      <c r="D205" s="10">
        <v>10</v>
      </c>
      <c r="E205" s="10">
        <v>18</v>
      </c>
      <c r="F205" t="s">
        <v>71</v>
      </c>
      <c r="I205" t="s">
        <v>72</v>
      </c>
      <c r="J205" s="4">
        <v>250</v>
      </c>
      <c r="K205">
        <v>1</v>
      </c>
      <c r="L205">
        <v>250</v>
      </c>
      <c r="M205">
        <v>250</v>
      </c>
      <c r="N205" s="5">
        <v>12.575452716297788</v>
      </c>
      <c r="O205" t="s">
        <v>675</v>
      </c>
      <c r="P205" t="s">
        <v>340</v>
      </c>
      <c r="Q205" t="s">
        <v>24</v>
      </c>
    </row>
    <row r="206" spans="1:18" hidden="1" x14ac:dyDescent="0.25">
      <c r="A206" s="2" t="s">
        <v>655</v>
      </c>
      <c r="B206" s="3" t="str">
        <f t="shared" si="3"/>
        <v>18/10/12</v>
      </c>
      <c r="C206" s="10">
        <v>12</v>
      </c>
      <c r="D206" s="10">
        <v>10</v>
      </c>
      <c r="E206" s="10">
        <v>18</v>
      </c>
      <c r="F206" t="s">
        <v>53</v>
      </c>
      <c r="H206" t="s">
        <v>53</v>
      </c>
      <c r="I206" t="s">
        <v>27</v>
      </c>
      <c r="J206" s="4">
        <v>10.8</v>
      </c>
      <c r="K206">
        <v>1</v>
      </c>
      <c r="L206">
        <v>10.8</v>
      </c>
      <c r="M206">
        <v>10.8</v>
      </c>
      <c r="N206" s="5">
        <v>0.5432595573440645</v>
      </c>
      <c r="O206" t="s">
        <v>90</v>
      </c>
      <c r="P206" t="s">
        <v>340</v>
      </c>
      <c r="Q206" t="s">
        <v>24</v>
      </c>
    </row>
    <row r="207" spans="1:18" hidden="1" x14ac:dyDescent="0.25">
      <c r="A207" s="2" t="s">
        <v>655</v>
      </c>
      <c r="B207" s="3" t="str">
        <f t="shared" si="3"/>
        <v>18/10/12</v>
      </c>
      <c r="C207" s="10">
        <v>12</v>
      </c>
      <c r="D207" s="10">
        <v>10</v>
      </c>
      <c r="E207" s="10">
        <v>18</v>
      </c>
      <c r="F207" t="s">
        <v>89</v>
      </c>
      <c r="G207" t="s">
        <v>31</v>
      </c>
      <c r="H207" t="s">
        <v>26</v>
      </c>
      <c r="I207" t="s">
        <v>27</v>
      </c>
      <c r="J207" s="4">
        <v>6.9</v>
      </c>
      <c r="K207">
        <v>1</v>
      </c>
      <c r="L207">
        <v>6.9</v>
      </c>
      <c r="M207">
        <v>6.9</v>
      </c>
      <c r="N207" s="5">
        <v>0.34708249496981897</v>
      </c>
      <c r="O207" t="s">
        <v>90</v>
      </c>
      <c r="P207" t="s">
        <v>340</v>
      </c>
      <c r="Q207" t="s">
        <v>24</v>
      </c>
    </row>
    <row r="208" spans="1:18" hidden="1" x14ac:dyDescent="0.25">
      <c r="A208" s="2" t="s">
        <v>655</v>
      </c>
      <c r="B208" s="3" t="str">
        <f t="shared" si="3"/>
        <v>18/10/12</v>
      </c>
      <c r="C208" s="10">
        <v>12</v>
      </c>
      <c r="D208" s="10">
        <v>10</v>
      </c>
      <c r="E208" s="10">
        <v>18</v>
      </c>
      <c r="F208" t="s">
        <v>676</v>
      </c>
      <c r="G208" t="s">
        <v>39</v>
      </c>
      <c r="H208" t="s">
        <v>131</v>
      </c>
      <c r="I208" t="s">
        <v>27</v>
      </c>
      <c r="J208" s="4">
        <v>4.7</v>
      </c>
      <c r="K208">
        <v>1</v>
      </c>
      <c r="L208">
        <v>4.7</v>
      </c>
      <c r="M208">
        <v>4.7</v>
      </c>
      <c r="N208" s="5">
        <v>0.23641851106639841</v>
      </c>
      <c r="O208" t="s">
        <v>90</v>
      </c>
      <c r="P208" t="s">
        <v>340</v>
      </c>
      <c r="Q208" t="s">
        <v>24</v>
      </c>
    </row>
    <row r="209" spans="1:18" hidden="1" x14ac:dyDescent="0.25">
      <c r="A209" s="2" t="s">
        <v>655</v>
      </c>
      <c r="B209" s="3" t="str">
        <f t="shared" si="3"/>
        <v>18/10/12</v>
      </c>
      <c r="C209" s="10">
        <v>12</v>
      </c>
      <c r="D209" s="10">
        <v>10</v>
      </c>
      <c r="E209" s="10">
        <v>18</v>
      </c>
      <c r="F209" t="s">
        <v>55</v>
      </c>
      <c r="H209" t="s">
        <v>56</v>
      </c>
      <c r="I209" t="s">
        <v>27</v>
      </c>
      <c r="J209" s="4">
        <v>19.2</v>
      </c>
      <c r="K209">
        <v>0.95399999999999996</v>
      </c>
      <c r="L209">
        <v>19.2</v>
      </c>
      <c r="M209">
        <v>18.316799999999997</v>
      </c>
      <c r="N209" s="5">
        <v>0.92136820925553309</v>
      </c>
      <c r="O209" t="s">
        <v>90</v>
      </c>
      <c r="P209" t="s">
        <v>340</v>
      </c>
      <c r="Q209" t="s">
        <v>24</v>
      </c>
    </row>
    <row r="210" spans="1:18" hidden="1" x14ac:dyDescent="0.25">
      <c r="A210" s="2" t="s">
        <v>655</v>
      </c>
      <c r="B210" s="3" t="str">
        <f t="shared" si="3"/>
        <v>18/10/13</v>
      </c>
      <c r="C210" s="10">
        <v>13</v>
      </c>
      <c r="D210" s="10">
        <v>10</v>
      </c>
      <c r="E210" s="10">
        <v>18</v>
      </c>
      <c r="F210" t="s">
        <v>1499</v>
      </c>
      <c r="H210" t="s">
        <v>49</v>
      </c>
      <c r="I210" t="s">
        <v>50</v>
      </c>
      <c r="J210" s="4">
        <v>45.9</v>
      </c>
      <c r="K210">
        <v>1</v>
      </c>
      <c r="L210">
        <v>45.9</v>
      </c>
      <c r="M210">
        <v>45.9</v>
      </c>
      <c r="N210" s="5">
        <v>2.3088531187122738</v>
      </c>
      <c r="O210" t="s">
        <v>187</v>
      </c>
      <c r="P210" t="s">
        <v>340</v>
      </c>
      <c r="Q210" t="s">
        <v>24</v>
      </c>
    </row>
    <row r="211" spans="1:18" hidden="1" x14ac:dyDescent="0.25">
      <c r="A211" s="2" t="s">
        <v>655</v>
      </c>
      <c r="B211" s="3" t="str">
        <f t="shared" si="3"/>
        <v>18/10/13</v>
      </c>
      <c r="C211" s="10">
        <v>13</v>
      </c>
      <c r="D211" s="10">
        <v>10</v>
      </c>
      <c r="E211" s="10">
        <v>18</v>
      </c>
      <c r="F211" t="s">
        <v>39</v>
      </c>
      <c r="G211" t="s">
        <v>304</v>
      </c>
      <c r="H211" t="s">
        <v>49</v>
      </c>
      <c r="I211" t="s">
        <v>79</v>
      </c>
      <c r="J211" s="4">
        <v>56.6</v>
      </c>
      <c r="K211">
        <v>1</v>
      </c>
      <c r="L211">
        <v>56.6</v>
      </c>
      <c r="M211" s="8">
        <v>56.6</v>
      </c>
      <c r="N211" s="5">
        <v>2.8470824949698192</v>
      </c>
      <c r="O211" t="s">
        <v>187</v>
      </c>
      <c r="P211" t="s">
        <v>340</v>
      </c>
      <c r="Q211" t="s">
        <v>24</v>
      </c>
      <c r="R211" t="s">
        <v>677</v>
      </c>
    </row>
    <row r="212" spans="1:18" hidden="1" x14ac:dyDescent="0.25">
      <c r="A212" s="2" t="s">
        <v>655</v>
      </c>
      <c r="B212" s="3" t="str">
        <f t="shared" si="3"/>
        <v>18/10/13</v>
      </c>
      <c r="C212" s="10">
        <v>13</v>
      </c>
      <c r="D212" s="10">
        <v>10</v>
      </c>
      <c r="E212" s="10">
        <v>18</v>
      </c>
      <c r="F212" t="s">
        <v>162</v>
      </c>
      <c r="H212" t="s">
        <v>49</v>
      </c>
      <c r="I212" t="s">
        <v>50</v>
      </c>
      <c r="J212" s="4">
        <v>63.35</v>
      </c>
      <c r="K212">
        <v>1</v>
      </c>
      <c r="L212">
        <v>63.35</v>
      </c>
      <c r="M212" s="8">
        <v>63.35</v>
      </c>
      <c r="N212" s="5">
        <v>3.1866197183098595</v>
      </c>
      <c r="O212" t="s">
        <v>233</v>
      </c>
      <c r="P212" t="s">
        <v>340</v>
      </c>
      <c r="Q212" t="s">
        <v>24</v>
      </c>
    </row>
    <row r="213" spans="1:18" hidden="1" x14ac:dyDescent="0.25">
      <c r="A213" s="2" t="s">
        <v>655</v>
      </c>
      <c r="B213" s="3" t="str">
        <f t="shared" si="3"/>
        <v>18/10/13</v>
      </c>
      <c r="C213" s="10">
        <v>13</v>
      </c>
      <c r="D213" s="10">
        <v>10</v>
      </c>
      <c r="E213" s="10">
        <v>18</v>
      </c>
      <c r="F213" t="s">
        <v>53</v>
      </c>
      <c r="H213" t="s">
        <v>53</v>
      </c>
      <c r="I213" t="s">
        <v>27</v>
      </c>
      <c r="J213" s="4">
        <v>10.8</v>
      </c>
      <c r="K213">
        <v>1</v>
      </c>
      <c r="L213">
        <v>10.8</v>
      </c>
      <c r="M213">
        <v>10.8</v>
      </c>
      <c r="N213" s="5">
        <v>0.5432595573440645</v>
      </c>
      <c r="O213" t="s">
        <v>90</v>
      </c>
      <c r="P213" t="s">
        <v>340</v>
      </c>
      <c r="Q213" t="s">
        <v>24</v>
      </c>
    </row>
    <row r="214" spans="1:18" hidden="1" x14ac:dyDescent="0.25">
      <c r="A214" s="2" t="s">
        <v>655</v>
      </c>
      <c r="B214" s="3" t="str">
        <f t="shared" si="3"/>
        <v>18/10/13</v>
      </c>
      <c r="C214" s="10">
        <v>13</v>
      </c>
      <c r="D214" s="10">
        <v>10</v>
      </c>
      <c r="E214" s="10">
        <v>18</v>
      </c>
      <c r="F214" t="s">
        <v>678</v>
      </c>
      <c r="H214" t="s">
        <v>62</v>
      </c>
      <c r="I214" t="s">
        <v>27</v>
      </c>
      <c r="J214" s="4">
        <v>26.3</v>
      </c>
      <c r="K214">
        <v>1</v>
      </c>
      <c r="L214">
        <v>26.3</v>
      </c>
      <c r="M214">
        <v>26.3</v>
      </c>
      <c r="N214" s="5">
        <v>1.3229376257545273</v>
      </c>
      <c r="O214" t="s">
        <v>90</v>
      </c>
      <c r="P214" t="s">
        <v>340</v>
      </c>
      <c r="Q214" t="s">
        <v>24</v>
      </c>
    </row>
    <row r="215" spans="1:18" hidden="1" x14ac:dyDescent="0.25">
      <c r="A215" s="2" t="s">
        <v>655</v>
      </c>
      <c r="B215" s="3" t="str">
        <f t="shared" si="3"/>
        <v>18/10/13</v>
      </c>
      <c r="C215" s="10">
        <v>13</v>
      </c>
      <c r="D215" s="10">
        <v>10</v>
      </c>
      <c r="E215" s="10">
        <v>18</v>
      </c>
      <c r="F215" t="s">
        <v>89</v>
      </c>
      <c r="G215" t="s">
        <v>31</v>
      </c>
      <c r="H215" t="s">
        <v>26</v>
      </c>
      <c r="I215" t="s">
        <v>27</v>
      </c>
      <c r="J215" s="4">
        <v>6.9</v>
      </c>
      <c r="K215">
        <v>1</v>
      </c>
      <c r="L215">
        <v>6.9</v>
      </c>
      <c r="M215">
        <v>6.9</v>
      </c>
      <c r="N215" s="5">
        <v>0.34708249496981897</v>
      </c>
      <c r="O215" t="s">
        <v>90</v>
      </c>
      <c r="P215" t="s">
        <v>340</v>
      </c>
      <c r="Q215" t="s">
        <v>24</v>
      </c>
    </row>
    <row r="216" spans="1:18" hidden="1" x14ac:dyDescent="0.25">
      <c r="A216" s="2" t="s">
        <v>655</v>
      </c>
      <c r="B216" s="3" t="str">
        <f t="shared" si="3"/>
        <v>18/10/13</v>
      </c>
      <c r="C216" s="10">
        <v>13</v>
      </c>
      <c r="D216" s="10">
        <v>10</v>
      </c>
      <c r="E216" s="10">
        <v>18</v>
      </c>
      <c r="F216" t="s">
        <v>1666</v>
      </c>
      <c r="I216" t="s">
        <v>72</v>
      </c>
      <c r="J216" s="4">
        <v>33.11</v>
      </c>
      <c r="K216">
        <v>1</v>
      </c>
      <c r="L216">
        <v>33.11</v>
      </c>
      <c r="M216">
        <v>33.11</v>
      </c>
      <c r="N216" s="5">
        <v>1.665492957746479</v>
      </c>
      <c r="O216" t="s">
        <v>233</v>
      </c>
      <c r="P216" t="s">
        <v>340</v>
      </c>
      <c r="Q216" t="s">
        <v>24</v>
      </c>
      <c r="R216" t="s">
        <v>242</v>
      </c>
    </row>
    <row r="217" spans="1:18" hidden="1" x14ac:dyDescent="0.25">
      <c r="A217" s="2" t="s">
        <v>655</v>
      </c>
      <c r="B217" s="3" t="str">
        <f t="shared" si="3"/>
        <v>18/10/13</v>
      </c>
      <c r="C217" s="10">
        <v>13</v>
      </c>
      <c r="D217" s="10">
        <v>10</v>
      </c>
      <c r="E217" s="10">
        <v>18</v>
      </c>
      <c r="F217" t="s">
        <v>104</v>
      </c>
      <c r="I217" t="s">
        <v>72</v>
      </c>
      <c r="J217" s="4">
        <v>47.24</v>
      </c>
      <c r="K217">
        <v>2</v>
      </c>
      <c r="L217">
        <v>47.24</v>
      </c>
      <c r="M217">
        <v>94.48</v>
      </c>
      <c r="N217" s="5">
        <v>4.7525150905432598</v>
      </c>
      <c r="O217" t="s">
        <v>233</v>
      </c>
      <c r="P217" t="s">
        <v>340</v>
      </c>
      <c r="Q217" t="s">
        <v>24</v>
      </c>
      <c r="R217" t="s">
        <v>679</v>
      </c>
    </row>
    <row r="218" spans="1:18" hidden="1" x14ac:dyDescent="0.25">
      <c r="A218" s="2" t="s">
        <v>655</v>
      </c>
      <c r="B218" s="3" t="str">
        <f t="shared" si="3"/>
        <v>18/10/13</v>
      </c>
      <c r="C218" s="10">
        <v>13</v>
      </c>
      <c r="D218" s="10">
        <v>10</v>
      </c>
      <c r="E218" s="10">
        <v>18</v>
      </c>
      <c r="F218" t="s">
        <v>104</v>
      </c>
      <c r="I218" t="s">
        <v>72</v>
      </c>
      <c r="J218" s="4">
        <v>82.75</v>
      </c>
      <c r="K218">
        <v>1</v>
      </c>
      <c r="L218">
        <v>82.75</v>
      </c>
      <c r="M218">
        <v>82.75</v>
      </c>
      <c r="N218" s="5">
        <v>4.1624748490945676</v>
      </c>
      <c r="O218" t="s">
        <v>233</v>
      </c>
      <c r="P218" t="s">
        <v>340</v>
      </c>
      <c r="Q218" t="s">
        <v>24</v>
      </c>
      <c r="R218" t="s">
        <v>680</v>
      </c>
    </row>
    <row r="219" spans="1:18" hidden="1" x14ac:dyDescent="0.25">
      <c r="A219" s="2" t="s">
        <v>655</v>
      </c>
      <c r="B219" s="3" t="str">
        <f t="shared" si="3"/>
        <v>18/10/13</v>
      </c>
      <c r="C219" s="10">
        <v>13</v>
      </c>
      <c r="D219" s="10">
        <v>10</v>
      </c>
      <c r="E219" s="10">
        <v>18</v>
      </c>
      <c r="F219" t="s">
        <v>146</v>
      </c>
      <c r="H219" t="s">
        <v>49</v>
      </c>
      <c r="I219" t="s">
        <v>50</v>
      </c>
      <c r="J219" s="4">
        <v>0.14000000000000001</v>
      </c>
      <c r="K219">
        <v>1</v>
      </c>
      <c r="L219">
        <v>0.14000000000000001</v>
      </c>
      <c r="M219" s="8">
        <v>0.14000000000000001</v>
      </c>
      <c r="N219" s="5">
        <v>7.0422535211267616E-3</v>
      </c>
      <c r="O219" t="s">
        <v>233</v>
      </c>
      <c r="P219" t="s">
        <v>340</v>
      </c>
      <c r="Q219" t="s">
        <v>24</v>
      </c>
    </row>
    <row r="220" spans="1:18" hidden="1" x14ac:dyDescent="0.25">
      <c r="A220" s="2" t="s">
        <v>655</v>
      </c>
      <c r="B220" s="3" t="str">
        <f t="shared" si="3"/>
        <v>18/10/13</v>
      </c>
      <c r="C220" s="10">
        <v>13</v>
      </c>
      <c r="D220" s="10">
        <v>10</v>
      </c>
      <c r="E220" s="10">
        <v>18</v>
      </c>
      <c r="F220" t="s">
        <v>102</v>
      </c>
      <c r="H220" t="s">
        <v>102</v>
      </c>
      <c r="I220" t="s">
        <v>27</v>
      </c>
      <c r="J220" s="4">
        <v>38.950000000000003</v>
      </c>
      <c r="K220">
        <v>1</v>
      </c>
      <c r="L220">
        <v>38.950000000000003</v>
      </c>
      <c r="M220">
        <v>38.950000000000003</v>
      </c>
      <c r="N220" s="5">
        <v>1.9592555331991954</v>
      </c>
      <c r="O220" t="s">
        <v>233</v>
      </c>
      <c r="P220" t="s">
        <v>340</v>
      </c>
      <c r="Q220" t="s">
        <v>24</v>
      </c>
      <c r="R220" t="s">
        <v>681</v>
      </c>
    </row>
    <row r="221" spans="1:18" hidden="1" x14ac:dyDescent="0.25">
      <c r="A221" s="2" t="s">
        <v>655</v>
      </c>
      <c r="B221" s="3" t="str">
        <f t="shared" si="3"/>
        <v>18/10/13</v>
      </c>
      <c r="C221" s="10">
        <v>13</v>
      </c>
      <c r="D221" s="10">
        <v>10</v>
      </c>
      <c r="E221" s="10">
        <v>18</v>
      </c>
      <c r="F221" t="s">
        <v>104</v>
      </c>
      <c r="I221" t="s">
        <v>72</v>
      </c>
      <c r="J221" s="4">
        <v>108.82</v>
      </c>
      <c r="K221">
        <v>1</v>
      </c>
      <c r="L221">
        <v>108.82</v>
      </c>
      <c r="M221">
        <v>108.82</v>
      </c>
      <c r="N221" s="5">
        <v>5.4738430583501003</v>
      </c>
      <c r="O221" t="s">
        <v>233</v>
      </c>
      <c r="P221" t="s">
        <v>340</v>
      </c>
      <c r="Q221" t="s">
        <v>24</v>
      </c>
      <c r="R221" t="s">
        <v>682</v>
      </c>
    </row>
    <row r="222" spans="1:18" hidden="1" x14ac:dyDescent="0.25">
      <c r="A222" s="2" t="s">
        <v>655</v>
      </c>
      <c r="B222" s="3" t="str">
        <f t="shared" si="3"/>
        <v>18/10/13</v>
      </c>
      <c r="C222" s="10">
        <v>13</v>
      </c>
      <c r="D222" s="10">
        <v>10</v>
      </c>
      <c r="E222" s="10">
        <v>18</v>
      </c>
      <c r="F222" t="s">
        <v>328</v>
      </c>
      <c r="G222" t="s">
        <v>328</v>
      </c>
      <c r="H222" t="s">
        <v>49</v>
      </c>
      <c r="I222" t="s">
        <v>50</v>
      </c>
      <c r="J222" s="4">
        <v>7.12</v>
      </c>
      <c r="K222">
        <v>1</v>
      </c>
      <c r="L222">
        <v>7.12</v>
      </c>
      <c r="M222" s="8">
        <v>7.12</v>
      </c>
      <c r="N222" s="5">
        <v>0.35814889336016098</v>
      </c>
      <c r="O222" t="s">
        <v>233</v>
      </c>
      <c r="P222" t="s">
        <v>340</v>
      </c>
      <c r="Q222" t="s">
        <v>24</v>
      </c>
    </row>
    <row r="223" spans="1:18" hidden="1" x14ac:dyDescent="0.25">
      <c r="A223" s="2" t="s">
        <v>655</v>
      </c>
      <c r="B223" s="3" t="str">
        <f t="shared" si="3"/>
        <v>18/10/13</v>
      </c>
      <c r="C223" s="10">
        <v>13</v>
      </c>
      <c r="D223" s="10">
        <v>10</v>
      </c>
      <c r="E223" s="10">
        <v>18</v>
      </c>
      <c r="F223" t="s">
        <v>104</v>
      </c>
      <c r="I223" t="s">
        <v>72</v>
      </c>
      <c r="J223" s="4">
        <v>112.52</v>
      </c>
      <c r="K223">
        <v>1</v>
      </c>
      <c r="L223">
        <v>112.52</v>
      </c>
      <c r="M223">
        <v>112.52</v>
      </c>
      <c r="N223" s="5">
        <v>5.6599597585513077</v>
      </c>
      <c r="O223" t="s">
        <v>233</v>
      </c>
      <c r="P223" t="s">
        <v>340</v>
      </c>
      <c r="Q223" t="s">
        <v>24</v>
      </c>
      <c r="R223" t="s">
        <v>683</v>
      </c>
    </row>
    <row r="224" spans="1:18" hidden="1" x14ac:dyDescent="0.25">
      <c r="A224" s="2" t="s">
        <v>655</v>
      </c>
      <c r="B224" s="3" t="str">
        <f t="shared" si="3"/>
        <v>18/10/13</v>
      </c>
      <c r="C224" s="10">
        <v>13</v>
      </c>
      <c r="D224" s="10">
        <v>10</v>
      </c>
      <c r="E224" s="10">
        <v>18</v>
      </c>
      <c r="F224" t="s">
        <v>674</v>
      </c>
      <c r="I224" t="s">
        <v>72</v>
      </c>
      <c r="J224" s="4">
        <v>0.53</v>
      </c>
      <c r="K224">
        <v>4</v>
      </c>
      <c r="L224">
        <v>0.53</v>
      </c>
      <c r="M224">
        <v>2.12</v>
      </c>
      <c r="N224" s="5">
        <v>0.10663983903420524</v>
      </c>
      <c r="O224" t="s">
        <v>233</v>
      </c>
      <c r="P224" t="s">
        <v>340</v>
      </c>
      <c r="Q224" t="s">
        <v>24</v>
      </c>
    </row>
    <row r="225" spans="1:18" hidden="1" x14ac:dyDescent="0.25">
      <c r="A225" s="2" t="s">
        <v>655</v>
      </c>
      <c r="B225" s="3" t="str">
        <f t="shared" si="3"/>
        <v>18/10/14</v>
      </c>
      <c r="C225" s="10">
        <v>14</v>
      </c>
      <c r="D225" s="10">
        <v>10</v>
      </c>
      <c r="E225" s="10">
        <v>18</v>
      </c>
      <c r="F225" t="s">
        <v>1666</v>
      </c>
      <c r="I225" t="s">
        <v>72</v>
      </c>
      <c r="J225" s="4">
        <v>57.24</v>
      </c>
      <c r="K225">
        <v>1</v>
      </c>
      <c r="L225">
        <v>57.24</v>
      </c>
      <c r="M225">
        <v>57.24</v>
      </c>
      <c r="N225" s="5">
        <v>2.8792756539235413</v>
      </c>
      <c r="O225" t="s">
        <v>233</v>
      </c>
      <c r="P225" t="s">
        <v>340</v>
      </c>
      <c r="Q225" t="s">
        <v>24</v>
      </c>
      <c r="R225" t="s">
        <v>684</v>
      </c>
    </row>
    <row r="226" spans="1:18" hidden="1" x14ac:dyDescent="0.25">
      <c r="A226" s="2" t="s">
        <v>655</v>
      </c>
      <c r="B226" s="3" t="str">
        <f t="shared" si="3"/>
        <v>18/10/14</v>
      </c>
      <c r="C226" s="10">
        <v>14</v>
      </c>
      <c r="D226" s="10">
        <v>10</v>
      </c>
      <c r="E226" s="10">
        <v>18</v>
      </c>
      <c r="F226" t="s">
        <v>104</v>
      </c>
      <c r="I226" t="s">
        <v>72</v>
      </c>
      <c r="J226" s="4">
        <v>21.29</v>
      </c>
      <c r="K226">
        <v>1</v>
      </c>
      <c r="L226">
        <v>21.29</v>
      </c>
      <c r="M226">
        <v>21.29</v>
      </c>
      <c r="N226" s="5">
        <v>1.0709255533199196</v>
      </c>
      <c r="O226" t="s">
        <v>233</v>
      </c>
      <c r="P226" t="s">
        <v>340</v>
      </c>
      <c r="Q226" t="s">
        <v>24</v>
      </c>
      <c r="R226" t="s">
        <v>638</v>
      </c>
    </row>
    <row r="227" spans="1:18" hidden="1" x14ac:dyDescent="0.25">
      <c r="A227" s="2" t="s">
        <v>655</v>
      </c>
      <c r="B227" s="3" t="str">
        <f t="shared" si="3"/>
        <v>18/10/14</v>
      </c>
      <c r="C227" s="10">
        <v>14</v>
      </c>
      <c r="D227" s="10">
        <v>10</v>
      </c>
      <c r="E227" s="10">
        <v>18</v>
      </c>
      <c r="F227" t="s">
        <v>146</v>
      </c>
      <c r="H227" t="s">
        <v>49</v>
      </c>
      <c r="I227" t="s">
        <v>50</v>
      </c>
      <c r="J227" s="4">
        <v>0.4</v>
      </c>
      <c r="K227">
        <v>1</v>
      </c>
      <c r="L227">
        <v>0.4</v>
      </c>
      <c r="M227" s="8">
        <v>0.4</v>
      </c>
      <c r="N227" s="5">
        <v>2.0120724346076462E-2</v>
      </c>
      <c r="O227" t="s">
        <v>90</v>
      </c>
      <c r="P227" t="s">
        <v>340</v>
      </c>
      <c r="Q227" t="s">
        <v>24</v>
      </c>
    </row>
    <row r="228" spans="1:18" hidden="1" x14ac:dyDescent="0.25">
      <c r="A228" s="2" t="s">
        <v>655</v>
      </c>
      <c r="B228" s="3" t="str">
        <f t="shared" si="3"/>
        <v>18/10/14</v>
      </c>
      <c r="C228" s="10">
        <v>14</v>
      </c>
      <c r="D228" s="10">
        <v>10</v>
      </c>
      <c r="E228" s="10">
        <v>18</v>
      </c>
      <c r="F228" t="s">
        <v>53</v>
      </c>
      <c r="H228" t="s">
        <v>53</v>
      </c>
      <c r="I228" t="s">
        <v>27</v>
      </c>
      <c r="J228" s="4">
        <v>10.8</v>
      </c>
      <c r="K228">
        <v>1</v>
      </c>
      <c r="L228">
        <v>10.8</v>
      </c>
      <c r="M228">
        <v>10.8</v>
      </c>
      <c r="N228" s="5">
        <v>0.5432595573440645</v>
      </c>
      <c r="O228" t="s">
        <v>90</v>
      </c>
      <c r="P228" t="s">
        <v>340</v>
      </c>
      <c r="Q228" t="s">
        <v>24</v>
      </c>
    </row>
    <row r="229" spans="1:18" hidden="1" x14ac:dyDescent="0.25">
      <c r="A229" s="2" t="s">
        <v>655</v>
      </c>
      <c r="B229" s="3" t="str">
        <f t="shared" si="3"/>
        <v>18/10/14</v>
      </c>
      <c r="C229" s="10">
        <v>14</v>
      </c>
      <c r="D229" s="10">
        <v>10</v>
      </c>
      <c r="E229" s="10">
        <v>18</v>
      </c>
      <c r="F229" t="s">
        <v>676</v>
      </c>
      <c r="G229" t="s">
        <v>39</v>
      </c>
      <c r="H229" t="s">
        <v>131</v>
      </c>
      <c r="I229" t="s">
        <v>27</v>
      </c>
      <c r="J229" s="4">
        <v>4.7</v>
      </c>
      <c r="K229">
        <v>3</v>
      </c>
      <c r="L229">
        <v>4.7</v>
      </c>
      <c r="M229">
        <v>14.100000000000001</v>
      </c>
      <c r="N229" s="5">
        <v>0.70925553319919532</v>
      </c>
      <c r="O229" t="s">
        <v>90</v>
      </c>
      <c r="P229" t="s">
        <v>340</v>
      </c>
      <c r="Q229" t="s">
        <v>24</v>
      </c>
    </row>
    <row r="230" spans="1:18" hidden="1" x14ac:dyDescent="0.25">
      <c r="A230" s="2" t="s">
        <v>655</v>
      </c>
      <c r="B230" s="3" t="str">
        <f t="shared" si="3"/>
        <v>18/10/14</v>
      </c>
      <c r="C230" s="10">
        <v>14</v>
      </c>
      <c r="D230" s="10">
        <v>10</v>
      </c>
      <c r="E230" s="10">
        <v>18</v>
      </c>
      <c r="F230" t="s">
        <v>55</v>
      </c>
      <c r="H230" t="s">
        <v>56</v>
      </c>
      <c r="I230" t="s">
        <v>27</v>
      </c>
      <c r="J230" s="4">
        <v>18.8</v>
      </c>
      <c r="K230">
        <v>1.1639999999999999</v>
      </c>
      <c r="L230">
        <v>18.8</v>
      </c>
      <c r="M230">
        <v>21.883199999999999</v>
      </c>
      <c r="N230" s="5">
        <v>1.1007645875251508</v>
      </c>
      <c r="O230" t="s">
        <v>90</v>
      </c>
      <c r="P230" t="s">
        <v>340</v>
      </c>
      <c r="Q230" t="s">
        <v>24</v>
      </c>
    </row>
    <row r="231" spans="1:18" hidden="1" x14ac:dyDescent="0.25">
      <c r="A231" s="2" t="s">
        <v>655</v>
      </c>
      <c r="B231" s="3" t="str">
        <f t="shared" si="3"/>
        <v>18/10/14</v>
      </c>
      <c r="C231" s="10">
        <v>14</v>
      </c>
      <c r="D231" s="10">
        <v>10</v>
      </c>
      <c r="E231" s="10">
        <v>18</v>
      </c>
      <c r="F231" t="s">
        <v>78</v>
      </c>
      <c r="G231" t="s">
        <v>489</v>
      </c>
      <c r="H231" s="12" t="s">
        <v>78</v>
      </c>
      <c r="I231" t="s">
        <v>79</v>
      </c>
      <c r="J231" s="4">
        <v>18.95</v>
      </c>
      <c r="K231">
        <v>53.84</v>
      </c>
      <c r="L231">
        <v>18.95</v>
      </c>
      <c r="M231" s="8">
        <v>1020.268</v>
      </c>
      <c r="N231" s="5">
        <v>51.321327967806845</v>
      </c>
      <c r="O231" t="s">
        <v>103</v>
      </c>
      <c r="P231" t="s">
        <v>340</v>
      </c>
      <c r="Q231" t="s">
        <v>24</v>
      </c>
    </row>
    <row r="232" spans="1:18" hidden="1" x14ac:dyDescent="0.25">
      <c r="A232" s="2" t="s">
        <v>655</v>
      </c>
      <c r="B232" s="3" t="str">
        <f t="shared" si="3"/>
        <v>18/10/15</v>
      </c>
      <c r="C232" s="10">
        <v>15</v>
      </c>
      <c r="D232" s="10">
        <v>10</v>
      </c>
      <c r="E232" s="10">
        <v>18</v>
      </c>
      <c r="F232" t="s">
        <v>685</v>
      </c>
      <c r="I232" t="s">
        <v>39</v>
      </c>
      <c r="J232" s="4">
        <v>430</v>
      </c>
      <c r="K232">
        <v>1</v>
      </c>
      <c r="L232">
        <v>430</v>
      </c>
      <c r="M232">
        <v>430</v>
      </c>
      <c r="N232" s="5">
        <v>21.629778672032195</v>
      </c>
      <c r="O232" t="s">
        <v>39</v>
      </c>
      <c r="Q232" t="s">
        <v>24</v>
      </c>
    </row>
    <row r="233" spans="1:18" hidden="1" x14ac:dyDescent="0.25">
      <c r="A233" s="2" t="s">
        <v>655</v>
      </c>
      <c r="B233" s="3" t="str">
        <f t="shared" si="3"/>
        <v>18/10/15</v>
      </c>
      <c r="C233" s="10">
        <v>15</v>
      </c>
      <c r="D233" s="10">
        <v>10</v>
      </c>
      <c r="E233" s="10">
        <v>18</v>
      </c>
      <c r="F233" t="s">
        <v>77</v>
      </c>
      <c r="G233" t="s">
        <v>77</v>
      </c>
      <c r="H233" t="s">
        <v>26</v>
      </c>
      <c r="I233" t="s">
        <v>27</v>
      </c>
      <c r="J233" s="4">
        <v>12.6</v>
      </c>
      <c r="K233">
        <v>1</v>
      </c>
      <c r="L233">
        <v>12.6</v>
      </c>
      <c r="M233">
        <v>12.6</v>
      </c>
      <c r="N233" s="5">
        <v>0.63380281690140849</v>
      </c>
      <c r="O233" t="s">
        <v>90</v>
      </c>
      <c r="P233" t="s">
        <v>340</v>
      </c>
      <c r="Q233" t="s">
        <v>24</v>
      </c>
    </row>
    <row r="234" spans="1:18" hidden="1" x14ac:dyDescent="0.25">
      <c r="A234" s="2" t="s">
        <v>655</v>
      </c>
      <c r="B234" s="3" t="str">
        <f t="shared" si="3"/>
        <v>18/10/15</v>
      </c>
      <c r="C234" s="10">
        <v>15</v>
      </c>
      <c r="D234" s="10">
        <v>10</v>
      </c>
      <c r="E234" s="10">
        <v>18</v>
      </c>
      <c r="F234" t="s">
        <v>53</v>
      </c>
      <c r="H234" t="s">
        <v>53</v>
      </c>
      <c r="I234" t="s">
        <v>27</v>
      </c>
      <c r="J234" s="4">
        <v>10.8</v>
      </c>
      <c r="K234">
        <v>1</v>
      </c>
      <c r="L234">
        <v>10.8</v>
      </c>
      <c r="M234">
        <v>10.8</v>
      </c>
      <c r="N234" s="5">
        <v>0.5432595573440645</v>
      </c>
      <c r="O234" t="s">
        <v>90</v>
      </c>
      <c r="P234" t="s">
        <v>340</v>
      </c>
      <c r="Q234" t="s">
        <v>24</v>
      </c>
    </row>
    <row r="235" spans="1:18" hidden="1" x14ac:dyDescent="0.25">
      <c r="A235" s="2" t="s">
        <v>655</v>
      </c>
      <c r="B235" s="3" t="str">
        <f t="shared" si="3"/>
        <v>18/10/15</v>
      </c>
      <c r="C235" s="10">
        <v>15</v>
      </c>
      <c r="D235" s="10">
        <v>10</v>
      </c>
      <c r="E235" s="10">
        <v>18</v>
      </c>
      <c r="F235" t="s">
        <v>146</v>
      </c>
      <c r="H235" t="s">
        <v>49</v>
      </c>
      <c r="I235" t="s">
        <v>50</v>
      </c>
      <c r="J235" s="4">
        <v>0.4</v>
      </c>
      <c r="K235">
        <v>1</v>
      </c>
      <c r="L235">
        <v>0.4</v>
      </c>
      <c r="M235" s="8">
        <v>0.4</v>
      </c>
      <c r="N235" s="5">
        <v>2.0120724346076462E-2</v>
      </c>
      <c r="O235" t="s">
        <v>90</v>
      </c>
      <c r="P235" t="s">
        <v>340</v>
      </c>
      <c r="Q235" t="s">
        <v>24</v>
      </c>
    </row>
    <row r="236" spans="1:18" hidden="1" x14ac:dyDescent="0.25">
      <c r="A236" s="2" t="s">
        <v>655</v>
      </c>
      <c r="B236" s="3" t="str">
        <f t="shared" si="3"/>
        <v>18/10/15</v>
      </c>
      <c r="C236" s="10">
        <v>15</v>
      </c>
      <c r="D236" s="10">
        <v>10</v>
      </c>
      <c r="E236" s="10">
        <v>18</v>
      </c>
      <c r="F236" t="s">
        <v>686</v>
      </c>
      <c r="G236" t="s">
        <v>39</v>
      </c>
      <c r="H236" t="s">
        <v>26</v>
      </c>
      <c r="I236" t="s">
        <v>27</v>
      </c>
      <c r="J236" s="4">
        <v>4.7</v>
      </c>
      <c r="K236">
        <v>3</v>
      </c>
      <c r="L236">
        <v>4.7</v>
      </c>
      <c r="M236">
        <v>14.100000000000001</v>
      </c>
      <c r="N236" s="5">
        <v>0.70925553319919532</v>
      </c>
      <c r="O236" t="s">
        <v>90</v>
      </c>
      <c r="P236" t="s">
        <v>340</v>
      </c>
      <c r="Q236" t="s">
        <v>24</v>
      </c>
    </row>
    <row r="237" spans="1:18" hidden="1" x14ac:dyDescent="0.25">
      <c r="A237" s="2" t="s">
        <v>655</v>
      </c>
      <c r="B237" s="3" t="str">
        <f t="shared" si="3"/>
        <v>18/10/15</v>
      </c>
      <c r="C237" s="10">
        <v>15</v>
      </c>
      <c r="D237" s="10">
        <v>10</v>
      </c>
      <c r="E237" s="10">
        <v>18</v>
      </c>
      <c r="F237" t="s">
        <v>141</v>
      </c>
      <c r="H237" t="s">
        <v>172</v>
      </c>
      <c r="I237" t="s">
        <v>39</v>
      </c>
      <c r="J237" s="4">
        <v>2</v>
      </c>
      <c r="K237">
        <v>6</v>
      </c>
      <c r="L237">
        <v>2</v>
      </c>
      <c r="M237" s="8">
        <v>12</v>
      </c>
      <c r="N237" s="5">
        <v>0.60362173038229383</v>
      </c>
      <c r="O237" t="s">
        <v>436</v>
      </c>
      <c r="P237" t="s">
        <v>340</v>
      </c>
      <c r="Q237" t="s">
        <v>24</v>
      </c>
    </row>
    <row r="238" spans="1:18" hidden="1" x14ac:dyDescent="0.25">
      <c r="A238" s="2" t="s">
        <v>655</v>
      </c>
      <c r="B238" s="3" t="str">
        <f t="shared" si="3"/>
        <v>18/10/16</v>
      </c>
      <c r="C238" s="10">
        <v>16</v>
      </c>
      <c r="D238" s="10">
        <v>10</v>
      </c>
      <c r="E238" s="10">
        <v>18</v>
      </c>
      <c r="F238" t="s">
        <v>89</v>
      </c>
      <c r="G238" t="s">
        <v>31</v>
      </c>
      <c r="H238" t="s">
        <v>26</v>
      </c>
      <c r="I238" t="s">
        <v>27</v>
      </c>
      <c r="J238" s="4">
        <v>6.9</v>
      </c>
      <c r="K238">
        <v>3</v>
      </c>
      <c r="L238">
        <v>6.9</v>
      </c>
      <c r="M238">
        <v>20.700000000000003</v>
      </c>
      <c r="N238" s="5">
        <v>1.0412474849094568</v>
      </c>
      <c r="O238" t="s">
        <v>90</v>
      </c>
      <c r="P238" t="s">
        <v>340</v>
      </c>
      <c r="Q238" t="s">
        <v>24</v>
      </c>
    </row>
    <row r="239" spans="1:18" hidden="1" x14ac:dyDescent="0.25">
      <c r="A239" s="2" t="s">
        <v>655</v>
      </c>
      <c r="B239" s="3" t="str">
        <f t="shared" si="3"/>
        <v>18/10/16</v>
      </c>
      <c r="C239" s="10">
        <v>16</v>
      </c>
      <c r="D239" s="10">
        <v>10</v>
      </c>
      <c r="E239" s="10">
        <v>18</v>
      </c>
      <c r="F239" t="s">
        <v>188</v>
      </c>
      <c r="G239" t="s">
        <v>77</v>
      </c>
      <c r="H239" t="s">
        <v>26</v>
      </c>
      <c r="I239" t="s">
        <v>27</v>
      </c>
      <c r="J239" s="4">
        <v>22.7</v>
      </c>
      <c r="K239">
        <v>1</v>
      </c>
      <c r="L239">
        <v>22.7</v>
      </c>
      <c r="M239">
        <v>22.7</v>
      </c>
      <c r="N239" s="5">
        <v>1.1418511066398391</v>
      </c>
      <c r="O239" t="s">
        <v>90</v>
      </c>
      <c r="P239" t="s">
        <v>340</v>
      </c>
      <c r="Q239" t="s">
        <v>24</v>
      </c>
    </row>
    <row r="240" spans="1:18" hidden="1" x14ac:dyDescent="0.25">
      <c r="A240" s="2" t="s">
        <v>655</v>
      </c>
      <c r="B240" s="3" t="str">
        <f t="shared" si="3"/>
        <v>18/10/16</v>
      </c>
      <c r="C240" s="10">
        <v>16</v>
      </c>
      <c r="D240" s="10">
        <v>10</v>
      </c>
      <c r="E240" s="10">
        <v>18</v>
      </c>
      <c r="F240" t="s">
        <v>146</v>
      </c>
      <c r="H240" t="s">
        <v>49</v>
      </c>
      <c r="I240" t="s">
        <v>50</v>
      </c>
      <c r="J240" s="4">
        <v>0.3</v>
      </c>
      <c r="K240">
        <v>1</v>
      </c>
      <c r="L240">
        <v>0.3</v>
      </c>
      <c r="M240" s="8">
        <v>0.3</v>
      </c>
      <c r="N240" s="5">
        <v>1.5090543259557344E-2</v>
      </c>
      <c r="O240" t="s">
        <v>90</v>
      </c>
      <c r="P240" t="s">
        <v>340</v>
      </c>
      <c r="Q240" t="s">
        <v>24</v>
      </c>
    </row>
    <row r="241" spans="1:18" hidden="1" x14ac:dyDescent="0.25">
      <c r="A241" s="2" t="s">
        <v>655</v>
      </c>
      <c r="B241" s="3" t="str">
        <f t="shared" si="3"/>
        <v>18/10/16</v>
      </c>
      <c r="C241" s="10">
        <v>16</v>
      </c>
      <c r="D241" s="10">
        <v>10</v>
      </c>
      <c r="E241" s="10">
        <v>18</v>
      </c>
      <c r="F241" t="s">
        <v>676</v>
      </c>
      <c r="G241" t="s">
        <v>39</v>
      </c>
      <c r="H241" t="s">
        <v>131</v>
      </c>
      <c r="I241" t="s">
        <v>27</v>
      </c>
      <c r="J241" s="4">
        <v>4.7</v>
      </c>
      <c r="K241">
        <v>4</v>
      </c>
      <c r="L241">
        <v>4.7</v>
      </c>
      <c r="M241">
        <v>18.8</v>
      </c>
      <c r="N241" s="5">
        <v>0.94567404426559365</v>
      </c>
      <c r="O241" t="s">
        <v>90</v>
      </c>
      <c r="P241" t="s">
        <v>340</v>
      </c>
      <c r="Q241" t="s">
        <v>24</v>
      </c>
    </row>
    <row r="242" spans="1:18" hidden="1" x14ac:dyDescent="0.25">
      <c r="A242" s="2" t="s">
        <v>655</v>
      </c>
      <c r="B242" s="3" t="str">
        <f t="shared" si="3"/>
        <v>18/10/16</v>
      </c>
      <c r="C242" s="10">
        <v>16</v>
      </c>
      <c r="D242" s="10">
        <v>10</v>
      </c>
      <c r="E242" s="10">
        <v>18</v>
      </c>
      <c r="F242" t="s">
        <v>351</v>
      </c>
      <c r="H242" t="s">
        <v>40</v>
      </c>
      <c r="I242" t="s">
        <v>27</v>
      </c>
      <c r="J242" s="4">
        <v>8</v>
      </c>
      <c r="K242">
        <v>1</v>
      </c>
      <c r="L242">
        <v>8</v>
      </c>
      <c r="M242">
        <v>8</v>
      </c>
      <c r="N242" s="5">
        <v>0.4024144869215292</v>
      </c>
      <c r="O242" t="s">
        <v>90</v>
      </c>
      <c r="P242" t="s">
        <v>340</v>
      </c>
      <c r="Q242" t="s">
        <v>24</v>
      </c>
    </row>
    <row r="243" spans="1:18" hidden="1" x14ac:dyDescent="0.25">
      <c r="A243" s="2" t="s">
        <v>655</v>
      </c>
      <c r="B243" s="3" t="str">
        <f t="shared" si="3"/>
        <v>18/10/17</v>
      </c>
      <c r="C243" s="10">
        <v>17</v>
      </c>
      <c r="D243" s="10">
        <v>10</v>
      </c>
      <c r="E243" s="10">
        <v>18</v>
      </c>
      <c r="F243" t="s">
        <v>555</v>
      </c>
      <c r="H243" t="s">
        <v>54</v>
      </c>
      <c r="I243" t="s">
        <v>27</v>
      </c>
      <c r="J243" s="4">
        <v>28</v>
      </c>
      <c r="K243">
        <v>1</v>
      </c>
      <c r="L243">
        <v>28</v>
      </c>
      <c r="M243">
        <v>28</v>
      </c>
      <c r="N243" s="5">
        <v>1.4084507042253522</v>
      </c>
      <c r="O243" t="s">
        <v>593</v>
      </c>
      <c r="P243" t="s">
        <v>340</v>
      </c>
      <c r="Q243" t="s">
        <v>24</v>
      </c>
    </row>
    <row r="244" spans="1:18" hidden="1" x14ac:dyDescent="0.25">
      <c r="A244" s="2" t="s">
        <v>655</v>
      </c>
      <c r="B244" s="3" t="str">
        <f t="shared" si="3"/>
        <v>18/10/17</v>
      </c>
      <c r="C244" s="10">
        <v>17</v>
      </c>
      <c r="D244" s="10">
        <v>10</v>
      </c>
      <c r="E244" s="10">
        <v>18</v>
      </c>
      <c r="F244" t="s">
        <v>77</v>
      </c>
      <c r="G244" t="s">
        <v>77</v>
      </c>
      <c r="H244" t="s">
        <v>26</v>
      </c>
      <c r="I244" t="s">
        <v>27</v>
      </c>
      <c r="J244" s="4">
        <v>34.6</v>
      </c>
      <c r="K244">
        <v>1</v>
      </c>
      <c r="L244">
        <v>34.6</v>
      </c>
      <c r="M244">
        <v>34.6</v>
      </c>
      <c r="N244" s="5">
        <v>1.7404426559356139</v>
      </c>
      <c r="O244" t="s">
        <v>454</v>
      </c>
      <c r="P244" t="s">
        <v>340</v>
      </c>
      <c r="Q244" t="s">
        <v>24</v>
      </c>
    </row>
    <row r="245" spans="1:18" hidden="1" x14ac:dyDescent="0.25">
      <c r="A245" s="2" t="s">
        <v>655</v>
      </c>
      <c r="B245" s="3" t="str">
        <f t="shared" si="3"/>
        <v>18/10/17</v>
      </c>
      <c r="C245" s="10">
        <v>17</v>
      </c>
      <c r="D245" s="10">
        <v>10</v>
      </c>
      <c r="E245" s="10">
        <v>18</v>
      </c>
      <c r="F245" t="s">
        <v>687</v>
      </c>
      <c r="H245" t="s">
        <v>63</v>
      </c>
      <c r="I245" t="s">
        <v>50</v>
      </c>
      <c r="J245" s="4">
        <v>900</v>
      </c>
      <c r="K245">
        <v>1</v>
      </c>
      <c r="L245">
        <v>900</v>
      </c>
      <c r="M245">
        <v>900</v>
      </c>
      <c r="N245" s="5">
        <v>45.271629778672036</v>
      </c>
      <c r="O245" t="s">
        <v>688</v>
      </c>
      <c r="P245" t="s">
        <v>340</v>
      </c>
      <c r="Q245" t="s">
        <v>84</v>
      </c>
    </row>
    <row r="246" spans="1:18" hidden="1" x14ac:dyDescent="0.25">
      <c r="A246" s="2" t="s">
        <v>655</v>
      </c>
      <c r="B246" s="3" t="str">
        <f t="shared" si="3"/>
        <v>18/10/17</v>
      </c>
      <c r="C246" s="10">
        <v>17</v>
      </c>
      <c r="D246" s="10">
        <v>10</v>
      </c>
      <c r="E246" s="10">
        <v>18</v>
      </c>
      <c r="F246" t="s">
        <v>108</v>
      </c>
      <c r="H246" t="s">
        <v>54</v>
      </c>
      <c r="I246" t="s">
        <v>27</v>
      </c>
      <c r="J246" s="4">
        <v>22</v>
      </c>
      <c r="K246">
        <v>1</v>
      </c>
      <c r="L246">
        <v>22</v>
      </c>
      <c r="M246">
        <v>22</v>
      </c>
      <c r="N246" s="5">
        <v>1.1066398390342054</v>
      </c>
      <c r="O246" t="s">
        <v>39</v>
      </c>
      <c r="P246" t="s">
        <v>340</v>
      </c>
      <c r="Q246" t="s">
        <v>24</v>
      </c>
    </row>
    <row r="247" spans="1:18" hidden="1" x14ac:dyDescent="0.25">
      <c r="A247" s="9" t="s">
        <v>655</v>
      </c>
      <c r="B247" s="3" t="s">
        <v>1418</v>
      </c>
      <c r="C247" s="10">
        <v>17</v>
      </c>
      <c r="D247" s="10">
        <v>10</v>
      </c>
      <c r="E247" s="10">
        <v>18</v>
      </c>
      <c r="F247" t="s">
        <v>39</v>
      </c>
      <c r="G247" t="s">
        <v>304</v>
      </c>
      <c r="H247" t="s">
        <v>49</v>
      </c>
      <c r="I247" t="s">
        <v>79</v>
      </c>
      <c r="J247" s="4">
        <v>56.6</v>
      </c>
      <c r="K247">
        <v>1</v>
      </c>
      <c r="L247">
        <v>56.6</v>
      </c>
      <c r="M247">
        <v>56.6</v>
      </c>
      <c r="N247" s="5">
        <v>2.8650168728908887</v>
      </c>
      <c r="O247" t="s">
        <v>39</v>
      </c>
      <c r="P247" t="s">
        <v>340</v>
      </c>
      <c r="Q247" s="10" t="s">
        <v>24</v>
      </c>
    </row>
    <row r="248" spans="1:18" hidden="1" x14ac:dyDescent="0.25">
      <c r="A248" s="9" t="s">
        <v>655</v>
      </c>
      <c r="B248" s="3" t="s">
        <v>1418</v>
      </c>
      <c r="C248" s="10">
        <v>17</v>
      </c>
      <c r="D248" s="10">
        <v>10</v>
      </c>
      <c r="E248" s="10">
        <v>18</v>
      </c>
      <c r="F248" t="s">
        <v>186</v>
      </c>
      <c r="G248" t="s">
        <v>889</v>
      </c>
      <c r="H248" t="s">
        <v>49</v>
      </c>
      <c r="I248" t="s">
        <v>50</v>
      </c>
      <c r="J248" s="4">
        <v>45.9</v>
      </c>
      <c r="K248">
        <v>1</v>
      </c>
      <c r="L248">
        <v>45.9</v>
      </c>
      <c r="M248">
        <v>45.9</v>
      </c>
      <c r="N248" s="5">
        <v>2.323397075365579</v>
      </c>
      <c r="O248" t="s">
        <v>39</v>
      </c>
      <c r="P248" t="s">
        <v>340</v>
      </c>
      <c r="Q248" s="10" t="s">
        <v>24</v>
      </c>
      <c r="R248" t="s">
        <v>1499</v>
      </c>
    </row>
    <row r="249" spans="1:18" hidden="1" x14ac:dyDescent="0.25">
      <c r="A249" s="2" t="s">
        <v>655</v>
      </c>
      <c r="B249" s="3" t="str">
        <f t="shared" ref="B249:B269" si="4">CONCATENATE(E249,"/",D249,"/",C249)</f>
        <v>18/10/18</v>
      </c>
      <c r="C249" s="10">
        <v>18</v>
      </c>
      <c r="D249" s="10">
        <v>10</v>
      </c>
      <c r="E249" s="10">
        <v>18</v>
      </c>
      <c r="F249" t="s">
        <v>89</v>
      </c>
      <c r="G249" t="s">
        <v>31</v>
      </c>
      <c r="H249" t="s">
        <v>26</v>
      </c>
      <c r="I249" t="s">
        <v>27</v>
      </c>
      <c r="J249" s="4">
        <v>12.7</v>
      </c>
      <c r="K249">
        <v>1</v>
      </c>
      <c r="L249">
        <v>12.7</v>
      </c>
      <c r="M249">
        <v>12.7</v>
      </c>
      <c r="N249" s="5">
        <v>0.63883299798792759</v>
      </c>
      <c r="O249" t="s">
        <v>32</v>
      </c>
      <c r="P249" t="s">
        <v>340</v>
      </c>
      <c r="Q249" t="s">
        <v>24</v>
      </c>
    </row>
    <row r="250" spans="1:18" hidden="1" x14ac:dyDescent="0.25">
      <c r="A250" s="2" t="s">
        <v>655</v>
      </c>
      <c r="B250" s="3" t="str">
        <f t="shared" si="4"/>
        <v>18/10/18</v>
      </c>
      <c r="C250" s="10">
        <v>18</v>
      </c>
      <c r="D250" s="10">
        <v>10</v>
      </c>
      <c r="E250" s="10">
        <v>18</v>
      </c>
      <c r="F250" t="s">
        <v>2242</v>
      </c>
      <c r="G250" t="s">
        <v>345</v>
      </c>
      <c r="H250" t="s">
        <v>26</v>
      </c>
      <c r="I250" t="s">
        <v>27</v>
      </c>
      <c r="J250" s="4">
        <v>6</v>
      </c>
      <c r="K250">
        <v>1</v>
      </c>
      <c r="L250">
        <v>6</v>
      </c>
      <c r="M250">
        <v>6</v>
      </c>
      <c r="N250" s="5">
        <v>0.30181086519114692</v>
      </c>
      <c r="O250" t="s">
        <v>32</v>
      </c>
      <c r="P250" t="s">
        <v>340</v>
      </c>
      <c r="Q250" t="s">
        <v>24</v>
      </c>
    </row>
    <row r="251" spans="1:18" hidden="1" x14ac:dyDescent="0.25">
      <c r="A251" s="2" t="s">
        <v>655</v>
      </c>
      <c r="B251" s="3" t="str">
        <f t="shared" si="4"/>
        <v>18/10/18</v>
      </c>
      <c r="C251" s="10">
        <v>18</v>
      </c>
      <c r="D251" s="10">
        <v>10</v>
      </c>
      <c r="E251" s="10">
        <v>18</v>
      </c>
      <c r="F251" t="s">
        <v>115</v>
      </c>
      <c r="G251" t="s">
        <v>364</v>
      </c>
      <c r="H251" t="s">
        <v>63</v>
      </c>
      <c r="I251" t="s">
        <v>27</v>
      </c>
      <c r="J251" s="4">
        <v>5</v>
      </c>
      <c r="K251">
        <v>1</v>
      </c>
      <c r="L251">
        <v>5</v>
      </c>
      <c r="M251">
        <v>5</v>
      </c>
      <c r="N251" s="5">
        <v>0.25150905432595577</v>
      </c>
      <c r="O251" t="s">
        <v>593</v>
      </c>
      <c r="P251" t="s">
        <v>340</v>
      </c>
      <c r="Q251" t="s">
        <v>24</v>
      </c>
    </row>
    <row r="252" spans="1:18" hidden="1" x14ac:dyDescent="0.25">
      <c r="A252" s="2" t="s">
        <v>655</v>
      </c>
      <c r="B252" s="3" t="str">
        <f t="shared" si="4"/>
        <v>18/10/18</v>
      </c>
      <c r="C252" s="10">
        <v>18</v>
      </c>
      <c r="D252" s="10">
        <v>10</v>
      </c>
      <c r="E252" s="10">
        <v>18</v>
      </c>
      <c r="F252" t="s">
        <v>212</v>
      </c>
      <c r="H252" t="s">
        <v>54</v>
      </c>
      <c r="I252" t="s">
        <v>27</v>
      </c>
      <c r="J252" s="4">
        <v>5</v>
      </c>
      <c r="K252">
        <v>1</v>
      </c>
      <c r="L252">
        <v>5</v>
      </c>
      <c r="M252">
        <v>5</v>
      </c>
      <c r="N252" s="5">
        <v>0.25150905432595577</v>
      </c>
      <c r="O252" t="s">
        <v>593</v>
      </c>
      <c r="P252" t="s">
        <v>340</v>
      </c>
      <c r="Q252" t="s">
        <v>24</v>
      </c>
    </row>
    <row r="253" spans="1:18" hidden="1" x14ac:dyDescent="0.25">
      <c r="A253" s="2" t="s">
        <v>655</v>
      </c>
      <c r="B253" s="3" t="str">
        <f t="shared" si="4"/>
        <v>18/10/18</v>
      </c>
      <c r="C253" s="10">
        <v>18</v>
      </c>
      <c r="D253" s="10">
        <v>10</v>
      </c>
      <c r="E253" s="10">
        <v>18</v>
      </c>
      <c r="F253" t="s">
        <v>207</v>
      </c>
      <c r="H253" t="s">
        <v>56</v>
      </c>
      <c r="I253" t="s">
        <v>27</v>
      </c>
      <c r="J253" s="4">
        <v>25</v>
      </c>
      <c r="K253">
        <v>0.7</v>
      </c>
      <c r="L253">
        <v>25</v>
      </c>
      <c r="M253">
        <v>17.5</v>
      </c>
      <c r="N253" s="5">
        <v>0.88028169014084512</v>
      </c>
      <c r="O253" t="s">
        <v>39</v>
      </c>
      <c r="Q253" t="s">
        <v>24</v>
      </c>
    </row>
    <row r="254" spans="1:18" hidden="1" x14ac:dyDescent="0.25">
      <c r="A254" s="2" t="s">
        <v>655</v>
      </c>
      <c r="B254" s="3" t="str">
        <f t="shared" si="4"/>
        <v>18/10/18</v>
      </c>
      <c r="C254" s="10">
        <v>18</v>
      </c>
      <c r="D254" s="10">
        <v>10</v>
      </c>
      <c r="E254" s="10">
        <v>18</v>
      </c>
      <c r="F254" t="s">
        <v>119</v>
      </c>
      <c r="H254" t="s">
        <v>56</v>
      </c>
      <c r="I254" t="s">
        <v>27</v>
      </c>
      <c r="J254" s="4">
        <v>35</v>
      </c>
      <c r="K254">
        <v>0.42</v>
      </c>
      <c r="L254">
        <v>35</v>
      </c>
      <c r="M254">
        <v>14.7</v>
      </c>
      <c r="N254" s="5">
        <v>0.73943661971830987</v>
      </c>
      <c r="O254" t="s">
        <v>39</v>
      </c>
      <c r="Q254" t="s">
        <v>24</v>
      </c>
    </row>
    <row r="255" spans="1:18" hidden="1" x14ac:dyDescent="0.25">
      <c r="A255" s="2" t="s">
        <v>655</v>
      </c>
      <c r="B255" s="3" t="str">
        <f t="shared" si="4"/>
        <v>18/10/18</v>
      </c>
      <c r="C255" s="10">
        <v>18</v>
      </c>
      <c r="D255" s="10">
        <v>10</v>
      </c>
      <c r="E255" s="10">
        <v>18</v>
      </c>
      <c r="F255" t="s">
        <v>52</v>
      </c>
      <c r="H255" t="s">
        <v>53</v>
      </c>
      <c r="I255" t="s">
        <v>27</v>
      </c>
      <c r="J255" s="4">
        <v>35</v>
      </c>
      <c r="K255">
        <v>1</v>
      </c>
      <c r="L255">
        <v>35</v>
      </c>
      <c r="M255">
        <v>35</v>
      </c>
      <c r="N255" s="5">
        <v>1.7605633802816902</v>
      </c>
      <c r="O255" t="s">
        <v>101</v>
      </c>
      <c r="P255" t="s">
        <v>340</v>
      </c>
      <c r="Q255" t="s">
        <v>24</v>
      </c>
    </row>
    <row r="256" spans="1:18" hidden="1" x14ac:dyDescent="0.25">
      <c r="A256" s="2" t="s">
        <v>655</v>
      </c>
      <c r="B256" s="3" t="str">
        <f t="shared" si="4"/>
        <v>18/10/18</v>
      </c>
      <c r="C256" s="10">
        <v>18</v>
      </c>
      <c r="D256" s="10">
        <v>10</v>
      </c>
      <c r="E256" s="10">
        <v>18</v>
      </c>
      <c r="F256" t="s">
        <v>689</v>
      </c>
      <c r="H256" t="s">
        <v>53</v>
      </c>
      <c r="I256" t="s">
        <v>27</v>
      </c>
      <c r="J256" s="4">
        <v>20</v>
      </c>
      <c r="K256">
        <v>1</v>
      </c>
      <c r="L256">
        <v>20</v>
      </c>
      <c r="M256">
        <v>20</v>
      </c>
      <c r="N256" s="5">
        <v>1.0060362173038231</v>
      </c>
      <c r="O256" t="s">
        <v>101</v>
      </c>
      <c r="P256" t="s">
        <v>340</v>
      </c>
      <c r="Q256" t="s">
        <v>24</v>
      </c>
    </row>
    <row r="257" spans="1:17" hidden="1" x14ac:dyDescent="0.25">
      <c r="A257" s="2" t="s">
        <v>655</v>
      </c>
      <c r="B257" s="3" t="str">
        <f t="shared" si="4"/>
        <v>18/10/19</v>
      </c>
      <c r="C257" s="10">
        <v>19</v>
      </c>
      <c r="D257" s="10">
        <v>10</v>
      </c>
      <c r="E257" s="10">
        <v>18</v>
      </c>
      <c r="F257" t="s">
        <v>656</v>
      </c>
      <c r="G257" t="s">
        <v>33</v>
      </c>
      <c r="H257" t="s">
        <v>35</v>
      </c>
      <c r="I257" t="s">
        <v>27</v>
      </c>
      <c r="J257" s="4">
        <v>103.6</v>
      </c>
      <c r="K257">
        <v>0.74</v>
      </c>
      <c r="L257">
        <v>103.6</v>
      </c>
      <c r="M257">
        <v>76.664000000000001</v>
      </c>
      <c r="N257" s="5">
        <v>3.8563380281690143</v>
      </c>
      <c r="O257" t="s">
        <v>100</v>
      </c>
      <c r="P257" t="s">
        <v>340</v>
      </c>
      <c r="Q257" t="s">
        <v>24</v>
      </c>
    </row>
    <row r="258" spans="1:17" hidden="1" x14ac:dyDescent="0.25">
      <c r="A258" s="2" t="s">
        <v>655</v>
      </c>
      <c r="B258" s="3" t="str">
        <f t="shared" si="4"/>
        <v>18/10/19</v>
      </c>
      <c r="C258" s="10">
        <v>19</v>
      </c>
      <c r="D258" s="10">
        <v>10</v>
      </c>
      <c r="E258" s="10">
        <v>18</v>
      </c>
      <c r="F258" t="s">
        <v>464</v>
      </c>
      <c r="G258" t="s">
        <v>465</v>
      </c>
      <c r="H258" t="s">
        <v>35</v>
      </c>
      <c r="I258" t="s">
        <v>27</v>
      </c>
      <c r="J258" s="4">
        <v>112.5</v>
      </c>
      <c r="K258">
        <v>0.76</v>
      </c>
      <c r="L258">
        <v>112.5</v>
      </c>
      <c r="M258">
        <v>85.5</v>
      </c>
      <c r="N258" s="5">
        <v>4.3008048289738436</v>
      </c>
      <c r="O258" t="s">
        <v>100</v>
      </c>
      <c r="P258" t="s">
        <v>340</v>
      </c>
      <c r="Q258" t="s">
        <v>24</v>
      </c>
    </row>
    <row r="259" spans="1:17" hidden="1" x14ac:dyDescent="0.25">
      <c r="A259" s="2" t="s">
        <v>655</v>
      </c>
      <c r="B259" s="3" t="str">
        <f t="shared" si="4"/>
        <v>18/10/19</v>
      </c>
      <c r="C259" s="10">
        <v>19</v>
      </c>
      <c r="D259" s="10">
        <v>10</v>
      </c>
      <c r="E259" s="10">
        <v>18</v>
      </c>
      <c r="F259" t="s">
        <v>508</v>
      </c>
      <c r="H259" t="s">
        <v>73</v>
      </c>
      <c r="I259" t="s">
        <v>27</v>
      </c>
      <c r="J259" s="4">
        <v>29.55</v>
      </c>
      <c r="K259">
        <v>1</v>
      </c>
      <c r="L259">
        <v>29.55</v>
      </c>
      <c r="M259">
        <v>29.55</v>
      </c>
      <c r="N259" s="5">
        <v>1.4864185110663986</v>
      </c>
      <c r="O259" t="s">
        <v>100</v>
      </c>
      <c r="P259" t="s">
        <v>340</v>
      </c>
      <c r="Q259" t="s">
        <v>24</v>
      </c>
    </row>
    <row r="260" spans="1:17" hidden="1" x14ac:dyDescent="0.25">
      <c r="A260" s="2" t="s">
        <v>655</v>
      </c>
      <c r="B260" s="3" t="str">
        <f t="shared" si="4"/>
        <v>18/10/19</v>
      </c>
      <c r="C260" s="10">
        <v>19</v>
      </c>
      <c r="D260" s="10">
        <v>10</v>
      </c>
      <c r="E260" s="10">
        <v>18</v>
      </c>
      <c r="F260" t="s">
        <v>341</v>
      </c>
      <c r="G260" t="s">
        <v>25</v>
      </c>
      <c r="H260" t="s">
        <v>26</v>
      </c>
      <c r="I260" t="s">
        <v>27</v>
      </c>
      <c r="J260" s="4">
        <v>264</v>
      </c>
      <c r="K260">
        <v>0.14199999999999999</v>
      </c>
      <c r="L260">
        <v>264</v>
      </c>
      <c r="M260">
        <v>37.488</v>
      </c>
      <c r="N260" s="5">
        <v>1.8857142857142857</v>
      </c>
      <c r="O260" t="s">
        <v>100</v>
      </c>
      <c r="P260" t="s">
        <v>340</v>
      </c>
      <c r="Q260" t="s">
        <v>24</v>
      </c>
    </row>
    <row r="261" spans="1:17" hidden="1" x14ac:dyDescent="0.25">
      <c r="A261" s="2" t="s">
        <v>655</v>
      </c>
      <c r="B261" s="3" t="str">
        <f t="shared" si="4"/>
        <v>18/10/19</v>
      </c>
      <c r="C261" s="10">
        <v>19</v>
      </c>
      <c r="D261" s="10">
        <v>10</v>
      </c>
      <c r="E261" s="10">
        <v>18</v>
      </c>
      <c r="F261" t="s">
        <v>369</v>
      </c>
      <c r="G261" t="s">
        <v>210</v>
      </c>
      <c r="H261" t="s">
        <v>131</v>
      </c>
      <c r="I261" t="s">
        <v>27</v>
      </c>
      <c r="J261" s="4">
        <v>55.6</v>
      </c>
      <c r="K261">
        <v>1</v>
      </c>
      <c r="L261">
        <v>55.6</v>
      </c>
      <c r="M261">
        <v>55.6</v>
      </c>
      <c r="N261" s="5">
        <v>2.7967806841046281</v>
      </c>
      <c r="O261" t="s">
        <v>100</v>
      </c>
      <c r="P261" t="s">
        <v>340</v>
      </c>
      <c r="Q261" t="s">
        <v>24</v>
      </c>
    </row>
    <row r="262" spans="1:17" hidden="1" x14ac:dyDescent="0.25">
      <c r="A262" s="2" t="s">
        <v>655</v>
      </c>
      <c r="B262" s="3" t="str">
        <f t="shared" si="4"/>
        <v>18/10/19</v>
      </c>
      <c r="C262" s="10">
        <v>19</v>
      </c>
      <c r="D262" s="10">
        <v>10</v>
      </c>
      <c r="E262" s="10">
        <v>18</v>
      </c>
      <c r="F262" t="s">
        <v>89</v>
      </c>
      <c r="G262" t="s">
        <v>31</v>
      </c>
      <c r="H262" t="s">
        <v>26</v>
      </c>
      <c r="I262" t="s">
        <v>27</v>
      </c>
      <c r="J262" s="4">
        <v>12.15</v>
      </c>
      <c r="K262">
        <v>8</v>
      </c>
      <c r="L262">
        <v>12.15</v>
      </c>
      <c r="M262">
        <v>97.2</v>
      </c>
      <c r="N262" s="5">
        <v>4.8893360160965802</v>
      </c>
      <c r="O262" t="s">
        <v>100</v>
      </c>
      <c r="P262" t="s">
        <v>340</v>
      </c>
      <c r="Q262" t="s">
        <v>24</v>
      </c>
    </row>
    <row r="263" spans="1:17" hidden="1" x14ac:dyDescent="0.25">
      <c r="A263" s="2" t="s">
        <v>655</v>
      </c>
      <c r="B263" s="3" t="str">
        <f t="shared" si="4"/>
        <v>18/10/19</v>
      </c>
      <c r="C263" s="10">
        <v>19</v>
      </c>
      <c r="D263" s="10">
        <v>10</v>
      </c>
      <c r="E263" s="10">
        <v>18</v>
      </c>
      <c r="F263" t="s">
        <v>690</v>
      </c>
      <c r="H263" t="s">
        <v>40</v>
      </c>
      <c r="I263" t="s">
        <v>27</v>
      </c>
      <c r="J263" s="4">
        <v>10</v>
      </c>
      <c r="K263">
        <v>1</v>
      </c>
      <c r="L263">
        <v>10</v>
      </c>
      <c r="M263">
        <v>10</v>
      </c>
      <c r="N263" s="5">
        <v>0.50301810865191154</v>
      </c>
      <c r="O263" t="s">
        <v>100</v>
      </c>
      <c r="P263" t="s">
        <v>340</v>
      </c>
      <c r="Q263" t="s">
        <v>24</v>
      </c>
    </row>
    <row r="264" spans="1:17" hidden="1" x14ac:dyDescent="0.25">
      <c r="A264" s="2" t="s">
        <v>655</v>
      </c>
      <c r="B264" s="3" t="str">
        <f t="shared" si="4"/>
        <v>18/10/19</v>
      </c>
      <c r="C264" s="10">
        <v>19</v>
      </c>
      <c r="D264" s="10">
        <v>10</v>
      </c>
      <c r="E264" s="10">
        <v>18</v>
      </c>
      <c r="F264" t="s">
        <v>126</v>
      </c>
      <c r="H264" t="s">
        <v>63</v>
      </c>
      <c r="I264" t="s">
        <v>27</v>
      </c>
      <c r="J264" s="4">
        <v>152.4</v>
      </c>
      <c r="K264">
        <v>1</v>
      </c>
      <c r="L264">
        <v>152.4</v>
      </c>
      <c r="M264">
        <v>152.4</v>
      </c>
      <c r="N264" s="5">
        <v>7.6659959758551315</v>
      </c>
      <c r="O264" t="s">
        <v>100</v>
      </c>
      <c r="P264" t="s">
        <v>340</v>
      </c>
      <c r="Q264" t="s">
        <v>24</v>
      </c>
    </row>
    <row r="265" spans="1:17" hidden="1" x14ac:dyDescent="0.25">
      <c r="A265" s="2" t="s">
        <v>655</v>
      </c>
      <c r="B265" s="3" t="str">
        <f t="shared" si="4"/>
        <v>18/10/19</v>
      </c>
      <c r="C265" s="10">
        <v>19</v>
      </c>
      <c r="D265" s="10">
        <v>10</v>
      </c>
      <c r="E265" s="10">
        <v>18</v>
      </c>
      <c r="F265" t="s">
        <v>55</v>
      </c>
      <c r="H265" t="s">
        <v>56</v>
      </c>
      <c r="I265" t="s">
        <v>27</v>
      </c>
      <c r="J265" s="4">
        <v>21.65</v>
      </c>
      <c r="K265">
        <v>1.466</v>
      </c>
      <c r="L265">
        <v>21.65</v>
      </c>
      <c r="M265">
        <v>31.738899999999997</v>
      </c>
      <c r="N265" s="5">
        <v>1.5965241448692153</v>
      </c>
      <c r="O265" t="s">
        <v>1472</v>
      </c>
      <c r="P265" t="s">
        <v>340</v>
      </c>
      <c r="Q265" t="s">
        <v>24</v>
      </c>
    </row>
    <row r="266" spans="1:17" hidden="1" x14ac:dyDescent="0.25">
      <c r="A266" s="2" t="s">
        <v>655</v>
      </c>
      <c r="B266" s="3" t="str">
        <f t="shared" si="4"/>
        <v>18/10/19</v>
      </c>
      <c r="C266" s="10">
        <v>19</v>
      </c>
      <c r="D266" s="10">
        <v>10</v>
      </c>
      <c r="E266" s="10">
        <v>18</v>
      </c>
      <c r="F266" t="s">
        <v>691</v>
      </c>
      <c r="H266" t="s">
        <v>63</v>
      </c>
      <c r="I266" t="s">
        <v>50</v>
      </c>
      <c r="J266" s="4">
        <v>307.2</v>
      </c>
      <c r="K266">
        <v>1</v>
      </c>
      <c r="L266">
        <v>307.2</v>
      </c>
      <c r="M266" s="8">
        <v>307.2</v>
      </c>
      <c r="N266" s="5">
        <v>15.45271629778672</v>
      </c>
      <c r="O266" t="s">
        <v>692</v>
      </c>
      <c r="P266" t="s">
        <v>340</v>
      </c>
      <c r="Q266" t="s">
        <v>24</v>
      </c>
    </row>
    <row r="267" spans="1:17" hidden="1" x14ac:dyDescent="0.25">
      <c r="A267" s="2" t="s">
        <v>655</v>
      </c>
      <c r="B267" s="3" t="str">
        <f t="shared" si="4"/>
        <v>18/10/19</v>
      </c>
      <c r="C267" s="10">
        <v>19</v>
      </c>
      <c r="D267" s="10">
        <v>10</v>
      </c>
      <c r="E267" s="10">
        <v>18</v>
      </c>
      <c r="F267" t="s">
        <v>693</v>
      </c>
      <c r="H267" t="s">
        <v>63</v>
      </c>
      <c r="I267" t="s">
        <v>50</v>
      </c>
      <c r="J267" s="4">
        <v>198</v>
      </c>
      <c r="K267">
        <v>1</v>
      </c>
      <c r="L267">
        <v>198</v>
      </c>
      <c r="M267" s="8">
        <v>198</v>
      </c>
      <c r="N267" s="5">
        <v>9.9597585513078482</v>
      </c>
      <c r="O267" t="s">
        <v>692</v>
      </c>
      <c r="P267" t="s">
        <v>340</v>
      </c>
      <c r="Q267" t="s">
        <v>24</v>
      </c>
    </row>
    <row r="268" spans="1:17" hidden="1" x14ac:dyDescent="0.25">
      <c r="A268" s="2" t="s">
        <v>655</v>
      </c>
      <c r="B268" s="3" t="str">
        <f t="shared" si="4"/>
        <v>18/10/2</v>
      </c>
      <c r="C268" s="10">
        <v>2</v>
      </c>
      <c r="D268" s="10">
        <v>10</v>
      </c>
      <c r="E268" s="10">
        <v>18</v>
      </c>
      <c r="F268" t="s">
        <v>657</v>
      </c>
      <c r="H268" t="s">
        <v>40</v>
      </c>
      <c r="I268" t="s">
        <v>27</v>
      </c>
      <c r="J268" s="4">
        <v>14</v>
      </c>
      <c r="K268">
        <v>1</v>
      </c>
      <c r="L268">
        <v>14</v>
      </c>
      <c r="M268">
        <v>14</v>
      </c>
      <c r="N268" s="5">
        <v>0.70422535211267612</v>
      </c>
      <c r="O268" t="s">
        <v>100</v>
      </c>
      <c r="P268" t="s">
        <v>340</v>
      </c>
      <c r="Q268" t="s">
        <v>24</v>
      </c>
    </row>
    <row r="269" spans="1:17" hidden="1" x14ac:dyDescent="0.25">
      <c r="A269" s="2" t="s">
        <v>655</v>
      </c>
      <c r="B269" s="3" t="str">
        <f t="shared" si="4"/>
        <v>18/10/2</v>
      </c>
      <c r="C269" s="10">
        <v>2</v>
      </c>
      <c r="D269" s="10">
        <v>10</v>
      </c>
      <c r="E269" s="10">
        <v>18</v>
      </c>
      <c r="F269" t="s">
        <v>586</v>
      </c>
      <c r="G269" t="s">
        <v>31</v>
      </c>
      <c r="H269" t="s">
        <v>26</v>
      </c>
      <c r="I269" t="s">
        <v>27</v>
      </c>
      <c r="J269" s="4">
        <v>5.2</v>
      </c>
      <c r="K269">
        <v>3</v>
      </c>
      <c r="L269">
        <v>5.2</v>
      </c>
      <c r="M269">
        <v>15.600000000000001</v>
      </c>
      <c r="N269" s="5">
        <v>0.78470824949698204</v>
      </c>
      <c r="O269" t="s">
        <v>100</v>
      </c>
      <c r="P269" t="s">
        <v>340</v>
      </c>
      <c r="Q269" t="s">
        <v>24</v>
      </c>
    </row>
    <row r="270" spans="1:17" hidden="1" x14ac:dyDescent="0.25">
      <c r="A270" s="9" t="s">
        <v>655</v>
      </c>
      <c r="B270" s="3" t="s">
        <v>1332</v>
      </c>
      <c r="C270" s="10">
        <v>2</v>
      </c>
      <c r="D270" s="10">
        <v>10</v>
      </c>
      <c r="E270" s="10">
        <v>18</v>
      </c>
      <c r="F270" t="s">
        <v>112</v>
      </c>
      <c r="G270" t="s">
        <v>889</v>
      </c>
      <c r="H270" t="s">
        <v>56</v>
      </c>
      <c r="I270" t="s">
        <v>27</v>
      </c>
      <c r="J270" s="4">
        <v>49</v>
      </c>
      <c r="K270">
        <v>1</v>
      </c>
      <c r="L270">
        <v>49</v>
      </c>
      <c r="M270">
        <v>49</v>
      </c>
      <c r="N270" s="5">
        <v>2.4803149606299213</v>
      </c>
      <c r="O270" t="s">
        <v>593</v>
      </c>
      <c r="P270" t="s">
        <v>340</v>
      </c>
      <c r="Q270" s="10" t="s">
        <v>24</v>
      </c>
    </row>
    <row r="271" spans="1:17" hidden="1" x14ac:dyDescent="0.25">
      <c r="A271" s="9" t="s">
        <v>655</v>
      </c>
      <c r="B271" s="3" t="s">
        <v>1332</v>
      </c>
      <c r="C271" s="10">
        <v>2</v>
      </c>
      <c r="D271" s="10">
        <v>10</v>
      </c>
      <c r="E271" s="10">
        <v>18</v>
      </c>
      <c r="F271" t="s">
        <v>55</v>
      </c>
      <c r="G271" t="s">
        <v>889</v>
      </c>
      <c r="H271" t="s">
        <v>56</v>
      </c>
      <c r="I271" t="s">
        <v>27</v>
      </c>
      <c r="J271" s="4">
        <v>30</v>
      </c>
      <c r="K271">
        <v>1</v>
      </c>
      <c r="L271">
        <v>30</v>
      </c>
      <c r="M271">
        <v>30</v>
      </c>
      <c r="N271" s="5">
        <v>1.5185601799775028</v>
      </c>
      <c r="O271" t="s">
        <v>593</v>
      </c>
      <c r="P271" t="s">
        <v>340</v>
      </c>
      <c r="Q271" s="10" t="s">
        <v>24</v>
      </c>
    </row>
    <row r="272" spans="1:17" hidden="1" x14ac:dyDescent="0.25">
      <c r="A272" s="9" t="s">
        <v>655</v>
      </c>
      <c r="B272" s="3" t="s">
        <v>1332</v>
      </c>
      <c r="C272" s="10">
        <v>2</v>
      </c>
      <c r="D272" s="10">
        <v>10</v>
      </c>
      <c r="E272" s="10">
        <v>18</v>
      </c>
      <c r="F272" t="s">
        <v>1051</v>
      </c>
      <c r="G272" t="s">
        <v>889</v>
      </c>
      <c r="H272" t="s">
        <v>56</v>
      </c>
      <c r="I272" t="s">
        <v>27</v>
      </c>
      <c r="J272" s="4">
        <v>19</v>
      </c>
      <c r="K272">
        <v>1</v>
      </c>
      <c r="L272">
        <v>19</v>
      </c>
      <c r="M272">
        <v>19</v>
      </c>
      <c r="N272" s="5">
        <v>0.96175478065241837</v>
      </c>
      <c r="O272" t="s">
        <v>593</v>
      </c>
      <c r="P272" t="s">
        <v>340</v>
      </c>
      <c r="Q272" s="10" t="s">
        <v>24</v>
      </c>
    </row>
    <row r="273" spans="1:18" hidden="1" x14ac:dyDescent="0.25">
      <c r="A273" s="2" t="s">
        <v>655</v>
      </c>
      <c r="B273" s="3" t="str">
        <f t="shared" ref="B273:B304" si="5">CONCATENATE(E273,"/",D273,"/",C273)</f>
        <v>18/10/20</v>
      </c>
      <c r="C273" s="10">
        <v>20</v>
      </c>
      <c r="D273" s="10">
        <v>10</v>
      </c>
      <c r="E273" s="10">
        <v>18</v>
      </c>
      <c r="F273" t="s">
        <v>173</v>
      </c>
      <c r="G273" t="s">
        <v>174</v>
      </c>
      <c r="H273" t="s">
        <v>54</v>
      </c>
      <c r="I273" t="s">
        <v>27</v>
      </c>
      <c r="J273" s="4">
        <v>28</v>
      </c>
      <c r="K273">
        <v>1</v>
      </c>
      <c r="L273">
        <v>28</v>
      </c>
      <c r="M273">
        <v>28</v>
      </c>
      <c r="N273" s="5">
        <v>1.4084507042253522</v>
      </c>
      <c r="O273" t="s">
        <v>593</v>
      </c>
      <c r="P273" t="s">
        <v>340</v>
      </c>
      <c r="Q273" t="s">
        <v>24</v>
      </c>
    </row>
    <row r="274" spans="1:18" hidden="1" x14ac:dyDescent="0.25">
      <c r="A274" s="2" t="s">
        <v>655</v>
      </c>
      <c r="B274" s="3" t="str">
        <f t="shared" si="5"/>
        <v>18/10/20</v>
      </c>
      <c r="C274" s="10">
        <v>20</v>
      </c>
      <c r="D274" s="10">
        <v>10</v>
      </c>
      <c r="E274" s="10">
        <v>18</v>
      </c>
      <c r="F274" t="s">
        <v>555</v>
      </c>
      <c r="H274" t="s">
        <v>54</v>
      </c>
      <c r="I274" t="s">
        <v>27</v>
      </c>
      <c r="J274" s="4">
        <v>38</v>
      </c>
      <c r="K274">
        <v>1</v>
      </c>
      <c r="L274">
        <v>38</v>
      </c>
      <c r="M274">
        <v>38</v>
      </c>
      <c r="N274" s="5">
        <v>1.9114688128772637</v>
      </c>
      <c r="O274" t="s">
        <v>593</v>
      </c>
      <c r="P274" t="s">
        <v>340</v>
      </c>
      <c r="Q274" t="s">
        <v>24</v>
      </c>
    </row>
    <row r="275" spans="1:18" hidden="1" x14ac:dyDescent="0.25">
      <c r="A275" s="2" t="s">
        <v>655</v>
      </c>
      <c r="B275" s="3" t="str">
        <f t="shared" si="5"/>
        <v>18/10/20</v>
      </c>
      <c r="C275" s="10">
        <v>20</v>
      </c>
      <c r="D275" s="10">
        <v>10</v>
      </c>
      <c r="E275" s="10">
        <v>18</v>
      </c>
      <c r="F275" t="s">
        <v>543</v>
      </c>
      <c r="H275" t="s">
        <v>54</v>
      </c>
      <c r="I275" t="s">
        <v>27</v>
      </c>
      <c r="J275" s="4">
        <v>32</v>
      </c>
      <c r="K275">
        <v>1</v>
      </c>
      <c r="L275">
        <v>32</v>
      </c>
      <c r="M275">
        <v>32</v>
      </c>
      <c r="N275" s="5">
        <v>1.6096579476861168</v>
      </c>
      <c r="O275" t="s">
        <v>593</v>
      </c>
      <c r="P275" t="s">
        <v>340</v>
      </c>
      <c r="Q275" t="s">
        <v>24</v>
      </c>
    </row>
    <row r="276" spans="1:18" hidden="1" x14ac:dyDescent="0.25">
      <c r="A276" s="2" t="s">
        <v>655</v>
      </c>
      <c r="B276" s="3" t="str">
        <f t="shared" si="5"/>
        <v>18/10/20</v>
      </c>
      <c r="C276" s="10">
        <v>20</v>
      </c>
      <c r="D276" s="10">
        <v>10</v>
      </c>
      <c r="E276" s="10">
        <v>18</v>
      </c>
      <c r="F276" t="s">
        <v>694</v>
      </c>
      <c r="H276" t="s">
        <v>63</v>
      </c>
      <c r="I276" t="s">
        <v>27</v>
      </c>
      <c r="J276" s="4">
        <v>20</v>
      </c>
      <c r="K276">
        <v>1</v>
      </c>
      <c r="L276">
        <v>20</v>
      </c>
      <c r="M276">
        <v>20</v>
      </c>
      <c r="N276" s="5">
        <v>1.0060362173038231</v>
      </c>
      <c r="O276" t="s">
        <v>593</v>
      </c>
      <c r="P276" t="s">
        <v>340</v>
      </c>
      <c r="Q276" t="s">
        <v>24</v>
      </c>
    </row>
    <row r="277" spans="1:18" hidden="1" x14ac:dyDescent="0.25">
      <c r="A277" s="2" t="s">
        <v>655</v>
      </c>
      <c r="B277" s="3" t="str">
        <f t="shared" si="5"/>
        <v>18/10/20</v>
      </c>
      <c r="C277" s="23">
        <v>20</v>
      </c>
      <c r="D277" s="10">
        <v>10</v>
      </c>
      <c r="E277" s="10">
        <v>18</v>
      </c>
      <c r="F277" t="s">
        <v>862</v>
      </c>
      <c r="H277" t="s">
        <v>63</v>
      </c>
      <c r="I277" t="s">
        <v>27</v>
      </c>
      <c r="J277" s="4">
        <v>120</v>
      </c>
      <c r="K277">
        <v>1</v>
      </c>
      <c r="L277">
        <v>120</v>
      </c>
      <c r="M277">
        <v>120</v>
      </c>
      <c r="N277" s="5">
        <v>6.0362173038229381</v>
      </c>
      <c r="O277" t="s">
        <v>593</v>
      </c>
      <c r="P277" t="s">
        <v>340</v>
      </c>
      <c r="Q277" t="s">
        <v>24</v>
      </c>
      <c r="R277" t="s">
        <v>363</v>
      </c>
    </row>
    <row r="278" spans="1:18" hidden="1" x14ac:dyDescent="0.25">
      <c r="A278" s="2" t="s">
        <v>655</v>
      </c>
      <c r="B278" s="3" t="str">
        <f t="shared" si="5"/>
        <v>18/10/20</v>
      </c>
      <c r="C278" s="10">
        <v>20</v>
      </c>
      <c r="D278" s="10">
        <v>10</v>
      </c>
      <c r="E278" s="10">
        <v>18</v>
      </c>
      <c r="F278" t="s">
        <v>695</v>
      </c>
      <c r="H278" t="s">
        <v>56</v>
      </c>
      <c r="I278" t="s">
        <v>27</v>
      </c>
      <c r="J278" s="4">
        <v>20</v>
      </c>
      <c r="K278">
        <v>1</v>
      </c>
      <c r="L278">
        <v>20</v>
      </c>
      <c r="M278">
        <v>20</v>
      </c>
      <c r="N278" s="5">
        <v>1.0060362173038231</v>
      </c>
      <c r="O278" t="s">
        <v>593</v>
      </c>
      <c r="P278" t="s">
        <v>340</v>
      </c>
      <c r="Q278" t="s">
        <v>24</v>
      </c>
    </row>
    <row r="279" spans="1:18" hidden="1" x14ac:dyDescent="0.25">
      <c r="A279" s="2" t="s">
        <v>655</v>
      </c>
      <c r="B279" s="3" t="str">
        <f t="shared" si="5"/>
        <v>18/10/20</v>
      </c>
      <c r="C279" s="10">
        <v>20</v>
      </c>
      <c r="D279" s="10">
        <v>10</v>
      </c>
      <c r="E279" s="10">
        <v>18</v>
      </c>
      <c r="F279" t="s">
        <v>696</v>
      </c>
      <c r="H279" t="s">
        <v>56</v>
      </c>
      <c r="I279" t="s">
        <v>27</v>
      </c>
      <c r="J279" s="4">
        <v>80</v>
      </c>
      <c r="K279">
        <v>0.5</v>
      </c>
      <c r="L279">
        <v>80</v>
      </c>
      <c r="M279">
        <v>40</v>
      </c>
      <c r="N279" s="5">
        <v>2.0120724346076462</v>
      </c>
      <c r="O279" t="s">
        <v>593</v>
      </c>
      <c r="P279" t="s">
        <v>340</v>
      </c>
      <c r="Q279" t="s">
        <v>24</v>
      </c>
    </row>
    <row r="280" spans="1:18" hidden="1" x14ac:dyDescent="0.25">
      <c r="A280" s="2" t="s">
        <v>655</v>
      </c>
      <c r="B280" s="3" t="str">
        <f t="shared" si="5"/>
        <v>18/10/20</v>
      </c>
      <c r="C280" s="10">
        <v>20</v>
      </c>
      <c r="D280" s="10">
        <v>10</v>
      </c>
      <c r="E280" s="10">
        <v>18</v>
      </c>
      <c r="F280" t="s">
        <v>697</v>
      </c>
      <c r="H280" t="s">
        <v>63</v>
      </c>
      <c r="I280" t="s">
        <v>27</v>
      </c>
      <c r="J280" s="4">
        <v>30</v>
      </c>
      <c r="K280">
        <v>1</v>
      </c>
      <c r="L280">
        <v>30</v>
      </c>
      <c r="M280">
        <v>30</v>
      </c>
      <c r="N280" s="5">
        <v>1.5090543259557345</v>
      </c>
      <c r="O280" t="s">
        <v>593</v>
      </c>
      <c r="P280" t="s">
        <v>340</v>
      </c>
      <c r="Q280" t="s">
        <v>24</v>
      </c>
    </row>
    <row r="281" spans="1:18" hidden="1" x14ac:dyDescent="0.25">
      <c r="A281" s="2" t="s">
        <v>655</v>
      </c>
      <c r="B281" s="3" t="str">
        <f t="shared" si="5"/>
        <v>18/10/20</v>
      </c>
      <c r="C281" s="10">
        <v>20</v>
      </c>
      <c r="D281" s="10">
        <v>10</v>
      </c>
      <c r="E281" s="10">
        <v>18</v>
      </c>
      <c r="F281" t="s">
        <v>698</v>
      </c>
      <c r="H281" t="s">
        <v>56</v>
      </c>
      <c r="I281" t="s">
        <v>27</v>
      </c>
      <c r="J281" s="4">
        <v>30</v>
      </c>
      <c r="K281">
        <v>1</v>
      </c>
      <c r="L281">
        <v>30</v>
      </c>
      <c r="M281">
        <v>30</v>
      </c>
      <c r="N281" s="5">
        <v>1.5090543259557345</v>
      </c>
      <c r="O281" t="s">
        <v>593</v>
      </c>
      <c r="P281" t="s">
        <v>340</v>
      </c>
      <c r="Q281" t="s">
        <v>24</v>
      </c>
    </row>
    <row r="282" spans="1:18" hidden="1" x14ac:dyDescent="0.25">
      <c r="A282" s="2" t="s">
        <v>655</v>
      </c>
      <c r="B282" s="3" t="str">
        <f t="shared" si="5"/>
        <v>18/10/20</v>
      </c>
      <c r="C282" s="10">
        <v>20</v>
      </c>
      <c r="D282" s="10">
        <v>10</v>
      </c>
      <c r="E282" s="10">
        <v>18</v>
      </c>
      <c r="F282" t="s">
        <v>484</v>
      </c>
      <c r="H282" t="s">
        <v>54</v>
      </c>
      <c r="I282" t="s">
        <v>27</v>
      </c>
      <c r="J282" s="4">
        <v>7</v>
      </c>
      <c r="K282">
        <v>1</v>
      </c>
      <c r="L282">
        <v>7</v>
      </c>
      <c r="M282">
        <v>7</v>
      </c>
      <c r="N282" s="5">
        <v>0.35211267605633806</v>
      </c>
      <c r="O282" t="s">
        <v>593</v>
      </c>
      <c r="P282" t="s">
        <v>340</v>
      </c>
      <c r="Q282" t="s">
        <v>24</v>
      </c>
    </row>
    <row r="283" spans="1:18" hidden="1" x14ac:dyDescent="0.25">
      <c r="A283" s="2" t="s">
        <v>655</v>
      </c>
      <c r="B283" s="3" t="str">
        <f t="shared" si="5"/>
        <v>18/10/20</v>
      </c>
      <c r="C283" s="10">
        <v>20</v>
      </c>
      <c r="D283" s="10">
        <v>10</v>
      </c>
      <c r="E283" s="10">
        <v>18</v>
      </c>
      <c r="F283" t="s">
        <v>177</v>
      </c>
      <c r="H283" t="s">
        <v>56</v>
      </c>
      <c r="I283" t="s">
        <v>27</v>
      </c>
      <c r="J283" s="4">
        <v>10</v>
      </c>
      <c r="K283">
        <v>1</v>
      </c>
      <c r="L283">
        <v>10</v>
      </c>
      <c r="M283">
        <v>10</v>
      </c>
      <c r="N283" s="5">
        <v>0.50301810865191154</v>
      </c>
      <c r="O283" t="s">
        <v>593</v>
      </c>
      <c r="P283" t="s">
        <v>340</v>
      </c>
      <c r="Q283" t="s">
        <v>24</v>
      </c>
    </row>
    <row r="284" spans="1:18" hidden="1" x14ac:dyDescent="0.25">
      <c r="A284" s="2" t="s">
        <v>655</v>
      </c>
      <c r="B284" s="3" t="str">
        <f t="shared" si="5"/>
        <v>18/10/20</v>
      </c>
      <c r="C284" s="10">
        <v>20</v>
      </c>
      <c r="D284" s="10">
        <v>10</v>
      </c>
      <c r="E284" s="10">
        <v>18</v>
      </c>
      <c r="F284" t="s">
        <v>175</v>
      </c>
      <c r="H284" t="s">
        <v>56</v>
      </c>
      <c r="I284" t="s">
        <v>27</v>
      </c>
      <c r="J284" s="4">
        <v>7</v>
      </c>
      <c r="K284">
        <v>1</v>
      </c>
      <c r="L284">
        <v>7</v>
      </c>
      <c r="M284">
        <v>7</v>
      </c>
      <c r="N284" s="5">
        <v>0.35211267605633806</v>
      </c>
      <c r="O284" t="s">
        <v>593</v>
      </c>
      <c r="P284" t="s">
        <v>340</v>
      </c>
      <c r="Q284" t="s">
        <v>24</v>
      </c>
    </row>
    <row r="285" spans="1:18" hidden="1" x14ac:dyDescent="0.25">
      <c r="A285" s="2" t="s">
        <v>655</v>
      </c>
      <c r="B285" s="3" t="str">
        <f t="shared" si="5"/>
        <v>18/10/20</v>
      </c>
      <c r="C285" s="10">
        <v>20</v>
      </c>
      <c r="D285" s="10">
        <v>10</v>
      </c>
      <c r="E285" s="10">
        <v>18</v>
      </c>
      <c r="F285" t="s">
        <v>596</v>
      </c>
      <c r="H285" t="s">
        <v>56</v>
      </c>
      <c r="I285" t="s">
        <v>27</v>
      </c>
      <c r="J285" s="4">
        <v>20</v>
      </c>
      <c r="K285">
        <v>1</v>
      </c>
      <c r="L285">
        <v>20</v>
      </c>
      <c r="M285">
        <v>20</v>
      </c>
      <c r="N285" s="5">
        <v>1.0060362173038231</v>
      </c>
      <c r="O285" t="s">
        <v>593</v>
      </c>
      <c r="P285" t="s">
        <v>340</v>
      </c>
      <c r="Q285" t="s">
        <v>24</v>
      </c>
    </row>
    <row r="286" spans="1:18" hidden="1" x14ac:dyDescent="0.25">
      <c r="A286" s="2" t="s">
        <v>655</v>
      </c>
      <c r="B286" s="3" t="str">
        <f t="shared" si="5"/>
        <v>18/10/20</v>
      </c>
      <c r="C286" s="10">
        <v>20</v>
      </c>
      <c r="D286" s="10">
        <v>10</v>
      </c>
      <c r="E286" s="10">
        <v>18</v>
      </c>
      <c r="F286" t="s">
        <v>662</v>
      </c>
      <c r="H286" t="s">
        <v>56</v>
      </c>
      <c r="I286" t="s">
        <v>27</v>
      </c>
      <c r="J286" s="4">
        <v>20</v>
      </c>
      <c r="K286">
        <v>1</v>
      </c>
      <c r="L286">
        <v>20</v>
      </c>
      <c r="M286">
        <v>20</v>
      </c>
      <c r="N286" s="5">
        <v>1.0060362173038231</v>
      </c>
      <c r="O286" t="s">
        <v>593</v>
      </c>
      <c r="P286" t="s">
        <v>340</v>
      </c>
      <c r="Q286" t="s">
        <v>24</v>
      </c>
    </row>
    <row r="287" spans="1:18" hidden="1" x14ac:dyDescent="0.25">
      <c r="A287" s="2" t="s">
        <v>655</v>
      </c>
      <c r="B287" s="3" t="str">
        <f t="shared" si="5"/>
        <v>18/10/20</v>
      </c>
      <c r="C287" s="10">
        <v>20</v>
      </c>
      <c r="D287" s="10">
        <v>10</v>
      </c>
      <c r="E287" s="10">
        <v>18</v>
      </c>
      <c r="F287" t="s">
        <v>404</v>
      </c>
      <c r="H287" t="s">
        <v>54</v>
      </c>
      <c r="I287" t="s">
        <v>27</v>
      </c>
      <c r="J287" s="4">
        <v>20</v>
      </c>
      <c r="K287">
        <v>1</v>
      </c>
      <c r="L287">
        <v>20</v>
      </c>
      <c r="M287">
        <v>20</v>
      </c>
      <c r="N287" s="5">
        <v>1.0060362173038231</v>
      </c>
      <c r="O287" t="s">
        <v>593</v>
      </c>
      <c r="P287" t="s">
        <v>340</v>
      </c>
      <c r="Q287" t="s">
        <v>24</v>
      </c>
    </row>
    <row r="288" spans="1:18" hidden="1" x14ac:dyDescent="0.25">
      <c r="A288" s="2" t="s">
        <v>655</v>
      </c>
      <c r="B288" s="3" t="str">
        <f t="shared" si="5"/>
        <v>18/10/20</v>
      </c>
      <c r="C288" s="23">
        <v>20</v>
      </c>
      <c r="D288" s="10">
        <v>10</v>
      </c>
      <c r="E288" s="10">
        <v>18</v>
      </c>
      <c r="F288" t="s">
        <v>165</v>
      </c>
      <c r="H288" t="s">
        <v>63</v>
      </c>
      <c r="I288" t="s">
        <v>27</v>
      </c>
      <c r="J288" s="4">
        <v>95</v>
      </c>
      <c r="K288">
        <v>1</v>
      </c>
      <c r="L288">
        <v>95</v>
      </c>
      <c r="M288">
        <v>95</v>
      </c>
      <c r="N288" s="5">
        <v>4.7786720321931595</v>
      </c>
      <c r="O288" t="s">
        <v>593</v>
      </c>
      <c r="P288" t="s">
        <v>340</v>
      </c>
      <c r="Q288" t="s">
        <v>24</v>
      </c>
      <c r="R288" t="s">
        <v>279</v>
      </c>
    </row>
    <row r="289" spans="1:18" hidden="1" x14ac:dyDescent="0.25">
      <c r="A289" s="2" t="s">
        <v>655</v>
      </c>
      <c r="B289" s="3" t="str">
        <f t="shared" si="5"/>
        <v>18/10/20</v>
      </c>
      <c r="C289" s="10">
        <v>20</v>
      </c>
      <c r="D289" s="10">
        <v>10</v>
      </c>
      <c r="E289" s="10">
        <v>18</v>
      </c>
      <c r="F289" t="s">
        <v>699</v>
      </c>
      <c r="G289" t="s">
        <v>62</v>
      </c>
      <c r="H289" t="s">
        <v>63</v>
      </c>
      <c r="I289" t="s">
        <v>27</v>
      </c>
      <c r="J289" s="4">
        <v>85</v>
      </c>
      <c r="K289">
        <v>1</v>
      </c>
      <c r="L289">
        <v>85</v>
      </c>
      <c r="M289">
        <v>85</v>
      </c>
      <c r="N289" s="5">
        <v>4.2756539235412481</v>
      </c>
      <c r="O289" t="s">
        <v>593</v>
      </c>
      <c r="P289" t="s">
        <v>340</v>
      </c>
      <c r="Q289" t="s">
        <v>24</v>
      </c>
    </row>
    <row r="290" spans="1:18" hidden="1" x14ac:dyDescent="0.25">
      <c r="A290" s="2" t="s">
        <v>655</v>
      </c>
      <c r="B290" s="3" t="str">
        <f t="shared" si="5"/>
        <v>18/10/20</v>
      </c>
      <c r="C290" s="10">
        <v>20</v>
      </c>
      <c r="D290" s="10">
        <v>10</v>
      </c>
      <c r="E290" s="10">
        <v>18</v>
      </c>
      <c r="F290" t="s">
        <v>595</v>
      </c>
      <c r="H290" t="s">
        <v>54</v>
      </c>
      <c r="I290" t="s">
        <v>27</v>
      </c>
      <c r="J290" s="4">
        <v>5</v>
      </c>
      <c r="K290">
        <v>2</v>
      </c>
      <c r="L290">
        <v>5</v>
      </c>
      <c r="M290">
        <v>10</v>
      </c>
      <c r="N290" s="5">
        <v>0.50301810865191154</v>
      </c>
      <c r="O290" t="s">
        <v>593</v>
      </c>
      <c r="P290" t="s">
        <v>340</v>
      </c>
      <c r="Q290" t="s">
        <v>24</v>
      </c>
    </row>
    <row r="291" spans="1:18" hidden="1" x14ac:dyDescent="0.25">
      <c r="A291" s="2" t="s">
        <v>655</v>
      </c>
      <c r="B291" s="3" t="str">
        <f t="shared" si="5"/>
        <v>18/10/20</v>
      </c>
      <c r="C291" s="10">
        <v>20</v>
      </c>
      <c r="D291" s="10">
        <v>10</v>
      </c>
      <c r="E291" s="10">
        <v>18</v>
      </c>
      <c r="F291" t="s">
        <v>77</v>
      </c>
      <c r="G291" t="s">
        <v>77</v>
      </c>
      <c r="H291" t="s">
        <v>26</v>
      </c>
      <c r="I291" t="s">
        <v>27</v>
      </c>
      <c r="J291" s="4">
        <v>34.89</v>
      </c>
      <c r="K291">
        <v>1</v>
      </c>
      <c r="L291">
        <v>34.89</v>
      </c>
      <c r="M291">
        <v>34.89</v>
      </c>
      <c r="N291" s="5">
        <v>1.7550301810865192</v>
      </c>
      <c r="O291" t="s">
        <v>51</v>
      </c>
      <c r="P291" t="s">
        <v>340</v>
      </c>
      <c r="Q291" t="s">
        <v>24</v>
      </c>
    </row>
    <row r="292" spans="1:18" hidden="1" x14ac:dyDescent="0.25">
      <c r="A292" s="2" t="s">
        <v>655</v>
      </c>
      <c r="B292" s="3" t="str">
        <f t="shared" si="5"/>
        <v>18/10/20</v>
      </c>
      <c r="C292" s="10">
        <v>20</v>
      </c>
      <c r="D292" s="10">
        <v>10</v>
      </c>
      <c r="E292" s="10">
        <v>18</v>
      </c>
      <c r="F292" t="s">
        <v>962</v>
      </c>
      <c r="H292" t="s">
        <v>49</v>
      </c>
      <c r="I292" t="s">
        <v>50</v>
      </c>
      <c r="J292" s="4">
        <v>85.62</v>
      </c>
      <c r="K292">
        <v>2</v>
      </c>
      <c r="L292">
        <v>85.62</v>
      </c>
      <c r="M292">
        <v>171.24</v>
      </c>
      <c r="N292" s="5">
        <v>8.1825955734406453</v>
      </c>
      <c r="O292" t="s">
        <v>51</v>
      </c>
      <c r="P292" t="s">
        <v>340</v>
      </c>
      <c r="Q292" t="s">
        <v>24</v>
      </c>
    </row>
    <row r="293" spans="1:18" hidden="1" x14ac:dyDescent="0.25">
      <c r="A293" s="2" t="s">
        <v>655</v>
      </c>
      <c r="B293" s="3" t="str">
        <f t="shared" si="5"/>
        <v>18/10/20</v>
      </c>
      <c r="C293" s="10">
        <v>20</v>
      </c>
      <c r="D293" s="10">
        <v>10</v>
      </c>
      <c r="E293" s="10">
        <v>18</v>
      </c>
      <c r="F293" t="s">
        <v>53</v>
      </c>
      <c r="H293" t="s">
        <v>53</v>
      </c>
      <c r="I293" t="s">
        <v>27</v>
      </c>
      <c r="J293" s="4">
        <v>59.52</v>
      </c>
      <c r="K293">
        <v>2</v>
      </c>
      <c r="L293">
        <v>59.52</v>
      </c>
      <c r="M293">
        <v>119.04</v>
      </c>
      <c r="N293" s="5">
        <v>5.9879275653923552</v>
      </c>
      <c r="O293" t="s">
        <v>51</v>
      </c>
      <c r="P293" t="s">
        <v>340</v>
      </c>
      <c r="Q293" t="s">
        <v>24</v>
      </c>
    </row>
    <row r="294" spans="1:18" hidden="1" x14ac:dyDescent="0.25">
      <c r="A294" s="2" t="s">
        <v>655</v>
      </c>
      <c r="B294" s="3" t="str">
        <f t="shared" si="5"/>
        <v>18/10/20</v>
      </c>
      <c r="C294" s="10">
        <v>20</v>
      </c>
      <c r="D294" s="10">
        <v>10</v>
      </c>
      <c r="E294" s="10">
        <v>18</v>
      </c>
      <c r="F294" t="s">
        <v>316</v>
      </c>
      <c r="H294" t="s">
        <v>49</v>
      </c>
      <c r="I294" t="s">
        <v>79</v>
      </c>
      <c r="J294" s="4">
        <v>35.9</v>
      </c>
      <c r="K294">
        <v>2</v>
      </c>
      <c r="L294">
        <v>35.9</v>
      </c>
      <c r="M294" s="8">
        <v>71.8</v>
      </c>
      <c r="N294" s="5">
        <v>3.6116700201207244</v>
      </c>
      <c r="O294" t="s">
        <v>51</v>
      </c>
      <c r="P294" t="s">
        <v>340</v>
      </c>
      <c r="Q294" t="s">
        <v>24</v>
      </c>
      <c r="R294" t="s">
        <v>1583</v>
      </c>
    </row>
    <row r="295" spans="1:18" hidden="1" x14ac:dyDescent="0.25">
      <c r="A295" s="2" t="s">
        <v>655</v>
      </c>
      <c r="B295" s="3" t="str">
        <f t="shared" si="5"/>
        <v>18/10/20</v>
      </c>
      <c r="C295" s="10">
        <v>20</v>
      </c>
      <c r="D295" s="10">
        <v>10</v>
      </c>
      <c r="E295" s="10">
        <v>18</v>
      </c>
      <c r="F295" t="s">
        <v>89</v>
      </c>
      <c r="G295" t="s">
        <v>31</v>
      </c>
      <c r="H295" t="s">
        <v>26</v>
      </c>
      <c r="I295" t="s">
        <v>27</v>
      </c>
      <c r="J295" s="4">
        <v>13.49</v>
      </c>
      <c r="K295">
        <v>1</v>
      </c>
      <c r="L295">
        <v>13.49</v>
      </c>
      <c r="M295">
        <v>13.49</v>
      </c>
      <c r="N295" s="5">
        <v>0.6785714285714286</v>
      </c>
      <c r="O295" t="s">
        <v>51</v>
      </c>
      <c r="P295" t="s">
        <v>340</v>
      </c>
      <c r="Q295" t="s">
        <v>24</v>
      </c>
    </row>
    <row r="296" spans="1:18" hidden="1" x14ac:dyDescent="0.25">
      <c r="A296" s="2" t="s">
        <v>655</v>
      </c>
      <c r="B296" s="3" t="str">
        <f t="shared" si="5"/>
        <v>18/10/20</v>
      </c>
      <c r="C296" s="10">
        <v>20</v>
      </c>
      <c r="D296" s="10">
        <v>10</v>
      </c>
      <c r="E296" s="10">
        <v>18</v>
      </c>
      <c r="F296" t="s">
        <v>55</v>
      </c>
      <c r="H296" t="s">
        <v>56</v>
      </c>
      <c r="I296" t="s">
        <v>27</v>
      </c>
      <c r="J296" s="4">
        <v>20.9</v>
      </c>
      <c r="K296">
        <v>1.07</v>
      </c>
      <c r="L296">
        <v>20.9</v>
      </c>
      <c r="M296">
        <v>22.363</v>
      </c>
      <c r="N296" s="5">
        <v>1.1248993963782696</v>
      </c>
      <c r="O296" t="s">
        <v>51</v>
      </c>
      <c r="P296" t="s">
        <v>340</v>
      </c>
      <c r="Q296" t="s">
        <v>24</v>
      </c>
    </row>
    <row r="297" spans="1:18" hidden="1" x14ac:dyDescent="0.25">
      <c r="A297" s="2" t="s">
        <v>655</v>
      </c>
      <c r="B297" s="3" t="str">
        <f t="shared" si="5"/>
        <v>18/10/20</v>
      </c>
      <c r="C297" s="10">
        <v>20</v>
      </c>
      <c r="D297" s="10">
        <v>10</v>
      </c>
      <c r="E297" s="10">
        <v>18</v>
      </c>
      <c r="F297" t="s">
        <v>500</v>
      </c>
      <c r="H297" t="s">
        <v>63</v>
      </c>
      <c r="I297" t="s">
        <v>50</v>
      </c>
      <c r="J297" s="4">
        <v>119.9</v>
      </c>
      <c r="K297">
        <v>1</v>
      </c>
      <c r="L297">
        <v>119.9</v>
      </c>
      <c r="M297" s="8">
        <v>119.9</v>
      </c>
      <c r="N297" s="5">
        <v>6.0311871227364193</v>
      </c>
      <c r="O297" t="s">
        <v>51</v>
      </c>
      <c r="P297" t="s">
        <v>340</v>
      </c>
      <c r="Q297" t="s">
        <v>24</v>
      </c>
    </row>
    <row r="298" spans="1:18" hidden="1" x14ac:dyDescent="0.25">
      <c r="A298" s="2" t="s">
        <v>655</v>
      </c>
      <c r="B298" s="3" t="str">
        <f t="shared" si="5"/>
        <v>18/10/20</v>
      </c>
      <c r="C298" s="10">
        <v>20</v>
      </c>
      <c r="D298" s="10">
        <v>10</v>
      </c>
      <c r="E298" s="10">
        <v>18</v>
      </c>
      <c r="F298" t="s">
        <v>75</v>
      </c>
      <c r="H298" t="s">
        <v>65</v>
      </c>
      <c r="I298" t="s">
        <v>27</v>
      </c>
      <c r="J298" s="4">
        <v>8.59</v>
      </c>
      <c r="K298">
        <v>10</v>
      </c>
      <c r="L298">
        <v>8.59</v>
      </c>
      <c r="M298">
        <v>85.9</v>
      </c>
      <c r="N298" s="5">
        <v>3.9768611670020122</v>
      </c>
      <c r="O298" t="s">
        <v>51</v>
      </c>
      <c r="P298" t="s">
        <v>340</v>
      </c>
      <c r="Q298" t="s">
        <v>24</v>
      </c>
    </row>
    <row r="299" spans="1:18" hidden="1" x14ac:dyDescent="0.25">
      <c r="A299" s="2" t="s">
        <v>655</v>
      </c>
      <c r="B299" s="3" t="str">
        <f t="shared" si="5"/>
        <v>18/10/20</v>
      </c>
      <c r="C299" s="10">
        <v>20</v>
      </c>
      <c r="D299" s="10">
        <v>10</v>
      </c>
      <c r="E299" s="10">
        <v>18</v>
      </c>
      <c r="F299" t="s">
        <v>238</v>
      </c>
      <c r="G299" t="s">
        <v>58</v>
      </c>
      <c r="H299" t="s">
        <v>59</v>
      </c>
      <c r="I299" t="s">
        <v>27</v>
      </c>
      <c r="J299" s="4">
        <v>71.900000000000006</v>
      </c>
      <c r="K299">
        <v>1</v>
      </c>
      <c r="L299">
        <v>71.900000000000006</v>
      </c>
      <c r="M299">
        <v>71.900000000000006</v>
      </c>
      <c r="N299" s="5">
        <v>3.616700201207244</v>
      </c>
      <c r="O299" t="s">
        <v>51</v>
      </c>
      <c r="P299" t="s">
        <v>340</v>
      </c>
      <c r="Q299" t="s">
        <v>24</v>
      </c>
    </row>
    <row r="300" spans="1:18" hidden="1" x14ac:dyDescent="0.25">
      <c r="A300" s="2" t="s">
        <v>655</v>
      </c>
      <c r="B300" s="3" t="str">
        <f t="shared" si="5"/>
        <v>18/10/20</v>
      </c>
      <c r="C300" s="10">
        <v>20</v>
      </c>
      <c r="D300" s="10">
        <v>10</v>
      </c>
      <c r="E300" s="10">
        <v>18</v>
      </c>
      <c r="F300" t="s">
        <v>700</v>
      </c>
      <c r="G300" t="s">
        <v>58</v>
      </c>
      <c r="H300" t="s">
        <v>59</v>
      </c>
      <c r="I300" t="s">
        <v>27</v>
      </c>
      <c r="J300" s="4">
        <v>57.9</v>
      </c>
      <c r="K300">
        <v>1</v>
      </c>
      <c r="L300">
        <v>57.9</v>
      </c>
      <c r="M300">
        <v>57.9</v>
      </c>
      <c r="N300" s="5">
        <v>2.9124748490945676</v>
      </c>
      <c r="O300" t="s">
        <v>51</v>
      </c>
      <c r="P300" t="s">
        <v>340</v>
      </c>
      <c r="Q300" t="s">
        <v>24</v>
      </c>
    </row>
    <row r="301" spans="1:18" hidden="1" x14ac:dyDescent="0.25">
      <c r="A301" s="2" t="s">
        <v>655</v>
      </c>
      <c r="B301" s="3" t="str">
        <f t="shared" si="5"/>
        <v>18/10/20</v>
      </c>
      <c r="C301" s="10">
        <v>20</v>
      </c>
      <c r="D301" s="10">
        <v>10</v>
      </c>
      <c r="E301" s="10">
        <v>18</v>
      </c>
      <c r="F301" t="s">
        <v>1692</v>
      </c>
      <c r="H301" t="s">
        <v>49</v>
      </c>
      <c r="I301" t="s">
        <v>50</v>
      </c>
      <c r="J301" s="4">
        <v>21.9</v>
      </c>
      <c r="K301">
        <v>2</v>
      </c>
      <c r="L301">
        <v>21.9</v>
      </c>
      <c r="M301" s="8">
        <v>43.8</v>
      </c>
      <c r="N301" s="5">
        <v>2.2032193158953723</v>
      </c>
      <c r="O301" t="s">
        <v>51</v>
      </c>
      <c r="P301" t="s">
        <v>340</v>
      </c>
      <c r="Q301" t="s">
        <v>24</v>
      </c>
    </row>
    <row r="302" spans="1:18" hidden="1" x14ac:dyDescent="0.25">
      <c r="A302" s="2" t="s">
        <v>655</v>
      </c>
      <c r="B302" s="3" t="str">
        <f t="shared" si="5"/>
        <v>18/10/20</v>
      </c>
      <c r="C302" s="10">
        <v>20</v>
      </c>
      <c r="D302" s="10">
        <v>10</v>
      </c>
      <c r="E302" s="10">
        <v>18</v>
      </c>
      <c r="F302" t="s">
        <v>1692</v>
      </c>
      <c r="H302" t="s">
        <v>49</v>
      </c>
      <c r="I302" t="s">
        <v>50</v>
      </c>
      <c r="J302" s="4">
        <v>33.49</v>
      </c>
      <c r="K302">
        <v>2</v>
      </c>
      <c r="L302">
        <v>33.49</v>
      </c>
      <c r="M302" s="8">
        <v>66.98</v>
      </c>
      <c r="N302" s="5">
        <v>3.2002012072434614</v>
      </c>
      <c r="O302" t="s">
        <v>51</v>
      </c>
      <c r="P302" t="s">
        <v>340</v>
      </c>
      <c r="Q302" t="s">
        <v>24</v>
      </c>
    </row>
    <row r="303" spans="1:18" hidden="1" x14ac:dyDescent="0.25">
      <c r="A303" s="2" t="s">
        <v>655</v>
      </c>
      <c r="B303" s="3" t="str">
        <f t="shared" si="5"/>
        <v>18/10/20</v>
      </c>
      <c r="C303" s="10">
        <v>20</v>
      </c>
      <c r="D303" s="10">
        <v>10</v>
      </c>
      <c r="E303" s="10">
        <v>18</v>
      </c>
      <c r="F303" t="s">
        <v>501</v>
      </c>
      <c r="H303" t="s">
        <v>62</v>
      </c>
      <c r="I303" t="s">
        <v>27</v>
      </c>
      <c r="J303" s="4">
        <v>10.79</v>
      </c>
      <c r="K303">
        <v>1</v>
      </c>
      <c r="L303">
        <v>10.79</v>
      </c>
      <c r="M303">
        <v>10.79</v>
      </c>
      <c r="N303" s="5">
        <v>0.54275653923541245</v>
      </c>
      <c r="O303" t="s">
        <v>51</v>
      </c>
      <c r="P303" t="s">
        <v>340</v>
      </c>
      <c r="Q303" t="s">
        <v>24</v>
      </c>
    </row>
    <row r="304" spans="1:18" hidden="1" x14ac:dyDescent="0.25">
      <c r="A304" s="2" t="s">
        <v>655</v>
      </c>
      <c r="B304" s="3" t="str">
        <f t="shared" si="5"/>
        <v>18/10/20</v>
      </c>
      <c r="C304" s="10">
        <v>20</v>
      </c>
      <c r="D304" s="10">
        <v>10</v>
      </c>
      <c r="E304" s="10">
        <v>18</v>
      </c>
      <c r="F304" t="s">
        <v>140</v>
      </c>
      <c r="H304" t="s">
        <v>49</v>
      </c>
      <c r="I304" t="s">
        <v>50</v>
      </c>
      <c r="J304" s="4">
        <v>21.9</v>
      </c>
      <c r="K304">
        <v>1</v>
      </c>
      <c r="L304">
        <v>21.9</v>
      </c>
      <c r="M304">
        <v>21.9</v>
      </c>
      <c r="N304" s="5">
        <v>1.1016096579476862</v>
      </c>
      <c r="O304" t="s">
        <v>51</v>
      </c>
      <c r="P304" t="s">
        <v>340</v>
      </c>
      <c r="Q304" t="s">
        <v>24</v>
      </c>
    </row>
    <row r="305" spans="1:18" hidden="1" x14ac:dyDescent="0.25">
      <c r="A305" s="2" t="s">
        <v>655</v>
      </c>
      <c r="B305" s="3" t="str">
        <f t="shared" ref="B305:B336" si="6">CONCATENATE(E305,"/",D305,"/",C305)</f>
        <v>18/10/20</v>
      </c>
      <c r="C305" s="10">
        <v>20</v>
      </c>
      <c r="D305" s="10">
        <v>10</v>
      </c>
      <c r="E305" s="10">
        <v>18</v>
      </c>
      <c r="F305" t="s">
        <v>106</v>
      </c>
      <c r="H305" t="s">
        <v>56</v>
      </c>
      <c r="I305" t="s">
        <v>27</v>
      </c>
      <c r="J305" s="4">
        <v>23.9</v>
      </c>
      <c r="K305">
        <v>1.5920000000000001</v>
      </c>
      <c r="L305">
        <v>23.9</v>
      </c>
      <c r="M305">
        <v>38.0488</v>
      </c>
      <c r="N305" s="5">
        <v>1.9139235412474851</v>
      </c>
      <c r="O305" t="s">
        <v>51</v>
      </c>
      <c r="P305" t="s">
        <v>340</v>
      </c>
      <c r="Q305" t="s">
        <v>24</v>
      </c>
    </row>
    <row r="306" spans="1:18" hidden="1" x14ac:dyDescent="0.25">
      <c r="A306" s="2" t="s">
        <v>655</v>
      </c>
      <c r="B306" s="3" t="str">
        <f t="shared" si="6"/>
        <v>18/10/20</v>
      </c>
      <c r="C306" s="10">
        <v>20</v>
      </c>
      <c r="D306" s="10">
        <v>10</v>
      </c>
      <c r="E306" s="10">
        <v>18</v>
      </c>
      <c r="F306" t="s">
        <v>1292</v>
      </c>
      <c r="G306" t="s">
        <v>58</v>
      </c>
      <c r="H306" t="s">
        <v>59</v>
      </c>
      <c r="I306" t="s">
        <v>27</v>
      </c>
      <c r="J306" s="4">
        <v>112.9</v>
      </c>
      <c r="K306">
        <v>1</v>
      </c>
      <c r="L306">
        <v>112.9</v>
      </c>
      <c r="M306">
        <v>112.9</v>
      </c>
      <c r="N306" s="5">
        <v>5.6790744466800813</v>
      </c>
      <c r="O306" t="s">
        <v>51</v>
      </c>
      <c r="P306" t="s">
        <v>340</v>
      </c>
      <c r="Q306" t="s">
        <v>24</v>
      </c>
    </row>
    <row r="307" spans="1:18" hidden="1" x14ac:dyDescent="0.25">
      <c r="A307" s="2" t="s">
        <v>655</v>
      </c>
      <c r="B307" s="3" t="str">
        <f t="shared" si="6"/>
        <v>18/10/20</v>
      </c>
      <c r="C307" s="10">
        <v>20</v>
      </c>
      <c r="D307" s="10">
        <v>10</v>
      </c>
      <c r="E307" s="10">
        <v>18</v>
      </c>
      <c r="F307" t="s">
        <v>140</v>
      </c>
      <c r="G307" t="s">
        <v>140</v>
      </c>
      <c r="H307" t="s">
        <v>49</v>
      </c>
      <c r="I307" t="s">
        <v>50</v>
      </c>
      <c r="J307" s="4">
        <v>36.9</v>
      </c>
      <c r="K307">
        <v>1</v>
      </c>
      <c r="L307">
        <v>36.9</v>
      </c>
      <c r="M307">
        <v>36.9</v>
      </c>
      <c r="N307" s="5">
        <v>1.8561368209255533</v>
      </c>
      <c r="O307" t="s">
        <v>51</v>
      </c>
      <c r="P307" t="s">
        <v>340</v>
      </c>
      <c r="Q307" t="s">
        <v>24</v>
      </c>
    </row>
    <row r="308" spans="1:18" hidden="1" x14ac:dyDescent="0.25">
      <c r="A308" s="2" t="s">
        <v>655</v>
      </c>
      <c r="B308" s="3" t="str">
        <f t="shared" si="6"/>
        <v>18/10/20</v>
      </c>
      <c r="C308" s="10">
        <v>20</v>
      </c>
      <c r="D308" s="10">
        <v>10</v>
      </c>
      <c r="E308" s="10">
        <v>18</v>
      </c>
      <c r="F308" t="s">
        <v>701</v>
      </c>
      <c r="H308" t="s">
        <v>49</v>
      </c>
      <c r="I308" t="s">
        <v>50</v>
      </c>
      <c r="J308" s="4">
        <v>21.9</v>
      </c>
      <c r="K308">
        <v>1</v>
      </c>
      <c r="L308">
        <v>21.9</v>
      </c>
      <c r="M308" s="8">
        <v>21.9</v>
      </c>
      <c r="N308" s="5">
        <v>1.1016096579476862</v>
      </c>
      <c r="O308" t="s">
        <v>51</v>
      </c>
      <c r="P308" t="s">
        <v>340</v>
      </c>
      <c r="Q308" t="s">
        <v>24</v>
      </c>
    </row>
    <row r="309" spans="1:18" hidden="1" x14ac:dyDescent="0.25">
      <c r="A309" s="2" t="s">
        <v>655</v>
      </c>
      <c r="B309" s="3" t="str">
        <f t="shared" si="6"/>
        <v>18/10/20</v>
      </c>
      <c r="C309" s="10">
        <v>20</v>
      </c>
      <c r="D309" s="10">
        <v>10</v>
      </c>
      <c r="E309" s="10">
        <v>18</v>
      </c>
      <c r="F309" t="s">
        <v>140</v>
      </c>
      <c r="G309" t="s">
        <v>140</v>
      </c>
      <c r="H309" t="s">
        <v>49</v>
      </c>
      <c r="I309" t="s">
        <v>50</v>
      </c>
      <c r="J309" s="4">
        <v>14.39</v>
      </c>
      <c r="K309">
        <v>1</v>
      </c>
      <c r="L309">
        <v>14.39</v>
      </c>
      <c r="M309">
        <v>14.39</v>
      </c>
      <c r="N309" s="5">
        <v>0.72384305835010065</v>
      </c>
      <c r="O309" t="s">
        <v>51</v>
      </c>
      <c r="P309" t="s">
        <v>340</v>
      </c>
      <c r="Q309" t="s">
        <v>24</v>
      </c>
    </row>
    <row r="310" spans="1:18" hidden="1" x14ac:dyDescent="0.25">
      <c r="A310" s="2" t="s">
        <v>655</v>
      </c>
      <c r="B310" s="3" t="str">
        <f t="shared" si="6"/>
        <v>18/10/20</v>
      </c>
      <c r="C310" s="10">
        <v>20</v>
      </c>
      <c r="D310" s="10">
        <v>10</v>
      </c>
      <c r="E310" s="10">
        <v>18</v>
      </c>
      <c r="F310" t="s">
        <v>702</v>
      </c>
      <c r="I310" t="s">
        <v>72</v>
      </c>
      <c r="J310" s="4">
        <v>51.9</v>
      </c>
      <c r="K310">
        <v>1</v>
      </c>
      <c r="L310">
        <v>51.9</v>
      </c>
      <c r="M310">
        <v>51.9</v>
      </c>
      <c r="N310" s="5">
        <v>2.6106639839034207</v>
      </c>
      <c r="O310" t="s">
        <v>233</v>
      </c>
      <c r="P310" t="s">
        <v>340</v>
      </c>
      <c r="Q310" t="s">
        <v>24</v>
      </c>
      <c r="R310" t="s">
        <v>702</v>
      </c>
    </row>
    <row r="311" spans="1:18" hidden="1" x14ac:dyDescent="0.25">
      <c r="A311" s="2" t="s">
        <v>655</v>
      </c>
      <c r="B311" s="3" t="str">
        <f t="shared" si="6"/>
        <v>18/10/20</v>
      </c>
      <c r="C311" s="10">
        <v>20</v>
      </c>
      <c r="D311" s="10">
        <v>10</v>
      </c>
      <c r="E311" s="10">
        <v>18</v>
      </c>
      <c r="F311" t="s">
        <v>104</v>
      </c>
      <c r="I311" t="s">
        <v>72</v>
      </c>
      <c r="J311" s="4">
        <v>21.6</v>
      </c>
      <c r="K311">
        <v>1</v>
      </c>
      <c r="L311">
        <v>21.6</v>
      </c>
      <c r="M311">
        <v>21.6</v>
      </c>
      <c r="N311" s="5">
        <v>1.086519114688129</v>
      </c>
      <c r="O311" t="s">
        <v>233</v>
      </c>
      <c r="P311" t="s">
        <v>340</v>
      </c>
      <c r="Q311" t="s">
        <v>24</v>
      </c>
      <c r="R311" t="s">
        <v>703</v>
      </c>
    </row>
    <row r="312" spans="1:18" hidden="1" x14ac:dyDescent="0.25">
      <c r="A312" s="2" t="s">
        <v>655</v>
      </c>
      <c r="B312" s="3" t="str">
        <f t="shared" si="6"/>
        <v>18/10/20</v>
      </c>
      <c r="C312" s="10">
        <v>20</v>
      </c>
      <c r="D312" s="10">
        <v>10</v>
      </c>
      <c r="E312" s="10">
        <v>18</v>
      </c>
      <c r="F312" t="s">
        <v>104</v>
      </c>
      <c r="I312" t="s">
        <v>72</v>
      </c>
      <c r="J312" s="4">
        <v>47</v>
      </c>
      <c r="K312">
        <v>1</v>
      </c>
      <c r="L312">
        <v>47</v>
      </c>
      <c r="M312">
        <v>47</v>
      </c>
      <c r="N312" s="5">
        <v>2.3641851106639842</v>
      </c>
      <c r="O312" t="s">
        <v>233</v>
      </c>
      <c r="P312" t="s">
        <v>340</v>
      </c>
      <c r="Q312" t="s">
        <v>24</v>
      </c>
      <c r="R312" t="s">
        <v>704</v>
      </c>
    </row>
    <row r="313" spans="1:18" hidden="1" x14ac:dyDescent="0.25">
      <c r="A313" s="2" t="s">
        <v>655</v>
      </c>
      <c r="B313" s="3" t="str">
        <f t="shared" si="6"/>
        <v>18/10/20</v>
      </c>
      <c r="C313" s="10">
        <v>20</v>
      </c>
      <c r="D313" s="10">
        <v>10</v>
      </c>
      <c r="E313" s="10">
        <v>18</v>
      </c>
      <c r="F313" t="s">
        <v>104</v>
      </c>
      <c r="I313" t="s">
        <v>72</v>
      </c>
      <c r="J313" s="4">
        <v>8.67</v>
      </c>
      <c r="K313">
        <v>1</v>
      </c>
      <c r="L313">
        <v>8.67</v>
      </c>
      <c r="M313">
        <v>8.67</v>
      </c>
      <c r="N313" s="5">
        <v>0.43611670020120724</v>
      </c>
      <c r="O313" t="s">
        <v>233</v>
      </c>
      <c r="P313" t="s">
        <v>340</v>
      </c>
      <c r="Q313" t="s">
        <v>24</v>
      </c>
      <c r="R313" t="s">
        <v>705</v>
      </c>
    </row>
    <row r="314" spans="1:18" hidden="1" x14ac:dyDescent="0.25">
      <c r="A314" s="2" t="s">
        <v>655</v>
      </c>
      <c r="B314" s="3" t="str">
        <f t="shared" si="6"/>
        <v>18/10/20</v>
      </c>
      <c r="C314" s="10">
        <v>20</v>
      </c>
      <c r="D314" s="10">
        <v>10</v>
      </c>
      <c r="E314" s="10">
        <v>18</v>
      </c>
      <c r="F314" t="s">
        <v>1538</v>
      </c>
      <c r="I314" t="s">
        <v>72</v>
      </c>
      <c r="J314" s="4">
        <v>47.56</v>
      </c>
      <c r="K314">
        <v>1</v>
      </c>
      <c r="L314">
        <v>47.56</v>
      </c>
      <c r="M314">
        <v>47.56</v>
      </c>
      <c r="N314" s="5">
        <v>2.3923541247484912</v>
      </c>
      <c r="O314" t="s">
        <v>629</v>
      </c>
      <c r="P314" t="s">
        <v>340</v>
      </c>
      <c r="Q314" t="s">
        <v>24</v>
      </c>
      <c r="R314" t="s">
        <v>1544</v>
      </c>
    </row>
    <row r="315" spans="1:18" hidden="1" x14ac:dyDescent="0.25">
      <c r="A315" s="2" t="s">
        <v>655</v>
      </c>
      <c r="B315" s="3" t="str">
        <f t="shared" si="6"/>
        <v>18/10/20</v>
      </c>
      <c r="C315" s="10">
        <v>20</v>
      </c>
      <c r="D315" s="10">
        <v>10</v>
      </c>
      <c r="E315" s="10">
        <v>18</v>
      </c>
      <c r="F315" t="s">
        <v>81</v>
      </c>
      <c r="H315" t="s">
        <v>63</v>
      </c>
      <c r="I315" t="s">
        <v>50</v>
      </c>
      <c r="J315" s="4">
        <v>190</v>
      </c>
      <c r="K315">
        <v>1</v>
      </c>
      <c r="L315">
        <v>190</v>
      </c>
      <c r="M315" s="8">
        <v>190</v>
      </c>
      <c r="N315" s="5">
        <v>9.557344064386319</v>
      </c>
      <c r="O315" t="s">
        <v>688</v>
      </c>
      <c r="P315" t="s">
        <v>340</v>
      </c>
      <c r="Q315" t="s">
        <v>84</v>
      </c>
      <c r="R315" t="s">
        <v>706</v>
      </c>
    </row>
    <row r="316" spans="1:18" hidden="1" x14ac:dyDescent="0.25">
      <c r="A316" s="2" t="s">
        <v>655</v>
      </c>
      <c r="B316" s="3" t="str">
        <f t="shared" si="6"/>
        <v>18/10/21</v>
      </c>
      <c r="C316" s="10">
        <v>21</v>
      </c>
      <c r="D316" s="10">
        <v>10</v>
      </c>
      <c r="E316" s="10">
        <v>18</v>
      </c>
      <c r="F316" t="s">
        <v>94</v>
      </c>
      <c r="I316" t="s">
        <v>87</v>
      </c>
      <c r="J316" s="4">
        <v>83</v>
      </c>
      <c r="K316">
        <v>1</v>
      </c>
      <c r="L316">
        <v>83</v>
      </c>
      <c r="M316">
        <v>83</v>
      </c>
      <c r="N316" s="5">
        <v>4.1750503018108658</v>
      </c>
      <c r="O316" t="s">
        <v>707</v>
      </c>
      <c r="P316" t="s">
        <v>340</v>
      </c>
      <c r="Q316" t="s">
        <v>24</v>
      </c>
    </row>
    <row r="317" spans="1:18" hidden="1" x14ac:dyDescent="0.25">
      <c r="A317" s="2" t="s">
        <v>655</v>
      </c>
      <c r="B317" s="3" t="str">
        <f t="shared" si="6"/>
        <v>18/10/23</v>
      </c>
      <c r="C317" s="10">
        <v>23</v>
      </c>
      <c r="D317" s="10">
        <v>10</v>
      </c>
      <c r="E317" s="10">
        <v>18</v>
      </c>
      <c r="F317" t="s">
        <v>292</v>
      </c>
      <c r="H317" t="s">
        <v>40</v>
      </c>
      <c r="I317" t="s">
        <v>27</v>
      </c>
      <c r="J317" s="4">
        <v>17</v>
      </c>
      <c r="K317">
        <v>1</v>
      </c>
      <c r="L317">
        <v>17</v>
      </c>
      <c r="M317">
        <v>17</v>
      </c>
      <c r="N317" s="5">
        <v>0.85513078470824955</v>
      </c>
      <c r="O317" t="s">
        <v>100</v>
      </c>
      <c r="P317" t="s">
        <v>340</v>
      </c>
      <c r="Q317" t="s">
        <v>24</v>
      </c>
    </row>
    <row r="318" spans="1:18" hidden="1" x14ac:dyDescent="0.25">
      <c r="A318" s="2" t="s">
        <v>655</v>
      </c>
      <c r="B318" s="3" t="str">
        <f t="shared" si="6"/>
        <v>18/10/23</v>
      </c>
      <c r="C318" s="10">
        <v>23</v>
      </c>
      <c r="D318" s="10">
        <v>10</v>
      </c>
      <c r="E318" s="10">
        <v>18</v>
      </c>
      <c r="F318" t="s">
        <v>708</v>
      </c>
      <c r="G318" t="s">
        <v>708</v>
      </c>
      <c r="H318" t="s">
        <v>131</v>
      </c>
      <c r="I318" t="s">
        <v>27</v>
      </c>
      <c r="J318" s="4">
        <v>219.01</v>
      </c>
      <c r="K318">
        <v>0.19</v>
      </c>
      <c r="L318">
        <v>219.01</v>
      </c>
      <c r="M318">
        <v>41.611899999999999</v>
      </c>
      <c r="N318" s="5">
        <v>2.0931539235412475</v>
      </c>
      <c r="O318" t="s">
        <v>100</v>
      </c>
      <c r="P318" t="s">
        <v>340</v>
      </c>
      <c r="Q318" t="s">
        <v>24</v>
      </c>
    </row>
    <row r="319" spans="1:18" hidden="1" x14ac:dyDescent="0.25">
      <c r="A319" s="2" t="s">
        <v>655</v>
      </c>
      <c r="B319" s="3" t="str">
        <f t="shared" si="6"/>
        <v>18/10/23</v>
      </c>
      <c r="C319" s="10">
        <v>23</v>
      </c>
      <c r="D319" s="10">
        <v>10</v>
      </c>
      <c r="E319" s="10">
        <v>18</v>
      </c>
      <c r="F319" t="s">
        <v>221</v>
      </c>
      <c r="H319" t="s">
        <v>131</v>
      </c>
      <c r="I319" t="s">
        <v>27</v>
      </c>
      <c r="J319" s="4">
        <v>50.25</v>
      </c>
      <c r="K319">
        <v>1</v>
      </c>
      <c r="L319">
        <v>50.25</v>
      </c>
      <c r="M319">
        <v>50.25</v>
      </c>
      <c r="N319" s="5">
        <v>2.5276659959758554</v>
      </c>
      <c r="O319" t="s">
        <v>100</v>
      </c>
      <c r="P319" t="s">
        <v>340</v>
      </c>
      <c r="Q319" t="s">
        <v>84</v>
      </c>
    </row>
    <row r="320" spans="1:18" hidden="1" x14ac:dyDescent="0.25">
      <c r="A320" s="2" t="s">
        <v>655</v>
      </c>
      <c r="B320" s="3" t="str">
        <f t="shared" si="6"/>
        <v>18/10/23</v>
      </c>
      <c r="C320" s="10">
        <v>23</v>
      </c>
      <c r="D320" s="10">
        <v>10</v>
      </c>
      <c r="E320" s="10">
        <v>18</v>
      </c>
      <c r="F320" t="s">
        <v>657</v>
      </c>
      <c r="H320" t="s">
        <v>131</v>
      </c>
      <c r="I320" t="s">
        <v>27</v>
      </c>
      <c r="J320" s="4">
        <v>14</v>
      </c>
      <c r="K320">
        <v>1</v>
      </c>
      <c r="L320">
        <v>14</v>
      </c>
      <c r="M320">
        <v>14</v>
      </c>
      <c r="N320" s="5">
        <v>0.70422535211267612</v>
      </c>
      <c r="O320" t="s">
        <v>100</v>
      </c>
      <c r="P320" t="s">
        <v>340</v>
      </c>
      <c r="Q320" t="s">
        <v>84</v>
      </c>
    </row>
    <row r="321" spans="1:18" hidden="1" x14ac:dyDescent="0.25">
      <c r="A321" s="2" t="s">
        <v>655</v>
      </c>
      <c r="B321" s="3" t="str">
        <f t="shared" si="6"/>
        <v>18/10/24</v>
      </c>
      <c r="C321" s="10">
        <v>24</v>
      </c>
      <c r="D321" s="10">
        <v>10</v>
      </c>
      <c r="E321" s="10">
        <v>18</v>
      </c>
      <c r="F321" t="s">
        <v>1592</v>
      </c>
      <c r="G321" t="s">
        <v>489</v>
      </c>
      <c r="H321" t="s">
        <v>709</v>
      </c>
      <c r="I321" t="s">
        <v>79</v>
      </c>
      <c r="J321" s="4">
        <f>544</f>
        <v>544</v>
      </c>
      <c r="K321">
        <v>1</v>
      </c>
      <c r="L321">
        <v>544</v>
      </c>
      <c r="M321" s="8">
        <v>544</v>
      </c>
      <c r="N321" s="5">
        <v>27.364185110663986</v>
      </c>
      <c r="O321" t="s">
        <v>710</v>
      </c>
      <c r="P321" t="s">
        <v>340</v>
      </c>
      <c r="Q321" t="s">
        <v>24</v>
      </c>
    </row>
    <row r="322" spans="1:18" hidden="1" x14ac:dyDescent="0.25">
      <c r="A322" s="2" t="s">
        <v>655</v>
      </c>
      <c r="B322" s="3" t="str">
        <f t="shared" si="6"/>
        <v>18/10/24</v>
      </c>
      <c r="C322" s="10">
        <v>24</v>
      </c>
      <c r="D322" s="10">
        <v>10</v>
      </c>
      <c r="E322" s="10">
        <v>18</v>
      </c>
      <c r="F322" t="s">
        <v>1592</v>
      </c>
      <c r="G322" t="s">
        <v>304</v>
      </c>
      <c r="H322" t="s">
        <v>709</v>
      </c>
      <c r="I322" t="s">
        <v>79</v>
      </c>
      <c r="J322" s="4">
        <f>1279.9-544</f>
        <v>735.90000000000009</v>
      </c>
      <c r="K322">
        <v>1</v>
      </c>
      <c r="L322">
        <v>735.90000000000009</v>
      </c>
      <c r="M322" s="8">
        <v>735.90000000000009</v>
      </c>
      <c r="N322" s="5">
        <v>37.017102615694171</v>
      </c>
      <c r="O322" t="s">
        <v>710</v>
      </c>
      <c r="P322" t="s">
        <v>340</v>
      </c>
      <c r="Q322" t="s">
        <v>24</v>
      </c>
    </row>
    <row r="323" spans="1:18" hidden="1" x14ac:dyDescent="0.25">
      <c r="A323" s="2" t="s">
        <v>655</v>
      </c>
      <c r="B323" s="3" t="str">
        <f t="shared" si="6"/>
        <v>18/10/25</v>
      </c>
      <c r="C323" s="10">
        <v>25</v>
      </c>
      <c r="D323" s="10">
        <v>10</v>
      </c>
      <c r="E323" s="10">
        <v>18</v>
      </c>
      <c r="F323" t="s">
        <v>711</v>
      </c>
      <c r="G323" t="s">
        <v>708</v>
      </c>
      <c r="H323" t="s">
        <v>131</v>
      </c>
      <c r="I323" t="s">
        <v>27</v>
      </c>
      <c r="J323" s="4">
        <v>128</v>
      </c>
      <c r="K323">
        <v>0.15</v>
      </c>
      <c r="L323">
        <v>128</v>
      </c>
      <c r="M323">
        <v>19.2</v>
      </c>
      <c r="N323" s="5">
        <v>0.96579476861167002</v>
      </c>
      <c r="O323" t="s">
        <v>100</v>
      </c>
      <c r="P323" t="s">
        <v>340</v>
      </c>
      <c r="Q323" t="s">
        <v>24</v>
      </c>
    </row>
    <row r="324" spans="1:18" hidden="1" x14ac:dyDescent="0.25">
      <c r="A324" s="2" t="s">
        <v>655</v>
      </c>
      <c r="B324" s="3" t="str">
        <f t="shared" si="6"/>
        <v>18/10/25</v>
      </c>
      <c r="C324" s="10">
        <v>25</v>
      </c>
      <c r="D324" s="10">
        <v>10</v>
      </c>
      <c r="E324" s="10">
        <v>18</v>
      </c>
      <c r="F324" t="s">
        <v>427</v>
      </c>
      <c r="G324" t="s">
        <v>319</v>
      </c>
      <c r="H324" t="s">
        <v>131</v>
      </c>
      <c r="I324" t="s">
        <v>27</v>
      </c>
      <c r="J324" s="4">
        <v>27</v>
      </c>
      <c r="K324">
        <v>1</v>
      </c>
      <c r="L324">
        <v>27</v>
      </c>
      <c r="M324">
        <v>27</v>
      </c>
      <c r="N324" s="5">
        <v>1.3581488933601611</v>
      </c>
      <c r="O324" t="s">
        <v>100</v>
      </c>
      <c r="P324" t="s">
        <v>340</v>
      </c>
      <c r="Q324" t="s">
        <v>24</v>
      </c>
    </row>
    <row r="325" spans="1:18" hidden="1" x14ac:dyDescent="0.25">
      <c r="A325" s="2" t="s">
        <v>655</v>
      </c>
      <c r="B325" s="3" t="str">
        <f t="shared" si="6"/>
        <v>18/10/25</v>
      </c>
      <c r="C325" s="10">
        <v>25</v>
      </c>
      <c r="D325" s="10">
        <v>10</v>
      </c>
      <c r="E325" s="10">
        <v>18</v>
      </c>
      <c r="F325" t="s">
        <v>89</v>
      </c>
      <c r="G325" t="s">
        <v>31</v>
      </c>
      <c r="H325" t="s">
        <v>26</v>
      </c>
      <c r="I325" t="s">
        <v>27</v>
      </c>
      <c r="J325" s="4">
        <v>5.2</v>
      </c>
      <c r="K325">
        <v>2</v>
      </c>
      <c r="L325">
        <v>5.2</v>
      </c>
      <c r="M325">
        <v>10.4</v>
      </c>
      <c r="N325" s="5">
        <v>0.52313883299798802</v>
      </c>
      <c r="O325" t="s">
        <v>100</v>
      </c>
      <c r="P325" t="s">
        <v>340</v>
      </c>
      <c r="Q325" t="s">
        <v>24</v>
      </c>
    </row>
    <row r="326" spans="1:18" hidden="1" x14ac:dyDescent="0.25">
      <c r="A326" s="2" t="s">
        <v>655</v>
      </c>
      <c r="B326" s="3" t="str">
        <f t="shared" si="6"/>
        <v>18/10/25</v>
      </c>
      <c r="C326" s="10">
        <v>25</v>
      </c>
      <c r="D326" s="10">
        <v>10</v>
      </c>
      <c r="E326" s="10">
        <v>18</v>
      </c>
      <c r="F326" t="s">
        <v>118</v>
      </c>
      <c r="H326" t="s">
        <v>40</v>
      </c>
      <c r="I326" t="s">
        <v>27</v>
      </c>
      <c r="J326" s="4">
        <v>10</v>
      </c>
      <c r="K326">
        <v>1</v>
      </c>
      <c r="L326">
        <v>10</v>
      </c>
      <c r="M326">
        <v>10</v>
      </c>
      <c r="N326" s="5">
        <v>0.50301810865191154</v>
      </c>
      <c r="O326" t="s">
        <v>100</v>
      </c>
      <c r="P326" t="s">
        <v>340</v>
      </c>
      <c r="Q326" t="s">
        <v>24</v>
      </c>
    </row>
    <row r="327" spans="1:18" hidden="1" x14ac:dyDescent="0.25">
      <c r="A327" s="2" t="s">
        <v>655</v>
      </c>
      <c r="B327" s="3" t="str">
        <f t="shared" si="6"/>
        <v>18/10/25</v>
      </c>
      <c r="C327" s="10">
        <v>25</v>
      </c>
      <c r="D327" s="10">
        <v>10</v>
      </c>
      <c r="E327" s="10">
        <v>18</v>
      </c>
      <c r="F327" t="s">
        <v>146</v>
      </c>
      <c r="H327" t="s">
        <v>49</v>
      </c>
      <c r="I327" t="s">
        <v>50</v>
      </c>
      <c r="J327" s="4">
        <v>0.75</v>
      </c>
      <c r="K327">
        <v>1</v>
      </c>
      <c r="L327">
        <v>0.75</v>
      </c>
      <c r="M327" s="8">
        <v>0.75</v>
      </c>
      <c r="N327" s="5">
        <v>3.7726358148893364E-2</v>
      </c>
      <c r="O327" t="s">
        <v>100</v>
      </c>
      <c r="P327" t="s">
        <v>340</v>
      </c>
      <c r="Q327" t="s">
        <v>24</v>
      </c>
    </row>
    <row r="328" spans="1:18" hidden="1" x14ac:dyDescent="0.25">
      <c r="A328" s="2" t="s">
        <v>655</v>
      </c>
      <c r="B328" s="3" t="str">
        <f t="shared" si="6"/>
        <v>18/10/26</v>
      </c>
      <c r="C328" s="10">
        <v>26</v>
      </c>
      <c r="D328" s="10">
        <v>10</v>
      </c>
      <c r="E328" s="10">
        <v>18</v>
      </c>
      <c r="F328" t="s">
        <v>246</v>
      </c>
      <c r="I328" t="s">
        <v>72</v>
      </c>
      <c r="J328" s="4">
        <v>779</v>
      </c>
      <c r="K328">
        <v>1</v>
      </c>
      <c r="L328">
        <v>779</v>
      </c>
      <c r="M328">
        <v>779</v>
      </c>
      <c r="N328" s="5">
        <v>39.185110663983906</v>
      </c>
      <c r="O328" t="s">
        <v>712</v>
      </c>
      <c r="P328" t="s">
        <v>340</v>
      </c>
      <c r="Q328" t="s">
        <v>24</v>
      </c>
    </row>
    <row r="329" spans="1:18" hidden="1" x14ac:dyDescent="0.25">
      <c r="A329" s="2" t="s">
        <v>655</v>
      </c>
      <c r="B329" s="3" t="str">
        <f t="shared" si="6"/>
        <v>18/10/27</v>
      </c>
      <c r="C329" s="10">
        <v>27</v>
      </c>
      <c r="D329" s="10">
        <v>10</v>
      </c>
      <c r="E329" s="10">
        <v>18</v>
      </c>
      <c r="F329" t="s">
        <v>1586</v>
      </c>
      <c r="G329" t="s">
        <v>489</v>
      </c>
      <c r="H329" t="s">
        <v>709</v>
      </c>
      <c r="I329" t="s">
        <v>79</v>
      </c>
      <c r="J329" s="4">
        <v>50</v>
      </c>
      <c r="K329">
        <v>1</v>
      </c>
      <c r="L329">
        <v>50</v>
      </c>
      <c r="M329" s="8">
        <v>50</v>
      </c>
      <c r="N329" s="5">
        <v>2.5150905432595576</v>
      </c>
      <c r="O329" t="s">
        <v>713</v>
      </c>
      <c r="P329" t="s">
        <v>340</v>
      </c>
      <c r="Q329" t="s">
        <v>24</v>
      </c>
    </row>
    <row r="330" spans="1:18" hidden="1" x14ac:dyDescent="0.25">
      <c r="A330" s="2" t="s">
        <v>655</v>
      </c>
      <c r="B330" s="3" t="str">
        <f t="shared" si="6"/>
        <v>18/10/27</v>
      </c>
      <c r="C330" s="10">
        <v>27</v>
      </c>
      <c r="D330" s="10">
        <v>10</v>
      </c>
      <c r="E330" s="10">
        <v>18</v>
      </c>
      <c r="F330" t="s">
        <v>1590</v>
      </c>
      <c r="G330" t="s">
        <v>489</v>
      </c>
      <c r="H330" t="s">
        <v>709</v>
      </c>
      <c r="I330" t="s">
        <v>79</v>
      </c>
      <c r="J330" s="4">
        <v>1088</v>
      </c>
      <c r="K330">
        <v>1</v>
      </c>
      <c r="L330">
        <v>1088</v>
      </c>
      <c r="M330" s="8">
        <v>1088</v>
      </c>
      <c r="N330" s="5">
        <v>54.728370221327971</v>
      </c>
      <c r="O330" t="s">
        <v>39</v>
      </c>
      <c r="Q330" t="s">
        <v>24</v>
      </c>
    </row>
    <row r="331" spans="1:18" hidden="1" x14ac:dyDescent="0.25">
      <c r="A331" s="2" t="s">
        <v>655</v>
      </c>
      <c r="B331" s="3" t="str">
        <f t="shared" si="6"/>
        <v>18/10/27</v>
      </c>
      <c r="C331" s="10">
        <v>27</v>
      </c>
      <c r="D331" s="10">
        <v>10</v>
      </c>
      <c r="E331" s="10">
        <v>18</v>
      </c>
      <c r="F331" t="s">
        <v>1590</v>
      </c>
      <c r="G331" t="s">
        <v>304</v>
      </c>
      <c r="H331" t="s">
        <v>709</v>
      </c>
      <c r="I331" t="s">
        <v>79</v>
      </c>
      <c r="J331" s="4">
        <v>1088</v>
      </c>
      <c r="K331">
        <v>1</v>
      </c>
      <c r="L331">
        <v>1088</v>
      </c>
      <c r="M331" s="8">
        <v>1088</v>
      </c>
      <c r="N331" s="5">
        <v>54.728370221327971</v>
      </c>
      <c r="O331" t="s">
        <v>39</v>
      </c>
      <c r="Q331" t="s">
        <v>24</v>
      </c>
    </row>
    <row r="332" spans="1:18" hidden="1" x14ac:dyDescent="0.25">
      <c r="A332" s="2" t="s">
        <v>655</v>
      </c>
      <c r="B332" s="3" t="str">
        <f t="shared" si="6"/>
        <v>18/10/27</v>
      </c>
      <c r="C332" s="10">
        <v>27</v>
      </c>
      <c r="D332" s="10">
        <v>10</v>
      </c>
      <c r="E332" s="10">
        <v>18</v>
      </c>
      <c r="F332" t="s">
        <v>1586</v>
      </c>
      <c r="G332" t="s">
        <v>489</v>
      </c>
      <c r="H332" t="s">
        <v>709</v>
      </c>
      <c r="I332" t="s">
        <v>79</v>
      </c>
      <c r="J332" s="4">
        <f>200+50+50+50</f>
        <v>350</v>
      </c>
      <c r="K332">
        <v>1</v>
      </c>
      <c r="L332">
        <v>350</v>
      </c>
      <c r="M332" s="8">
        <v>350</v>
      </c>
      <c r="N332" s="5">
        <v>17.605633802816904</v>
      </c>
      <c r="O332" t="s">
        <v>39</v>
      </c>
      <c r="Q332" t="s">
        <v>24</v>
      </c>
      <c r="R332" t="s">
        <v>1549</v>
      </c>
    </row>
    <row r="333" spans="1:18" hidden="1" x14ac:dyDescent="0.25">
      <c r="A333" s="2" t="s">
        <v>655</v>
      </c>
      <c r="B333" s="3" t="str">
        <f t="shared" si="6"/>
        <v>18/10/27</v>
      </c>
      <c r="C333" s="10">
        <v>27</v>
      </c>
      <c r="D333" s="10">
        <v>10</v>
      </c>
      <c r="E333" s="10">
        <v>18</v>
      </c>
      <c r="F333" t="s">
        <v>1586</v>
      </c>
      <c r="G333" t="s">
        <v>304</v>
      </c>
      <c r="H333" t="s">
        <v>709</v>
      </c>
      <c r="I333" t="s">
        <v>79</v>
      </c>
      <c r="J333" s="4">
        <v>150</v>
      </c>
      <c r="K333">
        <v>1</v>
      </c>
      <c r="L333">
        <v>150</v>
      </c>
      <c r="M333" s="8">
        <v>150</v>
      </c>
      <c r="N333" s="5">
        <v>7.5452716297786724</v>
      </c>
      <c r="O333" t="s">
        <v>39</v>
      </c>
      <c r="Q333" t="s">
        <v>24</v>
      </c>
      <c r="R333" t="s">
        <v>1585</v>
      </c>
    </row>
    <row r="334" spans="1:18" hidden="1" x14ac:dyDescent="0.25">
      <c r="A334" s="2" t="s">
        <v>655</v>
      </c>
      <c r="B334" s="3" t="str">
        <f t="shared" si="6"/>
        <v>18/10/27</v>
      </c>
      <c r="C334" s="10">
        <v>27</v>
      </c>
      <c r="D334" s="10">
        <v>10</v>
      </c>
      <c r="E334" s="10">
        <v>18</v>
      </c>
      <c r="F334" t="s">
        <v>596</v>
      </c>
      <c r="H334" t="s">
        <v>56</v>
      </c>
      <c r="I334" t="s">
        <v>27</v>
      </c>
      <c r="J334" s="4">
        <v>30</v>
      </c>
      <c r="K334">
        <v>1.5</v>
      </c>
      <c r="L334">
        <v>30</v>
      </c>
      <c r="M334">
        <v>45</v>
      </c>
      <c r="N334" s="5">
        <v>2.2635814889336019</v>
      </c>
      <c r="O334" t="s">
        <v>593</v>
      </c>
      <c r="P334" t="s">
        <v>340</v>
      </c>
      <c r="Q334" t="s">
        <v>24</v>
      </c>
    </row>
    <row r="335" spans="1:18" hidden="1" x14ac:dyDescent="0.25">
      <c r="A335" s="2" t="s">
        <v>655</v>
      </c>
      <c r="B335" s="3" t="str">
        <f t="shared" si="6"/>
        <v>18/10/27</v>
      </c>
      <c r="C335" s="10">
        <v>27</v>
      </c>
      <c r="D335" s="10">
        <v>10</v>
      </c>
      <c r="E335" s="10">
        <v>18</v>
      </c>
      <c r="F335" t="s">
        <v>184</v>
      </c>
      <c r="G335" t="s">
        <v>304</v>
      </c>
      <c r="H335" t="s">
        <v>184</v>
      </c>
      <c r="I335" t="s">
        <v>79</v>
      </c>
      <c r="J335" s="4">
        <v>135</v>
      </c>
      <c r="K335">
        <v>1</v>
      </c>
      <c r="L335">
        <v>135</v>
      </c>
      <c r="M335" s="8">
        <v>135</v>
      </c>
      <c r="N335" s="5">
        <v>6.7907444668008052</v>
      </c>
      <c r="O335" t="s">
        <v>103</v>
      </c>
      <c r="P335" t="s">
        <v>340</v>
      </c>
      <c r="Q335" t="s">
        <v>24</v>
      </c>
    </row>
    <row r="336" spans="1:18" hidden="1" x14ac:dyDescent="0.25">
      <c r="A336" s="2" t="s">
        <v>655</v>
      </c>
      <c r="B336" s="3" t="str">
        <f t="shared" si="6"/>
        <v>18/10/27</v>
      </c>
      <c r="C336" s="10">
        <v>27</v>
      </c>
      <c r="D336" s="10">
        <v>10</v>
      </c>
      <c r="E336" s="10">
        <v>18</v>
      </c>
      <c r="F336" t="s">
        <v>102</v>
      </c>
      <c r="H336" t="s">
        <v>102</v>
      </c>
      <c r="I336" t="s">
        <v>27</v>
      </c>
      <c r="J336" s="4">
        <v>60</v>
      </c>
      <c r="K336">
        <v>1</v>
      </c>
      <c r="L336">
        <v>60</v>
      </c>
      <c r="M336">
        <v>60</v>
      </c>
      <c r="N336" s="5">
        <v>3.018108651911469</v>
      </c>
      <c r="O336" t="s">
        <v>103</v>
      </c>
      <c r="P336" t="s">
        <v>340</v>
      </c>
      <c r="Q336" t="s">
        <v>24</v>
      </c>
      <c r="R336" t="s">
        <v>714</v>
      </c>
    </row>
    <row r="337" spans="1:18" hidden="1" x14ac:dyDescent="0.25">
      <c r="A337" s="2" t="s">
        <v>655</v>
      </c>
      <c r="B337" s="3" t="str">
        <f t="shared" ref="B337:B353" si="7">CONCATENATE(E337,"/",D337,"/",C337)</f>
        <v>18/10/27</v>
      </c>
      <c r="C337" s="10">
        <v>27</v>
      </c>
      <c r="D337" s="10">
        <v>10</v>
      </c>
      <c r="E337" s="10">
        <v>18</v>
      </c>
      <c r="F337" t="s">
        <v>78</v>
      </c>
      <c r="G337" t="s">
        <v>304</v>
      </c>
      <c r="H337" s="12" t="s">
        <v>78</v>
      </c>
      <c r="I337" t="s">
        <v>79</v>
      </c>
      <c r="J337" s="4">
        <v>18.89</v>
      </c>
      <c r="K337">
        <v>14.92</v>
      </c>
      <c r="L337">
        <v>18.89</v>
      </c>
      <c r="M337">
        <v>0</v>
      </c>
      <c r="N337" s="5">
        <v>0</v>
      </c>
      <c r="O337" t="s">
        <v>80</v>
      </c>
      <c r="P337" t="s">
        <v>340</v>
      </c>
      <c r="Q337" t="s">
        <v>24</v>
      </c>
    </row>
    <row r="338" spans="1:18" hidden="1" x14ac:dyDescent="0.25">
      <c r="A338" s="2" t="s">
        <v>655</v>
      </c>
      <c r="B338" s="3" t="str">
        <f t="shared" si="7"/>
        <v>18/10/27</v>
      </c>
      <c r="C338" s="10">
        <v>27</v>
      </c>
      <c r="D338" s="10">
        <v>10</v>
      </c>
      <c r="E338" s="10">
        <v>18</v>
      </c>
      <c r="F338" t="s">
        <v>78</v>
      </c>
      <c r="G338" t="s">
        <v>304</v>
      </c>
      <c r="H338" s="12" t="s">
        <v>78</v>
      </c>
      <c r="I338" t="s">
        <v>79</v>
      </c>
      <c r="J338" s="4">
        <v>18.89</v>
      </c>
      <c r="K338">
        <v>34.94</v>
      </c>
      <c r="L338">
        <v>18.89</v>
      </c>
      <c r="M338" s="8">
        <v>660.01659999999993</v>
      </c>
      <c r="N338" s="5">
        <v>33.200030181086518</v>
      </c>
      <c r="O338" t="s">
        <v>80</v>
      </c>
      <c r="P338" t="s">
        <v>340</v>
      </c>
      <c r="Q338" t="s">
        <v>24</v>
      </c>
    </row>
    <row r="339" spans="1:18" hidden="1" x14ac:dyDescent="0.25">
      <c r="A339" s="2" t="s">
        <v>655</v>
      </c>
      <c r="B339" s="3" t="str">
        <f t="shared" si="7"/>
        <v>18/10/28</v>
      </c>
      <c r="C339" s="10">
        <v>28</v>
      </c>
      <c r="D339" s="10">
        <v>10</v>
      </c>
      <c r="E339" s="10">
        <v>18</v>
      </c>
      <c r="F339" t="s">
        <v>94</v>
      </c>
      <c r="I339" t="s">
        <v>87</v>
      </c>
      <c r="J339" s="4">
        <f>339/2</f>
        <v>169.5</v>
      </c>
      <c r="K339">
        <v>2</v>
      </c>
      <c r="L339">
        <v>169.5</v>
      </c>
      <c r="M339">
        <v>339</v>
      </c>
      <c r="N339" s="5">
        <v>17.052313883299799</v>
      </c>
      <c r="O339" t="s">
        <v>510</v>
      </c>
      <c r="P339" t="s">
        <v>340</v>
      </c>
      <c r="Q339" t="s">
        <v>24</v>
      </c>
    </row>
    <row r="340" spans="1:18" hidden="1" x14ac:dyDescent="0.25">
      <c r="A340" s="2" t="s">
        <v>655</v>
      </c>
      <c r="B340" s="3" t="str">
        <f t="shared" si="7"/>
        <v>18/10/28</v>
      </c>
      <c r="C340" s="10">
        <v>28</v>
      </c>
      <c r="D340" s="10">
        <v>10</v>
      </c>
      <c r="E340" s="10">
        <v>18</v>
      </c>
      <c r="F340" t="s">
        <v>1292</v>
      </c>
      <c r="G340" t="s">
        <v>58</v>
      </c>
      <c r="H340" t="s">
        <v>59</v>
      </c>
      <c r="I340" t="s">
        <v>27</v>
      </c>
      <c r="J340" s="4">
        <v>99</v>
      </c>
      <c r="K340">
        <v>3</v>
      </c>
      <c r="L340">
        <v>99</v>
      </c>
      <c r="M340">
        <v>297</v>
      </c>
      <c r="N340" s="5">
        <v>14.939637826961771</v>
      </c>
      <c r="O340" t="s">
        <v>510</v>
      </c>
      <c r="P340" t="s">
        <v>340</v>
      </c>
      <c r="Q340" t="s">
        <v>24</v>
      </c>
    </row>
    <row r="341" spans="1:18" hidden="1" x14ac:dyDescent="0.25">
      <c r="A341" s="2" t="s">
        <v>655</v>
      </c>
      <c r="B341" s="3" t="str">
        <f t="shared" si="7"/>
        <v>18/10/28</v>
      </c>
      <c r="C341" s="10">
        <v>28</v>
      </c>
      <c r="D341" s="10">
        <v>10</v>
      </c>
      <c r="E341" s="10">
        <v>18</v>
      </c>
      <c r="F341" t="s">
        <v>715</v>
      </c>
      <c r="G341" t="s">
        <v>58</v>
      </c>
      <c r="H341" t="s">
        <v>59</v>
      </c>
      <c r="I341" t="s">
        <v>27</v>
      </c>
      <c r="J341" s="4">
        <v>200</v>
      </c>
      <c r="K341">
        <v>1</v>
      </c>
      <c r="L341">
        <v>200</v>
      </c>
      <c r="M341">
        <v>200</v>
      </c>
      <c r="N341" s="5">
        <v>10.06036217303823</v>
      </c>
      <c r="O341" t="s">
        <v>510</v>
      </c>
      <c r="P341" t="s">
        <v>340</v>
      </c>
      <c r="Q341" t="s">
        <v>24</v>
      </c>
    </row>
    <row r="342" spans="1:18" hidden="1" x14ac:dyDescent="0.25">
      <c r="A342" s="2" t="s">
        <v>655</v>
      </c>
      <c r="B342" s="3" t="str">
        <f t="shared" si="7"/>
        <v>18/10/28</v>
      </c>
      <c r="C342" s="10">
        <v>28</v>
      </c>
      <c r="D342" s="10">
        <v>10</v>
      </c>
      <c r="E342" s="10">
        <v>18</v>
      </c>
      <c r="F342" t="s">
        <v>716</v>
      </c>
      <c r="H342" t="s">
        <v>53</v>
      </c>
      <c r="I342" t="s">
        <v>27</v>
      </c>
      <c r="J342" s="4">
        <v>7.5</v>
      </c>
      <c r="K342">
        <v>2</v>
      </c>
      <c r="L342">
        <v>7.5</v>
      </c>
      <c r="M342">
        <v>15</v>
      </c>
      <c r="N342" s="5">
        <v>0.75452716297786726</v>
      </c>
      <c r="O342" t="s">
        <v>101</v>
      </c>
      <c r="P342" t="s">
        <v>340</v>
      </c>
      <c r="Q342" t="s">
        <v>24</v>
      </c>
    </row>
    <row r="343" spans="1:18" hidden="1" x14ac:dyDescent="0.25">
      <c r="A343" s="2" t="s">
        <v>655</v>
      </c>
      <c r="B343" s="3" t="str">
        <f t="shared" si="7"/>
        <v>18/10/28</v>
      </c>
      <c r="C343" s="10">
        <v>28</v>
      </c>
      <c r="D343" s="10">
        <v>10</v>
      </c>
      <c r="E343" s="10">
        <v>18</v>
      </c>
      <c r="F343" t="s">
        <v>179</v>
      </c>
      <c r="H343" t="s">
        <v>179</v>
      </c>
      <c r="I343" t="s">
        <v>105</v>
      </c>
      <c r="J343" s="4">
        <v>101</v>
      </c>
      <c r="K343">
        <v>1</v>
      </c>
      <c r="L343">
        <v>101</v>
      </c>
      <c r="M343">
        <v>101</v>
      </c>
      <c r="N343" s="5">
        <v>5.0804828973843064</v>
      </c>
      <c r="O343" t="s">
        <v>39</v>
      </c>
      <c r="Q343" t="s">
        <v>24</v>
      </c>
    </row>
    <row r="344" spans="1:18" hidden="1" x14ac:dyDescent="0.25">
      <c r="A344" s="2" t="s">
        <v>655</v>
      </c>
      <c r="B344" s="3" t="str">
        <f t="shared" si="7"/>
        <v>18/10/28</v>
      </c>
      <c r="C344" s="10">
        <v>28</v>
      </c>
      <c r="D344" s="10">
        <v>10</v>
      </c>
      <c r="E344" s="10">
        <v>18</v>
      </c>
      <c r="F344" t="s">
        <v>176</v>
      </c>
      <c r="H344" t="s">
        <v>176</v>
      </c>
      <c r="I344" t="s">
        <v>105</v>
      </c>
      <c r="J344" s="4">
        <v>220</v>
      </c>
      <c r="K344">
        <v>1</v>
      </c>
      <c r="L344">
        <v>220</v>
      </c>
      <c r="M344">
        <v>220</v>
      </c>
      <c r="N344" s="5">
        <v>11.066398390342053</v>
      </c>
      <c r="O344" t="s">
        <v>39</v>
      </c>
      <c r="Q344" t="s">
        <v>24</v>
      </c>
    </row>
    <row r="345" spans="1:18" hidden="1" x14ac:dyDescent="0.25">
      <c r="A345" s="2" t="s">
        <v>655</v>
      </c>
      <c r="B345" s="3" t="str">
        <f t="shared" si="7"/>
        <v>18/10/28</v>
      </c>
      <c r="C345" s="10">
        <v>28</v>
      </c>
      <c r="D345" s="10">
        <v>10</v>
      </c>
      <c r="E345" s="10">
        <v>18</v>
      </c>
      <c r="F345" t="s">
        <v>168</v>
      </c>
      <c r="H345" t="s">
        <v>168</v>
      </c>
      <c r="I345" t="s">
        <v>105</v>
      </c>
      <c r="J345" s="4">
        <v>476</v>
      </c>
      <c r="K345">
        <v>1</v>
      </c>
      <c r="L345">
        <v>476</v>
      </c>
      <c r="M345">
        <v>476</v>
      </c>
      <c r="N345" s="5">
        <v>23.943661971830988</v>
      </c>
      <c r="O345" t="s">
        <v>39</v>
      </c>
      <c r="Q345" t="s">
        <v>24</v>
      </c>
    </row>
    <row r="346" spans="1:18" hidden="1" x14ac:dyDescent="0.25">
      <c r="A346" s="2" t="s">
        <v>655</v>
      </c>
      <c r="B346" s="3" t="str">
        <f t="shared" si="7"/>
        <v>18/10/28</v>
      </c>
      <c r="C346" s="10">
        <v>28</v>
      </c>
      <c r="D346" s="10">
        <v>10</v>
      </c>
      <c r="E346" s="10">
        <v>18</v>
      </c>
      <c r="F346" t="s">
        <v>169</v>
      </c>
      <c r="H346" t="s">
        <v>170</v>
      </c>
      <c r="I346" t="s">
        <v>105</v>
      </c>
      <c r="J346" s="4">
        <v>210</v>
      </c>
      <c r="K346">
        <v>1</v>
      </c>
      <c r="L346">
        <v>210</v>
      </c>
      <c r="M346">
        <v>210</v>
      </c>
      <c r="N346" s="5">
        <v>10.563380281690142</v>
      </c>
      <c r="O346" t="s">
        <v>39</v>
      </c>
      <c r="Q346" t="s">
        <v>24</v>
      </c>
    </row>
    <row r="347" spans="1:18" hidden="1" x14ac:dyDescent="0.25">
      <c r="A347" s="2" t="s">
        <v>655</v>
      </c>
      <c r="B347" s="3" t="str">
        <f t="shared" si="7"/>
        <v>18/10/29</v>
      </c>
      <c r="C347" s="10">
        <v>29</v>
      </c>
      <c r="D347" s="10">
        <v>10</v>
      </c>
      <c r="E347" s="10">
        <v>18</v>
      </c>
      <c r="F347" t="s">
        <v>1666</v>
      </c>
      <c r="I347" t="s">
        <v>72</v>
      </c>
      <c r="J347" s="4">
        <v>101.9</v>
      </c>
      <c r="K347">
        <v>1</v>
      </c>
      <c r="L347">
        <v>101.9</v>
      </c>
      <c r="M347">
        <v>101.9</v>
      </c>
      <c r="N347" s="5">
        <v>5.1257545271629787</v>
      </c>
      <c r="O347" t="s">
        <v>243</v>
      </c>
      <c r="P347" t="s">
        <v>340</v>
      </c>
      <c r="Q347" t="s">
        <v>24</v>
      </c>
      <c r="R347" t="s">
        <v>717</v>
      </c>
    </row>
    <row r="348" spans="1:18" hidden="1" x14ac:dyDescent="0.25">
      <c r="A348" s="2" t="s">
        <v>655</v>
      </c>
      <c r="B348" s="3" t="str">
        <f t="shared" si="7"/>
        <v>18/10/29</v>
      </c>
      <c r="C348" s="10">
        <v>29</v>
      </c>
      <c r="D348" s="10">
        <v>10</v>
      </c>
      <c r="E348" s="10">
        <v>18</v>
      </c>
      <c r="F348" t="s">
        <v>104</v>
      </c>
      <c r="I348" t="s">
        <v>72</v>
      </c>
      <c r="J348" s="4">
        <v>53.05</v>
      </c>
      <c r="K348">
        <v>1</v>
      </c>
      <c r="L348">
        <v>53.05</v>
      </c>
      <c r="M348">
        <v>53.05</v>
      </c>
      <c r="N348" s="5">
        <v>2.6685110663983904</v>
      </c>
      <c r="O348" t="s">
        <v>243</v>
      </c>
      <c r="P348" t="s">
        <v>340</v>
      </c>
      <c r="Q348" t="s">
        <v>24</v>
      </c>
      <c r="R348" t="s">
        <v>718</v>
      </c>
    </row>
    <row r="349" spans="1:18" hidden="1" x14ac:dyDescent="0.25">
      <c r="A349" s="2" t="s">
        <v>655</v>
      </c>
      <c r="B349" s="3" t="str">
        <f t="shared" si="7"/>
        <v>18/10/29</v>
      </c>
      <c r="C349" s="10">
        <v>29</v>
      </c>
      <c r="D349" s="10">
        <v>10</v>
      </c>
      <c r="E349" s="10">
        <v>18</v>
      </c>
      <c r="F349" t="s">
        <v>55</v>
      </c>
      <c r="H349" t="s">
        <v>56</v>
      </c>
      <c r="I349" t="s">
        <v>27</v>
      </c>
      <c r="J349" s="4">
        <v>19.989999999999998</v>
      </c>
      <c r="K349">
        <v>1.8380000000000001</v>
      </c>
      <c r="L349">
        <v>19.989999999999998</v>
      </c>
      <c r="M349">
        <v>36.741619999999998</v>
      </c>
      <c r="N349" s="5">
        <v>1.8481700201207243</v>
      </c>
      <c r="O349" t="s">
        <v>1472</v>
      </c>
      <c r="P349" t="s">
        <v>340</v>
      </c>
      <c r="Q349" t="s">
        <v>24</v>
      </c>
    </row>
    <row r="350" spans="1:18" hidden="1" x14ac:dyDescent="0.25">
      <c r="A350" s="2" t="s">
        <v>655</v>
      </c>
      <c r="B350" s="3" t="str">
        <f t="shared" si="7"/>
        <v>18/10/29</v>
      </c>
      <c r="C350" s="10">
        <v>29</v>
      </c>
      <c r="D350" s="10">
        <v>10</v>
      </c>
      <c r="E350" s="10">
        <v>18</v>
      </c>
      <c r="F350" t="s">
        <v>89</v>
      </c>
      <c r="G350" t="s">
        <v>31</v>
      </c>
      <c r="H350" t="s">
        <v>26</v>
      </c>
      <c r="I350" t="s">
        <v>27</v>
      </c>
      <c r="J350" s="4">
        <v>13.35</v>
      </c>
      <c r="K350">
        <v>1</v>
      </c>
      <c r="L350">
        <v>13.35</v>
      </c>
      <c r="M350">
        <v>13.35</v>
      </c>
      <c r="N350" s="5">
        <v>0.67152917505030185</v>
      </c>
      <c r="O350" t="s">
        <v>1472</v>
      </c>
      <c r="P350" t="s">
        <v>340</v>
      </c>
      <c r="Q350" t="s">
        <v>24</v>
      </c>
    </row>
    <row r="351" spans="1:18" hidden="1" x14ac:dyDescent="0.25">
      <c r="A351" s="2" t="s">
        <v>655</v>
      </c>
      <c r="B351" s="3" t="str">
        <f t="shared" si="7"/>
        <v>18/10/29</v>
      </c>
      <c r="C351" s="10">
        <v>29</v>
      </c>
      <c r="D351" s="10">
        <v>10</v>
      </c>
      <c r="E351" s="10">
        <v>18</v>
      </c>
      <c r="F351" t="s">
        <v>460</v>
      </c>
      <c r="G351" t="s">
        <v>39</v>
      </c>
      <c r="H351" t="s">
        <v>65</v>
      </c>
      <c r="I351" t="s">
        <v>27</v>
      </c>
      <c r="J351" s="4">
        <v>18</v>
      </c>
      <c r="K351">
        <v>1</v>
      </c>
      <c r="L351">
        <v>18</v>
      </c>
      <c r="M351">
        <v>18</v>
      </c>
      <c r="N351" s="5">
        <v>0.90543259557344069</v>
      </c>
      <c r="O351" t="s">
        <v>1472</v>
      </c>
      <c r="P351" t="s">
        <v>340</v>
      </c>
      <c r="Q351" t="s">
        <v>24</v>
      </c>
    </row>
    <row r="352" spans="1:18" hidden="1" x14ac:dyDescent="0.25">
      <c r="A352" s="2" t="s">
        <v>655</v>
      </c>
      <c r="B352" s="3" t="str">
        <f t="shared" si="7"/>
        <v>18/10/29</v>
      </c>
      <c r="C352" s="10">
        <v>29</v>
      </c>
      <c r="D352" s="10">
        <v>10</v>
      </c>
      <c r="E352" s="10">
        <v>18</v>
      </c>
      <c r="F352" t="s">
        <v>89</v>
      </c>
      <c r="G352" t="s">
        <v>31</v>
      </c>
      <c r="H352" t="s">
        <v>26</v>
      </c>
      <c r="I352" t="s">
        <v>27</v>
      </c>
      <c r="J352" s="4">
        <v>11.21</v>
      </c>
      <c r="K352">
        <v>8</v>
      </c>
      <c r="L352">
        <v>11.21</v>
      </c>
      <c r="M352">
        <v>89.68</v>
      </c>
      <c r="N352" s="5">
        <v>4.5110663983903425</v>
      </c>
      <c r="O352" t="s">
        <v>1472</v>
      </c>
      <c r="P352" t="s">
        <v>340</v>
      </c>
      <c r="Q352" t="s">
        <v>24</v>
      </c>
    </row>
    <row r="353" spans="1:18" hidden="1" x14ac:dyDescent="0.25">
      <c r="A353" s="2" t="s">
        <v>655</v>
      </c>
      <c r="B353" s="3" t="str">
        <f t="shared" si="7"/>
        <v>18/10/29</v>
      </c>
      <c r="C353" s="10">
        <v>29</v>
      </c>
      <c r="D353" s="10">
        <v>10</v>
      </c>
      <c r="E353" s="10">
        <v>18</v>
      </c>
      <c r="F353" t="s">
        <v>202</v>
      </c>
      <c r="H353" t="s">
        <v>54</v>
      </c>
      <c r="I353" t="s">
        <v>27</v>
      </c>
      <c r="J353" s="4">
        <v>64.599999999999994</v>
      </c>
      <c r="K353">
        <v>0.31</v>
      </c>
      <c r="L353">
        <v>64.599999999999994</v>
      </c>
      <c r="M353">
        <v>20.026</v>
      </c>
      <c r="N353" s="5">
        <v>1.0073440643863179</v>
      </c>
      <c r="O353" t="s">
        <v>1472</v>
      </c>
      <c r="P353" t="s">
        <v>340</v>
      </c>
      <c r="Q353" t="s">
        <v>24</v>
      </c>
    </row>
    <row r="354" spans="1:18" hidden="1" x14ac:dyDescent="0.25">
      <c r="A354" s="9" t="s">
        <v>655</v>
      </c>
      <c r="B354" s="3" t="s">
        <v>2037</v>
      </c>
      <c r="C354" s="10">
        <v>29</v>
      </c>
      <c r="D354" s="10">
        <v>10</v>
      </c>
      <c r="E354" s="10">
        <v>18</v>
      </c>
      <c r="F354" t="s">
        <v>71</v>
      </c>
      <c r="G354" t="s">
        <v>889</v>
      </c>
      <c r="H354" t="s">
        <v>889</v>
      </c>
      <c r="I354" t="s">
        <v>72</v>
      </c>
      <c r="J354" s="4">
        <v>150</v>
      </c>
      <c r="K354">
        <v>1</v>
      </c>
      <c r="L354">
        <v>150</v>
      </c>
      <c r="M354">
        <v>150</v>
      </c>
      <c r="N354" s="5">
        <v>7.623359822583625</v>
      </c>
      <c r="O354" t="s">
        <v>39</v>
      </c>
      <c r="P354" t="s">
        <v>340</v>
      </c>
      <c r="Q354" s="10" t="s">
        <v>24</v>
      </c>
    </row>
    <row r="355" spans="1:18" hidden="1" x14ac:dyDescent="0.25">
      <c r="A355" s="2" t="s">
        <v>655</v>
      </c>
      <c r="B355" s="3" t="str">
        <f t="shared" ref="B355:B383" si="8">CONCATENATE(E355,"/",D355,"/",C355)</f>
        <v>18/10/3</v>
      </c>
      <c r="C355" s="10">
        <v>3</v>
      </c>
      <c r="D355" s="10">
        <v>10</v>
      </c>
      <c r="E355" s="10">
        <v>18</v>
      </c>
      <c r="F355" t="s">
        <v>102</v>
      </c>
      <c r="H355" t="s">
        <v>102</v>
      </c>
      <c r="I355" t="s">
        <v>27</v>
      </c>
      <c r="J355" s="4">
        <v>27.35</v>
      </c>
      <c r="K355">
        <v>1</v>
      </c>
      <c r="L355">
        <v>27.35</v>
      </c>
      <c r="M355">
        <v>27.35</v>
      </c>
      <c r="N355" s="5">
        <v>1.3757545271629781</v>
      </c>
      <c r="O355" t="s">
        <v>243</v>
      </c>
      <c r="P355" t="s">
        <v>340</v>
      </c>
      <c r="Q355" t="s">
        <v>24</v>
      </c>
      <c r="R355" t="s">
        <v>719</v>
      </c>
    </row>
    <row r="356" spans="1:18" hidden="1" x14ac:dyDescent="0.25">
      <c r="A356" s="2" t="s">
        <v>655</v>
      </c>
      <c r="B356" s="3" t="str">
        <f t="shared" si="8"/>
        <v>18/10/3</v>
      </c>
      <c r="C356" s="10">
        <v>3</v>
      </c>
      <c r="D356" s="10">
        <v>10</v>
      </c>
      <c r="E356" s="10">
        <v>18</v>
      </c>
      <c r="F356" t="s">
        <v>102</v>
      </c>
      <c r="H356" t="s">
        <v>102</v>
      </c>
      <c r="I356" t="s">
        <v>27</v>
      </c>
      <c r="J356" s="4">
        <v>41.05</v>
      </c>
      <c r="K356">
        <v>1</v>
      </c>
      <c r="L356">
        <v>41.05</v>
      </c>
      <c r="M356">
        <v>41.05</v>
      </c>
      <c r="N356" s="5">
        <v>2.0648893360160967</v>
      </c>
      <c r="O356" t="s">
        <v>243</v>
      </c>
      <c r="P356" t="s">
        <v>340</v>
      </c>
      <c r="Q356" t="s">
        <v>24</v>
      </c>
      <c r="R356" t="s">
        <v>487</v>
      </c>
    </row>
    <row r="357" spans="1:18" hidden="1" x14ac:dyDescent="0.25">
      <c r="A357" s="2" t="s">
        <v>655</v>
      </c>
      <c r="B357" s="3" t="str">
        <f t="shared" si="8"/>
        <v>18/10/3</v>
      </c>
      <c r="C357" s="10">
        <v>3</v>
      </c>
      <c r="D357" s="10">
        <v>10</v>
      </c>
      <c r="E357" s="10">
        <v>18</v>
      </c>
      <c r="F357" t="s">
        <v>102</v>
      </c>
      <c r="H357" t="s">
        <v>102</v>
      </c>
      <c r="I357" t="s">
        <v>27</v>
      </c>
      <c r="J357" s="4">
        <v>33.35</v>
      </c>
      <c r="K357">
        <v>1</v>
      </c>
      <c r="L357">
        <v>33.35</v>
      </c>
      <c r="M357">
        <v>33.35</v>
      </c>
      <c r="N357" s="5">
        <v>1.6775653923541249</v>
      </c>
      <c r="O357" t="s">
        <v>243</v>
      </c>
      <c r="P357" t="s">
        <v>340</v>
      </c>
      <c r="Q357" t="s">
        <v>24</v>
      </c>
      <c r="R357" t="s">
        <v>720</v>
      </c>
    </row>
    <row r="358" spans="1:18" hidden="1" x14ac:dyDescent="0.25">
      <c r="A358" s="2" t="s">
        <v>655</v>
      </c>
      <c r="B358" s="3" t="str">
        <f t="shared" si="8"/>
        <v>18/10/3</v>
      </c>
      <c r="C358" s="10">
        <v>3</v>
      </c>
      <c r="D358" s="10">
        <v>10</v>
      </c>
      <c r="E358" s="10">
        <v>18</v>
      </c>
      <c r="F358" t="s">
        <v>102</v>
      </c>
      <c r="H358" t="s">
        <v>102</v>
      </c>
      <c r="I358" t="s">
        <v>27</v>
      </c>
      <c r="J358" s="4">
        <v>30.6</v>
      </c>
      <c r="K358">
        <v>1</v>
      </c>
      <c r="L358">
        <v>30.6</v>
      </c>
      <c r="M358">
        <v>30.6</v>
      </c>
      <c r="N358" s="5">
        <v>1.5392354124748493</v>
      </c>
      <c r="O358" t="s">
        <v>243</v>
      </c>
      <c r="P358" t="s">
        <v>340</v>
      </c>
      <c r="Q358" t="s">
        <v>24</v>
      </c>
      <c r="R358" t="s">
        <v>681</v>
      </c>
    </row>
    <row r="359" spans="1:18" hidden="1" x14ac:dyDescent="0.25">
      <c r="A359" s="2" t="s">
        <v>655</v>
      </c>
      <c r="B359" s="3" t="str">
        <f t="shared" si="8"/>
        <v>18/10/3</v>
      </c>
      <c r="C359" s="10">
        <v>3</v>
      </c>
      <c r="D359" s="10">
        <v>10</v>
      </c>
      <c r="E359" s="10">
        <v>18</v>
      </c>
      <c r="F359" t="s">
        <v>104</v>
      </c>
      <c r="I359" t="s">
        <v>72</v>
      </c>
      <c r="J359" s="4">
        <v>360</v>
      </c>
      <c r="K359">
        <v>1</v>
      </c>
      <c r="L359">
        <v>360</v>
      </c>
      <c r="M359">
        <v>360</v>
      </c>
      <c r="N359" s="5">
        <v>18.108651911468815</v>
      </c>
      <c r="O359" t="s">
        <v>243</v>
      </c>
      <c r="P359" t="s">
        <v>340</v>
      </c>
      <c r="Q359" t="s">
        <v>24</v>
      </c>
      <c r="R359" t="s">
        <v>721</v>
      </c>
    </row>
    <row r="360" spans="1:18" hidden="1" x14ac:dyDescent="0.25">
      <c r="A360" s="2" t="s">
        <v>655</v>
      </c>
      <c r="B360" s="3" t="str">
        <f t="shared" si="8"/>
        <v>18/10/3</v>
      </c>
      <c r="C360" s="10">
        <v>3</v>
      </c>
      <c r="D360" s="10">
        <v>10</v>
      </c>
      <c r="E360" s="10">
        <v>18</v>
      </c>
      <c r="F360" t="s">
        <v>99</v>
      </c>
      <c r="H360" t="s">
        <v>40</v>
      </c>
      <c r="I360" t="s">
        <v>27</v>
      </c>
      <c r="J360" s="4">
        <v>10</v>
      </c>
      <c r="K360">
        <v>1</v>
      </c>
      <c r="L360">
        <v>10</v>
      </c>
      <c r="M360">
        <v>10</v>
      </c>
      <c r="N360" s="5">
        <v>0.50301810865191154</v>
      </c>
      <c r="O360" t="s">
        <v>100</v>
      </c>
      <c r="P360" t="s">
        <v>340</v>
      </c>
      <c r="Q360" t="s">
        <v>24</v>
      </c>
    </row>
    <row r="361" spans="1:18" hidden="1" x14ac:dyDescent="0.25">
      <c r="A361" s="2" t="s">
        <v>655</v>
      </c>
      <c r="B361" s="3" t="str">
        <f t="shared" si="8"/>
        <v>18/10/3</v>
      </c>
      <c r="C361" s="10">
        <v>3</v>
      </c>
      <c r="D361" s="10">
        <v>10</v>
      </c>
      <c r="E361" s="10">
        <v>18</v>
      </c>
      <c r="F361" t="s">
        <v>922</v>
      </c>
      <c r="G361" t="s">
        <v>155</v>
      </c>
      <c r="H361" t="s">
        <v>131</v>
      </c>
      <c r="I361" t="s">
        <v>27</v>
      </c>
      <c r="J361" s="4">
        <v>67.5</v>
      </c>
      <c r="K361">
        <v>1</v>
      </c>
      <c r="L361">
        <v>67.5</v>
      </c>
      <c r="M361">
        <v>67.5</v>
      </c>
      <c r="N361" s="5">
        <v>3.3953722334004026</v>
      </c>
      <c r="O361" t="s">
        <v>100</v>
      </c>
      <c r="P361" t="s">
        <v>340</v>
      </c>
      <c r="Q361" t="s">
        <v>24</v>
      </c>
    </row>
    <row r="362" spans="1:18" hidden="1" x14ac:dyDescent="0.25">
      <c r="A362" s="2" t="s">
        <v>655</v>
      </c>
      <c r="B362" s="3" t="str">
        <f t="shared" si="8"/>
        <v>18/10/3</v>
      </c>
      <c r="C362" s="10">
        <v>3</v>
      </c>
      <c r="D362" s="10">
        <v>10</v>
      </c>
      <c r="E362" s="10">
        <v>18</v>
      </c>
      <c r="F362" t="s">
        <v>53</v>
      </c>
      <c r="H362" t="s">
        <v>53</v>
      </c>
      <c r="I362" t="s">
        <v>27</v>
      </c>
      <c r="J362" s="4">
        <v>17.899999999999999</v>
      </c>
      <c r="K362">
        <v>2</v>
      </c>
      <c r="L362">
        <v>17.899999999999999</v>
      </c>
      <c r="M362">
        <v>35.799999999999997</v>
      </c>
      <c r="N362" s="5">
        <v>1.800804828973843</v>
      </c>
      <c r="O362" t="s">
        <v>46</v>
      </c>
      <c r="P362" t="s">
        <v>340</v>
      </c>
      <c r="Q362" t="s">
        <v>84</v>
      </c>
    </row>
    <row r="363" spans="1:18" hidden="1" x14ac:dyDescent="0.25">
      <c r="A363" s="2" t="s">
        <v>655</v>
      </c>
      <c r="B363" s="3" t="str">
        <f t="shared" si="8"/>
        <v>18/10/3</v>
      </c>
      <c r="C363" s="10">
        <v>3</v>
      </c>
      <c r="D363" s="10">
        <v>10</v>
      </c>
      <c r="E363" s="10">
        <v>18</v>
      </c>
      <c r="F363" t="s">
        <v>638</v>
      </c>
      <c r="I363" t="s">
        <v>72</v>
      </c>
      <c r="J363" s="4">
        <v>21.29</v>
      </c>
      <c r="K363">
        <v>2</v>
      </c>
      <c r="L363">
        <v>21.29</v>
      </c>
      <c r="M363">
        <v>42.58</v>
      </c>
      <c r="N363" s="5">
        <v>2.1418511066398391</v>
      </c>
      <c r="O363" t="s">
        <v>233</v>
      </c>
      <c r="P363" t="s">
        <v>340</v>
      </c>
      <c r="Q363" t="s">
        <v>24</v>
      </c>
      <c r="R363" t="s">
        <v>638</v>
      </c>
    </row>
    <row r="364" spans="1:18" hidden="1" x14ac:dyDescent="0.25">
      <c r="A364" s="2" t="s">
        <v>655</v>
      </c>
      <c r="B364" s="3" t="str">
        <f t="shared" si="8"/>
        <v>18/10/3</v>
      </c>
      <c r="C364" s="10">
        <v>3</v>
      </c>
      <c r="D364" s="10">
        <v>10</v>
      </c>
      <c r="E364" s="10">
        <v>18</v>
      </c>
      <c r="F364" t="s">
        <v>722</v>
      </c>
      <c r="I364" t="s">
        <v>72</v>
      </c>
      <c r="J364" s="4">
        <v>39.979999999999997</v>
      </c>
      <c r="K364">
        <v>1</v>
      </c>
      <c r="L364">
        <v>39.979999999999997</v>
      </c>
      <c r="M364">
        <v>39.979999999999997</v>
      </c>
      <c r="N364" s="5">
        <v>2.0110663983903421</v>
      </c>
      <c r="O364" t="s">
        <v>233</v>
      </c>
      <c r="P364" t="s">
        <v>340</v>
      </c>
      <c r="Q364" t="s">
        <v>24</v>
      </c>
      <c r="R364" t="s">
        <v>722</v>
      </c>
    </row>
    <row r="365" spans="1:18" hidden="1" x14ac:dyDescent="0.25">
      <c r="A365" s="2" t="s">
        <v>655</v>
      </c>
      <c r="B365" s="3" t="str">
        <f t="shared" si="8"/>
        <v>18/10/30</v>
      </c>
      <c r="C365" s="10">
        <v>30</v>
      </c>
      <c r="D365" s="10">
        <v>10</v>
      </c>
      <c r="E365" s="10">
        <v>18</v>
      </c>
      <c r="F365" t="s">
        <v>146</v>
      </c>
      <c r="H365" t="s">
        <v>49</v>
      </c>
      <c r="I365" t="s">
        <v>50</v>
      </c>
      <c r="J365" s="4">
        <v>0.75</v>
      </c>
      <c r="K365">
        <v>1</v>
      </c>
      <c r="L365">
        <v>0.75</v>
      </c>
      <c r="M365" s="8">
        <v>0.75</v>
      </c>
      <c r="N365" s="5">
        <v>3.7726358148893364E-2</v>
      </c>
      <c r="O365" t="s">
        <v>100</v>
      </c>
      <c r="P365" t="s">
        <v>340</v>
      </c>
      <c r="Q365" t="s">
        <v>24</v>
      </c>
    </row>
    <row r="366" spans="1:18" hidden="1" x14ac:dyDescent="0.25">
      <c r="A366" s="2" t="s">
        <v>655</v>
      </c>
      <c r="B366" s="3" t="str">
        <f t="shared" si="8"/>
        <v>18/10/30</v>
      </c>
      <c r="C366" s="10">
        <v>30</v>
      </c>
      <c r="D366" s="10">
        <v>10</v>
      </c>
      <c r="E366" s="10">
        <v>18</v>
      </c>
      <c r="F366" t="s">
        <v>723</v>
      </c>
      <c r="G366" t="s">
        <v>39</v>
      </c>
      <c r="H366" t="s">
        <v>35</v>
      </c>
      <c r="I366" t="s">
        <v>27</v>
      </c>
      <c r="J366" s="4">
        <v>246.6</v>
      </c>
      <c r="K366">
        <v>0.40400000000000003</v>
      </c>
      <c r="L366">
        <v>246.6</v>
      </c>
      <c r="M366">
        <v>99.626400000000004</v>
      </c>
      <c r="N366" s="5">
        <v>5.01138832997988</v>
      </c>
      <c r="O366" t="s">
        <v>100</v>
      </c>
      <c r="P366" t="s">
        <v>340</v>
      </c>
      <c r="Q366" t="s">
        <v>24</v>
      </c>
    </row>
    <row r="367" spans="1:18" hidden="1" x14ac:dyDescent="0.25">
      <c r="A367" s="2" t="s">
        <v>655</v>
      </c>
      <c r="B367" s="3" t="str">
        <f t="shared" si="8"/>
        <v>18/10/30</v>
      </c>
      <c r="C367" s="10">
        <v>30</v>
      </c>
      <c r="D367" s="10">
        <v>10</v>
      </c>
      <c r="E367" s="10">
        <v>18</v>
      </c>
      <c r="F367" t="s">
        <v>155</v>
      </c>
      <c r="G367" t="s">
        <v>155</v>
      </c>
      <c r="H367" t="s">
        <v>131</v>
      </c>
      <c r="I367" t="s">
        <v>27</v>
      </c>
      <c r="J367" s="4">
        <v>58.75</v>
      </c>
      <c r="K367">
        <v>1</v>
      </c>
      <c r="L367">
        <v>58.75</v>
      </c>
      <c r="M367">
        <v>58.75</v>
      </c>
      <c r="N367" s="5">
        <v>2.9552313883299801</v>
      </c>
      <c r="O367" t="s">
        <v>100</v>
      </c>
      <c r="P367" t="s">
        <v>340</v>
      </c>
      <c r="Q367" t="s">
        <v>24</v>
      </c>
    </row>
    <row r="368" spans="1:18" hidden="1" x14ac:dyDescent="0.25">
      <c r="A368" s="2" t="s">
        <v>655</v>
      </c>
      <c r="B368" s="3" t="str">
        <f t="shared" si="8"/>
        <v>18/10/30</v>
      </c>
      <c r="C368" s="10">
        <v>30</v>
      </c>
      <c r="D368" s="10">
        <v>10</v>
      </c>
      <c r="E368" s="10">
        <v>18</v>
      </c>
      <c r="F368" t="s">
        <v>40</v>
      </c>
      <c r="H368" t="s">
        <v>40</v>
      </c>
      <c r="I368" t="s">
        <v>27</v>
      </c>
      <c r="J368" s="4">
        <v>10</v>
      </c>
      <c r="K368">
        <v>1</v>
      </c>
      <c r="L368">
        <v>10</v>
      </c>
      <c r="M368">
        <v>10</v>
      </c>
      <c r="N368" s="5">
        <v>0.50301810865191154</v>
      </c>
      <c r="O368" t="s">
        <v>100</v>
      </c>
      <c r="P368" t="s">
        <v>340</v>
      </c>
      <c r="Q368" t="s">
        <v>24</v>
      </c>
    </row>
    <row r="369" spans="1:18" hidden="1" x14ac:dyDescent="0.25">
      <c r="A369" s="2" t="s">
        <v>655</v>
      </c>
      <c r="B369" s="3" t="str">
        <f t="shared" si="8"/>
        <v>18/10/30</v>
      </c>
      <c r="C369" s="10">
        <v>30</v>
      </c>
      <c r="D369" s="10">
        <v>10</v>
      </c>
      <c r="E369" s="10">
        <v>18</v>
      </c>
      <c r="F369" t="s">
        <v>369</v>
      </c>
      <c r="G369" t="s">
        <v>210</v>
      </c>
      <c r="H369" t="s">
        <v>131</v>
      </c>
      <c r="I369" t="s">
        <v>27</v>
      </c>
      <c r="J369" s="4">
        <v>54.6</v>
      </c>
      <c r="K369">
        <v>1</v>
      </c>
      <c r="L369">
        <v>54.6</v>
      </c>
      <c r="M369">
        <v>54.6</v>
      </c>
      <c r="N369" s="5">
        <v>2.746478873239437</v>
      </c>
      <c r="O369" t="s">
        <v>100</v>
      </c>
      <c r="P369" t="s">
        <v>340</v>
      </c>
      <c r="Q369" t="s">
        <v>24</v>
      </c>
    </row>
    <row r="370" spans="1:18" hidden="1" x14ac:dyDescent="0.25">
      <c r="A370" s="2" t="s">
        <v>655</v>
      </c>
      <c r="B370" s="3" t="str">
        <f t="shared" si="8"/>
        <v>18/10/30</v>
      </c>
      <c r="C370" s="10">
        <v>30</v>
      </c>
      <c r="D370" s="10">
        <v>10</v>
      </c>
      <c r="E370" s="10">
        <v>18</v>
      </c>
      <c r="F370" t="s">
        <v>724</v>
      </c>
      <c r="I370" t="s">
        <v>431</v>
      </c>
      <c r="J370" s="4">
        <v>1693</v>
      </c>
      <c r="K370">
        <v>1</v>
      </c>
      <c r="L370">
        <v>1693</v>
      </c>
      <c r="M370" s="8">
        <v>1693</v>
      </c>
      <c r="N370" s="5">
        <v>85.160965794768615</v>
      </c>
      <c r="O370" t="s">
        <v>2208</v>
      </c>
      <c r="P370" t="s">
        <v>340</v>
      </c>
      <c r="Q370" t="s">
        <v>24</v>
      </c>
    </row>
    <row r="371" spans="1:18" hidden="1" x14ac:dyDescent="0.25">
      <c r="A371" s="2" t="s">
        <v>655</v>
      </c>
      <c r="B371" s="3" t="str">
        <f t="shared" si="8"/>
        <v>18/10/31</v>
      </c>
      <c r="C371" s="10">
        <v>31</v>
      </c>
      <c r="D371" s="10">
        <v>10</v>
      </c>
      <c r="E371" s="10">
        <v>18</v>
      </c>
      <c r="F371" t="s">
        <v>1609</v>
      </c>
      <c r="H371" t="s">
        <v>308</v>
      </c>
      <c r="I371" t="s">
        <v>22</v>
      </c>
      <c r="J371" s="4">
        <v>350</v>
      </c>
      <c r="K371">
        <v>1</v>
      </c>
      <c r="L371">
        <v>350</v>
      </c>
      <c r="M371">
        <v>350</v>
      </c>
      <c r="N371" s="5">
        <v>17.605633802816904</v>
      </c>
      <c r="O371" t="s">
        <v>725</v>
      </c>
      <c r="P371" t="s">
        <v>340</v>
      </c>
      <c r="Q371" t="s">
        <v>24</v>
      </c>
    </row>
    <row r="372" spans="1:18" hidden="1" x14ac:dyDescent="0.25">
      <c r="A372" s="2" t="s">
        <v>655</v>
      </c>
      <c r="B372" s="3" t="str">
        <f t="shared" si="8"/>
        <v>18/10/31</v>
      </c>
      <c r="C372" s="10">
        <v>31</v>
      </c>
      <c r="D372" s="10">
        <v>10</v>
      </c>
      <c r="E372" s="10">
        <v>18</v>
      </c>
      <c r="F372" t="s">
        <v>126</v>
      </c>
      <c r="H372" t="s">
        <v>63</v>
      </c>
      <c r="I372" t="s">
        <v>27</v>
      </c>
      <c r="J372" s="4">
        <v>40</v>
      </c>
      <c r="K372">
        <v>1</v>
      </c>
      <c r="L372">
        <v>40</v>
      </c>
      <c r="M372">
        <v>40</v>
      </c>
      <c r="N372" s="5">
        <v>2.0120724346076462</v>
      </c>
      <c r="O372" t="s">
        <v>100</v>
      </c>
      <c r="P372" t="s">
        <v>340</v>
      </c>
      <c r="Q372" t="s">
        <v>24</v>
      </c>
    </row>
    <row r="373" spans="1:18" hidden="1" x14ac:dyDescent="0.25">
      <c r="A373" s="2" t="s">
        <v>655</v>
      </c>
      <c r="B373" s="3" t="str">
        <f t="shared" si="8"/>
        <v>18/10/31</v>
      </c>
      <c r="C373" s="10">
        <v>31</v>
      </c>
      <c r="D373" s="10">
        <v>10</v>
      </c>
      <c r="E373" s="10">
        <v>18</v>
      </c>
      <c r="F373" t="s">
        <v>126</v>
      </c>
      <c r="H373" t="s">
        <v>63</v>
      </c>
      <c r="I373" t="s">
        <v>27</v>
      </c>
      <c r="J373" s="4">
        <v>60</v>
      </c>
      <c r="K373">
        <v>1</v>
      </c>
      <c r="L373">
        <v>60</v>
      </c>
      <c r="M373">
        <v>60</v>
      </c>
      <c r="N373" s="5">
        <v>3.018108651911469</v>
      </c>
      <c r="O373" t="s">
        <v>100</v>
      </c>
      <c r="P373" t="s">
        <v>340</v>
      </c>
      <c r="Q373" t="s">
        <v>24</v>
      </c>
    </row>
    <row r="374" spans="1:18" hidden="1" x14ac:dyDescent="0.25">
      <c r="A374" s="2" t="s">
        <v>655</v>
      </c>
      <c r="B374" s="3" t="str">
        <f t="shared" si="8"/>
        <v>18/10/31</v>
      </c>
      <c r="C374" s="10">
        <v>31</v>
      </c>
      <c r="D374" s="10">
        <v>10</v>
      </c>
      <c r="E374" s="10">
        <v>18</v>
      </c>
      <c r="F374" t="s">
        <v>155</v>
      </c>
      <c r="G374" t="s">
        <v>155</v>
      </c>
      <c r="H374" t="s">
        <v>131</v>
      </c>
      <c r="I374" t="s">
        <v>27</v>
      </c>
      <c r="J374" s="4">
        <v>58.75</v>
      </c>
      <c r="K374">
        <v>1</v>
      </c>
      <c r="L374">
        <v>58.75</v>
      </c>
      <c r="M374">
        <v>58.75</v>
      </c>
      <c r="N374" s="5">
        <v>2.9552313883299801</v>
      </c>
      <c r="O374" t="s">
        <v>100</v>
      </c>
      <c r="P374" t="s">
        <v>340</v>
      </c>
      <c r="Q374" t="s">
        <v>24</v>
      </c>
    </row>
    <row r="375" spans="1:18" hidden="1" x14ac:dyDescent="0.25">
      <c r="A375" s="2" t="s">
        <v>655</v>
      </c>
      <c r="B375" s="3" t="str">
        <f t="shared" si="8"/>
        <v>18/10/31</v>
      </c>
      <c r="C375" s="10">
        <v>31</v>
      </c>
      <c r="D375" s="10">
        <v>10</v>
      </c>
      <c r="E375" s="10">
        <v>18</v>
      </c>
      <c r="F375" s="13" t="s">
        <v>475</v>
      </c>
      <c r="H375" t="s">
        <v>62</v>
      </c>
      <c r="I375" t="s">
        <v>27</v>
      </c>
      <c r="J375" s="4">
        <v>28.75</v>
      </c>
      <c r="K375">
        <v>1</v>
      </c>
      <c r="L375">
        <v>28.75</v>
      </c>
      <c r="M375">
        <v>28.75</v>
      </c>
      <c r="N375" s="5">
        <v>1.4461770623742456</v>
      </c>
      <c r="O375" t="s">
        <v>100</v>
      </c>
      <c r="P375" t="s">
        <v>340</v>
      </c>
      <c r="Q375" t="s">
        <v>24</v>
      </c>
    </row>
    <row r="376" spans="1:18" hidden="1" x14ac:dyDescent="0.25">
      <c r="A376" s="2" t="s">
        <v>655</v>
      </c>
      <c r="B376" s="3" t="str">
        <f t="shared" si="8"/>
        <v>18/10/31</v>
      </c>
      <c r="C376" s="10">
        <v>31</v>
      </c>
      <c r="D376" s="10">
        <v>10</v>
      </c>
      <c r="E376" s="10">
        <v>18</v>
      </c>
      <c r="F376" t="s">
        <v>290</v>
      </c>
      <c r="G376" t="s">
        <v>33</v>
      </c>
      <c r="H376" t="s">
        <v>35</v>
      </c>
      <c r="I376" t="s">
        <v>27</v>
      </c>
      <c r="J376" s="4">
        <v>219.6</v>
      </c>
      <c r="K376">
        <v>0.13600000000000001</v>
      </c>
      <c r="L376">
        <v>219.6</v>
      </c>
      <c r="M376">
        <v>29.865600000000001</v>
      </c>
      <c r="N376" s="5">
        <v>1.5022937625754529</v>
      </c>
      <c r="O376" t="s">
        <v>100</v>
      </c>
      <c r="P376" t="s">
        <v>340</v>
      </c>
      <c r="Q376" t="s">
        <v>24</v>
      </c>
    </row>
    <row r="377" spans="1:18" hidden="1" x14ac:dyDescent="0.25">
      <c r="A377" s="2" t="s">
        <v>655</v>
      </c>
      <c r="B377" s="3" t="str">
        <f t="shared" si="8"/>
        <v>18/10/31</v>
      </c>
      <c r="C377" s="10">
        <v>31</v>
      </c>
      <c r="D377" s="10">
        <v>10</v>
      </c>
      <c r="E377" s="10">
        <v>18</v>
      </c>
      <c r="F377" t="s">
        <v>89</v>
      </c>
      <c r="G377" t="s">
        <v>31</v>
      </c>
      <c r="H377" t="s">
        <v>26</v>
      </c>
      <c r="I377" t="s">
        <v>27</v>
      </c>
      <c r="J377" s="4">
        <v>5.2</v>
      </c>
      <c r="K377">
        <v>2</v>
      </c>
      <c r="L377">
        <v>5.2</v>
      </c>
      <c r="M377">
        <v>10.4</v>
      </c>
      <c r="N377" s="5">
        <v>0.52313883299798802</v>
      </c>
      <c r="O377" t="s">
        <v>100</v>
      </c>
      <c r="P377" t="s">
        <v>340</v>
      </c>
      <c r="Q377" t="s">
        <v>24</v>
      </c>
    </row>
    <row r="378" spans="1:18" hidden="1" x14ac:dyDescent="0.25">
      <c r="A378" s="2" t="s">
        <v>655</v>
      </c>
      <c r="B378" s="3" t="str">
        <f t="shared" si="8"/>
        <v>18/10/31</v>
      </c>
      <c r="C378" s="10">
        <v>31</v>
      </c>
      <c r="D378" s="10">
        <v>10</v>
      </c>
      <c r="E378" s="10">
        <v>18</v>
      </c>
      <c r="F378" t="s">
        <v>40</v>
      </c>
      <c r="H378" t="s">
        <v>40</v>
      </c>
      <c r="I378" t="s">
        <v>27</v>
      </c>
      <c r="J378" s="4">
        <v>10</v>
      </c>
      <c r="K378">
        <v>1</v>
      </c>
      <c r="L378">
        <v>10</v>
      </c>
      <c r="M378">
        <v>10</v>
      </c>
      <c r="N378" s="5">
        <v>0.50301810865191154</v>
      </c>
      <c r="O378" t="s">
        <v>100</v>
      </c>
      <c r="P378" t="s">
        <v>340</v>
      </c>
      <c r="Q378" t="s">
        <v>24</v>
      </c>
    </row>
    <row r="379" spans="1:18" hidden="1" x14ac:dyDescent="0.25">
      <c r="A379" s="2" t="s">
        <v>655</v>
      </c>
      <c r="B379" s="3" t="str">
        <f t="shared" si="8"/>
        <v>18/10/31</v>
      </c>
      <c r="C379" s="10">
        <v>31</v>
      </c>
      <c r="D379" s="10">
        <v>10</v>
      </c>
      <c r="E379" s="10">
        <v>18</v>
      </c>
      <c r="F379" t="s">
        <v>341</v>
      </c>
      <c r="G379" t="s">
        <v>25</v>
      </c>
      <c r="H379" t="s">
        <v>26</v>
      </c>
      <c r="I379" t="s">
        <v>27</v>
      </c>
      <c r="J379" s="4">
        <v>228</v>
      </c>
      <c r="K379">
        <v>0.13800000000000001</v>
      </c>
      <c r="L379">
        <v>228</v>
      </c>
      <c r="M379">
        <v>31.464000000000002</v>
      </c>
      <c r="N379" s="5">
        <v>1.5826961770623744</v>
      </c>
      <c r="O379" t="s">
        <v>100</v>
      </c>
      <c r="P379" t="s">
        <v>340</v>
      </c>
      <c r="Q379" t="s">
        <v>24</v>
      </c>
    </row>
    <row r="380" spans="1:18" hidden="1" x14ac:dyDescent="0.25">
      <c r="A380" s="2" t="s">
        <v>726</v>
      </c>
      <c r="B380" s="3" t="str">
        <f t="shared" si="8"/>
        <v>18/10/31</v>
      </c>
      <c r="C380" s="10">
        <v>31</v>
      </c>
      <c r="D380" s="10">
        <v>10</v>
      </c>
      <c r="E380" s="10">
        <v>18</v>
      </c>
      <c r="F380" t="s">
        <v>94</v>
      </c>
      <c r="I380" t="s">
        <v>87</v>
      </c>
      <c r="J380" s="4">
        <v>75</v>
      </c>
      <c r="K380">
        <v>2</v>
      </c>
      <c r="L380">
        <v>75</v>
      </c>
      <c r="M380">
        <v>150</v>
      </c>
      <c r="N380" s="5">
        <v>7.5452716297786724</v>
      </c>
      <c r="O380" t="s">
        <v>727</v>
      </c>
      <c r="P380" t="s">
        <v>340</v>
      </c>
      <c r="Q380" t="s">
        <v>24</v>
      </c>
    </row>
    <row r="381" spans="1:18" hidden="1" x14ac:dyDescent="0.25">
      <c r="A381" s="2" t="s">
        <v>655</v>
      </c>
      <c r="B381" s="3" t="str">
        <f t="shared" si="8"/>
        <v>18/10/4</v>
      </c>
      <c r="C381" s="10">
        <v>4</v>
      </c>
      <c r="D381" s="10">
        <v>10</v>
      </c>
      <c r="E381" s="10">
        <v>18</v>
      </c>
      <c r="F381" t="s">
        <v>104</v>
      </c>
      <c r="I381" t="s">
        <v>72</v>
      </c>
      <c r="J381" s="4">
        <v>40.81</v>
      </c>
      <c r="K381">
        <v>1</v>
      </c>
      <c r="L381">
        <v>40.81</v>
      </c>
      <c r="M381">
        <v>40.81</v>
      </c>
      <c r="N381" s="5">
        <v>2.052816901408451</v>
      </c>
      <c r="O381" t="s">
        <v>233</v>
      </c>
      <c r="P381" t="s">
        <v>340</v>
      </c>
      <c r="Q381" t="s">
        <v>24</v>
      </c>
      <c r="R381" t="s">
        <v>347</v>
      </c>
    </row>
    <row r="382" spans="1:18" hidden="1" x14ac:dyDescent="0.25">
      <c r="A382" s="2" t="s">
        <v>655</v>
      </c>
      <c r="B382" s="3" t="str">
        <f t="shared" si="8"/>
        <v>18/10/4</v>
      </c>
      <c r="C382" s="10">
        <v>4</v>
      </c>
      <c r="D382" s="10">
        <v>10</v>
      </c>
      <c r="E382" s="10">
        <v>18</v>
      </c>
      <c r="F382" t="s">
        <v>104</v>
      </c>
      <c r="I382" t="s">
        <v>72</v>
      </c>
      <c r="J382" s="4">
        <v>83.64</v>
      </c>
      <c r="K382">
        <v>1</v>
      </c>
      <c r="L382">
        <v>83.64</v>
      </c>
      <c r="M382">
        <v>83.64</v>
      </c>
      <c r="N382" s="5">
        <v>4.2072434607645874</v>
      </c>
      <c r="O382" t="s">
        <v>233</v>
      </c>
      <c r="P382" t="s">
        <v>340</v>
      </c>
      <c r="Q382" t="s">
        <v>24</v>
      </c>
      <c r="R382" t="s">
        <v>728</v>
      </c>
    </row>
    <row r="383" spans="1:18" hidden="1" x14ac:dyDescent="0.25">
      <c r="A383" s="2" t="s">
        <v>655</v>
      </c>
      <c r="B383" s="3" t="str">
        <f t="shared" si="8"/>
        <v>18/10/4</v>
      </c>
      <c r="C383" s="10">
        <v>4</v>
      </c>
      <c r="D383" s="10">
        <v>10</v>
      </c>
      <c r="E383" s="10">
        <v>18</v>
      </c>
      <c r="F383" t="s">
        <v>104</v>
      </c>
      <c r="I383" t="s">
        <v>72</v>
      </c>
      <c r="J383" s="4">
        <v>6.54</v>
      </c>
      <c r="K383">
        <v>5</v>
      </c>
      <c r="L383">
        <v>6.54</v>
      </c>
      <c r="M383">
        <v>32.700000000000003</v>
      </c>
      <c r="N383" s="5">
        <v>1.6448692152917508</v>
      </c>
      <c r="O383" t="s">
        <v>233</v>
      </c>
      <c r="P383" t="s">
        <v>340</v>
      </c>
      <c r="Q383" t="s">
        <v>24</v>
      </c>
      <c r="R383" t="s">
        <v>614</v>
      </c>
    </row>
    <row r="384" spans="1:18" hidden="1" x14ac:dyDescent="0.25">
      <c r="A384" s="36" t="str">
        <f>IF(D384=1,"Jan-18",IF(D384=2,"Feb-18",IF(D384=3,"Mar-18",IF(D384=4,"Apr-18",IF(D384=5,"May-18",IF(D384=6,"Jun-18",(IF(D384=7,"Jul-18",IF(D384=8,"Aug-18",IF(D384=9,"Sep-18",IF(D384=10,"Oct-18",IF(D384=11,"Nov-18",IF(D384=12,"Dec-18","...")))))))))))))</f>
        <v>Oct-18</v>
      </c>
      <c r="B384" s="3" t="s">
        <v>1256</v>
      </c>
      <c r="C384" s="10">
        <v>4</v>
      </c>
      <c r="D384" s="10">
        <v>10</v>
      </c>
      <c r="E384" s="10">
        <v>18</v>
      </c>
      <c r="F384" t="s">
        <v>2242</v>
      </c>
      <c r="G384" t="s">
        <v>345</v>
      </c>
      <c r="H384" t="s">
        <v>26</v>
      </c>
      <c r="I384" t="s">
        <v>27</v>
      </c>
      <c r="J384" s="4">
        <v>6.5</v>
      </c>
      <c r="K384">
        <v>1</v>
      </c>
      <c r="L384">
        <v>6.5</v>
      </c>
      <c r="M384">
        <v>6.5</v>
      </c>
      <c r="N384" s="5">
        <v>0.32902137232845891</v>
      </c>
      <c r="O384" t="s">
        <v>101</v>
      </c>
      <c r="P384" t="s">
        <v>340</v>
      </c>
      <c r="Q384" s="10" t="s">
        <v>1102</v>
      </c>
    </row>
    <row r="385" spans="1:18" hidden="1" x14ac:dyDescent="0.25">
      <c r="A385" s="36" t="str">
        <f>IF(D385=1,"Jan-18",IF(D385=2,"Feb-18",IF(D385=3,"Mar-18",IF(D385=4,"Apr-18",IF(D385=5,"May-18",IF(D385=6,"Jun-18",(IF(D385=7,"Jul-18",IF(D385=8,"Aug-18",IF(D385=9,"Sep-18",IF(D385=10,"Oct-18",IF(D385=11,"Nov-18",IF(D385=12,"Dec-18","...")))))))))))))</f>
        <v>Oct-18</v>
      </c>
      <c r="B385" s="3" t="s">
        <v>1256</v>
      </c>
      <c r="C385" s="10">
        <v>4</v>
      </c>
      <c r="D385" s="10">
        <v>10</v>
      </c>
      <c r="E385" s="10">
        <v>18</v>
      </c>
      <c r="F385" t="s">
        <v>234</v>
      </c>
      <c r="G385" t="s">
        <v>889</v>
      </c>
      <c r="H385" t="s">
        <v>53</v>
      </c>
      <c r="I385" t="s">
        <v>27</v>
      </c>
      <c r="J385" s="4">
        <v>20</v>
      </c>
      <c r="K385">
        <v>2</v>
      </c>
      <c r="L385">
        <v>20</v>
      </c>
      <c r="M385">
        <v>40</v>
      </c>
      <c r="N385" s="5">
        <v>2.0247469066366701</v>
      </c>
      <c r="O385" t="s">
        <v>101</v>
      </c>
      <c r="P385" t="s">
        <v>340</v>
      </c>
      <c r="Q385" s="10" t="s">
        <v>1102</v>
      </c>
    </row>
    <row r="386" spans="1:18" hidden="1" x14ac:dyDescent="0.25">
      <c r="A386" s="36" t="str">
        <f>IF(D386=1,"Jan-18",IF(D386=2,"Feb-18",IF(D386=3,"Mar-18",IF(D386=4,"Apr-18",IF(D386=5,"May-18",IF(D386=6,"Jun-18",(IF(D386=7,"Jul-18",IF(D386=8,"Aug-18",IF(D386=9,"Sep-18",IF(D386=10,"Oct-18",IF(D386=11,"Nov-18",IF(D386=12,"Dec-18","...")))))))))))))</f>
        <v>Oct-18</v>
      </c>
      <c r="B386" s="3" t="s">
        <v>1256</v>
      </c>
      <c r="C386" s="10">
        <v>4</v>
      </c>
      <c r="D386" s="10">
        <v>10</v>
      </c>
      <c r="E386" s="10">
        <v>18</v>
      </c>
      <c r="F386" t="s">
        <v>917</v>
      </c>
      <c r="G386" t="s">
        <v>889</v>
      </c>
      <c r="H386" t="s">
        <v>40</v>
      </c>
      <c r="I386" t="s">
        <v>27</v>
      </c>
      <c r="J386" s="4">
        <v>15.6</v>
      </c>
      <c r="K386">
        <v>1</v>
      </c>
      <c r="L386">
        <v>15.6</v>
      </c>
      <c r="M386">
        <v>15.6</v>
      </c>
      <c r="N386" s="5">
        <v>0.78965129358830144</v>
      </c>
      <c r="O386" t="s">
        <v>100</v>
      </c>
      <c r="P386" t="s">
        <v>340</v>
      </c>
      <c r="Q386" s="10" t="s">
        <v>1102</v>
      </c>
    </row>
    <row r="387" spans="1:18" hidden="1" x14ac:dyDescent="0.25">
      <c r="A387" s="36" t="str">
        <f>IF(D387=1,"Jan-18",IF(D387=2,"Feb-18",IF(D387=3,"Mar-18",IF(D387=4,"Apr-18",IF(D387=5,"May-18",IF(D387=6,"Jun-18",(IF(D387=7,"Jul-18",IF(D387=8,"Aug-18",IF(D387=9,"Sep-18",IF(D387=10,"Oct-18",IF(D387=11,"Nov-18",IF(D387=12,"Dec-18","...")))))))))))))</f>
        <v>Oct-18</v>
      </c>
      <c r="B387" s="3" t="s">
        <v>1256</v>
      </c>
      <c r="C387" s="10">
        <v>4</v>
      </c>
      <c r="D387" s="10">
        <v>10</v>
      </c>
      <c r="E387" s="10">
        <v>18</v>
      </c>
      <c r="F387" t="s">
        <v>118</v>
      </c>
      <c r="G387" t="s">
        <v>889</v>
      </c>
      <c r="H387" t="s">
        <v>40</v>
      </c>
      <c r="I387" t="s">
        <v>27</v>
      </c>
      <c r="J387" s="4">
        <v>10</v>
      </c>
      <c r="K387">
        <v>1</v>
      </c>
      <c r="L387">
        <v>10</v>
      </c>
      <c r="M387">
        <v>10</v>
      </c>
      <c r="N387" s="5">
        <v>0.50618672665916753</v>
      </c>
      <c r="O387" t="s">
        <v>100</v>
      </c>
      <c r="P387" t="s">
        <v>340</v>
      </c>
      <c r="Q387" s="10" t="s">
        <v>1102</v>
      </c>
    </row>
    <row r="388" spans="1:18" hidden="1" x14ac:dyDescent="0.25">
      <c r="A388" s="36" t="str">
        <f>IF(D388=1,"Jan-18",IF(D388=2,"Feb-18",IF(D388=3,"Mar-18",IF(D388=4,"Apr-18",IF(D388=5,"May-18",IF(D388=6,"Jun-18",(IF(D388=7,"Jul-18",IF(D388=8,"Aug-18",IF(D388=9,"Sep-18",IF(D388=10,"Oct-18",IF(D388=11,"Nov-18",IF(D388=12,"Dec-18","...")))))))))))))</f>
        <v>Oct-18</v>
      </c>
      <c r="B388" s="3" t="s">
        <v>1256</v>
      </c>
      <c r="C388" s="10">
        <v>4</v>
      </c>
      <c r="D388" s="10">
        <v>10</v>
      </c>
      <c r="E388" s="10">
        <v>18</v>
      </c>
      <c r="F388" t="s">
        <v>146</v>
      </c>
      <c r="H388" t="s">
        <v>49</v>
      </c>
      <c r="I388" t="s">
        <v>50</v>
      </c>
      <c r="J388" s="4">
        <v>0.75</v>
      </c>
      <c r="K388">
        <v>1</v>
      </c>
      <c r="L388">
        <v>0.75</v>
      </c>
      <c r="M388">
        <v>0.75</v>
      </c>
      <c r="N388" s="5">
        <v>3.796400449943757E-2</v>
      </c>
      <c r="O388" t="s">
        <v>100</v>
      </c>
      <c r="P388" t="s">
        <v>340</v>
      </c>
      <c r="Q388" s="10" t="s">
        <v>1102</v>
      </c>
    </row>
    <row r="389" spans="1:18" hidden="1" x14ac:dyDescent="0.25">
      <c r="A389" s="9" t="s">
        <v>655</v>
      </c>
      <c r="B389" s="3" t="s">
        <v>1256</v>
      </c>
      <c r="C389" s="10">
        <v>4</v>
      </c>
      <c r="D389" s="10">
        <v>10</v>
      </c>
      <c r="E389" s="10">
        <v>18</v>
      </c>
      <c r="F389" t="s">
        <v>60</v>
      </c>
      <c r="G389" t="s">
        <v>31</v>
      </c>
      <c r="H389" t="s">
        <v>26</v>
      </c>
      <c r="I389" t="s">
        <v>27</v>
      </c>
      <c r="J389" s="4">
        <v>13.6</v>
      </c>
      <c r="K389">
        <v>1</v>
      </c>
      <c r="L389">
        <v>13.6</v>
      </c>
      <c r="M389">
        <v>13.6</v>
      </c>
      <c r="N389" s="5">
        <v>0.68841394825646784</v>
      </c>
      <c r="O389" t="s">
        <v>597</v>
      </c>
      <c r="P389" t="s">
        <v>340</v>
      </c>
      <c r="Q389" s="10" t="s">
        <v>1102</v>
      </c>
    </row>
    <row r="390" spans="1:18" hidden="1" x14ac:dyDescent="0.25">
      <c r="A390" s="2" t="s">
        <v>655</v>
      </c>
      <c r="B390" s="3" t="str">
        <f t="shared" ref="B390:B453" si="9">CONCATENATE(E390,"/",D390,"/",C390)</f>
        <v>18/10/5</v>
      </c>
      <c r="C390" s="10">
        <v>5</v>
      </c>
      <c r="D390" s="10">
        <v>10</v>
      </c>
      <c r="E390" s="10">
        <v>18</v>
      </c>
      <c r="F390" t="s">
        <v>25</v>
      </c>
      <c r="G390" t="s">
        <v>25</v>
      </c>
      <c r="H390" t="s">
        <v>26</v>
      </c>
      <c r="I390" t="s">
        <v>27</v>
      </c>
      <c r="J390" s="4">
        <v>27</v>
      </c>
      <c r="K390">
        <v>1</v>
      </c>
      <c r="L390">
        <v>27</v>
      </c>
      <c r="M390">
        <v>27</v>
      </c>
      <c r="N390" s="5">
        <v>1.3581488933601611</v>
      </c>
      <c r="O390" t="s">
        <v>1472</v>
      </c>
      <c r="P390" t="s">
        <v>340</v>
      </c>
      <c r="Q390" t="s">
        <v>24</v>
      </c>
    </row>
    <row r="391" spans="1:18" hidden="1" x14ac:dyDescent="0.25">
      <c r="A391" s="2" t="s">
        <v>655</v>
      </c>
      <c r="B391" s="3" t="str">
        <f t="shared" si="9"/>
        <v>18/10/5</v>
      </c>
      <c r="C391" s="10">
        <v>5</v>
      </c>
      <c r="D391" s="10">
        <v>10</v>
      </c>
      <c r="E391" s="10">
        <v>18</v>
      </c>
      <c r="F391" t="s">
        <v>465</v>
      </c>
      <c r="H391" t="s">
        <v>35</v>
      </c>
      <c r="I391" t="s">
        <v>27</v>
      </c>
      <c r="J391" s="4">
        <v>112.5</v>
      </c>
      <c r="K391">
        <v>0.60799999999999998</v>
      </c>
      <c r="L391">
        <v>112.5</v>
      </c>
      <c r="M391">
        <v>68.399999999999991</v>
      </c>
      <c r="N391" s="5">
        <v>3.4406438631790741</v>
      </c>
      <c r="O391" t="s">
        <v>100</v>
      </c>
      <c r="P391" t="s">
        <v>340</v>
      </c>
      <c r="Q391" t="s">
        <v>24</v>
      </c>
    </row>
    <row r="392" spans="1:18" hidden="1" x14ac:dyDescent="0.25">
      <c r="A392" s="2" t="s">
        <v>655</v>
      </c>
      <c r="B392" s="3" t="str">
        <f t="shared" si="9"/>
        <v>18/10/5</v>
      </c>
      <c r="C392" s="10">
        <v>5</v>
      </c>
      <c r="D392" s="10">
        <v>10</v>
      </c>
      <c r="E392" s="10">
        <v>18</v>
      </c>
      <c r="F392" t="s">
        <v>98</v>
      </c>
      <c r="H392" t="s">
        <v>26</v>
      </c>
      <c r="I392" t="s">
        <v>27</v>
      </c>
      <c r="J392" s="4">
        <v>46.75</v>
      </c>
      <c r="K392">
        <v>1</v>
      </c>
      <c r="L392">
        <v>46.75</v>
      </c>
      <c r="M392">
        <v>46.75</v>
      </c>
      <c r="N392" s="5">
        <v>2.3516096579476864</v>
      </c>
      <c r="O392" t="s">
        <v>100</v>
      </c>
      <c r="P392" t="s">
        <v>340</v>
      </c>
      <c r="Q392" t="s">
        <v>24</v>
      </c>
      <c r="R392" t="s">
        <v>1262</v>
      </c>
    </row>
    <row r="393" spans="1:18" hidden="1" x14ac:dyDescent="0.25">
      <c r="A393" s="2" t="s">
        <v>655</v>
      </c>
      <c r="B393" s="3" t="str">
        <f t="shared" si="9"/>
        <v>18/10/5</v>
      </c>
      <c r="C393" s="10">
        <v>5</v>
      </c>
      <c r="D393" s="10">
        <v>10</v>
      </c>
      <c r="E393" s="10">
        <v>18</v>
      </c>
      <c r="F393" t="s">
        <v>99</v>
      </c>
      <c r="H393" t="s">
        <v>40</v>
      </c>
      <c r="I393" t="s">
        <v>27</v>
      </c>
      <c r="J393" s="4">
        <v>10</v>
      </c>
      <c r="K393">
        <v>1</v>
      </c>
      <c r="L393">
        <v>10</v>
      </c>
      <c r="M393">
        <v>10</v>
      </c>
      <c r="N393" s="5">
        <v>0.50301810865191154</v>
      </c>
      <c r="O393" t="s">
        <v>100</v>
      </c>
      <c r="P393" t="s">
        <v>340</v>
      </c>
      <c r="Q393" t="s">
        <v>24</v>
      </c>
    </row>
    <row r="394" spans="1:18" hidden="1" x14ac:dyDescent="0.25">
      <c r="A394" s="2" t="s">
        <v>655</v>
      </c>
      <c r="B394" s="3" t="str">
        <f t="shared" si="9"/>
        <v>18/10/5</v>
      </c>
      <c r="C394" s="10">
        <v>5</v>
      </c>
      <c r="D394" s="10">
        <v>10</v>
      </c>
      <c r="E394" s="10">
        <v>18</v>
      </c>
      <c r="F394" t="s">
        <v>75</v>
      </c>
      <c r="H394" t="s">
        <v>65</v>
      </c>
      <c r="I394" t="s">
        <v>27</v>
      </c>
      <c r="J394" s="4">
        <v>39</v>
      </c>
      <c r="K394">
        <v>1</v>
      </c>
      <c r="L394">
        <v>39</v>
      </c>
      <c r="M394">
        <v>39</v>
      </c>
      <c r="N394" s="5">
        <v>1.9617706237424548</v>
      </c>
      <c r="O394" t="s">
        <v>100</v>
      </c>
      <c r="P394" t="s">
        <v>340</v>
      </c>
      <c r="Q394" t="s">
        <v>24</v>
      </c>
    </row>
    <row r="395" spans="1:18" hidden="1" x14ac:dyDescent="0.25">
      <c r="A395" s="2" t="s">
        <v>655</v>
      </c>
      <c r="B395" s="3" t="str">
        <f t="shared" si="9"/>
        <v>18/10/5</v>
      </c>
      <c r="C395" s="10">
        <v>5</v>
      </c>
      <c r="D395" s="10">
        <v>10</v>
      </c>
      <c r="E395" s="10">
        <v>18</v>
      </c>
      <c r="F395" t="s">
        <v>369</v>
      </c>
      <c r="G395" t="s">
        <v>210</v>
      </c>
      <c r="H395" t="s">
        <v>131</v>
      </c>
      <c r="I395" t="s">
        <v>27</v>
      </c>
      <c r="J395" s="4">
        <v>55</v>
      </c>
      <c r="K395">
        <v>1</v>
      </c>
      <c r="L395">
        <v>55</v>
      </c>
      <c r="M395">
        <v>55</v>
      </c>
      <c r="N395" s="5">
        <v>2.7665995975855133</v>
      </c>
      <c r="O395" t="s">
        <v>100</v>
      </c>
      <c r="P395" t="s">
        <v>340</v>
      </c>
      <c r="Q395" t="s">
        <v>24</v>
      </c>
    </row>
    <row r="396" spans="1:18" hidden="1" x14ac:dyDescent="0.25">
      <c r="A396" s="2" t="s">
        <v>655</v>
      </c>
      <c r="B396" s="3" t="str">
        <f t="shared" si="9"/>
        <v>18/10/5</v>
      </c>
      <c r="C396" s="10">
        <v>5</v>
      </c>
      <c r="D396" s="10">
        <v>10</v>
      </c>
      <c r="E396" s="10">
        <v>18</v>
      </c>
      <c r="F396" t="s">
        <v>146</v>
      </c>
      <c r="H396" t="s">
        <v>49</v>
      </c>
      <c r="I396" t="s">
        <v>50</v>
      </c>
      <c r="J396" s="4">
        <v>0.75</v>
      </c>
      <c r="K396">
        <v>1</v>
      </c>
      <c r="L396">
        <v>0.75</v>
      </c>
      <c r="M396" s="8">
        <v>0.75</v>
      </c>
      <c r="N396" s="5">
        <v>3.7726358148893364E-2</v>
      </c>
      <c r="O396" t="s">
        <v>100</v>
      </c>
      <c r="P396" t="s">
        <v>340</v>
      </c>
      <c r="Q396" t="s">
        <v>24</v>
      </c>
    </row>
    <row r="397" spans="1:18" hidden="1" x14ac:dyDescent="0.25">
      <c r="A397" s="2" t="s">
        <v>655</v>
      </c>
      <c r="B397" s="3" t="str">
        <f t="shared" si="9"/>
        <v>18/10/5</v>
      </c>
      <c r="C397" s="10">
        <v>5</v>
      </c>
      <c r="D397" s="10">
        <v>10</v>
      </c>
      <c r="E397" s="10">
        <v>18</v>
      </c>
      <c r="F397" t="s">
        <v>729</v>
      </c>
      <c r="I397" t="s">
        <v>72</v>
      </c>
      <c r="J397" s="4">
        <v>220.59</v>
      </c>
      <c r="K397">
        <v>0.1</v>
      </c>
      <c r="L397">
        <v>220.59</v>
      </c>
      <c r="M397">
        <v>22.059000000000001</v>
      </c>
      <c r="N397" s="5">
        <v>1.1096076458752515</v>
      </c>
      <c r="O397" t="s">
        <v>629</v>
      </c>
      <c r="P397" t="s">
        <v>340</v>
      </c>
      <c r="Q397" t="s">
        <v>24</v>
      </c>
      <c r="R397" t="s">
        <v>729</v>
      </c>
    </row>
    <row r="398" spans="1:18" hidden="1" x14ac:dyDescent="0.25">
      <c r="A398" s="2" t="s">
        <v>655</v>
      </c>
      <c r="B398" s="3" t="str">
        <f t="shared" si="9"/>
        <v>18/10/5</v>
      </c>
      <c r="C398" s="10">
        <v>5</v>
      </c>
      <c r="D398" s="10">
        <v>10</v>
      </c>
      <c r="E398" s="10">
        <v>18</v>
      </c>
      <c r="F398" t="s">
        <v>730</v>
      </c>
      <c r="I398" t="s">
        <v>72</v>
      </c>
      <c r="J398" s="4">
        <v>45.09</v>
      </c>
      <c r="K398">
        <v>1</v>
      </c>
      <c r="L398">
        <v>45.09</v>
      </c>
      <c r="M398">
        <v>45.09</v>
      </c>
      <c r="N398" s="5">
        <v>2.268108651911469</v>
      </c>
      <c r="O398" t="s">
        <v>629</v>
      </c>
      <c r="P398" t="s">
        <v>340</v>
      </c>
      <c r="Q398" t="s">
        <v>24</v>
      </c>
      <c r="R398" t="s">
        <v>730</v>
      </c>
    </row>
    <row r="399" spans="1:18" hidden="1" x14ac:dyDescent="0.25">
      <c r="A399" s="2" t="s">
        <v>655</v>
      </c>
      <c r="B399" s="3" t="str">
        <f t="shared" si="9"/>
        <v>18/10/5</v>
      </c>
      <c r="C399" s="10">
        <v>5</v>
      </c>
      <c r="D399" s="10">
        <v>10</v>
      </c>
      <c r="E399" s="10">
        <v>18</v>
      </c>
      <c r="F399" t="s">
        <v>731</v>
      </c>
      <c r="I399" t="s">
        <v>72</v>
      </c>
      <c r="J399" s="4">
        <v>8.67</v>
      </c>
      <c r="K399">
        <v>1</v>
      </c>
      <c r="L399">
        <v>8.67</v>
      </c>
      <c r="M399">
        <v>8.67</v>
      </c>
      <c r="N399" s="5">
        <v>0.43611670020120724</v>
      </c>
      <c r="O399" t="s">
        <v>629</v>
      </c>
      <c r="P399" t="s">
        <v>340</v>
      </c>
      <c r="Q399" t="s">
        <v>24</v>
      </c>
      <c r="R399" t="s">
        <v>731</v>
      </c>
    </row>
    <row r="400" spans="1:18" hidden="1" x14ac:dyDescent="0.25">
      <c r="A400" s="2" t="s">
        <v>655</v>
      </c>
      <c r="B400" s="3" t="str">
        <f t="shared" si="9"/>
        <v>18/10/5</v>
      </c>
      <c r="C400" s="10">
        <v>5</v>
      </c>
      <c r="D400" s="10">
        <v>10</v>
      </c>
      <c r="E400" s="10">
        <v>18</v>
      </c>
      <c r="F400" t="s">
        <v>104</v>
      </c>
      <c r="I400" t="s">
        <v>72</v>
      </c>
      <c r="J400" s="4">
        <v>94.24</v>
      </c>
      <c r="K400">
        <v>0.36</v>
      </c>
      <c r="L400">
        <v>94.24</v>
      </c>
      <c r="M400">
        <v>33.926399999999994</v>
      </c>
      <c r="N400" s="5">
        <v>1.7065593561368206</v>
      </c>
      <c r="O400" t="s">
        <v>629</v>
      </c>
      <c r="P400" t="s">
        <v>340</v>
      </c>
      <c r="Q400" t="s">
        <v>24</v>
      </c>
      <c r="R400" t="s">
        <v>614</v>
      </c>
    </row>
    <row r="401" spans="1:18" hidden="1" x14ac:dyDescent="0.25">
      <c r="A401" s="2" t="s">
        <v>655</v>
      </c>
      <c r="B401" s="3" t="str">
        <f t="shared" si="9"/>
        <v>18/10/5</v>
      </c>
      <c r="C401" s="10">
        <v>5</v>
      </c>
      <c r="D401" s="10">
        <v>10</v>
      </c>
      <c r="E401" s="10">
        <v>18</v>
      </c>
      <c r="F401" t="s">
        <v>104</v>
      </c>
      <c r="I401" t="s">
        <v>72</v>
      </c>
      <c r="J401" s="4">
        <v>51.18</v>
      </c>
      <c r="K401">
        <v>1</v>
      </c>
      <c r="L401">
        <v>51.18</v>
      </c>
      <c r="M401">
        <v>51.18</v>
      </c>
      <c r="N401" s="5">
        <v>2.5744466800804831</v>
      </c>
      <c r="O401" t="s">
        <v>233</v>
      </c>
      <c r="P401" t="s">
        <v>340</v>
      </c>
      <c r="Q401" t="s">
        <v>24</v>
      </c>
      <c r="R401" t="s">
        <v>728</v>
      </c>
    </row>
    <row r="402" spans="1:18" hidden="1" x14ac:dyDescent="0.25">
      <c r="A402" s="2" t="s">
        <v>655</v>
      </c>
      <c r="B402" s="3" t="str">
        <f t="shared" si="9"/>
        <v>18/10/5</v>
      </c>
      <c r="C402" s="10">
        <v>5</v>
      </c>
      <c r="D402" s="10">
        <v>10</v>
      </c>
      <c r="E402" s="10">
        <v>18</v>
      </c>
      <c r="F402" t="s">
        <v>104</v>
      </c>
      <c r="I402" t="s">
        <v>72</v>
      </c>
      <c r="J402" s="4">
        <v>40.03</v>
      </c>
      <c r="K402">
        <v>1</v>
      </c>
      <c r="L402">
        <v>40.03</v>
      </c>
      <c r="M402">
        <v>40.03</v>
      </c>
      <c r="N402" s="5">
        <v>2.0135814889336019</v>
      </c>
      <c r="O402" t="s">
        <v>233</v>
      </c>
      <c r="P402" t="s">
        <v>340</v>
      </c>
      <c r="Q402" t="s">
        <v>24</v>
      </c>
      <c r="R402" t="s">
        <v>347</v>
      </c>
    </row>
    <row r="403" spans="1:18" hidden="1" x14ac:dyDescent="0.25">
      <c r="A403" s="2" t="s">
        <v>655</v>
      </c>
      <c r="B403" s="3" t="str">
        <f t="shared" si="9"/>
        <v>18/10/5</v>
      </c>
      <c r="C403" s="10">
        <v>5</v>
      </c>
      <c r="D403" s="10">
        <v>10</v>
      </c>
      <c r="E403" s="10">
        <v>18</v>
      </c>
      <c r="F403" t="s">
        <v>146</v>
      </c>
      <c r="H403" t="s">
        <v>49</v>
      </c>
      <c r="I403" t="s">
        <v>50</v>
      </c>
      <c r="J403" s="4">
        <v>0.15</v>
      </c>
      <c r="K403">
        <v>1</v>
      </c>
      <c r="L403">
        <v>0.15</v>
      </c>
      <c r="M403" s="8">
        <v>0.15</v>
      </c>
      <c r="N403" s="5">
        <v>7.545271629778672E-3</v>
      </c>
      <c r="O403" t="s">
        <v>233</v>
      </c>
      <c r="P403" t="s">
        <v>340</v>
      </c>
      <c r="Q403" t="s">
        <v>24</v>
      </c>
    </row>
    <row r="404" spans="1:18" hidden="1" x14ac:dyDescent="0.25">
      <c r="A404" s="2" t="s">
        <v>655</v>
      </c>
      <c r="B404" s="3" t="str">
        <f t="shared" si="9"/>
        <v>18/10/5</v>
      </c>
      <c r="C404" s="10">
        <v>5</v>
      </c>
      <c r="D404" s="10">
        <v>10</v>
      </c>
      <c r="E404" s="10">
        <v>18</v>
      </c>
      <c r="F404" t="s">
        <v>1666</v>
      </c>
      <c r="I404" t="s">
        <v>72</v>
      </c>
      <c r="J404" s="4">
        <v>65.25</v>
      </c>
      <c r="K404">
        <v>1</v>
      </c>
      <c r="L404">
        <v>65.25</v>
      </c>
      <c r="M404">
        <v>65.25</v>
      </c>
      <c r="N404" s="5">
        <v>3.2821931589537225</v>
      </c>
      <c r="O404" t="s">
        <v>233</v>
      </c>
      <c r="P404" t="s">
        <v>340</v>
      </c>
      <c r="Q404" t="s">
        <v>24</v>
      </c>
      <c r="R404" t="s">
        <v>564</v>
      </c>
    </row>
    <row r="405" spans="1:18" hidden="1" x14ac:dyDescent="0.25">
      <c r="A405" s="2" t="s">
        <v>655</v>
      </c>
      <c r="B405" s="3" t="str">
        <f t="shared" si="9"/>
        <v>18/10/5</v>
      </c>
      <c r="C405" s="10">
        <v>5</v>
      </c>
      <c r="D405" s="10">
        <v>10</v>
      </c>
      <c r="E405" s="10">
        <v>18</v>
      </c>
      <c r="F405" t="s">
        <v>575</v>
      </c>
      <c r="G405" t="s">
        <v>31</v>
      </c>
      <c r="H405" t="s">
        <v>26</v>
      </c>
      <c r="I405" t="s">
        <v>27</v>
      </c>
      <c r="J405" s="4">
        <v>11.45</v>
      </c>
      <c r="K405">
        <v>1</v>
      </c>
      <c r="L405">
        <v>11.45</v>
      </c>
      <c r="M405">
        <v>11.45</v>
      </c>
      <c r="N405" s="5">
        <v>0.57595573440643866</v>
      </c>
      <c r="O405" t="s">
        <v>1472</v>
      </c>
      <c r="P405" t="s">
        <v>340</v>
      </c>
      <c r="Q405" t="s">
        <v>24</v>
      </c>
    </row>
    <row r="406" spans="1:18" hidden="1" x14ac:dyDescent="0.25">
      <c r="A406" s="2" t="s">
        <v>655</v>
      </c>
      <c r="B406" s="3" t="str">
        <f t="shared" si="9"/>
        <v>18/10/5</v>
      </c>
      <c r="C406" s="10">
        <v>5</v>
      </c>
      <c r="D406" s="10">
        <v>10</v>
      </c>
      <c r="E406" s="10">
        <v>18</v>
      </c>
      <c r="F406" t="s">
        <v>146</v>
      </c>
      <c r="H406" t="s">
        <v>49</v>
      </c>
      <c r="I406" t="s">
        <v>50</v>
      </c>
      <c r="J406" s="4">
        <v>1</v>
      </c>
      <c r="K406">
        <v>1</v>
      </c>
      <c r="L406">
        <v>1</v>
      </c>
      <c r="M406">
        <v>1</v>
      </c>
      <c r="N406" s="5">
        <v>5.030181086519115E-2</v>
      </c>
      <c r="O406" t="s">
        <v>1472</v>
      </c>
      <c r="P406" t="s">
        <v>340</v>
      </c>
      <c r="Q406" t="s">
        <v>24</v>
      </c>
    </row>
    <row r="407" spans="1:18" hidden="1" x14ac:dyDescent="0.25">
      <c r="A407" s="2" t="s">
        <v>655</v>
      </c>
      <c r="B407" s="3" t="str">
        <f t="shared" si="9"/>
        <v>18/10/5</v>
      </c>
      <c r="C407" s="10">
        <v>5</v>
      </c>
      <c r="D407" s="10">
        <v>10</v>
      </c>
      <c r="E407" s="10">
        <v>18</v>
      </c>
      <c r="F407" t="s">
        <v>55</v>
      </c>
      <c r="H407" t="s">
        <v>56</v>
      </c>
      <c r="I407" t="s">
        <v>27</v>
      </c>
      <c r="J407" s="4">
        <v>20.13</v>
      </c>
      <c r="K407">
        <v>1.3540000000000001</v>
      </c>
      <c r="L407">
        <v>20.13</v>
      </c>
      <c r="M407">
        <v>27.256019999999999</v>
      </c>
      <c r="N407" s="5">
        <v>1.3710271629778672</v>
      </c>
      <c r="O407" t="s">
        <v>1472</v>
      </c>
      <c r="P407" t="s">
        <v>340</v>
      </c>
      <c r="Q407" t="s">
        <v>24</v>
      </c>
    </row>
    <row r="408" spans="1:18" hidden="1" x14ac:dyDescent="0.25">
      <c r="A408" s="2" t="s">
        <v>655</v>
      </c>
      <c r="B408" s="3" t="str">
        <f t="shared" si="9"/>
        <v>18/10/5</v>
      </c>
      <c r="C408" s="10">
        <v>5</v>
      </c>
      <c r="D408" s="10">
        <v>10</v>
      </c>
      <c r="E408" s="10">
        <v>18</v>
      </c>
      <c r="F408" s="7" t="s">
        <v>166</v>
      </c>
      <c r="G408" t="s">
        <v>77</v>
      </c>
      <c r="H408" t="s">
        <v>26</v>
      </c>
      <c r="I408" t="s">
        <v>27</v>
      </c>
      <c r="J408" s="4">
        <v>17.53</v>
      </c>
      <c r="K408">
        <v>1</v>
      </c>
      <c r="L408">
        <v>17.53</v>
      </c>
      <c r="M408">
        <v>17.53</v>
      </c>
      <c r="N408" s="5">
        <v>0.88179074446680095</v>
      </c>
      <c r="O408" t="s">
        <v>1472</v>
      </c>
      <c r="P408" t="s">
        <v>340</v>
      </c>
      <c r="Q408" t="s">
        <v>24</v>
      </c>
    </row>
    <row r="409" spans="1:18" hidden="1" x14ac:dyDescent="0.25">
      <c r="A409" s="2" t="s">
        <v>655</v>
      </c>
      <c r="B409" s="3" t="str">
        <f t="shared" si="9"/>
        <v>18/10/5</v>
      </c>
      <c r="C409" s="10">
        <v>5</v>
      </c>
      <c r="D409" s="10">
        <v>10</v>
      </c>
      <c r="E409" s="10">
        <v>18</v>
      </c>
      <c r="F409" t="s">
        <v>207</v>
      </c>
      <c r="H409" t="s">
        <v>56</v>
      </c>
      <c r="I409" t="s">
        <v>27</v>
      </c>
      <c r="J409" s="4">
        <v>22.32</v>
      </c>
      <c r="K409">
        <v>0.36</v>
      </c>
      <c r="L409">
        <v>22.32</v>
      </c>
      <c r="M409">
        <v>8.0351999999999997</v>
      </c>
      <c r="N409" s="5">
        <v>0.40418511066398388</v>
      </c>
      <c r="O409" t="s">
        <v>1472</v>
      </c>
      <c r="P409" t="s">
        <v>340</v>
      </c>
      <c r="Q409" t="s">
        <v>24</v>
      </c>
    </row>
    <row r="410" spans="1:18" hidden="1" x14ac:dyDescent="0.25">
      <c r="A410" s="2" t="s">
        <v>655</v>
      </c>
      <c r="B410" s="3" t="str">
        <f t="shared" si="9"/>
        <v>18/10/6</v>
      </c>
      <c r="C410" s="10">
        <v>6</v>
      </c>
      <c r="D410" s="10">
        <v>10</v>
      </c>
      <c r="E410" s="10">
        <v>18</v>
      </c>
      <c r="F410" t="s">
        <v>729</v>
      </c>
      <c r="I410" t="s">
        <v>72</v>
      </c>
      <c r="J410" s="4">
        <v>7.64</v>
      </c>
      <c r="K410">
        <v>2</v>
      </c>
      <c r="L410">
        <v>7.64</v>
      </c>
      <c r="M410">
        <v>15.28</v>
      </c>
      <c r="N410" s="5">
        <v>0.76861167002012076</v>
      </c>
      <c r="O410" t="s">
        <v>243</v>
      </c>
      <c r="P410" t="s">
        <v>340</v>
      </c>
      <c r="Q410" t="s">
        <v>24</v>
      </c>
      <c r="R410" t="s">
        <v>729</v>
      </c>
    </row>
    <row r="411" spans="1:18" hidden="1" x14ac:dyDescent="0.25">
      <c r="A411" s="2" t="s">
        <v>655</v>
      </c>
      <c r="B411" s="3" t="str">
        <f t="shared" si="9"/>
        <v>18/10/6</v>
      </c>
      <c r="C411" s="10">
        <v>6</v>
      </c>
      <c r="D411" s="10">
        <v>10</v>
      </c>
      <c r="E411" s="10">
        <v>18</v>
      </c>
      <c r="F411" t="s">
        <v>732</v>
      </c>
      <c r="I411" t="s">
        <v>72</v>
      </c>
      <c r="J411" s="4">
        <v>9.4499999999999993</v>
      </c>
      <c r="K411">
        <v>1</v>
      </c>
      <c r="L411">
        <v>9.4499999999999993</v>
      </c>
      <c r="M411">
        <v>9.4499999999999993</v>
      </c>
      <c r="N411" s="5">
        <v>0.47535211267605632</v>
      </c>
      <c r="O411" t="s">
        <v>243</v>
      </c>
      <c r="P411" t="s">
        <v>340</v>
      </c>
      <c r="Q411" t="s">
        <v>24</v>
      </c>
      <c r="R411" t="s">
        <v>732</v>
      </c>
    </row>
    <row r="412" spans="1:18" hidden="1" x14ac:dyDescent="0.25">
      <c r="A412" s="2" t="s">
        <v>655</v>
      </c>
      <c r="B412" s="3" t="str">
        <f t="shared" si="9"/>
        <v>18/10/6</v>
      </c>
      <c r="C412" s="10">
        <v>6</v>
      </c>
      <c r="D412" s="10">
        <v>10</v>
      </c>
      <c r="E412" s="10">
        <v>18</v>
      </c>
      <c r="F412" t="s">
        <v>104</v>
      </c>
      <c r="I412" t="s">
        <v>72</v>
      </c>
      <c r="J412" s="4">
        <v>40.799999999999997</v>
      </c>
      <c r="K412">
        <v>1</v>
      </c>
      <c r="L412">
        <v>40.799999999999997</v>
      </c>
      <c r="M412">
        <v>40.799999999999997</v>
      </c>
      <c r="N412" s="5">
        <v>2.0523138832997989</v>
      </c>
      <c r="O412" t="s">
        <v>243</v>
      </c>
      <c r="P412" t="s">
        <v>340</v>
      </c>
      <c r="Q412" t="s">
        <v>24</v>
      </c>
      <c r="R412" t="s">
        <v>347</v>
      </c>
    </row>
    <row r="413" spans="1:18" hidden="1" x14ac:dyDescent="0.25">
      <c r="A413" s="2" t="s">
        <v>655</v>
      </c>
      <c r="B413" s="3" t="str">
        <f t="shared" si="9"/>
        <v>18/10/6</v>
      </c>
      <c r="C413" s="10">
        <v>6</v>
      </c>
      <c r="D413" s="10">
        <v>10</v>
      </c>
      <c r="E413" s="10">
        <v>18</v>
      </c>
      <c r="F413" t="s">
        <v>104</v>
      </c>
      <c r="I413" t="s">
        <v>72</v>
      </c>
      <c r="J413" s="4">
        <v>151.68</v>
      </c>
      <c r="K413">
        <v>1</v>
      </c>
      <c r="L413">
        <v>151.68</v>
      </c>
      <c r="M413">
        <v>151.68</v>
      </c>
      <c r="N413" s="5">
        <v>7.6297786720321943</v>
      </c>
      <c r="O413" t="s">
        <v>243</v>
      </c>
      <c r="P413" t="s">
        <v>340</v>
      </c>
      <c r="Q413" t="s">
        <v>24</v>
      </c>
      <c r="R413" t="s">
        <v>733</v>
      </c>
    </row>
    <row r="414" spans="1:18" hidden="1" x14ac:dyDescent="0.25">
      <c r="A414" s="2" t="s">
        <v>655</v>
      </c>
      <c r="B414" s="3" t="str">
        <f t="shared" si="9"/>
        <v>18/10/6</v>
      </c>
      <c r="C414" s="10">
        <v>6</v>
      </c>
      <c r="D414" s="10">
        <v>10</v>
      </c>
      <c r="E414" s="10">
        <v>18</v>
      </c>
      <c r="F414" t="s">
        <v>234</v>
      </c>
      <c r="H414" t="s">
        <v>53</v>
      </c>
      <c r="I414" t="s">
        <v>27</v>
      </c>
      <c r="J414" s="4">
        <v>20</v>
      </c>
      <c r="K414">
        <v>1</v>
      </c>
      <c r="L414">
        <v>20</v>
      </c>
      <c r="M414">
        <v>20</v>
      </c>
      <c r="N414" s="5">
        <v>1.0060362173038231</v>
      </c>
      <c r="O414" t="s">
        <v>101</v>
      </c>
      <c r="P414" t="s">
        <v>340</v>
      </c>
      <c r="Q414" t="s">
        <v>24</v>
      </c>
    </row>
    <row r="415" spans="1:18" hidden="1" x14ac:dyDescent="0.25">
      <c r="A415" s="2" t="s">
        <v>655</v>
      </c>
      <c r="B415" s="3" t="str">
        <f t="shared" si="9"/>
        <v>18/10/6</v>
      </c>
      <c r="C415" s="10">
        <v>6</v>
      </c>
      <c r="D415" s="10">
        <v>10</v>
      </c>
      <c r="E415" s="10">
        <v>18</v>
      </c>
      <c r="F415" t="s">
        <v>734</v>
      </c>
      <c r="H415" t="s">
        <v>63</v>
      </c>
      <c r="I415" t="s">
        <v>27</v>
      </c>
      <c r="J415" s="4">
        <v>6.9</v>
      </c>
      <c r="K415">
        <v>1</v>
      </c>
      <c r="L415">
        <v>6.9</v>
      </c>
      <c r="M415">
        <v>6.9</v>
      </c>
      <c r="N415" s="5">
        <v>0.34708249496981897</v>
      </c>
      <c r="O415" t="s">
        <v>101</v>
      </c>
      <c r="P415" t="s">
        <v>340</v>
      </c>
      <c r="Q415" t="s">
        <v>24</v>
      </c>
    </row>
    <row r="416" spans="1:18" hidden="1" x14ac:dyDescent="0.25">
      <c r="A416" s="2" t="s">
        <v>655</v>
      </c>
      <c r="B416" s="3" t="str">
        <f t="shared" si="9"/>
        <v>18/10/8</v>
      </c>
      <c r="C416" s="10">
        <v>8</v>
      </c>
      <c r="D416" s="10">
        <v>10</v>
      </c>
      <c r="E416" s="10">
        <v>18</v>
      </c>
      <c r="F416" t="s">
        <v>207</v>
      </c>
      <c r="H416" t="s">
        <v>56</v>
      </c>
      <c r="I416" t="s">
        <v>27</v>
      </c>
      <c r="J416" s="4">
        <v>21.6</v>
      </c>
      <c r="K416">
        <v>1</v>
      </c>
      <c r="L416">
        <v>21.6</v>
      </c>
      <c r="M416">
        <v>21.6</v>
      </c>
      <c r="N416" s="5">
        <v>1.086519114688129</v>
      </c>
      <c r="O416" t="s">
        <v>735</v>
      </c>
      <c r="P416" t="s">
        <v>340</v>
      </c>
      <c r="Q416" t="s">
        <v>24</v>
      </c>
    </row>
    <row r="417" spans="1:18" hidden="1" x14ac:dyDescent="0.25">
      <c r="A417" s="2" t="s">
        <v>655</v>
      </c>
      <c r="B417" s="3" t="str">
        <f t="shared" si="9"/>
        <v>18/10/8</v>
      </c>
      <c r="C417" s="10">
        <v>8</v>
      </c>
      <c r="D417" s="10">
        <v>10</v>
      </c>
      <c r="E417" s="10">
        <v>18</v>
      </c>
      <c r="F417" t="s">
        <v>234</v>
      </c>
      <c r="H417" t="s">
        <v>53</v>
      </c>
      <c r="I417" t="s">
        <v>27</v>
      </c>
      <c r="J417" s="4">
        <v>20</v>
      </c>
      <c r="K417">
        <v>1</v>
      </c>
      <c r="L417">
        <v>20</v>
      </c>
      <c r="M417">
        <v>20</v>
      </c>
      <c r="N417" s="5">
        <v>1.0060362173038231</v>
      </c>
      <c r="O417" t="s">
        <v>101</v>
      </c>
      <c r="P417" t="s">
        <v>340</v>
      </c>
      <c r="Q417" t="s">
        <v>24</v>
      </c>
    </row>
    <row r="418" spans="1:18" hidden="1" x14ac:dyDescent="0.25">
      <c r="A418" s="2" t="s">
        <v>655</v>
      </c>
      <c r="B418" s="3" t="str">
        <f t="shared" si="9"/>
        <v>18/10/8</v>
      </c>
      <c r="C418" s="10">
        <v>8</v>
      </c>
      <c r="D418" s="10">
        <v>10</v>
      </c>
      <c r="E418" s="10">
        <v>18</v>
      </c>
      <c r="F418" t="s">
        <v>770</v>
      </c>
      <c r="G418" t="s">
        <v>31</v>
      </c>
      <c r="H418" t="s">
        <v>26</v>
      </c>
      <c r="I418" t="s">
        <v>27</v>
      </c>
      <c r="J418" s="4">
        <v>7.75</v>
      </c>
      <c r="K418">
        <v>1</v>
      </c>
      <c r="L418">
        <v>7.75</v>
      </c>
      <c r="M418">
        <v>7.75</v>
      </c>
      <c r="N418" s="5">
        <v>0.38983903420523142</v>
      </c>
      <c r="O418" t="s">
        <v>101</v>
      </c>
      <c r="P418" t="s">
        <v>340</v>
      </c>
      <c r="Q418" t="s">
        <v>24</v>
      </c>
    </row>
    <row r="419" spans="1:18" hidden="1" x14ac:dyDescent="0.25">
      <c r="A419" s="2" t="s">
        <v>655</v>
      </c>
      <c r="B419" s="3" t="str">
        <f t="shared" si="9"/>
        <v>18/10/8</v>
      </c>
      <c r="C419" s="10">
        <v>8</v>
      </c>
      <c r="D419" s="10">
        <v>10</v>
      </c>
      <c r="E419" s="10">
        <v>18</v>
      </c>
      <c r="F419" t="s">
        <v>60</v>
      </c>
      <c r="G419" t="s">
        <v>31</v>
      </c>
      <c r="H419" t="s">
        <v>26</v>
      </c>
      <c r="I419" t="s">
        <v>27</v>
      </c>
      <c r="J419" s="4">
        <v>6.75</v>
      </c>
      <c r="K419">
        <v>1</v>
      </c>
      <c r="L419">
        <v>6.75</v>
      </c>
      <c r="M419">
        <v>6.75</v>
      </c>
      <c r="N419" s="5">
        <v>0.33953722334004027</v>
      </c>
      <c r="O419" t="s">
        <v>101</v>
      </c>
      <c r="P419" t="s">
        <v>340</v>
      </c>
      <c r="Q419" t="s">
        <v>24</v>
      </c>
    </row>
    <row r="420" spans="1:18" hidden="1" x14ac:dyDescent="0.25">
      <c r="A420" s="2" t="s">
        <v>655</v>
      </c>
      <c r="B420" s="3" t="str">
        <f t="shared" si="9"/>
        <v>18/10/8</v>
      </c>
      <c r="C420" s="10">
        <v>8</v>
      </c>
      <c r="D420" s="10">
        <v>10</v>
      </c>
      <c r="E420" s="10">
        <v>18</v>
      </c>
      <c r="F420" t="s">
        <v>47</v>
      </c>
      <c r="G420" t="s">
        <v>31</v>
      </c>
      <c r="H420" t="s">
        <v>26</v>
      </c>
      <c r="I420" t="s">
        <v>27</v>
      </c>
      <c r="J420" s="4">
        <v>6.25</v>
      </c>
      <c r="K420">
        <v>1</v>
      </c>
      <c r="L420">
        <v>6.25</v>
      </c>
      <c r="M420">
        <v>6.25</v>
      </c>
      <c r="N420" s="5">
        <v>0.3143863179074447</v>
      </c>
      <c r="O420" t="s">
        <v>101</v>
      </c>
      <c r="P420" t="s">
        <v>340</v>
      </c>
      <c r="Q420" t="s">
        <v>24</v>
      </c>
    </row>
    <row r="421" spans="1:18" hidden="1" x14ac:dyDescent="0.25">
      <c r="A421" s="2" t="s">
        <v>655</v>
      </c>
      <c r="B421" s="3" t="str">
        <f t="shared" si="9"/>
        <v>18/10/8</v>
      </c>
      <c r="C421" s="10">
        <v>8</v>
      </c>
      <c r="D421" s="10">
        <v>10</v>
      </c>
      <c r="E421" s="10">
        <v>18</v>
      </c>
      <c r="F421" t="s">
        <v>372</v>
      </c>
      <c r="G421" t="s">
        <v>373</v>
      </c>
      <c r="H421" t="s">
        <v>65</v>
      </c>
      <c r="I421" t="s">
        <v>27</v>
      </c>
      <c r="J421" s="4">
        <v>8.5</v>
      </c>
      <c r="K421">
        <v>1</v>
      </c>
      <c r="L421">
        <v>8.5</v>
      </c>
      <c r="M421">
        <v>8.5</v>
      </c>
      <c r="N421" s="5">
        <v>0.42756539235412477</v>
      </c>
      <c r="O421" t="s">
        <v>101</v>
      </c>
      <c r="P421" t="s">
        <v>340</v>
      </c>
      <c r="Q421" t="s">
        <v>24</v>
      </c>
    </row>
    <row r="422" spans="1:18" hidden="1" x14ac:dyDescent="0.25">
      <c r="A422" s="2" t="s">
        <v>655</v>
      </c>
      <c r="B422" s="3" t="str">
        <f t="shared" si="9"/>
        <v>18/10/8</v>
      </c>
      <c r="C422" s="10">
        <v>8</v>
      </c>
      <c r="D422" s="10">
        <v>10</v>
      </c>
      <c r="E422" s="10">
        <v>18</v>
      </c>
      <c r="F422" t="s">
        <v>104</v>
      </c>
      <c r="I422" t="s">
        <v>72</v>
      </c>
      <c r="J422" s="4">
        <v>179.5</v>
      </c>
      <c r="K422">
        <v>0.4</v>
      </c>
      <c r="L422">
        <v>179.5</v>
      </c>
      <c r="M422">
        <v>71.8</v>
      </c>
      <c r="N422" s="5">
        <v>3.6116700201207244</v>
      </c>
      <c r="O422" t="s">
        <v>1659</v>
      </c>
      <c r="P422" t="s">
        <v>340</v>
      </c>
      <c r="Q422" t="s">
        <v>24</v>
      </c>
      <c r="R422" t="s">
        <v>347</v>
      </c>
    </row>
    <row r="423" spans="1:18" hidden="1" x14ac:dyDescent="0.25">
      <c r="A423" s="2" t="s">
        <v>655</v>
      </c>
      <c r="B423" s="3" t="str">
        <f t="shared" si="9"/>
        <v>18/10/8</v>
      </c>
      <c r="C423" s="10">
        <v>8</v>
      </c>
      <c r="D423" s="10">
        <v>10</v>
      </c>
      <c r="E423" s="10">
        <v>18</v>
      </c>
      <c r="F423" t="s">
        <v>104</v>
      </c>
      <c r="I423" t="s">
        <v>72</v>
      </c>
      <c r="J423" s="4">
        <v>94.59</v>
      </c>
      <c r="K423">
        <v>0.5</v>
      </c>
      <c r="L423">
        <v>94.59</v>
      </c>
      <c r="M423">
        <v>47.295000000000002</v>
      </c>
      <c r="N423" s="5">
        <v>2.3790241448692155</v>
      </c>
      <c r="O423" t="s">
        <v>1659</v>
      </c>
      <c r="P423" t="s">
        <v>340</v>
      </c>
      <c r="Q423" t="s">
        <v>24</v>
      </c>
      <c r="R423" t="s">
        <v>728</v>
      </c>
    </row>
    <row r="424" spans="1:18" hidden="1" x14ac:dyDescent="0.25">
      <c r="A424" s="2" t="s">
        <v>655</v>
      </c>
      <c r="B424" s="3" t="str">
        <f t="shared" si="9"/>
        <v>18/10/8</v>
      </c>
      <c r="C424" s="10">
        <v>8</v>
      </c>
      <c r="D424" s="10">
        <v>10</v>
      </c>
      <c r="E424" s="10">
        <v>18</v>
      </c>
      <c r="F424" t="s">
        <v>159</v>
      </c>
      <c r="I424" t="s">
        <v>72</v>
      </c>
      <c r="J424" s="4">
        <v>83.08</v>
      </c>
      <c r="K424">
        <v>1</v>
      </c>
      <c r="L424">
        <v>83.08</v>
      </c>
      <c r="M424">
        <v>83.08</v>
      </c>
      <c r="N424" s="5">
        <v>4.1790744466800804</v>
      </c>
      <c r="O424" t="s">
        <v>243</v>
      </c>
      <c r="P424" t="s">
        <v>340</v>
      </c>
      <c r="Q424" t="s">
        <v>24</v>
      </c>
      <c r="R424" t="s">
        <v>736</v>
      </c>
    </row>
    <row r="425" spans="1:18" hidden="1" x14ac:dyDescent="0.25">
      <c r="A425" s="2" t="s">
        <v>655</v>
      </c>
      <c r="B425" s="3" t="str">
        <f t="shared" si="9"/>
        <v>18/10/9</v>
      </c>
      <c r="C425" s="10">
        <v>9</v>
      </c>
      <c r="D425" s="10">
        <v>10</v>
      </c>
      <c r="E425" s="10">
        <v>18</v>
      </c>
      <c r="F425" t="s">
        <v>737</v>
      </c>
      <c r="H425" t="s">
        <v>53</v>
      </c>
      <c r="I425" t="s">
        <v>27</v>
      </c>
      <c r="J425" s="4">
        <v>12.95</v>
      </c>
      <c r="K425">
        <v>1</v>
      </c>
      <c r="L425">
        <v>12.95</v>
      </c>
      <c r="M425">
        <v>12.95</v>
      </c>
      <c r="N425" s="5">
        <v>0.65140845070422537</v>
      </c>
      <c r="O425" t="s">
        <v>1472</v>
      </c>
      <c r="P425" t="s">
        <v>340</v>
      </c>
      <c r="Q425" t="s">
        <v>24</v>
      </c>
    </row>
    <row r="426" spans="1:18" hidden="1" x14ac:dyDescent="0.25">
      <c r="A426" s="2" t="s">
        <v>655</v>
      </c>
      <c r="B426" s="3" t="str">
        <f t="shared" si="9"/>
        <v>18/10/9</v>
      </c>
      <c r="C426" s="10">
        <v>9</v>
      </c>
      <c r="D426" s="10">
        <v>10</v>
      </c>
      <c r="E426" s="10">
        <v>18</v>
      </c>
      <c r="F426" t="s">
        <v>140</v>
      </c>
      <c r="H426" t="s">
        <v>49</v>
      </c>
      <c r="I426" t="s">
        <v>50</v>
      </c>
      <c r="J426" s="4">
        <v>14.45</v>
      </c>
      <c r="K426">
        <v>1</v>
      </c>
      <c r="L426">
        <v>14.45</v>
      </c>
      <c r="M426">
        <v>14.45</v>
      </c>
      <c r="N426" s="5">
        <v>0.72686116700201209</v>
      </c>
      <c r="O426" t="s">
        <v>1472</v>
      </c>
      <c r="P426" t="s">
        <v>340</v>
      </c>
      <c r="Q426" t="s">
        <v>24</v>
      </c>
    </row>
    <row r="427" spans="1:18" hidden="1" x14ac:dyDescent="0.25">
      <c r="A427" s="2" t="s">
        <v>655</v>
      </c>
      <c r="B427" s="3" t="str">
        <f t="shared" si="9"/>
        <v>18/10/9</v>
      </c>
      <c r="C427" s="10">
        <v>9</v>
      </c>
      <c r="D427" s="10">
        <v>10</v>
      </c>
      <c r="E427" s="10">
        <v>18</v>
      </c>
      <c r="F427" t="s">
        <v>25</v>
      </c>
      <c r="G427" t="s">
        <v>25</v>
      </c>
      <c r="H427" t="s">
        <v>26</v>
      </c>
      <c r="I427" t="s">
        <v>27</v>
      </c>
      <c r="J427" s="4">
        <v>6.8</v>
      </c>
      <c r="K427">
        <v>1</v>
      </c>
      <c r="L427">
        <v>6.8</v>
      </c>
      <c r="M427">
        <v>6.8</v>
      </c>
      <c r="N427" s="5">
        <v>0.34205231388329982</v>
      </c>
      <c r="O427" t="s">
        <v>1472</v>
      </c>
      <c r="P427" t="s">
        <v>340</v>
      </c>
      <c r="Q427" t="s">
        <v>24</v>
      </c>
    </row>
    <row r="428" spans="1:18" hidden="1" x14ac:dyDescent="0.25">
      <c r="A428" s="2" t="s">
        <v>655</v>
      </c>
      <c r="B428" s="3" t="str">
        <f t="shared" si="9"/>
        <v>18/10/9</v>
      </c>
      <c r="C428" s="10">
        <v>9</v>
      </c>
      <c r="D428" s="10">
        <v>10</v>
      </c>
      <c r="E428" s="10">
        <v>18</v>
      </c>
      <c r="F428" t="s">
        <v>89</v>
      </c>
      <c r="G428" t="s">
        <v>31</v>
      </c>
      <c r="H428" t="s">
        <v>26</v>
      </c>
      <c r="I428" t="s">
        <v>27</v>
      </c>
      <c r="J428" s="4">
        <v>11.45</v>
      </c>
      <c r="K428">
        <v>1</v>
      </c>
      <c r="L428">
        <v>11.45</v>
      </c>
      <c r="M428">
        <v>11.45</v>
      </c>
      <c r="N428" s="5">
        <v>0.57595573440643866</v>
      </c>
      <c r="O428" t="s">
        <v>1472</v>
      </c>
      <c r="P428" t="s">
        <v>340</v>
      </c>
      <c r="Q428" t="s">
        <v>24</v>
      </c>
    </row>
    <row r="429" spans="1:18" hidden="1" x14ac:dyDescent="0.25">
      <c r="A429" s="2" t="s">
        <v>655</v>
      </c>
      <c r="B429" s="3" t="str">
        <f t="shared" si="9"/>
        <v>18/10/9</v>
      </c>
      <c r="C429" s="10">
        <v>9</v>
      </c>
      <c r="D429" s="10">
        <v>10</v>
      </c>
      <c r="E429" s="10">
        <v>18</v>
      </c>
      <c r="F429" t="s">
        <v>146</v>
      </c>
      <c r="H429" t="s">
        <v>49</v>
      </c>
      <c r="I429" t="s">
        <v>50</v>
      </c>
      <c r="J429" s="4">
        <v>1</v>
      </c>
      <c r="K429">
        <v>1</v>
      </c>
      <c r="L429">
        <v>1</v>
      </c>
      <c r="M429">
        <v>1</v>
      </c>
      <c r="N429" s="5">
        <v>5.030181086519115E-2</v>
      </c>
      <c r="O429" t="s">
        <v>1472</v>
      </c>
      <c r="P429" t="s">
        <v>340</v>
      </c>
      <c r="Q429" t="s">
        <v>24</v>
      </c>
    </row>
    <row r="430" spans="1:18" hidden="1" x14ac:dyDescent="0.25">
      <c r="A430" s="2" t="s">
        <v>726</v>
      </c>
      <c r="B430" s="3" t="str">
        <f t="shared" si="9"/>
        <v>18/11/1</v>
      </c>
      <c r="C430" s="10">
        <v>1</v>
      </c>
      <c r="D430" s="10">
        <v>11</v>
      </c>
      <c r="E430" s="10">
        <v>18</v>
      </c>
      <c r="F430" t="s">
        <v>89</v>
      </c>
      <c r="G430" t="s">
        <v>31</v>
      </c>
      <c r="H430" t="s">
        <v>26</v>
      </c>
      <c r="I430" t="s">
        <v>27</v>
      </c>
      <c r="J430" s="4">
        <v>5.25</v>
      </c>
      <c r="K430">
        <v>4</v>
      </c>
      <c r="L430">
        <v>5.25</v>
      </c>
      <c r="M430">
        <v>21</v>
      </c>
      <c r="N430" s="5">
        <v>1.0563380281690142</v>
      </c>
      <c r="O430" t="s">
        <v>1472</v>
      </c>
      <c r="P430" t="s">
        <v>340</v>
      </c>
      <c r="Q430" t="s">
        <v>24</v>
      </c>
    </row>
    <row r="431" spans="1:18" hidden="1" x14ac:dyDescent="0.25">
      <c r="A431" s="2" t="s">
        <v>726</v>
      </c>
      <c r="B431" s="3" t="str">
        <f t="shared" si="9"/>
        <v>18/11/1</v>
      </c>
      <c r="C431" s="10">
        <v>1</v>
      </c>
      <c r="D431" s="10">
        <v>11</v>
      </c>
      <c r="E431" s="10">
        <v>18</v>
      </c>
      <c r="F431" t="s">
        <v>55</v>
      </c>
      <c r="H431" t="s">
        <v>56</v>
      </c>
      <c r="I431" t="s">
        <v>27</v>
      </c>
      <c r="J431" s="4">
        <v>18.75</v>
      </c>
      <c r="K431">
        <v>0.92200000000000004</v>
      </c>
      <c r="L431">
        <v>18.75</v>
      </c>
      <c r="M431">
        <v>17.287500000000001</v>
      </c>
      <c r="N431" s="5">
        <v>0.86959255533199209</v>
      </c>
      <c r="O431" t="s">
        <v>1472</v>
      </c>
      <c r="P431" t="s">
        <v>340</v>
      </c>
      <c r="Q431" t="s">
        <v>24</v>
      </c>
    </row>
    <row r="432" spans="1:18" hidden="1" x14ac:dyDescent="0.25">
      <c r="A432" s="2" t="s">
        <v>726</v>
      </c>
      <c r="B432" s="3" t="str">
        <f t="shared" si="9"/>
        <v>18/11/1</v>
      </c>
      <c r="C432" s="10">
        <v>1</v>
      </c>
      <c r="D432" s="10">
        <v>11</v>
      </c>
      <c r="E432" s="10">
        <v>18</v>
      </c>
      <c r="F432" t="s">
        <v>738</v>
      </c>
      <c r="H432" t="s">
        <v>131</v>
      </c>
      <c r="I432" t="s">
        <v>27</v>
      </c>
      <c r="J432" s="4">
        <v>160.99</v>
      </c>
      <c r="K432">
        <v>0.32400000000000001</v>
      </c>
      <c r="L432">
        <v>160.99</v>
      </c>
      <c r="M432">
        <v>52.160760000000003</v>
      </c>
      <c r="N432" s="5">
        <v>2.6237806841046281</v>
      </c>
      <c r="O432" t="s">
        <v>1472</v>
      </c>
      <c r="P432" t="s">
        <v>340</v>
      </c>
      <c r="Q432" t="s">
        <v>84</v>
      </c>
    </row>
    <row r="433" spans="1:18" hidden="1" x14ac:dyDescent="0.25">
      <c r="A433" s="2" t="s">
        <v>726</v>
      </c>
      <c r="B433" s="3" t="str">
        <f t="shared" si="9"/>
        <v>18/11/1</v>
      </c>
      <c r="C433" s="10">
        <v>1</v>
      </c>
      <c r="D433" s="10">
        <v>11</v>
      </c>
      <c r="E433" s="10">
        <v>18</v>
      </c>
      <c r="F433" t="s">
        <v>60</v>
      </c>
      <c r="G433" t="s">
        <v>31</v>
      </c>
      <c r="H433" t="s">
        <v>26</v>
      </c>
      <c r="I433" t="s">
        <v>27</v>
      </c>
      <c r="J433" s="4">
        <v>7.45</v>
      </c>
      <c r="K433">
        <v>1</v>
      </c>
      <c r="L433">
        <v>7.45</v>
      </c>
      <c r="M433">
        <v>7.45</v>
      </c>
      <c r="N433" s="5">
        <v>0.37474849094567408</v>
      </c>
      <c r="O433" t="s">
        <v>1472</v>
      </c>
      <c r="P433" t="s">
        <v>340</v>
      </c>
      <c r="Q433" t="s">
        <v>24</v>
      </c>
    </row>
    <row r="434" spans="1:18" hidden="1" x14ac:dyDescent="0.25">
      <c r="A434" s="2" t="s">
        <v>726</v>
      </c>
      <c r="B434" s="3" t="str">
        <f t="shared" si="9"/>
        <v>18/11/1</v>
      </c>
      <c r="C434" s="10">
        <v>1</v>
      </c>
      <c r="D434" s="10">
        <v>11</v>
      </c>
      <c r="E434" s="10">
        <v>18</v>
      </c>
      <c r="F434" t="s">
        <v>739</v>
      </c>
      <c r="I434" t="s">
        <v>82</v>
      </c>
      <c r="J434" s="4">
        <v>8</v>
      </c>
      <c r="K434">
        <v>1</v>
      </c>
      <c r="L434" s="8">
        <v>137.04</v>
      </c>
      <c r="M434">
        <v>137.04</v>
      </c>
      <c r="N434" s="5">
        <v>6.8933601609657948</v>
      </c>
      <c r="O434" t="s">
        <v>740</v>
      </c>
      <c r="P434" t="s">
        <v>651</v>
      </c>
      <c r="Q434" t="s">
        <v>24</v>
      </c>
    </row>
    <row r="435" spans="1:18" hidden="1" x14ac:dyDescent="0.25">
      <c r="A435" s="2" t="s">
        <v>726</v>
      </c>
      <c r="B435" s="3" t="str">
        <f t="shared" si="9"/>
        <v>18/11/1</v>
      </c>
      <c r="C435" s="10">
        <v>1</v>
      </c>
      <c r="D435" s="10">
        <v>11</v>
      </c>
      <c r="E435" s="10">
        <v>18</v>
      </c>
      <c r="F435" t="s">
        <v>739</v>
      </c>
      <c r="I435" t="s">
        <v>82</v>
      </c>
      <c r="J435" s="4">
        <v>2</v>
      </c>
      <c r="K435">
        <v>1</v>
      </c>
      <c r="L435" s="8">
        <v>137.04</v>
      </c>
      <c r="M435">
        <v>137.04</v>
      </c>
      <c r="N435" s="5">
        <v>6.8933601609657948</v>
      </c>
      <c r="O435" t="s">
        <v>740</v>
      </c>
      <c r="P435" t="s">
        <v>651</v>
      </c>
      <c r="Q435" t="s">
        <v>24</v>
      </c>
    </row>
    <row r="436" spans="1:18" hidden="1" x14ac:dyDescent="0.25">
      <c r="A436" s="2" t="s">
        <v>726</v>
      </c>
      <c r="B436" s="3" t="str">
        <f t="shared" si="9"/>
        <v>18/11/10</v>
      </c>
      <c r="C436" s="10">
        <v>10</v>
      </c>
      <c r="D436" s="10">
        <v>11</v>
      </c>
      <c r="E436" s="10">
        <v>18</v>
      </c>
      <c r="F436" t="s">
        <v>104</v>
      </c>
      <c r="I436" t="s">
        <v>72</v>
      </c>
      <c r="J436" s="4">
        <v>211.19</v>
      </c>
      <c r="K436">
        <v>1</v>
      </c>
      <c r="L436">
        <v>211.19</v>
      </c>
      <c r="M436">
        <v>211.19</v>
      </c>
      <c r="N436" s="5">
        <v>10.623239436619718</v>
      </c>
      <c r="O436" t="s">
        <v>233</v>
      </c>
      <c r="P436" t="s">
        <v>340</v>
      </c>
      <c r="Q436" t="s">
        <v>24</v>
      </c>
      <c r="R436" t="s">
        <v>741</v>
      </c>
    </row>
    <row r="437" spans="1:18" hidden="1" x14ac:dyDescent="0.25">
      <c r="A437" s="2" t="s">
        <v>726</v>
      </c>
      <c r="B437" s="3" t="str">
        <f t="shared" si="9"/>
        <v>18/11/10</v>
      </c>
      <c r="C437" s="10">
        <v>10</v>
      </c>
      <c r="D437" s="10">
        <v>11</v>
      </c>
      <c r="E437" s="10">
        <v>18</v>
      </c>
      <c r="F437" t="s">
        <v>104</v>
      </c>
      <c r="I437" t="s">
        <v>72</v>
      </c>
      <c r="J437" s="4">
        <v>42.85</v>
      </c>
      <c r="K437">
        <v>1</v>
      </c>
      <c r="L437">
        <v>42.85</v>
      </c>
      <c r="M437">
        <v>42.85</v>
      </c>
      <c r="N437" s="5">
        <v>2.155432595573441</v>
      </c>
      <c r="O437" t="s">
        <v>233</v>
      </c>
      <c r="P437" t="s">
        <v>340</v>
      </c>
      <c r="Q437" t="s">
        <v>24</v>
      </c>
      <c r="R437" t="s">
        <v>742</v>
      </c>
    </row>
    <row r="438" spans="1:18" hidden="1" x14ac:dyDescent="0.25">
      <c r="A438" s="2" t="s">
        <v>726</v>
      </c>
      <c r="B438" s="3" t="str">
        <f t="shared" si="9"/>
        <v>18/11/10</v>
      </c>
      <c r="C438" s="10">
        <v>10</v>
      </c>
      <c r="D438" s="10">
        <v>11</v>
      </c>
      <c r="E438" s="10">
        <v>18</v>
      </c>
      <c r="F438" t="s">
        <v>104</v>
      </c>
      <c r="I438" t="s">
        <v>72</v>
      </c>
      <c r="J438" s="4">
        <f>14.42*3</f>
        <v>43.26</v>
      </c>
      <c r="K438">
        <v>1</v>
      </c>
      <c r="L438">
        <v>43.26</v>
      </c>
      <c r="M438">
        <v>43.26</v>
      </c>
      <c r="N438" s="5">
        <v>2.176056338028169</v>
      </c>
      <c r="O438" t="s">
        <v>233</v>
      </c>
      <c r="P438" t="s">
        <v>340</v>
      </c>
      <c r="Q438" t="s">
        <v>24</v>
      </c>
      <c r="R438" t="s">
        <v>743</v>
      </c>
    </row>
    <row r="439" spans="1:18" hidden="1" x14ac:dyDescent="0.25">
      <c r="A439" s="2" t="s">
        <v>726</v>
      </c>
      <c r="B439" s="3" t="str">
        <f t="shared" si="9"/>
        <v>18/11/10</v>
      </c>
      <c r="C439" s="10">
        <v>10</v>
      </c>
      <c r="D439" s="10">
        <v>11</v>
      </c>
      <c r="E439" s="10">
        <v>18</v>
      </c>
      <c r="F439" t="s">
        <v>104</v>
      </c>
      <c r="I439" t="s">
        <v>72</v>
      </c>
      <c r="J439" s="4">
        <v>116.28</v>
      </c>
      <c r="K439">
        <v>1</v>
      </c>
      <c r="L439">
        <v>116.28</v>
      </c>
      <c r="M439">
        <v>116.28</v>
      </c>
      <c r="N439" s="5">
        <v>5.8490945674044266</v>
      </c>
      <c r="O439" t="s">
        <v>233</v>
      </c>
      <c r="P439" t="s">
        <v>340</v>
      </c>
      <c r="Q439" t="s">
        <v>24</v>
      </c>
      <c r="R439" t="s">
        <v>347</v>
      </c>
    </row>
    <row r="440" spans="1:18" hidden="1" x14ac:dyDescent="0.25">
      <c r="A440" s="2" t="s">
        <v>726</v>
      </c>
      <c r="B440" s="3" t="str">
        <f t="shared" si="9"/>
        <v>18/11/10</v>
      </c>
      <c r="C440" s="10">
        <v>10</v>
      </c>
      <c r="D440" s="10">
        <v>11</v>
      </c>
      <c r="E440" s="10">
        <v>18</v>
      </c>
      <c r="F440" t="s">
        <v>146</v>
      </c>
      <c r="H440" t="s">
        <v>49</v>
      </c>
      <c r="I440" t="s">
        <v>50</v>
      </c>
      <c r="J440" s="4">
        <v>0.15</v>
      </c>
      <c r="K440">
        <v>1</v>
      </c>
      <c r="L440">
        <v>0.15</v>
      </c>
      <c r="M440" s="8">
        <v>0.15</v>
      </c>
      <c r="N440" s="5">
        <v>7.545271629778672E-3</v>
      </c>
      <c r="O440" t="s">
        <v>233</v>
      </c>
      <c r="P440" t="s">
        <v>340</v>
      </c>
      <c r="Q440" t="s">
        <v>24</v>
      </c>
    </row>
    <row r="441" spans="1:18" hidden="1" x14ac:dyDescent="0.25">
      <c r="A441" s="2" t="s">
        <v>726</v>
      </c>
      <c r="B441" s="3" t="str">
        <f t="shared" si="9"/>
        <v>18/11/10</v>
      </c>
      <c r="C441" s="10">
        <v>10</v>
      </c>
      <c r="D441" s="10">
        <v>11</v>
      </c>
      <c r="E441" s="10">
        <v>18</v>
      </c>
      <c r="F441" t="s">
        <v>234</v>
      </c>
      <c r="H441" t="s">
        <v>53</v>
      </c>
      <c r="I441" t="s">
        <v>27</v>
      </c>
      <c r="J441" s="4">
        <v>20</v>
      </c>
      <c r="K441">
        <v>2</v>
      </c>
      <c r="L441">
        <v>20</v>
      </c>
      <c r="M441">
        <v>40</v>
      </c>
      <c r="N441" s="5">
        <v>2.0120724346076462</v>
      </c>
      <c r="O441" t="s">
        <v>101</v>
      </c>
      <c r="P441" t="s">
        <v>340</v>
      </c>
      <c r="Q441" t="s">
        <v>24</v>
      </c>
    </row>
    <row r="442" spans="1:18" hidden="1" x14ac:dyDescent="0.25">
      <c r="A442" s="2" t="s">
        <v>726</v>
      </c>
      <c r="B442" s="3" t="str">
        <f t="shared" si="9"/>
        <v>18/11/10</v>
      </c>
      <c r="C442" s="10">
        <v>10</v>
      </c>
      <c r="D442" s="10">
        <v>11</v>
      </c>
      <c r="E442" s="10">
        <v>18</v>
      </c>
      <c r="F442" t="s">
        <v>75</v>
      </c>
      <c r="H442" t="s">
        <v>65</v>
      </c>
      <c r="I442" t="s">
        <v>27</v>
      </c>
      <c r="J442" s="4">
        <v>10</v>
      </c>
      <c r="K442">
        <v>3</v>
      </c>
      <c r="L442">
        <v>10</v>
      </c>
      <c r="M442">
        <v>30</v>
      </c>
      <c r="N442" s="5">
        <v>1.5090543259557345</v>
      </c>
      <c r="O442" t="s">
        <v>101</v>
      </c>
      <c r="P442" t="s">
        <v>340</v>
      </c>
      <c r="Q442" t="s">
        <v>24</v>
      </c>
    </row>
    <row r="443" spans="1:18" hidden="1" x14ac:dyDescent="0.25">
      <c r="A443" s="2" t="s">
        <v>726</v>
      </c>
      <c r="B443" s="3" t="str">
        <f t="shared" si="9"/>
        <v>18/11/10</v>
      </c>
      <c r="C443" s="10">
        <v>10</v>
      </c>
      <c r="D443" s="10">
        <v>11</v>
      </c>
      <c r="E443" s="10">
        <v>18</v>
      </c>
      <c r="F443" t="s">
        <v>204</v>
      </c>
      <c r="H443" t="s">
        <v>54</v>
      </c>
      <c r="I443" t="s">
        <v>27</v>
      </c>
      <c r="J443" s="4">
        <v>50</v>
      </c>
      <c r="K443">
        <v>0.1</v>
      </c>
      <c r="L443">
        <v>50</v>
      </c>
      <c r="M443">
        <v>5</v>
      </c>
      <c r="N443" s="5">
        <v>0.25150905432595577</v>
      </c>
      <c r="O443" t="s">
        <v>593</v>
      </c>
      <c r="P443" t="s">
        <v>340</v>
      </c>
      <c r="Q443" t="s">
        <v>24</v>
      </c>
    </row>
    <row r="444" spans="1:18" hidden="1" x14ac:dyDescent="0.25">
      <c r="A444" s="2" t="s">
        <v>726</v>
      </c>
      <c r="B444" s="3" t="str">
        <f t="shared" si="9"/>
        <v>18/11/10</v>
      </c>
      <c r="C444" s="10">
        <v>10</v>
      </c>
      <c r="D444" s="10">
        <v>11</v>
      </c>
      <c r="E444" s="10">
        <v>18</v>
      </c>
      <c r="F444" t="s">
        <v>776</v>
      </c>
      <c r="H444" t="s">
        <v>56</v>
      </c>
      <c r="I444" t="s">
        <v>27</v>
      </c>
      <c r="J444" s="4">
        <v>32</v>
      </c>
      <c r="K444">
        <v>1</v>
      </c>
      <c r="L444">
        <v>32</v>
      </c>
      <c r="M444">
        <v>32</v>
      </c>
      <c r="N444" s="5">
        <v>1.6096579476861168</v>
      </c>
      <c r="O444" t="s">
        <v>593</v>
      </c>
      <c r="P444" t="s">
        <v>340</v>
      </c>
      <c r="Q444" t="s">
        <v>24</v>
      </c>
    </row>
    <row r="445" spans="1:18" hidden="1" x14ac:dyDescent="0.25">
      <c r="A445" s="2" t="s">
        <v>726</v>
      </c>
      <c r="B445" s="3" t="str">
        <f t="shared" si="9"/>
        <v>18/11/10</v>
      </c>
      <c r="C445" s="10">
        <v>10</v>
      </c>
      <c r="D445" s="10">
        <v>11</v>
      </c>
      <c r="E445" s="10">
        <v>18</v>
      </c>
      <c r="F445" t="s">
        <v>744</v>
      </c>
      <c r="H445" t="s">
        <v>54</v>
      </c>
      <c r="I445" t="s">
        <v>27</v>
      </c>
      <c r="J445" s="4">
        <v>10</v>
      </c>
      <c r="K445">
        <v>1</v>
      </c>
      <c r="L445">
        <v>10</v>
      </c>
      <c r="M445">
        <v>10</v>
      </c>
      <c r="N445" s="5">
        <v>0.50301810865191154</v>
      </c>
      <c r="O445" t="s">
        <v>593</v>
      </c>
      <c r="P445" t="s">
        <v>340</v>
      </c>
      <c r="Q445" t="s">
        <v>24</v>
      </c>
    </row>
    <row r="446" spans="1:18" hidden="1" x14ac:dyDescent="0.25">
      <c r="A446" s="2" t="s">
        <v>726</v>
      </c>
      <c r="B446" s="3" t="str">
        <f t="shared" si="9"/>
        <v>18/11/10</v>
      </c>
      <c r="C446" s="10">
        <v>10</v>
      </c>
      <c r="D446" s="10">
        <v>11</v>
      </c>
      <c r="E446" s="10">
        <v>18</v>
      </c>
      <c r="F446" t="s">
        <v>108</v>
      </c>
      <c r="H446" t="s">
        <v>54</v>
      </c>
      <c r="I446" t="s">
        <v>27</v>
      </c>
      <c r="J446" s="4">
        <v>28</v>
      </c>
      <c r="K446">
        <v>1</v>
      </c>
      <c r="L446">
        <v>28</v>
      </c>
      <c r="M446">
        <v>28</v>
      </c>
      <c r="N446" s="5">
        <v>1.4084507042253522</v>
      </c>
      <c r="O446" t="s">
        <v>593</v>
      </c>
      <c r="P446" t="s">
        <v>340</v>
      </c>
      <c r="Q446" t="s">
        <v>24</v>
      </c>
    </row>
    <row r="447" spans="1:18" hidden="1" x14ac:dyDescent="0.25">
      <c r="A447" s="2" t="s">
        <v>726</v>
      </c>
      <c r="B447" s="3" t="str">
        <f t="shared" si="9"/>
        <v>18/11/10</v>
      </c>
      <c r="C447" s="10">
        <v>10</v>
      </c>
      <c r="D447" s="10">
        <v>11</v>
      </c>
      <c r="E447" s="10">
        <v>18</v>
      </c>
      <c r="F447" t="s">
        <v>606</v>
      </c>
      <c r="H447" t="s">
        <v>54</v>
      </c>
      <c r="I447" t="s">
        <v>27</v>
      </c>
      <c r="J447" s="4">
        <v>3</v>
      </c>
      <c r="K447">
        <v>1</v>
      </c>
      <c r="L447">
        <v>3</v>
      </c>
      <c r="M447">
        <v>3</v>
      </c>
      <c r="N447" s="5">
        <v>0.15090543259557346</v>
      </c>
      <c r="O447" t="s">
        <v>593</v>
      </c>
      <c r="P447" t="s">
        <v>340</v>
      </c>
      <c r="Q447" t="s">
        <v>24</v>
      </c>
    </row>
    <row r="448" spans="1:18" hidden="1" x14ac:dyDescent="0.25">
      <c r="A448" s="2" t="s">
        <v>726</v>
      </c>
      <c r="B448" s="3" t="str">
        <f t="shared" si="9"/>
        <v>18/11/10</v>
      </c>
      <c r="C448" s="10">
        <v>10</v>
      </c>
      <c r="D448" s="10">
        <v>11</v>
      </c>
      <c r="E448" s="10">
        <v>18</v>
      </c>
      <c r="F448" t="s">
        <v>212</v>
      </c>
      <c r="H448" t="s">
        <v>54</v>
      </c>
      <c r="I448" t="s">
        <v>27</v>
      </c>
      <c r="J448" s="4">
        <v>4</v>
      </c>
      <c r="K448">
        <v>1</v>
      </c>
      <c r="L448">
        <v>4</v>
      </c>
      <c r="M448">
        <v>4</v>
      </c>
      <c r="N448" s="5">
        <v>0.2012072434607646</v>
      </c>
      <c r="O448" t="s">
        <v>593</v>
      </c>
      <c r="P448" t="s">
        <v>340</v>
      </c>
      <c r="Q448" t="s">
        <v>24</v>
      </c>
    </row>
    <row r="449" spans="1:18" hidden="1" x14ac:dyDescent="0.25">
      <c r="A449" s="2" t="s">
        <v>726</v>
      </c>
      <c r="B449" s="3" t="str">
        <f t="shared" si="9"/>
        <v>18/11/10</v>
      </c>
      <c r="C449" s="10">
        <v>10</v>
      </c>
      <c r="D449" s="10">
        <v>11</v>
      </c>
      <c r="E449" s="10">
        <v>18</v>
      </c>
      <c r="F449" t="s">
        <v>120</v>
      </c>
      <c r="H449" t="s">
        <v>54</v>
      </c>
      <c r="I449" t="s">
        <v>27</v>
      </c>
      <c r="J449" s="4">
        <v>11</v>
      </c>
      <c r="K449">
        <v>1</v>
      </c>
      <c r="L449">
        <v>11</v>
      </c>
      <c r="M449">
        <v>11</v>
      </c>
      <c r="N449" s="5">
        <v>0.55331991951710269</v>
      </c>
      <c r="O449" t="s">
        <v>593</v>
      </c>
      <c r="P449" t="s">
        <v>340</v>
      </c>
      <c r="Q449" t="s">
        <v>24</v>
      </c>
    </row>
    <row r="450" spans="1:18" hidden="1" x14ac:dyDescent="0.25">
      <c r="A450" s="2" t="s">
        <v>726</v>
      </c>
      <c r="B450" s="3" t="str">
        <f t="shared" si="9"/>
        <v>18/11/10</v>
      </c>
      <c r="C450" s="10">
        <v>10</v>
      </c>
      <c r="D450" s="10">
        <v>11</v>
      </c>
      <c r="E450" s="10">
        <v>18</v>
      </c>
      <c r="F450" t="s">
        <v>121</v>
      </c>
      <c r="H450" t="s">
        <v>54</v>
      </c>
      <c r="I450" t="s">
        <v>27</v>
      </c>
      <c r="J450" s="4">
        <v>17</v>
      </c>
      <c r="K450">
        <v>1</v>
      </c>
      <c r="L450">
        <v>17</v>
      </c>
      <c r="M450">
        <v>17</v>
      </c>
      <c r="N450" s="5">
        <v>0.85513078470824955</v>
      </c>
      <c r="O450" t="s">
        <v>593</v>
      </c>
      <c r="P450" t="s">
        <v>340</v>
      </c>
      <c r="Q450" t="s">
        <v>24</v>
      </c>
    </row>
    <row r="451" spans="1:18" hidden="1" x14ac:dyDescent="0.25">
      <c r="A451" s="2" t="s">
        <v>726</v>
      </c>
      <c r="B451" s="3" t="str">
        <f t="shared" si="9"/>
        <v>18/11/10</v>
      </c>
      <c r="C451" s="10">
        <v>10</v>
      </c>
      <c r="D451" s="10">
        <v>11</v>
      </c>
      <c r="E451" s="10">
        <v>18</v>
      </c>
      <c r="F451" t="s">
        <v>745</v>
      </c>
      <c r="H451" t="s">
        <v>56</v>
      </c>
      <c r="I451" t="s">
        <v>27</v>
      </c>
      <c r="J451" s="4">
        <v>60</v>
      </c>
      <c r="K451">
        <v>0.4</v>
      </c>
      <c r="L451">
        <v>60</v>
      </c>
      <c r="M451">
        <v>24</v>
      </c>
      <c r="N451" s="5">
        <v>1.2072434607645877</v>
      </c>
      <c r="O451" t="s">
        <v>593</v>
      </c>
      <c r="P451" t="s">
        <v>340</v>
      </c>
      <c r="Q451" t="s">
        <v>24</v>
      </c>
    </row>
    <row r="452" spans="1:18" hidden="1" x14ac:dyDescent="0.25">
      <c r="A452" s="2" t="s">
        <v>726</v>
      </c>
      <c r="B452" s="3" t="str">
        <f t="shared" si="9"/>
        <v>18/11/10</v>
      </c>
      <c r="C452" s="10">
        <v>10</v>
      </c>
      <c r="D452" s="10">
        <v>11</v>
      </c>
      <c r="E452" s="10">
        <v>18</v>
      </c>
      <c r="F452" t="s">
        <v>125</v>
      </c>
      <c r="H452" t="s">
        <v>54</v>
      </c>
      <c r="I452" t="s">
        <v>27</v>
      </c>
      <c r="J452" s="4">
        <v>6</v>
      </c>
      <c r="K452">
        <v>1</v>
      </c>
      <c r="L452">
        <v>6</v>
      </c>
      <c r="M452">
        <v>6</v>
      </c>
      <c r="N452" s="5">
        <v>0.30181086519114692</v>
      </c>
      <c r="O452" t="s">
        <v>593</v>
      </c>
      <c r="P452" t="s">
        <v>340</v>
      </c>
      <c r="Q452" t="s">
        <v>24</v>
      </c>
    </row>
    <row r="453" spans="1:18" hidden="1" x14ac:dyDescent="0.25">
      <c r="A453" s="2" t="s">
        <v>726</v>
      </c>
      <c r="B453" s="3" t="str">
        <f t="shared" si="9"/>
        <v>18/11/10</v>
      </c>
      <c r="C453" s="10">
        <v>10</v>
      </c>
      <c r="D453" s="10">
        <v>11</v>
      </c>
      <c r="E453" s="10">
        <v>18</v>
      </c>
      <c r="F453" t="s">
        <v>506</v>
      </c>
      <c r="H453" t="s">
        <v>54</v>
      </c>
      <c r="I453" t="s">
        <v>27</v>
      </c>
      <c r="J453" s="4">
        <v>25</v>
      </c>
      <c r="K453">
        <v>1</v>
      </c>
      <c r="L453">
        <v>25</v>
      </c>
      <c r="M453">
        <v>25</v>
      </c>
      <c r="N453" s="5">
        <v>1.2575452716297788</v>
      </c>
      <c r="O453" t="s">
        <v>593</v>
      </c>
      <c r="P453" t="s">
        <v>340</v>
      </c>
      <c r="Q453" t="s">
        <v>24</v>
      </c>
    </row>
    <row r="454" spans="1:18" hidden="1" x14ac:dyDescent="0.25">
      <c r="A454" s="2" t="s">
        <v>726</v>
      </c>
      <c r="B454" s="3" t="str">
        <f t="shared" ref="B454:B517" si="10">CONCATENATE(E454,"/",D454,"/",C454)</f>
        <v>18/11/10</v>
      </c>
      <c r="C454" s="10">
        <v>10</v>
      </c>
      <c r="D454" s="10">
        <v>11</v>
      </c>
      <c r="E454" s="10">
        <v>18</v>
      </c>
      <c r="F454" t="s">
        <v>174</v>
      </c>
      <c r="H454" t="s">
        <v>54</v>
      </c>
      <c r="I454" t="s">
        <v>27</v>
      </c>
      <c r="J454" s="4">
        <v>20</v>
      </c>
      <c r="K454">
        <v>1</v>
      </c>
      <c r="L454">
        <v>20</v>
      </c>
      <c r="M454">
        <v>20</v>
      </c>
      <c r="N454" s="5">
        <v>1.0060362173038231</v>
      </c>
      <c r="O454" t="s">
        <v>593</v>
      </c>
      <c r="P454" t="s">
        <v>340</v>
      </c>
      <c r="Q454" t="s">
        <v>24</v>
      </c>
    </row>
    <row r="455" spans="1:18" hidden="1" x14ac:dyDescent="0.25">
      <c r="A455" s="2" t="s">
        <v>726</v>
      </c>
      <c r="B455" s="3" t="str">
        <f t="shared" si="10"/>
        <v>18/11/10</v>
      </c>
      <c r="C455" s="10">
        <v>10</v>
      </c>
      <c r="D455" s="10">
        <v>11</v>
      </c>
      <c r="E455" s="10">
        <v>18</v>
      </c>
      <c r="F455" s="12" t="s">
        <v>265</v>
      </c>
      <c r="G455" s="12" t="s">
        <v>332</v>
      </c>
      <c r="H455" t="s">
        <v>65</v>
      </c>
      <c r="I455" t="s">
        <v>27</v>
      </c>
      <c r="J455" s="4">
        <v>20</v>
      </c>
      <c r="K455">
        <v>1</v>
      </c>
      <c r="L455">
        <v>20</v>
      </c>
      <c r="M455">
        <v>20</v>
      </c>
      <c r="N455" s="5">
        <v>1.0060362173038231</v>
      </c>
      <c r="O455" t="s">
        <v>593</v>
      </c>
      <c r="P455" t="s">
        <v>340</v>
      </c>
      <c r="Q455" t="s">
        <v>24</v>
      </c>
    </row>
    <row r="456" spans="1:18" hidden="1" x14ac:dyDescent="0.25">
      <c r="A456" s="2" t="s">
        <v>726</v>
      </c>
      <c r="B456" s="3" t="str">
        <f t="shared" si="10"/>
        <v>18/11/10</v>
      </c>
      <c r="C456" s="10">
        <v>10</v>
      </c>
      <c r="D456" s="10">
        <v>11</v>
      </c>
      <c r="E456" s="10">
        <v>18</v>
      </c>
      <c r="F456" t="s">
        <v>1459</v>
      </c>
      <c r="G456" s="12" t="s">
        <v>332</v>
      </c>
      <c r="H456" t="s">
        <v>65</v>
      </c>
      <c r="I456" t="s">
        <v>27</v>
      </c>
      <c r="J456" s="4">
        <v>40</v>
      </c>
      <c r="K456">
        <v>1</v>
      </c>
      <c r="L456">
        <v>40</v>
      </c>
      <c r="M456">
        <v>40</v>
      </c>
      <c r="N456" s="5">
        <v>2.0120724346076462</v>
      </c>
      <c r="O456" t="s">
        <v>593</v>
      </c>
      <c r="P456" t="s">
        <v>340</v>
      </c>
      <c r="Q456" t="s">
        <v>24</v>
      </c>
    </row>
    <row r="457" spans="1:18" hidden="1" x14ac:dyDescent="0.25">
      <c r="A457" s="2" t="s">
        <v>726</v>
      </c>
      <c r="B457" s="3" t="str">
        <f t="shared" si="10"/>
        <v>18/11/10</v>
      </c>
      <c r="C457" s="10">
        <v>10</v>
      </c>
      <c r="D457" s="10">
        <v>11</v>
      </c>
      <c r="E457" s="10">
        <v>18</v>
      </c>
      <c r="F457" t="s">
        <v>746</v>
      </c>
      <c r="G457" s="12" t="s">
        <v>332</v>
      </c>
      <c r="H457" t="s">
        <v>65</v>
      </c>
      <c r="I457" t="s">
        <v>27</v>
      </c>
      <c r="J457" s="4">
        <v>270</v>
      </c>
      <c r="K457">
        <v>1</v>
      </c>
      <c r="L457">
        <v>270</v>
      </c>
      <c r="M457">
        <v>270</v>
      </c>
      <c r="N457" s="5">
        <v>13.58148893360161</v>
      </c>
      <c r="O457" t="s">
        <v>593</v>
      </c>
      <c r="P457" t="s">
        <v>340</v>
      </c>
      <c r="Q457" t="s">
        <v>24</v>
      </c>
    </row>
    <row r="458" spans="1:18" hidden="1" x14ac:dyDescent="0.25">
      <c r="A458" s="2" t="s">
        <v>726</v>
      </c>
      <c r="B458" s="3" t="str">
        <f t="shared" si="10"/>
        <v>18/11/10</v>
      </c>
      <c r="C458" s="10">
        <v>10</v>
      </c>
      <c r="D458" s="10">
        <v>11</v>
      </c>
      <c r="E458" s="10">
        <v>18</v>
      </c>
      <c r="F458" t="s">
        <v>1459</v>
      </c>
      <c r="G458" s="12" t="s">
        <v>332</v>
      </c>
      <c r="H458" t="s">
        <v>65</v>
      </c>
      <c r="I458" t="s">
        <v>27</v>
      </c>
      <c r="J458" s="4">
        <v>280</v>
      </c>
      <c r="K458">
        <v>1</v>
      </c>
      <c r="L458">
        <v>280</v>
      </c>
      <c r="M458">
        <v>280</v>
      </c>
      <c r="N458" s="5">
        <v>14.084507042253522</v>
      </c>
      <c r="O458" t="s">
        <v>593</v>
      </c>
      <c r="P458" t="s">
        <v>340</v>
      </c>
      <c r="Q458" t="s">
        <v>24</v>
      </c>
    </row>
    <row r="459" spans="1:18" hidden="1" x14ac:dyDescent="0.25">
      <c r="A459" s="2" t="s">
        <v>726</v>
      </c>
      <c r="B459" s="3" t="str">
        <f t="shared" si="10"/>
        <v>18/11/10</v>
      </c>
      <c r="C459" s="10">
        <v>10</v>
      </c>
      <c r="D459" s="10">
        <v>11</v>
      </c>
      <c r="E459" s="10">
        <v>18</v>
      </c>
      <c r="F459" t="s">
        <v>2167</v>
      </c>
      <c r="G459" s="12" t="s">
        <v>332</v>
      </c>
      <c r="H459" t="s">
        <v>65</v>
      </c>
      <c r="I459" t="s">
        <v>27</v>
      </c>
      <c r="J459" s="4">
        <v>300</v>
      </c>
      <c r="K459">
        <v>1</v>
      </c>
      <c r="L459">
        <v>300</v>
      </c>
      <c r="M459">
        <v>300</v>
      </c>
      <c r="N459" s="5">
        <v>15.090543259557345</v>
      </c>
      <c r="O459" t="s">
        <v>593</v>
      </c>
      <c r="P459" t="s">
        <v>340</v>
      </c>
      <c r="Q459" t="s">
        <v>24</v>
      </c>
    </row>
    <row r="460" spans="1:18" hidden="1" x14ac:dyDescent="0.25">
      <c r="A460" s="2" t="s">
        <v>726</v>
      </c>
      <c r="B460" s="3" t="str">
        <f t="shared" si="10"/>
        <v>18/11/10</v>
      </c>
      <c r="C460" s="10">
        <v>10</v>
      </c>
      <c r="D460" s="10">
        <v>11</v>
      </c>
      <c r="E460" s="10">
        <v>18</v>
      </c>
      <c r="F460" t="s">
        <v>211</v>
      </c>
      <c r="H460" t="s">
        <v>56</v>
      </c>
      <c r="I460" t="s">
        <v>27</v>
      </c>
      <c r="J460" s="4">
        <v>25</v>
      </c>
      <c r="K460">
        <v>1</v>
      </c>
      <c r="L460">
        <v>25</v>
      </c>
      <c r="M460">
        <v>25</v>
      </c>
      <c r="N460" s="5">
        <v>1.2575452716297788</v>
      </c>
      <c r="O460" t="s">
        <v>593</v>
      </c>
      <c r="P460" t="s">
        <v>340</v>
      </c>
      <c r="Q460" t="s">
        <v>24</v>
      </c>
    </row>
    <row r="461" spans="1:18" hidden="1" x14ac:dyDescent="0.25">
      <c r="A461" s="2" t="s">
        <v>726</v>
      </c>
      <c r="B461" s="3" t="str">
        <f t="shared" si="10"/>
        <v>18/11/10</v>
      </c>
      <c r="C461" s="10">
        <v>10</v>
      </c>
      <c r="D461" s="10">
        <v>11</v>
      </c>
      <c r="E461" s="10">
        <v>18</v>
      </c>
      <c r="F461" t="s">
        <v>1538</v>
      </c>
      <c r="I461" t="s">
        <v>72</v>
      </c>
      <c r="J461" s="4">
        <v>40</v>
      </c>
      <c r="K461">
        <v>2</v>
      </c>
      <c r="L461">
        <v>40</v>
      </c>
      <c r="M461">
        <v>80</v>
      </c>
      <c r="N461" s="5">
        <v>4.0241448692152924</v>
      </c>
      <c r="O461" t="s">
        <v>593</v>
      </c>
      <c r="P461" t="s">
        <v>340</v>
      </c>
      <c r="Q461" t="s">
        <v>24</v>
      </c>
      <c r="R461" t="s">
        <v>1543</v>
      </c>
    </row>
    <row r="462" spans="1:18" hidden="1" x14ac:dyDescent="0.25">
      <c r="A462" s="2" t="s">
        <v>726</v>
      </c>
      <c r="B462" s="3" t="str">
        <f t="shared" si="10"/>
        <v>18/11/10</v>
      </c>
      <c r="C462" s="10">
        <v>10</v>
      </c>
      <c r="D462" s="10">
        <v>11</v>
      </c>
      <c r="E462" s="10">
        <v>18</v>
      </c>
      <c r="F462" t="s">
        <v>55</v>
      </c>
      <c r="H462" t="s">
        <v>56</v>
      </c>
      <c r="I462" t="s">
        <v>27</v>
      </c>
      <c r="J462" s="4">
        <v>20</v>
      </c>
      <c r="K462">
        <v>1.3</v>
      </c>
      <c r="L462">
        <v>20</v>
      </c>
      <c r="M462">
        <v>26</v>
      </c>
      <c r="N462" s="5">
        <v>1.3078470824949699</v>
      </c>
      <c r="O462" t="s">
        <v>593</v>
      </c>
      <c r="P462" t="s">
        <v>340</v>
      </c>
      <c r="Q462" t="s">
        <v>24</v>
      </c>
    </row>
    <row r="463" spans="1:18" hidden="1" x14ac:dyDescent="0.25">
      <c r="A463" s="2" t="s">
        <v>726</v>
      </c>
      <c r="B463" s="3" t="str">
        <f t="shared" si="10"/>
        <v>18/11/10</v>
      </c>
      <c r="C463" s="10">
        <v>10</v>
      </c>
      <c r="D463" s="10">
        <v>11</v>
      </c>
      <c r="E463" s="10">
        <v>18</v>
      </c>
      <c r="F463" t="s">
        <v>110</v>
      </c>
      <c r="H463" t="s">
        <v>56</v>
      </c>
      <c r="I463" t="s">
        <v>27</v>
      </c>
      <c r="J463" s="4">
        <v>20</v>
      </c>
      <c r="K463">
        <v>1</v>
      </c>
      <c r="L463">
        <v>20</v>
      </c>
      <c r="M463">
        <v>20</v>
      </c>
      <c r="N463" s="5">
        <v>1.0060362173038231</v>
      </c>
      <c r="O463" t="s">
        <v>593</v>
      </c>
      <c r="P463" t="s">
        <v>340</v>
      </c>
      <c r="Q463" t="s">
        <v>24</v>
      </c>
    </row>
    <row r="464" spans="1:18" hidden="1" x14ac:dyDescent="0.25">
      <c r="A464" s="2" t="s">
        <v>726</v>
      </c>
      <c r="B464" s="3" t="str">
        <f t="shared" si="10"/>
        <v>18/11/10</v>
      </c>
      <c r="C464" s="10">
        <v>10</v>
      </c>
      <c r="D464" s="10">
        <v>11</v>
      </c>
      <c r="E464" s="10">
        <v>18</v>
      </c>
      <c r="F464" t="s">
        <v>555</v>
      </c>
      <c r="H464" t="s">
        <v>54</v>
      </c>
      <c r="I464" t="s">
        <v>27</v>
      </c>
      <c r="J464" s="4">
        <v>35</v>
      </c>
      <c r="K464">
        <v>1</v>
      </c>
      <c r="L464">
        <v>35</v>
      </c>
      <c r="M464">
        <v>35</v>
      </c>
      <c r="N464" s="5">
        <v>1.7605633802816902</v>
      </c>
      <c r="O464" t="s">
        <v>593</v>
      </c>
      <c r="P464" t="s">
        <v>340</v>
      </c>
      <c r="Q464" t="s">
        <v>24</v>
      </c>
    </row>
    <row r="465" spans="1:18" hidden="1" x14ac:dyDescent="0.25">
      <c r="A465" s="2" t="s">
        <v>726</v>
      </c>
      <c r="B465" s="3" t="str">
        <f t="shared" si="10"/>
        <v>18/11/10</v>
      </c>
      <c r="C465" s="10">
        <v>10</v>
      </c>
      <c r="D465" s="10">
        <v>11</v>
      </c>
      <c r="E465" s="10">
        <v>18</v>
      </c>
      <c r="F465" t="s">
        <v>404</v>
      </c>
      <c r="H465" t="s">
        <v>54</v>
      </c>
      <c r="I465" t="s">
        <v>27</v>
      </c>
      <c r="J465" s="4">
        <v>14</v>
      </c>
      <c r="K465">
        <v>1</v>
      </c>
      <c r="L465">
        <v>14</v>
      </c>
      <c r="M465">
        <v>14</v>
      </c>
      <c r="N465" s="5">
        <v>0.70422535211267612</v>
      </c>
      <c r="O465" t="s">
        <v>593</v>
      </c>
      <c r="P465" t="s">
        <v>340</v>
      </c>
      <c r="Q465" t="s">
        <v>24</v>
      </c>
    </row>
    <row r="466" spans="1:18" hidden="1" x14ac:dyDescent="0.25">
      <c r="A466" s="2" t="s">
        <v>726</v>
      </c>
      <c r="B466" s="3" t="str">
        <f t="shared" si="10"/>
        <v>18/11/11</v>
      </c>
      <c r="C466" s="10">
        <v>11</v>
      </c>
      <c r="D466" s="10">
        <v>11</v>
      </c>
      <c r="E466" s="10">
        <v>18</v>
      </c>
      <c r="F466" t="s">
        <v>389</v>
      </c>
      <c r="I466" t="s">
        <v>87</v>
      </c>
      <c r="J466" s="4">
        <v>50</v>
      </c>
      <c r="K466">
        <v>2</v>
      </c>
      <c r="L466">
        <v>50</v>
      </c>
      <c r="M466">
        <v>100</v>
      </c>
      <c r="N466" s="5">
        <v>5.0301810865191152</v>
      </c>
      <c r="O466" t="s">
        <v>39</v>
      </c>
      <c r="Q466" t="s">
        <v>24</v>
      </c>
      <c r="R466" t="s">
        <v>747</v>
      </c>
    </row>
    <row r="467" spans="1:18" hidden="1" x14ac:dyDescent="0.25">
      <c r="A467" s="2" t="s">
        <v>726</v>
      </c>
      <c r="B467" s="3" t="str">
        <f t="shared" si="10"/>
        <v>18/11/11</v>
      </c>
      <c r="C467" s="10">
        <v>11</v>
      </c>
      <c r="D467" s="10">
        <v>11</v>
      </c>
      <c r="E467" s="10">
        <v>18</v>
      </c>
      <c r="F467" t="s">
        <v>328</v>
      </c>
      <c r="G467" t="s">
        <v>328</v>
      </c>
      <c r="H467" t="s">
        <v>49</v>
      </c>
      <c r="I467" t="s">
        <v>50</v>
      </c>
      <c r="J467" s="4">
        <v>70</v>
      </c>
      <c r="K467">
        <v>2</v>
      </c>
      <c r="L467">
        <v>70</v>
      </c>
      <c r="M467" s="8">
        <v>140</v>
      </c>
      <c r="N467" s="5">
        <v>7.042253521126761</v>
      </c>
      <c r="O467" t="s">
        <v>748</v>
      </c>
      <c r="P467" t="s">
        <v>340</v>
      </c>
      <c r="Q467" t="s">
        <v>24</v>
      </c>
    </row>
    <row r="468" spans="1:18" hidden="1" x14ac:dyDescent="0.25">
      <c r="A468" s="2" t="s">
        <v>726</v>
      </c>
      <c r="B468" s="3" t="str">
        <f t="shared" si="10"/>
        <v>18/11/11</v>
      </c>
      <c r="C468" s="10">
        <v>11</v>
      </c>
      <c r="D468" s="10">
        <v>11</v>
      </c>
      <c r="E468" s="10">
        <v>18</v>
      </c>
      <c r="F468" t="s">
        <v>81</v>
      </c>
      <c r="I468" t="s">
        <v>82</v>
      </c>
      <c r="J468" s="4">
        <v>249</v>
      </c>
      <c r="K468">
        <v>1</v>
      </c>
      <c r="L468">
        <v>249</v>
      </c>
      <c r="M468">
        <v>249</v>
      </c>
      <c r="N468" s="5">
        <v>12.525150905432596</v>
      </c>
      <c r="O468" t="s">
        <v>39</v>
      </c>
      <c r="P468" t="s">
        <v>340</v>
      </c>
      <c r="Q468" t="s">
        <v>84</v>
      </c>
      <c r="R468" t="s">
        <v>749</v>
      </c>
    </row>
    <row r="469" spans="1:18" hidden="1" x14ac:dyDescent="0.25">
      <c r="A469" s="2" t="s">
        <v>726</v>
      </c>
      <c r="B469" s="3" t="str">
        <f t="shared" si="10"/>
        <v>18/11/11</v>
      </c>
      <c r="C469" s="10">
        <v>11</v>
      </c>
      <c r="D469" s="10">
        <v>11</v>
      </c>
      <c r="E469" s="10">
        <v>18</v>
      </c>
      <c r="F469" t="s">
        <v>141</v>
      </c>
      <c r="H469" t="s">
        <v>172</v>
      </c>
      <c r="I469" t="s">
        <v>39</v>
      </c>
      <c r="J469" s="4">
        <v>2</v>
      </c>
      <c r="K469">
        <v>1</v>
      </c>
      <c r="L469">
        <v>2</v>
      </c>
      <c r="M469" s="8">
        <v>2</v>
      </c>
      <c r="N469" s="5">
        <v>0.1006036217303823</v>
      </c>
      <c r="O469" t="s">
        <v>39</v>
      </c>
      <c r="Q469" t="s">
        <v>24</v>
      </c>
    </row>
    <row r="470" spans="1:18" hidden="1" x14ac:dyDescent="0.25">
      <c r="A470" s="2" t="s">
        <v>726</v>
      </c>
      <c r="B470" s="3" t="str">
        <f t="shared" si="10"/>
        <v>18/11/11</v>
      </c>
      <c r="C470" s="10">
        <v>11</v>
      </c>
      <c r="D470" s="10">
        <v>11</v>
      </c>
      <c r="E470" s="10">
        <v>18</v>
      </c>
      <c r="F470" t="s">
        <v>1233</v>
      </c>
      <c r="H470" t="s">
        <v>69</v>
      </c>
      <c r="I470" t="s">
        <v>27</v>
      </c>
      <c r="J470" s="4">
        <v>168</v>
      </c>
      <c r="K470">
        <v>1.3580000000000001</v>
      </c>
      <c r="L470">
        <v>168</v>
      </c>
      <c r="M470">
        <v>228.14400000000001</v>
      </c>
      <c r="N470" s="5">
        <v>11.476056338028171</v>
      </c>
      <c r="O470" t="s">
        <v>750</v>
      </c>
      <c r="P470" t="s">
        <v>340</v>
      </c>
      <c r="Q470" t="s">
        <v>24</v>
      </c>
    </row>
    <row r="471" spans="1:18" hidden="1" x14ac:dyDescent="0.25">
      <c r="A471" s="2" t="s">
        <v>726</v>
      </c>
      <c r="B471" s="3" t="str">
        <f t="shared" si="10"/>
        <v>18/11/11</v>
      </c>
      <c r="C471" s="10">
        <v>11</v>
      </c>
      <c r="D471" s="10">
        <v>11</v>
      </c>
      <c r="E471" s="10">
        <v>18</v>
      </c>
      <c r="F471" t="s">
        <v>146</v>
      </c>
      <c r="H471" t="s">
        <v>49</v>
      </c>
      <c r="I471" t="s">
        <v>50</v>
      </c>
      <c r="J471" s="4">
        <v>0.4</v>
      </c>
      <c r="K471">
        <v>1</v>
      </c>
      <c r="L471">
        <v>0.4</v>
      </c>
      <c r="M471" s="8">
        <v>0.4</v>
      </c>
      <c r="N471" s="5">
        <v>2.0120724346076462E-2</v>
      </c>
      <c r="O471" t="s">
        <v>750</v>
      </c>
      <c r="P471" t="s">
        <v>340</v>
      </c>
      <c r="Q471" t="s">
        <v>24</v>
      </c>
    </row>
    <row r="472" spans="1:18" hidden="1" x14ac:dyDescent="0.25">
      <c r="A472" s="2" t="s">
        <v>726</v>
      </c>
      <c r="B472" s="3" t="str">
        <f t="shared" si="10"/>
        <v>18/11/11</v>
      </c>
      <c r="C472" s="10">
        <v>11</v>
      </c>
      <c r="D472" s="10">
        <v>11</v>
      </c>
      <c r="E472" s="10">
        <v>18</v>
      </c>
      <c r="F472" t="s">
        <v>1239</v>
      </c>
      <c r="H472" t="s">
        <v>69</v>
      </c>
      <c r="I472" t="s">
        <v>27</v>
      </c>
      <c r="J472" s="4">
        <v>148</v>
      </c>
      <c r="K472">
        <v>1</v>
      </c>
      <c r="L472">
        <v>148</v>
      </c>
      <c r="M472">
        <v>148</v>
      </c>
      <c r="N472" s="5">
        <v>7.4446680080482901</v>
      </c>
      <c r="O472" t="s">
        <v>750</v>
      </c>
      <c r="P472" t="s">
        <v>340</v>
      </c>
      <c r="Q472" t="s">
        <v>24</v>
      </c>
    </row>
    <row r="473" spans="1:18" hidden="1" x14ac:dyDescent="0.25">
      <c r="A473" s="2" t="s">
        <v>726</v>
      </c>
      <c r="B473" s="3" t="str">
        <f t="shared" si="10"/>
        <v>18/11/11</v>
      </c>
      <c r="C473" s="10">
        <v>11</v>
      </c>
      <c r="D473" s="10">
        <v>11</v>
      </c>
      <c r="E473" s="10">
        <v>18</v>
      </c>
      <c r="F473" t="s">
        <v>1232</v>
      </c>
      <c r="H473" t="s">
        <v>69</v>
      </c>
      <c r="I473" t="s">
        <v>27</v>
      </c>
      <c r="J473" s="4">
        <v>54</v>
      </c>
      <c r="K473">
        <v>1.4039999999999999</v>
      </c>
      <c r="L473">
        <v>54</v>
      </c>
      <c r="M473">
        <v>75.816000000000003</v>
      </c>
      <c r="N473" s="5">
        <v>3.8136820925553323</v>
      </c>
      <c r="O473" t="s">
        <v>750</v>
      </c>
      <c r="P473" t="s">
        <v>340</v>
      </c>
      <c r="Q473" t="s">
        <v>24</v>
      </c>
    </row>
    <row r="474" spans="1:18" hidden="1" x14ac:dyDescent="0.25">
      <c r="A474" s="2" t="s">
        <v>726</v>
      </c>
      <c r="B474" s="3" t="str">
        <f t="shared" si="10"/>
        <v>18/11/12</v>
      </c>
      <c r="C474" s="10">
        <v>12</v>
      </c>
      <c r="D474" s="10">
        <v>11</v>
      </c>
      <c r="E474" s="10">
        <v>18</v>
      </c>
      <c r="F474" t="s">
        <v>60</v>
      </c>
      <c r="G474" t="s">
        <v>31</v>
      </c>
      <c r="H474" t="s">
        <v>26</v>
      </c>
      <c r="I474" t="s">
        <v>27</v>
      </c>
      <c r="J474" s="4">
        <v>6.75</v>
      </c>
      <c r="K474">
        <v>2</v>
      </c>
      <c r="L474">
        <v>6.75</v>
      </c>
      <c r="M474">
        <v>13.5</v>
      </c>
      <c r="N474" s="5">
        <v>0.67907444668008055</v>
      </c>
      <c r="O474" t="s">
        <v>101</v>
      </c>
      <c r="P474" t="s">
        <v>340</v>
      </c>
      <c r="Q474" t="s">
        <v>24</v>
      </c>
    </row>
    <row r="475" spans="1:18" hidden="1" x14ac:dyDescent="0.25">
      <c r="A475" s="2" t="s">
        <v>726</v>
      </c>
      <c r="B475" s="3" t="str">
        <f t="shared" si="10"/>
        <v>18/11/13</v>
      </c>
      <c r="C475" s="10">
        <v>13</v>
      </c>
      <c r="D475" s="10">
        <v>11</v>
      </c>
      <c r="E475" s="10">
        <v>18</v>
      </c>
      <c r="F475" s="7" t="s">
        <v>589</v>
      </c>
      <c r="H475" t="s">
        <v>63</v>
      </c>
      <c r="I475" t="s">
        <v>50</v>
      </c>
      <c r="J475" s="4">
        <v>77.599999999999994</v>
      </c>
      <c r="K475">
        <v>1</v>
      </c>
      <c r="L475">
        <v>77.599999999999994</v>
      </c>
      <c r="M475">
        <v>77.599999999999994</v>
      </c>
      <c r="N475" s="5">
        <v>3.9034205231388328</v>
      </c>
      <c r="O475" t="s">
        <v>1472</v>
      </c>
      <c r="P475" t="s">
        <v>340</v>
      </c>
      <c r="Q475" t="s">
        <v>24</v>
      </c>
    </row>
    <row r="476" spans="1:18" hidden="1" x14ac:dyDescent="0.25">
      <c r="A476" s="2" t="s">
        <v>726</v>
      </c>
      <c r="B476" s="3" t="str">
        <f t="shared" si="10"/>
        <v>18/11/13</v>
      </c>
      <c r="C476" s="10">
        <v>13</v>
      </c>
      <c r="D476" s="10">
        <v>11</v>
      </c>
      <c r="E476" s="10">
        <v>18</v>
      </c>
      <c r="F476" t="s">
        <v>55</v>
      </c>
      <c r="H476" t="s">
        <v>56</v>
      </c>
      <c r="I476" t="s">
        <v>27</v>
      </c>
      <c r="J476" s="4">
        <v>19.989999999999998</v>
      </c>
      <c r="K476">
        <v>1.796</v>
      </c>
      <c r="L476">
        <v>19.989999999999998</v>
      </c>
      <c r="M476">
        <v>35.90204</v>
      </c>
      <c r="N476" s="5">
        <v>1.8059376257545272</v>
      </c>
      <c r="O476" t="s">
        <v>1472</v>
      </c>
      <c r="P476" t="s">
        <v>340</v>
      </c>
      <c r="Q476" t="s">
        <v>24</v>
      </c>
    </row>
    <row r="477" spans="1:18" hidden="1" x14ac:dyDescent="0.25">
      <c r="A477" s="2" t="s">
        <v>726</v>
      </c>
      <c r="B477" s="3" t="str">
        <f t="shared" si="10"/>
        <v>18/11/13</v>
      </c>
      <c r="C477" s="10">
        <v>13</v>
      </c>
      <c r="D477" s="10">
        <v>11</v>
      </c>
      <c r="E477" s="10">
        <v>18</v>
      </c>
      <c r="F477" t="s">
        <v>60</v>
      </c>
      <c r="G477" t="s">
        <v>31</v>
      </c>
      <c r="H477" t="s">
        <v>26</v>
      </c>
      <c r="I477" t="s">
        <v>27</v>
      </c>
      <c r="J477" s="4">
        <v>7.45</v>
      </c>
      <c r="K477">
        <v>2</v>
      </c>
      <c r="L477">
        <v>7.45</v>
      </c>
      <c r="M477">
        <v>14.9</v>
      </c>
      <c r="N477" s="5">
        <v>0.74949698189134817</v>
      </c>
      <c r="O477" t="s">
        <v>1472</v>
      </c>
      <c r="P477" t="s">
        <v>340</v>
      </c>
      <c r="Q477" t="s">
        <v>24</v>
      </c>
    </row>
    <row r="478" spans="1:18" hidden="1" x14ac:dyDescent="0.25">
      <c r="A478" s="2" t="s">
        <v>726</v>
      </c>
      <c r="B478" s="3" t="str">
        <f t="shared" si="10"/>
        <v>18/11/13</v>
      </c>
      <c r="C478" s="10">
        <v>13</v>
      </c>
      <c r="D478" s="10">
        <v>11</v>
      </c>
      <c r="E478" s="10">
        <v>18</v>
      </c>
      <c r="F478" t="s">
        <v>751</v>
      </c>
      <c r="H478" t="s">
        <v>65</v>
      </c>
      <c r="I478" t="s">
        <v>27</v>
      </c>
      <c r="J478" s="4">
        <v>19.350000000000001</v>
      </c>
      <c r="K478">
        <v>1</v>
      </c>
      <c r="L478">
        <v>19.350000000000001</v>
      </c>
      <c r="M478">
        <v>19.350000000000001</v>
      </c>
      <c r="N478" s="5">
        <v>0.97334004024144882</v>
      </c>
      <c r="O478" t="s">
        <v>1472</v>
      </c>
      <c r="P478" t="s">
        <v>340</v>
      </c>
      <c r="Q478" t="s">
        <v>24</v>
      </c>
    </row>
    <row r="479" spans="1:18" hidden="1" x14ac:dyDescent="0.25">
      <c r="A479" s="2" t="s">
        <v>726</v>
      </c>
      <c r="B479" s="3" t="str">
        <f t="shared" si="10"/>
        <v>18/11/13</v>
      </c>
      <c r="C479" s="10">
        <v>13</v>
      </c>
      <c r="D479" s="10">
        <v>11</v>
      </c>
      <c r="E479" s="10">
        <v>18</v>
      </c>
      <c r="F479" t="s">
        <v>752</v>
      </c>
      <c r="H479" t="s">
        <v>54</v>
      </c>
      <c r="I479" t="s">
        <v>27</v>
      </c>
      <c r="J479" s="4">
        <v>9.9499999999999993</v>
      </c>
      <c r="K479">
        <v>2</v>
      </c>
      <c r="L479">
        <v>9.9499999999999993</v>
      </c>
      <c r="M479">
        <v>19.899999999999999</v>
      </c>
      <c r="N479" s="5">
        <v>1.0010060362173039</v>
      </c>
      <c r="O479" t="s">
        <v>1472</v>
      </c>
      <c r="P479" t="s">
        <v>340</v>
      </c>
      <c r="Q479" t="s">
        <v>24</v>
      </c>
    </row>
    <row r="480" spans="1:18" hidden="1" x14ac:dyDescent="0.25">
      <c r="A480" s="2" t="s">
        <v>726</v>
      </c>
      <c r="B480" s="3" t="str">
        <f t="shared" si="10"/>
        <v>18/11/13</v>
      </c>
      <c r="C480" s="10">
        <v>13</v>
      </c>
      <c r="D480" s="10">
        <v>11</v>
      </c>
      <c r="E480" s="10">
        <v>18</v>
      </c>
      <c r="F480" t="s">
        <v>2242</v>
      </c>
      <c r="G480" t="s">
        <v>345</v>
      </c>
      <c r="H480" t="s">
        <v>26</v>
      </c>
      <c r="I480" t="s">
        <v>27</v>
      </c>
      <c r="J480" s="4">
        <v>6.4</v>
      </c>
      <c r="K480">
        <v>1</v>
      </c>
      <c r="L480">
        <v>6.4</v>
      </c>
      <c r="M480">
        <v>6.4</v>
      </c>
      <c r="N480" s="5">
        <v>0.32193158953722339</v>
      </c>
      <c r="O480" t="s">
        <v>1472</v>
      </c>
      <c r="P480" t="s">
        <v>340</v>
      </c>
      <c r="Q480" t="s">
        <v>24</v>
      </c>
    </row>
    <row r="481" spans="1:18" hidden="1" x14ac:dyDescent="0.25">
      <c r="A481" s="2" t="s">
        <v>726</v>
      </c>
      <c r="B481" s="3" t="str">
        <f t="shared" si="10"/>
        <v>18/11/14</v>
      </c>
      <c r="C481" s="10">
        <v>14</v>
      </c>
      <c r="D481" s="10">
        <v>11</v>
      </c>
      <c r="E481" s="10">
        <v>18</v>
      </c>
      <c r="F481" t="s">
        <v>753</v>
      </c>
      <c r="H481" t="s">
        <v>63</v>
      </c>
      <c r="I481" t="s">
        <v>50</v>
      </c>
      <c r="J481" s="4">
        <v>343</v>
      </c>
      <c r="K481">
        <v>1</v>
      </c>
      <c r="L481">
        <v>343</v>
      </c>
      <c r="M481" s="8">
        <v>343</v>
      </c>
      <c r="N481" s="5">
        <v>17.253521126760564</v>
      </c>
      <c r="O481" t="s">
        <v>754</v>
      </c>
      <c r="P481" t="s">
        <v>340</v>
      </c>
      <c r="Q481" t="s">
        <v>24</v>
      </c>
    </row>
    <row r="482" spans="1:18" hidden="1" x14ac:dyDescent="0.25">
      <c r="A482" s="2" t="s">
        <v>726</v>
      </c>
      <c r="B482" s="3" t="str">
        <f t="shared" si="10"/>
        <v>18/11/14</v>
      </c>
      <c r="C482" s="10">
        <v>14</v>
      </c>
      <c r="D482" s="10">
        <v>11</v>
      </c>
      <c r="E482" s="10">
        <v>18</v>
      </c>
      <c r="F482" t="s">
        <v>755</v>
      </c>
      <c r="H482" t="s">
        <v>198</v>
      </c>
      <c r="I482" t="s">
        <v>105</v>
      </c>
      <c r="J482" s="4">
        <v>200</v>
      </c>
      <c r="K482">
        <v>1</v>
      </c>
      <c r="L482">
        <v>200</v>
      </c>
      <c r="M482">
        <v>200</v>
      </c>
      <c r="N482" s="5">
        <v>10.06036217303823</v>
      </c>
      <c r="O482" t="s">
        <v>39</v>
      </c>
      <c r="Q482" t="s">
        <v>84</v>
      </c>
    </row>
    <row r="483" spans="1:18" hidden="1" x14ac:dyDescent="0.25">
      <c r="A483" s="2" t="s">
        <v>726</v>
      </c>
      <c r="B483" s="3" t="str">
        <f t="shared" si="10"/>
        <v>18/11/14</v>
      </c>
      <c r="C483" s="10">
        <v>14</v>
      </c>
      <c r="D483" s="10">
        <v>11</v>
      </c>
      <c r="E483" s="10">
        <v>18</v>
      </c>
      <c r="F483" t="s">
        <v>199</v>
      </c>
      <c r="H483" t="s">
        <v>198</v>
      </c>
      <c r="I483" t="s">
        <v>105</v>
      </c>
      <c r="J483" s="4">
        <v>200</v>
      </c>
      <c r="K483">
        <v>1</v>
      </c>
      <c r="L483">
        <v>200</v>
      </c>
      <c r="M483">
        <v>200</v>
      </c>
      <c r="N483" s="5">
        <v>10.06036217303823</v>
      </c>
      <c r="O483" t="s">
        <v>39</v>
      </c>
      <c r="Q483" t="s">
        <v>24</v>
      </c>
    </row>
    <row r="484" spans="1:18" hidden="1" x14ac:dyDescent="0.25">
      <c r="A484" s="2" t="s">
        <v>726</v>
      </c>
      <c r="B484" s="3" t="str">
        <f t="shared" si="10"/>
        <v>18/11/14</v>
      </c>
      <c r="C484" s="10">
        <v>14</v>
      </c>
      <c r="D484" s="10">
        <v>11</v>
      </c>
      <c r="E484" s="10">
        <v>18</v>
      </c>
      <c r="F484" t="s">
        <v>756</v>
      </c>
      <c r="H484" t="s">
        <v>198</v>
      </c>
      <c r="I484" t="s">
        <v>105</v>
      </c>
      <c r="J484" s="4">
        <v>200</v>
      </c>
      <c r="K484">
        <v>1</v>
      </c>
      <c r="L484">
        <v>200</v>
      </c>
      <c r="M484">
        <v>200</v>
      </c>
      <c r="N484" s="5">
        <v>10.06036217303823</v>
      </c>
      <c r="O484" t="s">
        <v>39</v>
      </c>
      <c r="Q484" t="s">
        <v>24</v>
      </c>
    </row>
    <row r="485" spans="1:18" hidden="1" x14ac:dyDescent="0.25">
      <c r="A485" s="2" t="s">
        <v>726</v>
      </c>
      <c r="B485" s="3" t="str">
        <f t="shared" si="10"/>
        <v>18/11/14</v>
      </c>
      <c r="C485" s="10">
        <v>14</v>
      </c>
      <c r="D485" s="10">
        <v>11</v>
      </c>
      <c r="E485" s="10">
        <v>18</v>
      </c>
      <c r="F485" t="s">
        <v>169</v>
      </c>
      <c r="H485" t="s">
        <v>170</v>
      </c>
      <c r="I485" t="s">
        <v>105</v>
      </c>
      <c r="J485" s="4">
        <v>210</v>
      </c>
      <c r="K485">
        <v>1</v>
      </c>
      <c r="L485">
        <v>210</v>
      </c>
      <c r="M485">
        <v>210</v>
      </c>
      <c r="N485" s="5">
        <v>10.563380281690142</v>
      </c>
      <c r="O485" t="s">
        <v>39</v>
      </c>
      <c r="Q485" t="s">
        <v>24</v>
      </c>
    </row>
    <row r="486" spans="1:18" hidden="1" x14ac:dyDescent="0.25">
      <c r="A486" s="2" t="s">
        <v>726</v>
      </c>
      <c r="B486" s="3" t="str">
        <f t="shared" si="10"/>
        <v>18/11/14</v>
      </c>
      <c r="C486" s="10">
        <v>14</v>
      </c>
      <c r="D486" s="10">
        <v>11</v>
      </c>
      <c r="E486" s="10">
        <v>18</v>
      </c>
      <c r="F486" t="s">
        <v>168</v>
      </c>
      <c r="H486" t="s">
        <v>168</v>
      </c>
      <c r="I486" t="s">
        <v>105</v>
      </c>
      <c r="J486" s="4">
        <v>250</v>
      </c>
      <c r="K486">
        <v>1</v>
      </c>
      <c r="L486">
        <v>250</v>
      </c>
      <c r="M486">
        <v>250</v>
      </c>
      <c r="N486" s="5">
        <v>12.575452716297788</v>
      </c>
      <c r="O486" t="s">
        <v>39</v>
      </c>
      <c r="Q486" t="s">
        <v>24</v>
      </c>
    </row>
    <row r="487" spans="1:18" hidden="1" x14ac:dyDescent="0.25">
      <c r="A487" s="2" t="s">
        <v>726</v>
      </c>
      <c r="B487" s="3" t="str">
        <f t="shared" si="10"/>
        <v>18/11/14</v>
      </c>
      <c r="C487" s="10">
        <v>14</v>
      </c>
      <c r="D487" s="10">
        <v>11</v>
      </c>
      <c r="E487" s="10">
        <v>18</v>
      </c>
      <c r="F487" t="s">
        <v>234</v>
      </c>
      <c r="H487" t="s">
        <v>53</v>
      </c>
      <c r="I487" t="s">
        <v>27</v>
      </c>
      <c r="J487" s="4">
        <v>20</v>
      </c>
      <c r="K487">
        <v>1</v>
      </c>
      <c r="L487">
        <v>20</v>
      </c>
      <c r="M487">
        <v>20</v>
      </c>
      <c r="N487" s="5">
        <v>1.0060362173038231</v>
      </c>
      <c r="O487" t="s">
        <v>101</v>
      </c>
      <c r="P487" t="s">
        <v>340</v>
      </c>
      <c r="Q487" t="s">
        <v>24</v>
      </c>
    </row>
    <row r="488" spans="1:18" hidden="1" x14ac:dyDescent="0.25">
      <c r="A488" s="2" t="s">
        <v>726</v>
      </c>
      <c r="B488" s="3" t="str">
        <f t="shared" si="10"/>
        <v>18/11/14</v>
      </c>
      <c r="C488" s="10">
        <v>14</v>
      </c>
      <c r="D488" s="10">
        <v>11</v>
      </c>
      <c r="E488" s="10">
        <v>18</v>
      </c>
      <c r="F488" t="s">
        <v>60</v>
      </c>
      <c r="G488" t="s">
        <v>31</v>
      </c>
      <c r="H488" t="s">
        <v>26</v>
      </c>
      <c r="I488" t="s">
        <v>27</v>
      </c>
      <c r="J488" s="4">
        <v>6.75</v>
      </c>
      <c r="K488">
        <v>2</v>
      </c>
      <c r="L488">
        <v>6.75</v>
      </c>
      <c r="M488">
        <v>13.5</v>
      </c>
      <c r="N488" s="5">
        <v>0.67907444668008055</v>
      </c>
      <c r="O488" t="s">
        <v>101</v>
      </c>
      <c r="P488" t="s">
        <v>340</v>
      </c>
      <c r="Q488" t="s">
        <v>24</v>
      </c>
    </row>
    <row r="489" spans="1:18" hidden="1" x14ac:dyDescent="0.25">
      <c r="A489" s="2" t="s">
        <v>726</v>
      </c>
      <c r="B489" s="3" t="str">
        <f t="shared" si="10"/>
        <v>18/11/15</v>
      </c>
      <c r="C489" s="10">
        <v>15</v>
      </c>
      <c r="D489" s="10">
        <v>11</v>
      </c>
      <c r="E489" s="10">
        <v>18</v>
      </c>
      <c r="F489" t="s">
        <v>141</v>
      </c>
      <c r="H489" t="s">
        <v>172</v>
      </c>
      <c r="I489" t="s">
        <v>39</v>
      </c>
      <c r="J489" s="4">
        <v>2</v>
      </c>
      <c r="K489">
        <v>2</v>
      </c>
      <c r="L489">
        <v>2</v>
      </c>
      <c r="M489" s="8">
        <v>4</v>
      </c>
      <c r="N489" s="5">
        <v>0.2012072434607646</v>
      </c>
      <c r="O489" t="s">
        <v>39</v>
      </c>
      <c r="Q489" t="s">
        <v>24</v>
      </c>
    </row>
    <row r="490" spans="1:18" hidden="1" x14ac:dyDescent="0.25">
      <c r="A490" s="2" t="s">
        <v>726</v>
      </c>
      <c r="B490" s="3" t="str">
        <f t="shared" si="10"/>
        <v>18/11/15</v>
      </c>
      <c r="C490" s="10">
        <v>15</v>
      </c>
      <c r="D490" s="10">
        <v>11</v>
      </c>
      <c r="E490" s="10">
        <v>18</v>
      </c>
      <c r="F490" t="s">
        <v>1232</v>
      </c>
      <c r="H490" t="s">
        <v>69</v>
      </c>
      <c r="I490" t="s">
        <v>27</v>
      </c>
      <c r="J490" s="4">
        <v>56.5</v>
      </c>
      <c r="K490">
        <v>1.3440000000000001</v>
      </c>
      <c r="L490">
        <v>56.5</v>
      </c>
      <c r="M490">
        <v>75.936000000000007</v>
      </c>
      <c r="N490" s="5">
        <v>3.8197183098591556</v>
      </c>
      <c r="O490" t="s">
        <v>2239</v>
      </c>
      <c r="P490" t="s">
        <v>340</v>
      </c>
      <c r="Q490" t="s">
        <v>24</v>
      </c>
    </row>
    <row r="491" spans="1:18" hidden="1" x14ac:dyDescent="0.25">
      <c r="A491" s="2" t="s">
        <v>726</v>
      </c>
      <c r="B491" s="3" t="str">
        <f t="shared" si="10"/>
        <v>18/11/15</v>
      </c>
      <c r="C491" s="10">
        <v>15</v>
      </c>
      <c r="D491" s="10">
        <v>11</v>
      </c>
      <c r="E491" s="10">
        <v>18</v>
      </c>
      <c r="F491" t="s">
        <v>1242</v>
      </c>
      <c r="H491" t="s">
        <v>69</v>
      </c>
      <c r="I491" t="s">
        <v>27</v>
      </c>
      <c r="J491" s="4">
        <v>48</v>
      </c>
      <c r="K491">
        <v>0.40600000000000003</v>
      </c>
      <c r="L491">
        <v>48</v>
      </c>
      <c r="M491">
        <v>19.488</v>
      </c>
      <c r="N491" s="5">
        <v>0.9802816901408451</v>
      </c>
      <c r="O491" t="s">
        <v>2239</v>
      </c>
      <c r="P491" t="s">
        <v>340</v>
      </c>
      <c r="Q491" t="s">
        <v>24</v>
      </c>
    </row>
    <row r="492" spans="1:18" hidden="1" x14ac:dyDescent="0.25">
      <c r="A492" s="2" t="s">
        <v>726</v>
      </c>
      <c r="B492" s="3" t="str">
        <f t="shared" si="10"/>
        <v>18/11/15</v>
      </c>
      <c r="C492" s="10">
        <v>15</v>
      </c>
      <c r="D492" s="10">
        <v>11</v>
      </c>
      <c r="E492" s="10">
        <v>18</v>
      </c>
      <c r="F492" t="s">
        <v>1231</v>
      </c>
      <c r="H492" t="s">
        <v>69</v>
      </c>
      <c r="I492" t="s">
        <v>27</v>
      </c>
      <c r="J492" s="4">
        <v>95</v>
      </c>
      <c r="K492">
        <v>0.81799999999999995</v>
      </c>
      <c r="L492">
        <v>95</v>
      </c>
      <c r="M492">
        <v>77.709999999999994</v>
      </c>
      <c r="N492" s="5">
        <v>3.9089537223340041</v>
      </c>
      <c r="O492" t="s">
        <v>2239</v>
      </c>
      <c r="P492" t="s">
        <v>340</v>
      </c>
      <c r="Q492" t="s">
        <v>24</v>
      </c>
    </row>
    <row r="493" spans="1:18" hidden="1" x14ac:dyDescent="0.25">
      <c r="A493" s="2" t="s">
        <v>726</v>
      </c>
      <c r="B493" s="3" t="str">
        <f t="shared" si="10"/>
        <v>18/11/15</v>
      </c>
      <c r="C493" s="10">
        <v>15</v>
      </c>
      <c r="D493" s="10">
        <v>11</v>
      </c>
      <c r="E493" s="10">
        <v>18</v>
      </c>
      <c r="F493" t="s">
        <v>89</v>
      </c>
      <c r="G493" t="s">
        <v>31</v>
      </c>
      <c r="H493" t="s">
        <v>26</v>
      </c>
      <c r="I493" t="s">
        <v>27</v>
      </c>
      <c r="J493" s="4">
        <v>5.2</v>
      </c>
      <c r="K493">
        <v>2</v>
      </c>
      <c r="L493">
        <v>5.2</v>
      </c>
      <c r="M493">
        <v>10.4</v>
      </c>
      <c r="N493" s="5">
        <v>0.52313883299798802</v>
      </c>
      <c r="O493" t="s">
        <v>100</v>
      </c>
      <c r="P493" t="s">
        <v>340</v>
      </c>
      <c r="Q493" t="s">
        <v>24</v>
      </c>
    </row>
    <row r="494" spans="1:18" hidden="1" x14ac:dyDescent="0.25">
      <c r="A494" s="2" t="s">
        <v>726</v>
      </c>
      <c r="B494" s="3" t="str">
        <f t="shared" si="10"/>
        <v>18/11/15</v>
      </c>
      <c r="C494" s="10">
        <v>15</v>
      </c>
      <c r="D494" s="10">
        <v>11</v>
      </c>
      <c r="E494" s="10">
        <v>18</v>
      </c>
      <c r="F494" t="s">
        <v>757</v>
      </c>
      <c r="H494" t="s">
        <v>40</v>
      </c>
      <c r="I494" t="s">
        <v>27</v>
      </c>
      <c r="J494" s="4">
        <v>15.6</v>
      </c>
      <c r="K494">
        <v>1</v>
      </c>
      <c r="L494">
        <v>15.6</v>
      </c>
      <c r="M494">
        <v>15.6</v>
      </c>
      <c r="N494" s="5">
        <v>0.78470824949698192</v>
      </c>
      <c r="O494" t="s">
        <v>100</v>
      </c>
      <c r="P494" t="s">
        <v>340</v>
      </c>
      <c r="Q494" t="s">
        <v>24</v>
      </c>
    </row>
    <row r="495" spans="1:18" hidden="1" x14ac:dyDescent="0.25">
      <c r="A495" s="2" t="s">
        <v>726</v>
      </c>
      <c r="B495" s="3" t="str">
        <f t="shared" si="10"/>
        <v>18/11/15</v>
      </c>
      <c r="C495" s="10">
        <v>15</v>
      </c>
      <c r="D495" s="10">
        <v>11</v>
      </c>
      <c r="E495" s="10">
        <v>18</v>
      </c>
      <c r="F495" t="s">
        <v>372</v>
      </c>
      <c r="G495" t="s">
        <v>373</v>
      </c>
      <c r="H495" t="s">
        <v>65</v>
      </c>
      <c r="I495" t="s">
        <v>27</v>
      </c>
      <c r="J495" s="4">
        <v>9</v>
      </c>
      <c r="K495">
        <v>2</v>
      </c>
      <c r="L495">
        <v>9</v>
      </c>
      <c r="M495">
        <v>18</v>
      </c>
      <c r="N495" s="5">
        <v>0.90543259557344069</v>
      </c>
      <c r="O495" t="s">
        <v>100</v>
      </c>
      <c r="P495" t="s">
        <v>340</v>
      </c>
      <c r="Q495" t="s">
        <v>24</v>
      </c>
    </row>
    <row r="496" spans="1:18" hidden="1" x14ac:dyDescent="0.25">
      <c r="A496" s="2" t="s">
        <v>726</v>
      </c>
      <c r="B496" s="3" t="str">
        <f t="shared" si="10"/>
        <v>18/11/15</v>
      </c>
      <c r="C496" s="10">
        <v>15</v>
      </c>
      <c r="D496" s="10">
        <v>11</v>
      </c>
      <c r="E496" s="10">
        <v>18</v>
      </c>
      <c r="F496" t="s">
        <v>1562</v>
      </c>
      <c r="I496" t="s">
        <v>139</v>
      </c>
      <c r="J496" s="4">
        <v>12</v>
      </c>
      <c r="K496">
        <v>1</v>
      </c>
      <c r="L496">
        <v>201.36</v>
      </c>
      <c r="M496">
        <v>201.36</v>
      </c>
      <c r="N496" s="5">
        <v>10.12877263581489</v>
      </c>
      <c r="O496" t="s">
        <v>39</v>
      </c>
      <c r="Q496" t="s">
        <v>24</v>
      </c>
      <c r="R496" t="s">
        <v>1561</v>
      </c>
    </row>
    <row r="497" spans="1:18" hidden="1" x14ac:dyDescent="0.25">
      <c r="A497" s="2" t="s">
        <v>726</v>
      </c>
      <c r="B497" s="3" t="str">
        <f t="shared" si="10"/>
        <v>18/11/15</v>
      </c>
      <c r="C497" s="10">
        <v>15</v>
      </c>
      <c r="D497" s="10">
        <v>11</v>
      </c>
      <c r="E497" s="10">
        <v>18</v>
      </c>
      <c r="F497" t="s">
        <v>758</v>
      </c>
      <c r="I497" t="s">
        <v>139</v>
      </c>
      <c r="J497" s="4">
        <v>16</v>
      </c>
      <c r="K497">
        <v>1</v>
      </c>
      <c r="L497">
        <v>268.48</v>
      </c>
      <c r="M497">
        <v>268.48</v>
      </c>
      <c r="N497" s="5">
        <v>13.505030181086521</v>
      </c>
      <c r="O497" t="s">
        <v>39</v>
      </c>
      <c r="Q497" t="s">
        <v>24</v>
      </c>
    </row>
    <row r="498" spans="1:18" hidden="1" x14ac:dyDescent="0.25">
      <c r="A498" s="2" t="s">
        <v>726</v>
      </c>
      <c r="B498" s="3" t="str">
        <f t="shared" si="10"/>
        <v>18/11/15</v>
      </c>
      <c r="C498" s="10">
        <v>15</v>
      </c>
      <c r="D498" s="10">
        <v>11</v>
      </c>
      <c r="E498" s="10">
        <v>18</v>
      </c>
      <c r="F498" t="s">
        <v>179</v>
      </c>
      <c r="H498" t="s">
        <v>179</v>
      </c>
      <c r="I498" t="s">
        <v>105</v>
      </c>
      <c r="J498" s="4">
        <v>185</v>
      </c>
      <c r="K498">
        <v>1</v>
      </c>
      <c r="L498">
        <v>185</v>
      </c>
      <c r="M498">
        <v>185</v>
      </c>
      <c r="N498" s="5">
        <v>9.3058350100603633</v>
      </c>
      <c r="O498" t="s">
        <v>39</v>
      </c>
      <c r="Q498" s="10" t="s">
        <v>24</v>
      </c>
    </row>
    <row r="499" spans="1:18" hidden="1" x14ac:dyDescent="0.25">
      <c r="A499" s="2" t="s">
        <v>726</v>
      </c>
      <c r="B499" s="3" t="str">
        <f t="shared" si="10"/>
        <v>18/11/16</v>
      </c>
      <c r="C499" s="10">
        <v>16</v>
      </c>
      <c r="D499" s="10">
        <v>11</v>
      </c>
      <c r="E499" s="10">
        <v>18</v>
      </c>
      <c r="F499" t="s">
        <v>71</v>
      </c>
      <c r="I499" t="s">
        <v>72</v>
      </c>
      <c r="J499" s="4">
        <v>700</v>
      </c>
      <c r="K499">
        <v>1</v>
      </c>
      <c r="L499">
        <v>700</v>
      </c>
      <c r="M499">
        <v>700</v>
      </c>
      <c r="N499" s="5">
        <v>35.211267605633807</v>
      </c>
      <c r="O499" t="s">
        <v>39</v>
      </c>
      <c r="P499" t="s">
        <v>340</v>
      </c>
      <c r="Q499" t="s">
        <v>24</v>
      </c>
      <c r="R499" t="s">
        <v>759</v>
      </c>
    </row>
    <row r="500" spans="1:18" hidden="1" x14ac:dyDescent="0.25">
      <c r="A500" s="2" t="s">
        <v>726</v>
      </c>
      <c r="B500" s="3" t="str">
        <f t="shared" si="10"/>
        <v>18/11/16</v>
      </c>
      <c r="C500" s="10">
        <v>16</v>
      </c>
      <c r="D500" s="10">
        <v>11</v>
      </c>
      <c r="E500" s="10">
        <v>18</v>
      </c>
      <c r="F500" t="s">
        <v>71</v>
      </c>
      <c r="I500" t="s">
        <v>72</v>
      </c>
      <c r="J500" s="4">
        <v>200</v>
      </c>
      <c r="K500">
        <v>1</v>
      </c>
      <c r="L500">
        <v>200</v>
      </c>
      <c r="M500">
        <v>200</v>
      </c>
      <c r="N500" s="5">
        <v>10.06036217303823</v>
      </c>
      <c r="O500" t="s">
        <v>39</v>
      </c>
      <c r="Q500" t="s">
        <v>24</v>
      </c>
    </row>
    <row r="501" spans="1:18" hidden="1" x14ac:dyDescent="0.25">
      <c r="A501" s="2" t="s">
        <v>726</v>
      </c>
      <c r="B501" s="3" t="str">
        <f t="shared" si="10"/>
        <v>18/11/16</v>
      </c>
      <c r="C501" s="10">
        <v>16</v>
      </c>
      <c r="D501" s="10">
        <v>11</v>
      </c>
      <c r="E501" s="10">
        <v>18</v>
      </c>
      <c r="F501" t="s">
        <v>104</v>
      </c>
      <c r="I501" t="s">
        <v>72</v>
      </c>
      <c r="J501" s="4">
        <v>271.19</v>
      </c>
      <c r="K501">
        <v>1</v>
      </c>
      <c r="L501">
        <v>271.19</v>
      </c>
      <c r="M501">
        <v>271.19</v>
      </c>
      <c r="N501" s="5">
        <v>13.641348088531188</v>
      </c>
      <c r="O501" t="s">
        <v>233</v>
      </c>
      <c r="P501" t="s">
        <v>340</v>
      </c>
      <c r="Q501" t="s">
        <v>24</v>
      </c>
      <c r="R501" t="s">
        <v>760</v>
      </c>
    </row>
    <row r="502" spans="1:18" hidden="1" x14ac:dyDescent="0.25">
      <c r="A502" s="2" t="s">
        <v>726</v>
      </c>
      <c r="B502" s="3" t="str">
        <f t="shared" si="10"/>
        <v>18/11/16</v>
      </c>
      <c r="C502" s="10">
        <v>16</v>
      </c>
      <c r="D502" s="10">
        <v>11</v>
      </c>
      <c r="E502" s="10">
        <v>18</v>
      </c>
      <c r="F502" t="s">
        <v>104</v>
      </c>
      <c r="I502" t="s">
        <v>72</v>
      </c>
      <c r="J502" s="4">
        <v>41.71</v>
      </c>
      <c r="K502">
        <v>1</v>
      </c>
      <c r="L502">
        <v>41.71</v>
      </c>
      <c r="M502">
        <v>41.71</v>
      </c>
      <c r="N502" s="5">
        <v>2.0980885311871229</v>
      </c>
      <c r="O502" t="s">
        <v>233</v>
      </c>
      <c r="P502" t="s">
        <v>340</v>
      </c>
      <c r="Q502" t="s">
        <v>24</v>
      </c>
      <c r="R502" t="s">
        <v>761</v>
      </c>
    </row>
    <row r="503" spans="1:18" hidden="1" x14ac:dyDescent="0.25">
      <c r="A503" s="2" t="s">
        <v>726</v>
      </c>
      <c r="B503" s="3" t="str">
        <f t="shared" si="10"/>
        <v>18/11/16</v>
      </c>
      <c r="C503" s="10">
        <v>16</v>
      </c>
      <c r="D503" s="10">
        <v>11</v>
      </c>
      <c r="E503" s="10">
        <v>18</v>
      </c>
      <c r="F503" t="s">
        <v>104</v>
      </c>
      <c r="I503" t="s">
        <v>72</v>
      </c>
      <c r="J503" s="4">
        <v>82.75</v>
      </c>
      <c r="K503">
        <v>1</v>
      </c>
      <c r="L503">
        <v>82.75</v>
      </c>
      <c r="M503">
        <v>82.75</v>
      </c>
      <c r="N503" s="5">
        <v>4.1624748490945676</v>
      </c>
      <c r="O503" t="s">
        <v>233</v>
      </c>
      <c r="P503" t="s">
        <v>340</v>
      </c>
      <c r="Q503" t="s">
        <v>24</v>
      </c>
      <c r="R503" t="s">
        <v>762</v>
      </c>
    </row>
    <row r="504" spans="1:18" hidden="1" x14ac:dyDescent="0.25">
      <c r="A504" s="2" t="s">
        <v>726</v>
      </c>
      <c r="B504" s="3" t="str">
        <f t="shared" si="10"/>
        <v>18/11/16</v>
      </c>
      <c r="C504" s="10">
        <v>16</v>
      </c>
      <c r="D504" s="10">
        <v>11</v>
      </c>
      <c r="E504" s="10">
        <v>18</v>
      </c>
      <c r="F504" t="s">
        <v>763</v>
      </c>
      <c r="I504" t="s">
        <v>72</v>
      </c>
      <c r="J504" s="4">
        <v>84.42</v>
      </c>
      <c r="K504">
        <v>1</v>
      </c>
      <c r="L504">
        <v>84.42</v>
      </c>
      <c r="M504">
        <v>84.42</v>
      </c>
      <c r="N504" s="5">
        <v>4.246478873239437</v>
      </c>
      <c r="O504" t="s">
        <v>233</v>
      </c>
      <c r="P504" t="s">
        <v>340</v>
      </c>
      <c r="Q504" t="s">
        <v>24</v>
      </c>
    </row>
    <row r="505" spans="1:18" hidden="1" x14ac:dyDescent="0.25">
      <c r="A505" s="2" t="s">
        <v>726</v>
      </c>
      <c r="B505" s="3" t="str">
        <f t="shared" si="10"/>
        <v>18/11/17</v>
      </c>
      <c r="C505" s="10">
        <v>17</v>
      </c>
      <c r="D505" s="10">
        <v>11</v>
      </c>
      <c r="E505" s="10">
        <v>18</v>
      </c>
      <c r="F505" t="s">
        <v>53</v>
      </c>
      <c r="H505" t="s">
        <v>53</v>
      </c>
      <c r="I505" t="s">
        <v>27</v>
      </c>
      <c r="J505" s="4">
        <v>8</v>
      </c>
      <c r="K505">
        <v>1</v>
      </c>
      <c r="L505">
        <v>8</v>
      </c>
      <c r="M505">
        <v>8</v>
      </c>
      <c r="N505" s="5">
        <v>0.4024144869215292</v>
      </c>
      <c r="O505" t="s">
        <v>39</v>
      </c>
      <c r="Q505" t="s">
        <v>24</v>
      </c>
    </row>
    <row r="506" spans="1:18" hidden="1" x14ac:dyDescent="0.25">
      <c r="A506" s="2" t="s">
        <v>726</v>
      </c>
      <c r="B506" s="3" t="str">
        <f t="shared" si="10"/>
        <v>18/11/17</v>
      </c>
      <c r="C506" s="10">
        <v>17</v>
      </c>
      <c r="D506" s="10">
        <v>11</v>
      </c>
      <c r="E506" s="10">
        <v>18</v>
      </c>
      <c r="F506" t="s">
        <v>104</v>
      </c>
      <c r="I506" t="s">
        <v>72</v>
      </c>
      <c r="J506" s="4">
        <v>157.94999999999999</v>
      </c>
      <c r="K506">
        <v>1</v>
      </c>
      <c r="L506">
        <v>157.94999999999999</v>
      </c>
      <c r="M506">
        <v>157.94999999999999</v>
      </c>
      <c r="N506" s="5">
        <v>7.9451710261569417</v>
      </c>
      <c r="O506" t="s">
        <v>283</v>
      </c>
      <c r="P506" t="s">
        <v>340</v>
      </c>
      <c r="Q506" t="s">
        <v>24</v>
      </c>
      <c r="R506" t="s">
        <v>764</v>
      </c>
    </row>
    <row r="507" spans="1:18" hidden="1" x14ac:dyDescent="0.25">
      <c r="A507" s="2" t="s">
        <v>726</v>
      </c>
      <c r="B507" s="3" t="str">
        <f t="shared" si="10"/>
        <v>18/11/17</v>
      </c>
      <c r="C507" s="10">
        <v>17</v>
      </c>
      <c r="D507" s="10">
        <v>11</v>
      </c>
      <c r="E507" s="10">
        <v>18</v>
      </c>
      <c r="F507" t="s">
        <v>78</v>
      </c>
      <c r="H507" t="s">
        <v>78</v>
      </c>
      <c r="I507" t="s">
        <v>79</v>
      </c>
      <c r="J507" s="4">
        <v>18.89</v>
      </c>
      <c r="K507">
        <v>51.88</v>
      </c>
      <c r="L507">
        <v>18.89</v>
      </c>
      <c r="M507" s="8">
        <v>980.0132000000001</v>
      </c>
      <c r="N507" s="5">
        <v>49.29643863179075</v>
      </c>
      <c r="O507" t="s">
        <v>80</v>
      </c>
      <c r="P507" t="s">
        <v>340</v>
      </c>
      <c r="Q507" t="s">
        <v>24</v>
      </c>
    </row>
    <row r="508" spans="1:18" hidden="1" x14ac:dyDescent="0.25">
      <c r="A508" s="2" t="s">
        <v>726</v>
      </c>
      <c r="B508" s="3" t="str">
        <f t="shared" si="10"/>
        <v>18/11/17</v>
      </c>
      <c r="C508" s="10">
        <v>17</v>
      </c>
      <c r="D508" s="10">
        <v>11</v>
      </c>
      <c r="E508" s="10">
        <v>18</v>
      </c>
      <c r="F508" t="s">
        <v>118</v>
      </c>
      <c r="H508" t="s">
        <v>40</v>
      </c>
      <c r="I508" t="s">
        <v>27</v>
      </c>
      <c r="J508" s="4">
        <v>10</v>
      </c>
      <c r="K508">
        <v>1</v>
      </c>
      <c r="L508">
        <v>10</v>
      </c>
      <c r="M508">
        <v>10</v>
      </c>
      <c r="N508" s="5">
        <v>0.50301810865191154</v>
      </c>
      <c r="O508" t="s">
        <v>100</v>
      </c>
      <c r="P508" t="s">
        <v>340</v>
      </c>
      <c r="Q508" t="s">
        <v>24</v>
      </c>
    </row>
    <row r="509" spans="1:18" hidden="1" x14ac:dyDescent="0.25">
      <c r="A509" s="2" t="s">
        <v>726</v>
      </c>
      <c r="B509" s="3" t="str">
        <f t="shared" si="10"/>
        <v>18/11/17</v>
      </c>
      <c r="C509" s="10">
        <v>17</v>
      </c>
      <c r="D509" s="10">
        <v>11</v>
      </c>
      <c r="E509" s="10">
        <v>18</v>
      </c>
      <c r="F509" t="s">
        <v>89</v>
      </c>
      <c r="G509" t="s">
        <v>31</v>
      </c>
      <c r="H509" t="s">
        <v>26</v>
      </c>
      <c r="I509" t="s">
        <v>27</v>
      </c>
      <c r="J509" s="4">
        <v>5.2</v>
      </c>
      <c r="K509">
        <v>2</v>
      </c>
      <c r="L509">
        <v>5.2</v>
      </c>
      <c r="M509">
        <v>10.4</v>
      </c>
      <c r="N509" s="5">
        <v>0.52313883299798802</v>
      </c>
      <c r="O509" t="s">
        <v>100</v>
      </c>
      <c r="P509" t="s">
        <v>340</v>
      </c>
      <c r="Q509" t="s">
        <v>24</v>
      </c>
    </row>
    <row r="510" spans="1:18" hidden="1" x14ac:dyDescent="0.25">
      <c r="A510" s="2" t="s">
        <v>726</v>
      </c>
      <c r="B510" s="3" t="str">
        <f t="shared" si="10"/>
        <v>18/11/17</v>
      </c>
      <c r="C510" s="10">
        <v>17</v>
      </c>
      <c r="D510" s="10">
        <v>11</v>
      </c>
      <c r="E510" s="10">
        <v>18</v>
      </c>
      <c r="F510" t="s">
        <v>711</v>
      </c>
      <c r="G510" t="s">
        <v>708</v>
      </c>
      <c r="H510" t="s">
        <v>131</v>
      </c>
      <c r="I510" t="s">
        <v>27</v>
      </c>
      <c r="J510" s="4">
        <v>128</v>
      </c>
      <c r="K510">
        <v>0.27400000000000002</v>
      </c>
      <c r="L510">
        <v>128</v>
      </c>
      <c r="M510">
        <v>35.072000000000003</v>
      </c>
      <c r="N510" s="5">
        <v>1.7641851106639841</v>
      </c>
      <c r="O510" t="s">
        <v>100</v>
      </c>
      <c r="P510" t="s">
        <v>340</v>
      </c>
      <c r="Q510" t="s">
        <v>24</v>
      </c>
    </row>
    <row r="511" spans="1:18" hidden="1" x14ac:dyDescent="0.25">
      <c r="A511" s="2" t="s">
        <v>726</v>
      </c>
      <c r="B511" s="3" t="str">
        <f t="shared" si="10"/>
        <v>18/11/17</v>
      </c>
      <c r="C511" s="10">
        <v>17</v>
      </c>
      <c r="D511" s="10">
        <v>11</v>
      </c>
      <c r="E511" s="10">
        <v>18</v>
      </c>
      <c r="F511" t="s">
        <v>341</v>
      </c>
      <c r="G511" t="s">
        <v>25</v>
      </c>
      <c r="H511" t="s">
        <v>26</v>
      </c>
      <c r="I511" t="s">
        <v>27</v>
      </c>
      <c r="J511" s="4">
        <v>228</v>
      </c>
      <c r="K511">
        <v>0.13200000000000001</v>
      </c>
      <c r="L511">
        <v>228</v>
      </c>
      <c r="M511">
        <v>30.096</v>
      </c>
      <c r="N511" s="5">
        <v>1.5138832997987928</v>
      </c>
      <c r="O511" t="s">
        <v>100</v>
      </c>
      <c r="P511" t="s">
        <v>340</v>
      </c>
      <c r="Q511" t="s">
        <v>24</v>
      </c>
    </row>
    <row r="512" spans="1:18" hidden="1" x14ac:dyDescent="0.25">
      <c r="A512" s="2" t="s">
        <v>726</v>
      </c>
      <c r="B512" s="3" t="str">
        <f t="shared" si="10"/>
        <v>18/11/17</v>
      </c>
      <c r="C512" s="10">
        <v>17</v>
      </c>
      <c r="D512" s="10">
        <v>11</v>
      </c>
      <c r="E512" s="10">
        <v>18</v>
      </c>
      <c r="F512" t="s">
        <v>98</v>
      </c>
      <c r="H512" t="s">
        <v>26</v>
      </c>
      <c r="I512" t="s">
        <v>27</v>
      </c>
      <c r="J512" s="4">
        <v>47.15</v>
      </c>
      <c r="K512">
        <v>1</v>
      </c>
      <c r="L512">
        <v>47.15</v>
      </c>
      <c r="M512">
        <v>47.15</v>
      </c>
      <c r="N512" s="5">
        <v>2.3717303822937628</v>
      </c>
      <c r="O512" t="s">
        <v>100</v>
      </c>
      <c r="P512" t="s">
        <v>340</v>
      </c>
      <c r="Q512" t="s">
        <v>24</v>
      </c>
      <c r="R512" t="s">
        <v>1258</v>
      </c>
    </row>
    <row r="513" spans="1:18" hidden="1" x14ac:dyDescent="0.25">
      <c r="A513" s="2" t="s">
        <v>726</v>
      </c>
      <c r="B513" s="3" t="str">
        <f t="shared" si="10"/>
        <v>18/11/17</v>
      </c>
      <c r="C513" s="10">
        <v>17</v>
      </c>
      <c r="D513" s="10">
        <v>11</v>
      </c>
      <c r="E513" s="10">
        <v>18</v>
      </c>
      <c r="F513" t="s">
        <v>86</v>
      </c>
      <c r="H513" t="s">
        <v>102</v>
      </c>
      <c r="I513" t="s">
        <v>27</v>
      </c>
      <c r="J513" s="4">
        <f>35+4</f>
        <v>39</v>
      </c>
      <c r="K513">
        <v>1</v>
      </c>
      <c r="L513">
        <v>39</v>
      </c>
      <c r="M513">
        <v>39</v>
      </c>
      <c r="N513" s="5">
        <v>1.9617706237424548</v>
      </c>
      <c r="O513" t="s">
        <v>143</v>
      </c>
      <c r="P513" t="s">
        <v>340</v>
      </c>
      <c r="Q513" t="s">
        <v>24</v>
      </c>
    </row>
    <row r="514" spans="1:18" hidden="1" x14ac:dyDescent="0.25">
      <c r="A514" s="2" t="s">
        <v>726</v>
      </c>
      <c r="B514" s="3" t="str">
        <f t="shared" si="10"/>
        <v>18/11/17</v>
      </c>
      <c r="C514" s="10">
        <v>17</v>
      </c>
      <c r="D514" s="10">
        <v>11</v>
      </c>
      <c r="E514" s="10">
        <v>18</v>
      </c>
      <c r="F514" t="s">
        <v>1542</v>
      </c>
      <c r="H514" t="s">
        <v>131</v>
      </c>
      <c r="I514" t="s">
        <v>27</v>
      </c>
      <c r="J514" s="4">
        <v>53</v>
      </c>
      <c r="K514">
        <v>1</v>
      </c>
      <c r="L514">
        <v>53</v>
      </c>
      <c r="M514">
        <v>53</v>
      </c>
      <c r="N514" s="5">
        <v>2.665995975855131</v>
      </c>
      <c r="O514" t="s">
        <v>143</v>
      </c>
      <c r="P514" t="s">
        <v>340</v>
      </c>
      <c r="Q514" t="s">
        <v>24</v>
      </c>
      <c r="R514" t="s">
        <v>765</v>
      </c>
    </row>
    <row r="515" spans="1:18" hidden="1" x14ac:dyDescent="0.25">
      <c r="A515" s="2" t="s">
        <v>726</v>
      </c>
      <c r="B515" s="3" t="str">
        <f t="shared" si="10"/>
        <v>18/11/17</v>
      </c>
      <c r="C515" s="10">
        <v>17</v>
      </c>
      <c r="D515" s="10">
        <v>11</v>
      </c>
      <c r="E515" s="10">
        <v>18</v>
      </c>
      <c r="F515" t="s">
        <v>102</v>
      </c>
      <c r="H515" t="s">
        <v>102</v>
      </c>
      <c r="I515" t="s">
        <v>27</v>
      </c>
      <c r="J515" s="4">
        <v>26</v>
      </c>
      <c r="K515">
        <v>1</v>
      </c>
      <c r="L515">
        <v>26</v>
      </c>
      <c r="M515">
        <v>26</v>
      </c>
      <c r="N515" s="5">
        <v>1.3078470824949699</v>
      </c>
      <c r="O515" t="s">
        <v>378</v>
      </c>
      <c r="P515" t="s">
        <v>340</v>
      </c>
      <c r="Q515" t="s">
        <v>84</v>
      </c>
    </row>
    <row r="516" spans="1:18" hidden="1" x14ac:dyDescent="0.25">
      <c r="A516" s="2" t="s">
        <v>726</v>
      </c>
      <c r="B516" s="3" t="str">
        <f t="shared" si="10"/>
        <v>18/11/17</v>
      </c>
      <c r="C516" s="10">
        <v>17</v>
      </c>
      <c r="D516" s="10">
        <v>11</v>
      </c>
      <c r="E516" s="10">
        <v>18</v>
      </c>
      <c r="F516" t="s">
        <v>364</v>
      </c>
      <c r="H516" t="s">
        <v>63</v>
      </c>
      <c r="I516" t="s">
        <v>27</v>
      </c>
      <c r="J516" s="4">
        <v>19</v>
      </c>
      <c r="K516">
        <v>1</v>
      </c>
      <c r="L516">
        <v>19</v>
      </c>
      <c r="M516">
        <v>19</v>
      </c>
      <c r="N516" s="5">
        <v>0.95573440643863183</v>
      </c>
      <c r="O516" t="s">
        <v>767</v>
      </c>
      <c r="P516" t="s">
        <v>340</v>
      </c>
      <c r="Q516" t="s">
        <v>24</v>
      </c>
      <c r="R516" t="s">
        <v>766</v>
      </c>
    </row>
    <row r="517" spans="1:18" hidden="1" x14ac:dyDescent="0.25">
      <c r="A517" s="2" t="s">
        <v>726</v>
      </c>
      <c r="B517" s="3" t="str">
        <f t="shared" si="10"/>
        <v>18/11/17</v>
      </c>
      <c r="C517" s="10">
        <v>17</v>
      </c>
      <c r="D517" s="10">
        <v>11</v>
      </c>
      <c r="E517" s="10">
        <v>18</v>
      </c>
      <c r="F517" s="13" t="s">
        <v>475</v>
      </c>
      <c r="H517" t="s">
        <v>62</v>
      </c>
      <c r="I517" t="s">
        <v>27</v>
      </c>
      <c r="J517" s="4">
        <v>32</v>
      </c>
      <c r="K517">
        <v>1</v>
      </c>
      <c r="L517">
        <v>32</v>
      </c>
      <c r="M517">
        <v>32</v>
      </c>
      <c r="N517" s="5">
        <v>1.6096579476861168</v>
      </c>
      <c r="O517" t="s">
        <v>767</v>
      </c>
      <c r="P517" t="s">
        <v>340</v>
      </c>
      <c r="Q517" t="s">
        <v>24</v>
      </c>
    </row>
    <row r="518" spans="1:18" hidden="1" x14ac:dyDescent="0.25">
      <c r="A518" s="2" t="s">
        <v>726</v>
      </c>
      <c r="B518" s="3" t="str">
        <f t="shared" ref="B518:B581" si="11">CONCATENATE(E518,"/",D518,"/",C518)</f>
        <v>18/11/17</v>
      </c>
      <c r="C518" s="10">
        <v>17</v>
      </c>
      <c r="D518" s="10">
        <v>11</v>
      </c>
      <c r="E518" s="10">
        <v>18</v>
      </c>
      <c r="F518" t="s">
        <v>1240</v>
      </c>
      <c r="H518" t="s">
        <v>69</v>
      </c>
      <c r="I518" t="s">
        <v>27</v>
      </c>
      <c r="J518" s="4">
        <v>155</v>
      </c>
      <c r="K518">
        <v>1.012</v>
      </c>
      <c r="L518">
        <v>155</v>
      </c>
      <c r="M518">
        <v>156.86000000000001</v>
      </c>
      <c r="N518" s="5">
        <v>7.8903420523138843</v>
      </c>
      <c r="O518" t="s">
        <v>767</v>
      </c>
      <c r="P518" t="s">
        <v>340</v>
      </c>
      <c r="Q518" t="s">
        <v>24</v>
      </c>
    </row>
    <row r="519" spans="1:18" hidden="1" x14ac:dyDescent="0.25">
      <c r="A519" s="2" t="s">
        <v>726</v>
      </c>
      <c r="B519" s="3" t="str">
        <f t="shared" si="11"/>
        <v>18/11/17</v>
      </c>
      <c r="C519" s="10">
        <v>17</v>
      </c>
      <c r="D519" s="10">
        <v>11</v>
      </c>
      <c r="E519" s="10">
        <v>18</v>
      </c>
      <c r="F519" t="s">
        <v>560</v>
      </c>
      <c r="H519" t="s">
        <v>69</v>
      </c>
      <c r="I519" t="s">
        <v>27</v>
      </c>
      <c r="J519" s="4">
        <v>230</v>
      </c>
      <c r="K519">
        <v>0.24</v>
      </c>
      <c r="L519">
        <v>230</v>
      </c>
      <c r="M519">
        <v>55.199999999999996</v>
      </c>
      <c r="N519" s="5">
        <v>2.7766599597585513</v>
      </c>
      <c r="O519" t="s">
        <v>767</v>
      </c>
      <c r="P519" t="s">
        <v>340</v>
      </c>
      <c r="Q519" t="s">
        <v>24</v>
      </c>
    </row>
    <row r="520" spans="1:18" hidden="1" x14ac:dyDescent="0.25">
      <c r="A520" s="2" t="s">
        <v>726</v>
      </c>
      <c r="B520" s="3" t="str">
        <f t="shared" si="11"/>
        <v>18/11/17</v>
      </c>
      <c r="C520" s="10">
        <v>17</v>
      </c>
      <c r="D520" s="10">
        <v>11</v>
      </c>
      <c r="E520" s="10">
        <v>18</v>
      </c>
      <c r="F520" t="s">
        <v>1241</v>
      </c>
      <c r="H520" t="s">
        <v>69</v>
      </c>
      <c r="I520" t="s">
        <v>27</v>
      </c>
      <c r="J520" s="4">
        <v>380</v>
      </c>
      <c r="K520">
        <v>0.23799999999999999</v>
      </c>
      <c r="L520">
        <v>380</v>
      </c>
      <c r="M520">
        <v>90.44</v>
      </c>
      <c r="N520" s="5">
        <v>4.549295774647887</v>
      </c>
      <c r="O520" t="s">
        <v>767</v>
      </c>
      <c r="P520" t="s">
        <v>340</v>
      </c>
      <c r="Q520" t="s">
        <v>24</v>
      </c>
    </row>
    <row r="521" spans="1:18" hidden="1" x14ac:dyDescent="0.25">
      <c r="A521" s="2" t="s">
        <v>726</v>
      </c>
      <c r="B521" s="3" t="str">
        <f t="shared" si="11"/>
        <v>18/11/17</v>
      </c>
      <c r="C521" s="10">
        <v>17</v>
      </c>
      <c r="D521" s="10">
        <v>11</v>
      </c>
      <c r="E521" s="10">
        <v>18</v>
      </c>
      <c r="F521" t="s">
        <v>768</v>
      </c>
      <c r="H521" t="s">
        <v>54</v>
      </c>
      <c r="I521" t="s">
        <v>27</v>
      </c>
      <c r="J521" s="4">
        <v>160</v>
      </c>
      <c r="K521">
        <v>0.16200000000000001</v>
      </c>
      <c r="L521">
        <v>160</v>
      </c>
      <c r="M521">
        <v>25.92</v>
      </c>
      <c r="N521" s="5">
        <v>1.3038229376257546</v>
      </c>
      <c r="O521" t="s">
        <v>767</v>
      </c>
      <c r="P521" t="s">
        <v>340</v>
      </c>
      <c r="Q521" t="s">
        <v>24</v>
      </c>
    </row>
    <row r="522" spans="1:18" hidden="1" x14ac:dyDescent="0.25">
      <c r="A522" s="2" t="s">
        <v>726</v>
      </c>
      <c r="B522" s="3" t="str">
        <f t="shared" si="11"/>
        <v>18/11/17</v>
      </c>
      <c r="C522" s="10">
        <v>17</v>
      </c>
      <c r="D522" s="10">
        <v>11</v>
      </c>
      <c r="E522" s="10">
        <v>18</v>
      </c>
      <c r="F522" t="s">
        <v>141</v>
      </c>
      <c r="H522" t="s">
        <v>172</v>
      </c>
      <c r="I522" t="s">
        <v>39</v>
      </c>
      <c r="J522" s="4">
        <v>2</v>
      </c>
      <c r="K522">
        <v>2</v>
      </c>
      <c r="L522">
        <v>2</v>
      </c>
      <c r="M522" s="8">
        <v>4</v>
      </c>
      <c r="N522" s="5">
        <v>0.2012072434607646</v>
      </c>
      <c r="O522" t="s">
        <v>39</v>
      </c>
      <c r="Q522" t="s">
        <v>24</v>
      </c>
    </row>
    <row r="523" spans="1:18" hidden="1" x14ac:dyDescent="0.25">
      <c r="A523" s="2" t="s">
        <v>726</v>
      </c>
      <c r="B523" s="3" t="str">
        <f t="shared" si="11"/>
        <v>18/11/18</v>
      </c>
      <c r="C523" s="10">
        <v>18</v>
      </c>
      <c r="D523" s="10">
        <v>11</v>
      </c>
      <c r="E523" s="10">
        <v>18</v>
      </c>
      <c r="F523" t="s">
        <v>55</v>
      </c>
      <c r="H523" t="s">
        <v>56</v>
      </c>
      <c r="I523" t="s">
        <v>27</v>
      </c>
      <c r="J523" s="4">
        <v>24</v>
      </c>
      <c r="K523">
        <v>1.19</v>
      </c>
      <c r="L523">
        <v>24</v>
      </c>
      <c r="M523">
        <v>28.56</v>
      </c>
      <c r="N523" s="5">
        <v>1.4366197183098592</v>
      </c>
      <c r="O523" t="s">
        <v>769</v>
      </c>
      <c r="P523" t="s">
        <v>340</v>
      </c>
      <c r="Q523" t="s">
        <v>24</v>
      </c>
    </row>
    <row r="524" spans="1:18" hidden="1" x14ac:dyDescent="0.25">
      <c r="A524" s="2" t="s">
        <v>726</v>
      </c>
      <c r="B524" s="3" t="str">
        <f t="shared" si="11"/>
        <v>18/11/18</v>
      </c>
      <c r="C524" s="10">
        <v>18</v>
      </c>
      <c r="D524" s="10">
        <v>11</v>
      </c>
      <c r="E524" s="10">
        <v>18</v>
      </c>
      <c r="F524" t="s">
        <v>374</v>
      </c>
      <c r="I524" t="s">
        <v>82</v>
      </c>
      <c r="J524" s="4">
        <v>10</v>
      </c>
      <c r="K524">
        <v>1</v>
      </c>
      <c r="L524">
        <v>10</v>
      </c>
      <c r="M524">
        <v>10</v>
      </c>
      <c r="N524" s="5">
        <v>0.50301810865191154</v>
      </c>
      <c r="O524" t="s">
        <v>593</v>
      </c>
      <c r="P524" t="s">
        <v>340</v>
      </c>
      <c r="Q524" t="s">
        <v>24</v>
      </c>
    </row>
    <row r="525" spans="1:18" hidden="1" x14ac:dyDescent="0.25">
      <c r="A525" s="2" t="s">
        <v>726</v>
      </c>
      <c r="B525" s="3" t="str">
        <f t="shared" si="11"/>
        <v>18/11/18</v>
      </c>
      <c r="C525" s="10">
        <v>18</v>
      </c>
      <c r="D525" s="10">
        <v>11</v>
      </c>
      <c r="E525" s="10">
        <v>18</v>
      </c>
      <c r="F525" t="s">
        <v>234</v>
      </c>
      <c r="H525" t="s">
        <v>53</v>
      </c>
      <c r="I525" t="s">
        <v>27</v>
      </c>
      <c r="J525" s="4">
        <v>20</v>
      </c>
      <c r="K525">
        <v>1</v>
      </c>
      <c r="L525">
        <v>20</v>
      </c>
      <c r="M525">
        <v>20</v>
      </c>
      <c r="N525" s="5">
        <v>1.0060362173038231</v>
      </c>
      <c r="O525" t="s">
        <v>101</v>
      </c>
      <c r="P525" t="s">
        <v>340</v>
      </c>
      <c r="Q525" t="s">
        <v>24</v>
      </c>
    </row>
    <row r="526" spans="1:18" hidden="1" x14ac:dyDescent="0.25">
      <c r="A526" s="2" t="s">
        <v>726</v>
      </c>
      <c r="B526" s="3" t="str">
        <f t="shared" si="11"/>
        <v>18/11/20</v>
      </c>
      <c r="C526" s="10">
        <v>20</v>
      </c>
      <c r="D526" s="10">
        <v>11</v>
      </c>
      <c r="E526" s="10">
        <v>18</v>
      </c>
      <c r="F526" t="s">
        <v>47</v>
      </c>
      <c r="G526" t="s">
        <v>31</v>
      </c>
      <c r="H526" t="s">
        <v>26</v>
      </c>
      <c r="I526" t="s">
        <v>27</v>
      </c>
      <c r="J526" s="4">
        <v>6.25</v>
      </c>
      <c r="K526">
        <v>2</v>
      </c>
      <c r="L526">
        <v>6.25</v>
      </c>
      <c r="M526">
        <v>12.5</v>
      </c>
      <c r="N526" s="5">
        <v>0.6287726358148894</v>
      </c>
      <c r="O526" t="s">
        <v>101</v>
      </c>
      <c r="P526" t="s">
        <v>340</v>
      </c>
      <c r="Q526" t="s">
        <v>24</v>
      </c>
    </row>
    <row r="527" spans="1:18" hidden="1" x14ac:dyDescent="0.25">
      <c r="A527" s="2" t="s">
        <v>726</v>
      </c>
      <c r="B527" s="3" t="str">
        <f t="shared" si="11"/>
        <v>18/11/20</v>
      </c>
      <c r="C527" s="10">
        <v>20</v>
      </c>
      <c r="D527" s="10">
        <v>11</v>
      </c>
      <c r="E527" s="10">
        <v>18</v>
      </c>
      <c r="F527" t="s">
        <v>770</v>
      </c>
      <c r="G527" t="s">
        <v>31</v>
      </c>
      <c r="H527" t="s">
        <v>26</v>
      </c>
      <c r="I527" t="s">
        <v>27</v>
      </c>
      <c r="J527" s="4">
        <v>7.8</v>
      </c>
      <c r="K527">
        <v>2</v>
      </c>
      <c r="L527">
        <v>7.8</v>
      </c>
      <c r="M527">
        <v>15.6</v>
      </c>
      <c r="N527" s="5">
        <v>0.78470824949698192</v>
      </c>
      <c r="O527" t="s">
        <v>101</v>
      </c>
      <c r="P527" t="s">
        <v>340</v>
      </c>
      <c r="Q527" t="s">
        <v>24</v>
      </c>
    </row>
    <row r="528" spans="1:18" hidden="1" x14ac:dyDescent="0.25">
      <c r="A528" s="2" t="s">
        <v>726</v>
      </c>
      <c r="B528" s="3" t="str">
        <f t="shared" si="11"/>
        <v>18/11/20</v>
      </c>
      <c r="C528" s="10">
        <v>20</v>
      </c>
      <c r="D528" s="10">
        <v>11</v>
      </c>
      <c r="E528" s="10">
        <v>18</v>
      </c>
      <c r="F528" t="s">
        <v>234</v>
      </c>
      <c r="H528" t="s">
        <v>53</v>
      </c>
      <c r="I528" t="s">
        <v>27</v>
      </c>
      <c r="J528" s="4">
        <v>20</v>
      </c>
      <c r="K528">
        <v>1</v>
      </c>
      <c r="L528">
        <v>20</v>
      </c>
      <c r="M528">
        <v>20</v>
      </c>
      <c r="N528" s="5">
        <v>1.0060362173038231</v>
      </c>
      <c r="O528" t="s">
        <v>101</v>
      </c>
      <c r="P528" t="s">
        <v>340</v>
      </c>
      <c r="Q528" t="s">
        <v>24</v>
      </c>
    </row>
    <row r="529" spans="1:18" hidden="1" x14ac:dyDescent="0.25">
      <c r="A529" s="2" t="s">
        <v>726</v>
      </c>
      <c r="B529" s="3" t="str">
        <f t="shared" si="11"/>
        <v>18/11/21</v>
      </c>
      <c r="C529" s="10">
        <v>21</v>
      </c>
      <c r="D529" s="10">
        <v>11</v>
      </c>
      <c r="E529" s="10">
        <v>18</v>
      </c>
      <c r="F529" t="s">
        <v>770</v>
      </c>
      <c r="G529" t="s">
        <v>31</v>
      </c>
      <c r="H529" t="s">
        <v>26</v>
      </c>
      <c r="I529" t="s">
        <v>27</v>
      </c>
      <c r="J529" s="4">
        <v>7.75</v>
      </c>
      <c r="K529">
        <v>2</v>
      </c>
      <c r="L529">
        <v>7.75</v>
      </c>
      <c r="M529">
        <v>15.5</v>
      </c>
      <c r="N529" s="5">
        <v>0.77967806841046283</v>
      </c>
      <c r="O529" t="s">
        <v>101</v>
      </c>
      <c r="P529" t="s">
        <v>340</v>
      </c>
      <c r="Q529" t="s">
        <v>24</v>
      </c>
    </row>
    <row r="530" spans="1:18" hidden="1" x14ac:dyDescent="0.25">
      <c r="A530" s="2" t="s">
        <v>726</v>
      </c>
      <c r="B530" s="3" t="str">
        <f t="shared" si="11"/>
        <v>18/11/22</v>
      </c>
      <c r="C530" s="10">
        <v>22</v>
      </c>
      <c r="D530" s="10">
        <v>11</v>
      </c>
      <c r="E530" s="10">
        <v>18</v>
      </c>
      <c r="F530" s="7" t="s">
        <v>188</v>
      </c>
      <c r="G530" t="s">
        <v>77</v>
      </c>
      <c r="H530" t="s">
        <v>26</v>
      </c>
      <c r="I530" t="s">
        <v>27</v>
      </c>
      <c r="J530" s="4">
        <v>24.5</v>
      </c>
      <c r="K530">
        <v>1</v>
      </c>
      <c r="L530">
        <v>24.5</v>
      </c>
      <c r="M530">
        <v>24.5</v>
      </c>
      <c r="N530" s="5">
        <v>1.2323943661971832</v>
      </c>
      <c r="O530" t="s">
        <v>1472</v>
      </c>
      <c r="P530" t="s">
        <v>340</v>
      </c>
      <c r="Q530" s="10" t="s">
        <v>24</v>
      </c>
    </row>
    <row r="531" spans="1:18" hidden="1" x14ac:dyDescent="0.25">
      <c r="A531" s="2" t="s">
        <v>726</v>
      </c>
      <c r="B531" s="3" t="str">
        <f t="shared" si="11"/>
        <v>18/11/22</v>
      </c>
      <c r="C531" s="10">
        <v>22</v>
      </c>
      <c r="D531" s="10">
        <v>11</v>
      </c>
      <c r="E531" s="10">
        <v>18</v>
      </c>
      <c r="F531" t="s">
        <v>771</v>
      </c>
      <c r="G531" t="s">
        <v>31</v>
      </c>
      <c r="H531" t="s">
        <v>26</v>
      </c>
      <c r="I531" t="s">
        <v>27</v>
      </c>
      <c r="J531" s="4">
        <v>15.5</v>
      </c>
      <c r="K531">
        <v>1</v>
      </c>
      <c r="L531">
        <v>15.5</v>
      </c>
      <c r="M531">
        <v>15.5</v>
      </c>
      <c r="N531" s="5">
        <v>0.77967806841046283</v>
      </c>
      <c r="O531" t="s">
        <v>1472</v>
      </c>
      <c r="P531" t="s">
        <v>340</v>
      </c>
      <c r="Q531" s="10" t="s">
        <v>24</v>
      </c>
    </row>
    <row r="532" spans="1:18" hidden="1" x14ac:dyDescent="0.25">
      <c r="A532" s="2" t="s">
        <v>726</v>
      </c>
      <c r="B532" s="3" t="str">
        <f t="shared" si="11"/>
        <v>18/11/22</v>
      </c>
      <c r="C532" s="10">
        <v>22</v>
      </c>
      <c r="D532" s="10">
        <v>11</v>
      </c>
      <c r="E532" s="10">
        <v>18</v>
      </c>
      <c r="F532" t="s">
        <v>770</v>
      </c>
      <c r="G532" t="s">
        <v>31</v>
      </c>
      <c r="H532" t="s">
        <v>26</v>
      </c>
      <c r="I532" t="s">
        <v>27</v>
      </c>
      <c r="J532" s="4">
        <v>6.25</v>
      </c>
      <c r="K532">
        <v>2</v>
      </c>
      <c r="L532">
        <v>6.25</v>
      </c>
      <c r="M532">
        <v>12.5</v>
      </c>
      <c r="N532" s="5">
        <v>0.6287726358148894</v>
      </c>
      <c r="O532" t="s">
        <v>1472</v>
      </c>
      <c r="P532" t="s">
        <v>340</v>
      </c>
      <c r="Q532" s="10" t="s">
        <v>24</v>
      </c>
    </row>
    <row r="533" spans="1:18" hidden="1" x14ac:dyDescent="0.25">
      <c r="A533" s="2" t="s">
        <v>726</v>
      </c>
      <c r="B533" s="3" t="str">
        <f t="shared" si="11"/>
        <v>18/11/22</v>
      </c>
      <c r="C533" s="10">
        <v>22</v>
      </c>
      <c r="D533" s="10">
        <v>11</v>
      </c>
      <c r="E533" s="10">
        <v>18</v>
      </c>
      <c r="F533" t="s">
        <v>55</v>
      </c>
      <c r="H533" t="s">
        <v>56</v>
      </c>
      <c r="I533" t="s">
        <v>27</v>
      </c>
      <c r="J533" s="4">
        <v>23.75</v>
      </c>
      <c r="K533">
        <v>1.458</v>
      </c>
      <c r="L533">
        <v>23.75</v>
      </c>
      <c r="M533">
        <v>34.627499999999998</v>
      </c>
      <c r="N533" s="5">
        <v>1.7418259557344065</v>
      </c>
      <c r="O533" t="s">
        <v>1472</v>
      </c>
      <c r="P533" t="s">
        <v>340</v>
      </c>
      <c r="Q533" s="10" t="s">
        <v>24</v>
      </c>
    </row>
    <row r="534" spans="1:18" hidden="1" x14ac:dyDescent="0.25">
      <c r="A534" s="2" t="s">
        <v>726</v>
      </c>
      <c r="B534" s="3" t="str">
        <f t="shared" si="11"/>
        <v>18/11/23</v>
      </c>
      <c r="C534" s="10">
        <v>23</v>
      </c>
      <c r="D534" s="10">
        <v>11</v>
      </c>
      <c r="E534" s="10">
        <v>18</v>
      </c>
      <c r="F534" t="s">
        <v>772</v>
      </c>
      <c r="I534" t="s">
        <v>39</v>
      </c>
      <c r="J534" s="4">
        <v>100</v>
      </c>
      <c r="K534">
        <v>1</v>
      </c>
      <c r="L534">
        <v>100</v>
      </c>
      <c r="M534">
        <v>100</v>
      </c>
      <c r="N534" s="5">
        <v>5.0301810865191152</v>
      </c>
      <c r="O534" t="s">
        <v>773</v>
      </c>
      <c r="P534" t="s">
        <v>340</v>
      </c>
      <c r="Q534" t="s">
        <v>24</v>
      </c>
    </row>
    <row r="535" spans="1:18" hidden="1" x14ac:dyDescent="0.25">
      <c r="A535" s="2" t="s">
        <v>726</v>
      </c>
      <c r="B535" s="3" t="str">
        <f t="shared" si="11"/>
        <v>18/11/23</v>
      </c>
      <c r="C535" s="10">
        <v>23</v>
      </c>
      <c r="D535" s="10">
        <v>11</v>
      </c>
      <c r="E535" s="10">
        <v>18</v>
      </c>
      <c r="F535" t="s">
        <v>71</v>
      </c>
      <c r="I535" t="s">
        <v>72</v>
      </c>
      <c r="J535" s="4">
        <v>200</v>
      </c>
      <c r="K535">
        <v>1</v>
      </c>
      <c r="L535">
        <v>200</v>
      </c>
      <c r="M535">
        <v>200</v>
      </c>
      <c r="N535" s="5">
        <v>10.06036217303823</v>
      </c>
      <c r="O535" t="s">
        <v>39</v>
      </c>
      <c r="Q535" t="s">
        <v>24</v>
      </c>
    </row>
    <row r="536" spans="1:18" hidden="1" x14ac:dyDescent="0.25">
      <c r="A536" s="2" t="s">
        <v>726</v>
      </c>
      <c r="B536" s="3" t="str">
        <f t="shared" si="11"/>
        <v>18/11/23</v>
      </c>
      <c r="C536" s="10">
        <v>23</v>
      </c>
      <c r="D536" s="10">
        <v>11</v>
      </c>
      <c r="E536" s="10">
        <v>18</v>
      </c>
      <c r="F536" t="s">
        <v>81</v>
      </c>
      <c r="H536" t="s">
        <v>49</v>
      </c>
      <c r="I536" t="s">
        <v>50</v>
      </c>
      <c r="J536" s="4">
        <v>299</v>
      </c>
      <c r="K536">
        <v>1</v>
      </c>
      <c r="L536">
        <v>299</v>
      </c>
      <c r="M536" s="8">
        <v>299</v>
      </c>
      <c r="N536" s="5">
        <v>15.040241448692154</v>
      </c>
      <c r="O536" t="s">
        <v>775</v>
      </c>
      <c r="P536" t="s">
        <v>340</v>
      </c>
      <c r="Q536" s="10" t="s">
        <v>84</v>
      </c>
      <c r="R536" t="s">
        <v>774</v>
      </c>
    </row>
    <row r="537" spans="1:18" hidden="1" x14ac:dyDescent="0.25">
      <c r="A537" s="2" t="s">
        <v>726</v>
      </c>
      <c r="B537" s="3" t="str">
        <f t="shared" si="11"/>
        <v>18/11/23</v>
      </c>
      <c r="C537" s="10">
        <v>23</v>
      </c>
      <c r="D537" s="10">
        <v>11</v>
      </c>
      <c r="E537" s="10">
        <v>18</v>
      </c>
      <c r="F537" t="s">
        <v>71</v>
      </c>
      <c r="I537" t="s">
        <v>72</v>
      </c>
      <c r="J537" s="4">
        <v>200</v>
      </c>
      <c r="K537">
        <v>1</v>
      </c>
      <c r="L537">
        <v>200</v>
      </c>
      <c r="M537">
        <v>200</v>
      </c>
      <c r="N537" s="5">
        <v>10.06036217303823</v>
      </c>
      <c r="O537" t="s">
        <v>675</v>
      </c>
      <c r="P537" t="s">
        <v>340</v>
      </c>
      <c r="Q537" s="10" t="s">
        <v>24</v>
      </c>
    </row>
    <row r="538" spans="1:18" hidden="1" x14ac:dyDescent="0.25">
      <c r="A538" s="2" t="s">
        <v>726</v>
      </c>
      <c r="B538" s="3" t="str">
        <f t="shared" si="11"/>
        <v>18/11/23</v>
      </c>
      <c r="C538" s="10">
        <v>23</v>
      </c>
      <c r="D538" s="10">
        <v>11</v>
      </c>
      <c r="E538" s="10">
        <v>18</v>
      </c>
      <c r="F538" t="s">
        <v>110</v>
      </c>
      <c r="H538" t="s">
        <v>56</v>
      </c>
      <c r="I538" t="s">
        <v>27</v>
      </c>
      <c r="J538" s="4">
        <v>33</v>
      </c>
      <c r="K538">
        <v>0.51</v>
      </c>
      <c r="L538">
        <v>33</v>
      </c>
      <c r="M538">
        <v>16.830000000000002</v>
      </c>
      <c r="N538" s="5">
        <v>0.84657947686116719</v>
      </c>
      <c r="O538" s="10" t="s">
        <v>101</v>
      </c>
      <c r="P538" t="s">
        <v>340</v>
      </c>
      <c r="Q538" s="10" t="s">
        <v>24</v>
      </c>
    </row>
    <row r="539" spans="1:18" hidden="1" x14ac:dyDescent="0.25">
      <c r="A539" s="2" t="s">
        <v>726</v>
      </c>
      <c r="B539" s="3" t="str">
        <f t="shared" si="11"/>
        <v>18/11/23</v>
      </c>
      <c r="C539" s="10">
        <v>23</v>
      </c>
      <c r="D539" s="10">
        <v>11</v>
      </c>
      <c r="E539" s="10">
        <v>18</v>
      </c>
      <c r="F539" t="s">
        <v>776</v>
      </c>
      <c r="H539" t="s">
        <v>56</v>
      </c>
      <c r="I539" t="s">
        <v>27</v>
      </c>
      <c r="J539" s="4">
        <v>37</v>
      </c>
      <c r="K539">
        <v>0.22</v>
      </c>
      <c r="L539">
        <v>37</v>
      </c>
      <c r="M539">
        <v>8.14</v>
      </c>
      <c r="N539" s="5">
        <v>0.40945674044265601</v>
      </c>
      <c r="O539" s="10" t="s">
        <v>101</v>
      </c>
      <c r="P539" t="s">
        <v>340</v>
      </c>
      <c r="Q539" s="10" t="s">
        <v>24</v>
      </c>
    </row>
    <row r="540" spans="1:18" hidden="1" x14ac:dyDescent="0.25">
      <c r="A540" s="2" t="s">
        <v>726</v>
      </c>
      <c r="B540" s="3" t="str">
        <f t="shared" si="11"/>
        <v>18/11/23</v>
      </c>
      <c r="C540" s="10">
        <v>23</v>
      </c>
      <c r="D540" s="10">
        <v>11</v>
      </c>
      <c r="E540" s="10">
        <v>18</v>
      </c>
      <c r="F540" t="s">
        <v>166</v>
      </c>
      <c r="G540" t="s">
        <v>77</v>
      </c>
      <c r="H540" t="s">
        <v>26</v>
      </c>
      <c r="I540" t="s">
        <v>27</v>
      </c>
      <c r="J540" s="4">
        <v>19</v>
      </c>
      <c r="K540">
        <v>1</v>
      </c>
      <c r="L540">
        <v>19</v>
      </c>
      <c r="M540">
        <v>19</v>
      </c>
      <c r="N540" s="5">
        <v>0.95573440643863183</v>
      </c>
      <c r="O540" s="10" t="s">
        <v>101</v>
      </c>
      <c r="P540" t="s">
        <v>340</v>
      </c>
      <c r="Q540" s="10" t="s">
        <v>24</v>
      </c>
    </row>
    <row r="541" spans="1:18" hidden="1" x14ac:dyDescent="0.25">
      <c r="A541" s="2" t="s">
        <v>726</v>
      </c>
      <c r="B541" s="3" t="str">
        <f t="shared" si="11"/>
        <v>18/11/23</v>
      </c>
      <c r="C541" s="10">
        <v>23</v>
      </c>
      <c r="D541" s="10">
        <v>11</v>
      </c>
      <c r="E541" s="10">
        <v>18</v>
      </c>
      <c r="F541" t="s">
        <v>770</v>
      </c>
      <c r="G541" t="s">
        <v>31</v>
      </c>
      <c r="H541" t="s">
        <v>26</v>
      </c>
      <c r="I541" t="s">
        <v>27</v>
      </c>
      <c r="J541" s="4">
        <v>7.8</v>
      </c>
      <c r="K541">
        <v>2</v>
      </c>
      <c r="L541">
        <v>7.8</v>
      </c>
      <c r="M541">
        <v>15.6</v>
      </c>
      <c r="N541" s="5">
        <v>0.78470824949698192</v>
      </c>
      <c r="O541" s="10" t="s">
        <v>101</v>
      </c>
      <c r="P541" t="s">
        <v>340</v>
      </c>
      <c r="Q541" s="10" t="s">
        <v>24</v>
      </c>
    </row>
    <row r="542" spans="1:18" hidden="1" x14ac:dyDescent="0.25">
      <c r="A542" s="2" t="s">
        <v>726</v>
      </c>
      <c r="B542" s="3" t="str">
        <f t="shared" si="11"/>
        <v>18/11/24</v>
      </c>
      <c r="C542" s="10">
        <v>24</v>
      </c>
      <c r="D542" s="10">
        <v>11</v>
      </c>
      <c r="E542" s="10">
        <v>18</v>
      </c>
      <c r="F542" t="s">
        <v>104</v>
      </c>
      <c r="I542" t="s">
        <v>72</v>
      </c>
      <c r="J542" s="4">
        <v>96.84</v>
      </c>
      <c r="K542">
        <v>1</v>
      </c>
      <c r="L542">
        <v>96.84</v>
      </c>
      <c r="M542">
        <v>96.84</v>
      </c>
      <c r="N542" s="5">
        <v>4.8712273641851107</v>
      </c>
      <c r="O542" t="s">
        <v>233</v>
      </c>
      <c r="P542" t="s">
        <v>340</v>
      </c>
      <c r="Q542" t="s">
        <v>24</v>
      </c>
      <c r="R542" t="s">
        <v>777</v>
      </c>
    </row>
    <row r="543" spans="1:18" hidden="1" x14ac:dyDescent="0.25">
      <c r="A543" s="2" t="s">
        <v>726</v>
      </c>
      <c r="B543" s="3" t="str">
        <f t="shared" si="11"/>
        <v>18/11/24</v>
      </c>
      <c r="C543" s="10">
        <v>24</v>
      </c>
      <c r="D543" s="10">
        <v>11</v>
      </c>
      <c r="E543" s="10">
        <v>18</v>
      </c>
      <c r="F543" t="s">
        <v>104</v>
      </c>
      <c r="I543" t="s">
        <v>72</v>
      </c>
      <c r="J543" s="4">
        <v>16.52</v>
      </c>
      <c r="K543">
        <v>1</v>
      </c>
      <c r="L543">
        <v>16.52</v>
      </c>
      <c r="M543">
        <v>16.52</v>
      </c>
      <c r="N543" s="5">
        <v>0.83098591549295775</v>
      </c>
      <c r="O543" t="s">
        <v>233</v>
      </c>
      <c r="P543" t="s">
        <v>340</v>
      </c>
      <c r="Q543" t="s">
        <v>24</v>
      </c>
      <c r="R543" t="s">
        <v>778</v>
      </c>
    </row>
    <row r="544" spans="1:18" hidden="1" x14ac:dyDescent="0.25">
      <c r="A544" s="2" t="s">
        <v>726</v>
      </c>
      <c r="B544" s="3" t="str">
        <f t="shared" si="11"/>
        <v>18/11/24</v>
      </c>
      <c r="C544" s="10">
        <v>24</v>
      </c>
      <c r="D544" s="10">
        <v>11</v>
      </c>
      <c r="E544" s="10">
        <v>18</v>
      </c>
      <c r="F544" t="s">
        <v>779</v>
      </c>
      <c r="I544" t="s">
        <v>72</v>
      </c>
      <c r="J544" s="4">
        <v>0.82</v>
      </c>
      <c r="K544">
        <v>1</v>
      </c>
      <c r="L544">
        <v>0.82</v>
      </c>
      <c r="M544">
        <v>0.82</v>
      </c>
      <c r="N544" s="5">
        <v>4.124748490945674E-2</v>
      </c>
      <c r="O544" t="s">
        <v>233</v>
      </c>
      <c r="P544" t="s">
        <v>340</v>
      </c>
      <c r="Q544" t="s">
        <v>24</v>
      </c>
    </row>
    <row r="545" spans="1:17" hidden="1" x14ac:dyDescent="0.25">
      <c r="A545" s="2" t="s">
        <v>726</v>
      </c>
      <c r="B545" s="3" t="str">
        <f t="shared" si="11"/>
        <v>18/11/24</v>
      </c>
      <c r="C545" s="10">
        <v>24</v>
      </c>
      <c r="D545" s="10">
        <v>11</v>
      </c>
      <c r="E545" s="10">
        <v>18</v>
      </c>
      <c r="F545" t="s">
        <v>780</v>
      </c>
      <c r="I545" t="s">
        <v>72</v>
      </c>
      <c r="J545" s="4">
        <v>18</v>
      </c>
      <c r="K545">
        <v>1</v>
      </c>
      <c r="L545">
        <v>18</v>
      </c>
      <c r="M545">
        <v>18</v>
      </c>
      <c r="N545" s="5">
        <v>0.90543259557344069</v>
      </c>
      <c r="O545" t="s">
        <v>633</v>
      </c>
      <c r="P545" t="s">
        <v>340</v>
      </c>
      <c r="Q545" t="s">
        <v>24</v>
      </c>
    </row>
    <row r="546" spans="1:17" hidden="1" x14ac:dyDescent="0.25">
      <c r="A546" s="2" t="s">
        <v>726</v>
      </c>
      <c r="B546" s="3" t="str">
        <f t="shared" si="11"/>
        <v>18/11/24</v>
      </c>
      <c r="C546" s="10">
        <v>24</v>
      </c>
      <c r="D546" s="10">
        <v>11</v>
      </c>
      <c r="E546" s="10">
        <v>18</v>
      </c>
      <c r="F546" t="s">
        <v>40</v>
      </c>
      <c r="H546" t="s">
        <v>40</v>
      </c>
      <c r="I546" t="s">
        <v>27</v>
      </c>
      <c r="J546" s="4">
        <v>15.6</v>
      </c>
      <c r="K546">
        <v>1</v>
      </c>
      <c r="L546">
        <v>15.6</v>
      </c>
      <c r="M546">
        <v>15.6</v>
      </c>
      <c r="N546" s="5">
        <v>0.78470824949698192</v>
      </c>
      <c r="O546" t="s">
        <v>100</v>
      </c>
      <c r="P546" t="s">
        <v>340</v>
      </c>
      <c r="Q546" t="s">
        <v>24</v>
      </c>
    </row>
    <row r="547" spans="1:17" hidden="1" x14ac:dyDescent="0.25">
      <c r="A547" s="2" t="s">
        <v>726</v>
      </c>
      <c r="B547" s="3" t="str">
        <f t="shared" si="11"/>
        <v>18/11/24</v>
      </c>
      <c r="C547" s="10">
        <v>24</v>
      </c>
      <c r="D547" s="10">
        <v>11</v>
      </c>
      <c r="E547" s="10">
        <v>18</v>
      </c>
      <c r="F547" t="s">
        <v>89</v>
      </c>
      <c r="G547" t="s">
        <v>31</v>
      </c>
      <c r="H547" t="s">
        <v>26</v>
      </c>
      <c r="I547" t="s">
        <v>27</v>
      </c>
      <c r="J547" s="4">
        <v>8</v>
      </c>
      <c r="K547">
        <v>1</v>
      </c>
      <c r="L547">
        <v>8</v>
      </c>
      <c r="M547">
        <v>8</v>
      </c>
      <c r="N547" s="5">
        <v>0.4024144869215292</v>
      </c>
      <c r="O547" t="s">
        <v>100</v>
      </c>
      <c r="P547" t="s">
        <v>340</v>
      </c>
      <c r="Q547" t="s">
        <v>24</v>
      </c>
    </row>
    <row r="548" spans="1:17" hidden="1" x14ac:dyDescent="0.25">
      <c r="A548" s="2" t="s">
        <v>726</v>
      </c>
      <c r="B548" s="3" t="str">
        <f t="shared" si="11"/>
        <v>18/11/24</v>
      </c>
      <c r="C548" s="10">
        <v>24</v>
      </c>
      <c r="D548" s="10">
        <v>11</v>
      </c>
      <c r="E548" s="10">
        <v>18</v>
      </c>
      <c r="F548" t="s">
        <v>781</v>
      </c>
      <c r="G548" t="s">
        <v>31</v>
      </c>
      <c r="H548" t="s">
        <v>26</v>
      </c>
      <c r="I548" t="s">
        <v>27</v>
      </c>
      <c r="J548" s="4">
        <v>7.15</v>
      </c>
      <c r="K548">
        <v>1</v>
      </c>
      <c r="L548">
        <v>7.15</v>
      </c>
      <c r="M548">
        <v>7.15</v>
      </c>
      <c r="N548" s="5">
        <v>0.35965794768611675</v>
      </c>
      <c r="O548" t="s">
        <v>100</v>
      </c>
      <c r="P548" t="s">
        <v>340</v>
      </c>
      <c r="Q548" t="s">
        <v>24</v>
      </c>
    </row>
    <row r="549" spans="1:17" hidden="1" x14ac:dyDescent="0.25">
      <c r="A549" s="2" t="s">
        <v>726</v>
      </c>
      <c r="B549" s="3" t="str">
        <f t="shared" si="11"/>
        <v>18/11/24</v>
      </c>
      <c r="C549" s="10">
        <v>24</v>
      </c>
      <c r="D549" s="10">
        <v>11</v>
      </c>
      <c r="E549" s="10">
        <v>18</v>
      </c>
      <c r="F549" t="s">
        <v>146</v>
      </c>
      <c r="H549" t="s">
        <v>49</v>
      </c>
      <c r="I549" t="s">
        <v>50</v>
      </c>
      <c r="J549" s="4">
        <v>0.35</v>
      </c>
      <c r="K549">
        <v>1</v>
      </c>
      <c r="L549">
        <v>0.35</v>
      </c>
      <c r="M549" s="8">
        <v>0.35</v>
      </c>
      <c r="N549" s="5">
        <v>1.7605633802816902E-2</v>
      </c>
      <c r="O549" t="s">
        <v>100</v>
      </c>
      <c r="P549" t="s">
        <v>340</v>
      </c>
      <c r="Q549" t="s">
        <v>24</v>
      </c>
    </row>
    <row r="550" spans="1:17" hidden="1" x14ac:dyDescent="0.25">
      <c r="A550" s="2" t="s">
        <v>726</v>
      </c>
      <c r="B550" s="3" t="str">
        <f t="shared" si="11"/>
        <v>18/11/24</v>
      </c>
      <c r="C550" s="10">
        <v>24</v>
      </c>
      <c r="D550" s="10">
        <v>11</v>
      </c>
      <c r="E550" s="10">
        <v>18</v>
      </c>
      <c r="F550" t="s">
        <v>780</v>
      </c>
      <c r="I550" t="s">
        <v>72</v>
      </c>
      <c r="J550" s="4">
        <v>17</v>
      </c>
      <c r="K550">
        <v>1</v>
      </c>
      <c r="L550">
        <v>17</v>
      </c>
      <c r="M550">
        <v>17</v>
      </c>
      <c r="N550" s="5">
        <v>0.85513078470824955</v>
      </c>
      <c r="O550" t="s">
        <v>633</v>
      </c>
      <c r="P550" t="s">
        <v>340</v>
      </c>
      <c r="Q550" s="10" t="s">
        <v>24</v>
      </c>
    </row>
    <row r="551" spans="1:17" hidden="1" x14ac:dyDescent="0.25">
      <c r="A551" s="2" t="s">
        <v>726</v>
      </c>
      <c r="B551" s="3" t="str">
        <f t="shared" si="11"/>
        <v>18/11/24</v>
      </c>
      <c r="C551" s="10">
        <v>24</v>
      </c>
      <c r="D551" s="10">
        <v>11</v>
      </c>
      <c r="E551" s="10">
        <v>18</v>
      </c>
      <c r="F551" t="s">
        <v>91</v>
      </c>
      <c r="H551" t="s">
        <v>425</v>
      </c>
      <c r="I551" t="s">
        <v>27</v>
      </c>
      <c r="J551" s="4">
        <v>44.2</v>
      </c>
      <c r="K551">
        <v>1</v>
      </c>
      <c r="L551">
        <v>44.2</v>
      </c>
      <c r="M551">
        <v>44.2</v>
      </c>
      <c r="N551" s="5">
        <v>2.2233400402414492</v>
      </c>
      <c r="O551" t="s">
        <v>90</v>
      </c>
      <c r="P551" t="s">
        <v>340</v>
      </c>
      <c r="Q551" s="10" t="s">
        <v>24</v>
      </c>
    </row>
    <row r="552" spans="1:17" hidden="1" x14ac:dyDescent="0.25">
      <c r="A552" s="2" t="s">
        <v>726</v>
      </c>
      <c r="B552" s="3" t="str">
        <f t="shared" si="11"/>
        <v>18/11/24</v>
      </c>
      <c r="C552" s="10">
        <v>24</v>
      </c>
      <c r="D552" s="10">
        <v>11</v>
      </c>
      <c r="E552" s="10">
        <v>18</v>
      </c>
      <c r="F552" t="s">
        <v>146</v>
      </c>
      <c r="H552" t="s">
        <v>49</v>
      </c>
      <c r="I552" t="s">
        <v>50</v>
      </c>
      <c r="J552" s="4">
        <v>0.6</v>
      </c>
      <c r="K552">
        <v>1</v>
      </c>
      <c r="L552">
        <v>0.6</v>
      </c>
      <c r="M552" s="8">
        <v>0.6</v>
      </c>
      <c r="N552" s="5">
        <v>3.0181086519114688E-2</v>
      </c>
      <c r="O552" t="s">
        <v>90</v>
      </c>
      <c r="P552" t="s">
        <v>340</v>
      </c>
      <c r="Q552" s="10" t="s">
        <v>24</v>
      </c>
    </row>
    <row r="553" spans="1:17" hidden="1" x14ac:dyDescent="0.25">
      <c r="A553" s="2" t="s">
        <v>726</v>
      </c>
      <c r="B553" s="3" t="str">
        <f t="shared" si="11"/>
        <v>18/11/24</v>
      </c>
      <c r="C553" s="10">
        <v>24</v>
      </c>
      <c r="D553" s="10">
        <v>11</v>
      </c>
      <c r="E553" s="10">
        <v>18</v>
      </c>
      <c r="F553" t="s">
        <v>41</v>
      </c>
      <c r="H553" t="s">
        <v>39</v>
      </c>
      <c r="I553" t="s">
        <v>27</v>
      </c>
      <c r="J553" s="4">
        <v>96</v>
      </c>
      <c r="K553">
        <v>0.59399999999999997</v>
      </c>
      <c r="L553">
        <v>96</v>
      </c>
      <c r="M553">
        <v>57.024000000000001</v>
      </c>
      <c r="N553" s="5">
        <v>2.86841046277666</v>
      </c>
      <c r="O553" t="s">
        <v>90</v>
      </c>
      <c r="P553" t="s">
        <v>340</v>
      </c>
      <c r="Q553" s="10" t="s">
        <v>24</v>
      </c>
    </row>
    <row r="554" spans="1:17" hidden="1" x14ac:dyDescent="0.25">
      <c r="A554" s="2" t="s">
        <v>726</v>
      </c>
      <c r="B554" s="3" t="str">
        <f t="shared" si="11"/>
        <v>18/11/24</v>
      </c>
      <c r="C554" s="10">
        <v>24</v>
      </c>
      <c r="D554" s="10">
        <v>11</v>
      </c>
      <c r="E554" s="10">
        <v>18</v>
      </c>
      <c r="F554" t="s">
        <v>174</v>
      </c>
      <c r="G554" t="s">
        <v>174</v>
      </c>
      <c r="H554" t="s">
        <v>54</v>
      </c>
      <c r="I554" t="s">
        <v>27</v>
      </c>
      <c r="J554" s="4">
        <v>9.6999999999999993</v>
      </c>
      <c r="K554">
        <v>0.39400000000000002</v>
      </c>
      <c r="L554">
        <v>9.6999999999999993</v>
      </c>
      <c r="M554">
        <v>3.8218000000000001</v>
      </c>
      <c r="N554" s="5">
        <v>0.19224346076458754</v>
      </c>
      <c r="O554" t="s">
        <v>90</v>
      </c>
      <c r="P554" t="s">
        <v>340</v>
      </c>
      <c r="Q554" s="10" t="s">
        <v>24</v>
      </c>
    </row>
    <row r="555" spans="1:17" hidden="1" x14ac:dyDescent="0.25">
      <c r="A555" s="2" t="s">
        <v>726</v>
      </c>
      <c r="B555" s="3" t="str">
        <f t="shared" si="11"/>
        <v>18/11/24</v>
      </c>
      <c r="C555" s="10">
        <v>24</v>
      </c>
      <c r="D555" s="10">
        <v>11</v>
      </c>
      <c r="E555" s="10">
        <v>18</v>
      </c>
      <c r="F555" t="s">
        <v>41</v>
      </c>
      <c r="H555" t="s">
        <v>39</v>
      </c>
      <c r="I555" t="s">
        <v>27</v>
      </c>
      <c r="J555" s="4">
        <v>94</v>
      </c>
      <c r="K555">
        <v>0.84</v>
      </c>
      <c r="L555">
        <v>94</v>
      </c>
      <c r="M555">
        <v>78.959999999999994</v>
      </c>
      <c r="N555" s="5">
        <v>3.971830985915493</v>
      </c>
      <c r="O555" t="s">
        <v>90</v>
      </c>
      <c r="P555" t="s">
        <v>340</v>
      </c>
      <c r="Q555" s="10" t="s">
        <v>24</v>
      </c>
    </row>
    <row r="556" spans="1:17" hidden="1" x14ac:dyDescent="0.25">
      <c r="A556" s="2" t="s">
        <v>726</v>
      </c>
      <c r="B556" s="3" t="str">
        <f t="shared" si="11"/>
        <v>18/11/24</v>
      </c>
      <c r="C556" s="10">
        <v>24</v>
      </c>
      <c r="D556" s="10">
        <v>11</v>
      </c>
      <c r="E556" s="10">
        <v>18</v>
      </c>
      <c r="F556" t="s">
        <v>41</v>
      </c>
      <c r="H556" t="s">
        <v>39</v>
      </c>
      <c r="I556" t="s">
        <v>27</v>
      </c>
      <c r="J556" s="4">
        <v>49</v>
      </c>
      <c r="K556">
        <v>0.56799999999999995</v>
      </c>
      <c r="L556">
        <v>49</v>
      </c>
      <c r="M556">
        <v>27.831999999999997</v>
      </c>
      <c r="N556" s="5">
        <v>1.4</v>
      </c>
      <c r="O556" t="s">
        <v>90</v>
      </c>
      <c r="P556" t="s">
        <v>340</v>
      </c>
      <c r="Q556" s="10" t="s">
        <v>24</v>
      </c>
    </row>
    <row r="557" spans="1:17" hidden="1" x14ac:dyDescent="0.25">
      <c r="A557" s="2" t="s">
        <v>726</v>
      </c>
      <c r="B557" s="3" t="str">
        <f t="shared" si="11"/>
        <v>18/11/24</v>
      </c>
      <c r="C557" s="10">
        <v>24</v>
      </c>
      <c r="D557" s="10">
        <v>11</v>
      </c>
      <c r="E557" s="10">
        <v>18</v>
      </c>
      <c r="F557" t="s">
        <v>460</v>
      </c>
      <c r="G557" t="s">
        <v>708</v>
      </c>
      <c r="H557" t="s">
        <v>131</v>
      </c>
      <c r="I557" t="s">
        <v>27</v>
      </c>
      <c r="J557" s="4">
        <v>19.350000000000001</v>
      </c>
      <c r="K557">
        <v>1</v>
      </c>
      <c r="L557">
        <v>19.350000000000001</v>
      </c>
      <c r="M557">
        <v>19.350000000000001</v>
      </c>
      <c r="N557" s="5">
        <v>0.97334004024144882</v>
      </c>
      <c r="O557" t="s">
        <v>1472</v>
      </c>
      <c r="P557" t="s">
        <v>340</v>
      </c>
      <c r="Q557" s="10" t="s">
        <v>24</v>
      </c>
    </row>
    <row r="558" spans="1:17" hidden="1" x14ac:dyDescent="0.25">
      <c r="A558" s="2" t="s">
        <v>726</v>
      </c>
      <c r="B558" s="3" t="str">
        <f t="shared" si="11"/>
        <v>18/11/24</v>
      </c>
      <c r="C558" s="10">
        <v>24</v>
      </c>
      <c r="D558" s="10">
        <v>11</v>
      </c>
      <c r="E558" s="10">
        <v>18</v>
      </c>
      <c r="F558" t="s">
        <v>782</v>
      </c>
      <c r="G558" t="s">
        <v>155</v>
      </c>
      <c r="H558" t="s">
        <v>131</v>
      </c>
      <c r="I558" t="s">
        <v>27</v>
      </c>
      <c r="J558" s="4">
        <v>45</v>
      </c>
      <c r="K558">
        <v>1</v>
      </c>
      <c r="L558">
        <v>45</v>
      </c>
      <c r="M558">
        <v>45</v>
      </c>
      <c r="N558" s="5">
        <v>2.2635814889336019</v>
      </c>
      <c r="O558" t="s">
        <v>1472</v>
      </c>
      <c r="P558" t="s">
        <v>340</v>
      </c>
      <c r="Q558" s="10" t="s">
        <v>24</v>
      </c>
    </row>
    <row r="559" spans="1:17" hidden="1" x14ac:dyDescent="0.25">
      <c r="A559" s="2" t="s">
        <v>726</v>
      </c>
      <c r="B559" s="3" t="str">
        <f t="shared" si="11"/>
        <v>18/11/24</v>
      </c>
      <c r="C559" s="10">
        <v>24</v>
      </c>
      <c r="D559" s="10">
        <v>11</v>
      </c>
      <c r="E559" s="10">
        <v>18</v>
      </c>
      <c r="F559" t="s">
        <v>55</v>
      </c>
      <c r="H559" t="s">
        <v>56</v>
      </c>
      <c r="I559" t="s">
        <v>27</v>
      </c>
      <c r="J559" s="4">
        <v>23.75</v>
      </c>
      <c r="K559">
        <v>1.1080000000000001</v>
      </c>
      <c r="L559">
        <v>23.75</v>
      </c>
      <c r="M559">
        <v>26.315000000000001</v>
      </c>
      <c r="N559" s="5">
        <v>1.3236921529175052</v>
      </c>
      <c r="O559" t="s">
        <v>1472</v>
      </c>
      <c r="P559" t="s">
        <v>340</v>
      </c>
      <c r="Q559" s="10" t="s">
        <v>24</v>
      </c>
    </row>
    <row r="560" spans="1:17" hidden="1" x14ac:dyDescent="0.25">
      <c r="A560" s="2" t="s">
        <v>726</v>
      </c>
      <c r="B560" s="3" t="str">
        <f t="shared" si="11"/>
        <v>18/11/24</v>
      </c>
      <c r="C560" s="10">
        <v>24</v>
      </c>
      <c r="D560" s="10">
        <v>11</v>
      </c>
      <c r="E560" s="10">
        <v>18</v>
      </c>
      <c r="F560" t="s">
        <v>776</v>
      </c>
      <c r="H560" t="s">
        <v>56</v>
      </c>
      <c r="I560" t="s">
        <v>27</v>
      </c>
      <c r="J560" s="4">
        <v>33.99</v>
      </c>
      <c r="K560">
        <v>0.47199999999999998</v>
      </c>
      <c r="L560">
        <v>33.99</v>
      </c>
      <c r="M560">
        <v>16.043279999999999</v>
      </c>
      <c r="N560" s="5">
        <v>0.80700603621730382</v>
      </c>
      <c r="O560" t="s">
        <v>1472</v>
      </c>
      <c r="P560" t="s">
        <v>340</v>
      </c>
      <c r="Q560" s="10" t="s">
        <v>24</v>
      </c>
    </row>
    <row r="561" spans="1:18" hidden="1" x14ac:dyDescent="0.25">
      <c r="A561" s="2" t="s">
        <v>726</v>
      </c>
      <c r="B561" s="3" t="str">
        <f t="shared" si="11"/>
        <v>18/11/25</v>
      </c>
      <c r="C561" s="10">
        <v>25</v>
      </c>
      <c r="D561" s="10">
        <v>11</v>
      </c>
      <c r="E561" s="10">
        <v>18</v>
      </c>
      <c r="F561" t="s">
        <v>47</v>
      </c>
      <c r="G561" t="s">
        <v>31</v>
      </c>
      <c r="H561" t="s">
        <v>26</v>
      </c>
      <c r="I561" t="s">
        <v>27</v>
      </c>
      <c r="J561" s="4">
        <v>6.25</v>
      </c>
      <c r="K561">
        <v>2</v>
      </c>
      <c r="L561">
        <v>6.25</v>
      </c>
      <c r="M561">
        <v>12.5</v>
      </c>
      <c r="N561" s="5">
        <v>0.6287726358148894</v>
      </c>
      <c r="O561" t="s">
        <v>101</v>
      </c>
      <c r="P561" t="s">
        <v>340</v>
      </c>
      <c r="Q561" s="10" t="s">
        <v>24</v>
      </c>
    </row>
    <row r="562" spans="1:18" hidden="1" x14ac:dyDescent="0.25">
      <c r="A562" s="2" t="s">
        <v>726</v>
      </c>
      <c r="B562" s="3" t="str">
        <f t="shared" si="11"/>
        <v>18/11/25</v>
      </c>
      <c r="C562" s="10">
        <v>25</v>
      </c>
      <c r="D562" s="10">
        <v>11</v>
      </c>
      <c r="E562" s="10">
        <v>18</v>
      </c>
      <c r="F562" t="s">
        <v>234</v>
      </c>
      <c r="H562" t="s">
        <v>53</v>
      </c>
      <c r="I562" t="s">
        <v>27</v>
      </c>
      <c r="J562" s="4">
        <v>20</v>
      </c>
      <c r="K562">
        <v>1</v>
      </c>
      <c r="L562">
        <v>20</v>
      </c>
      <c r="M562">
        <v>20</v>
      </c>
      <c r="N562" s="5">
        <v>1.0060362173038231</v>
      </c>
      <c r="O562" t="s">
        <v>101</v>
      </c>
      <c r="P562" t="s">
        <v>340</v>
      </c>
      <c r="Q562" s="10" t="s">
        <v>24</v>
      </c>
    </row>
    <row r="563" spans="1:18" hidden="1" x14ac:dyDescent="0.25">
      <c r="A563" s="2" t="s">
        <v>726</v>
      </c>
      <c r="B563" s="3" t="str">
        <f t="shared" si="11"/>
        <v>18/11/26</v>
      </c>
      <c r="C563" s="10">
        <v>26</v>
      </c>
      <c r="D563" s="10">
        <v>11</v>
      </c>
      <c r="E563" s="10">
        <v>18</v>
      </c>
      <c r="F563" t="s">
        <v>94</v>
      </c>
      <c r="I563" t="s">
        <v>87</v>
      </c>
      <c r="J563" s="4">
        <v>218</v>
      </c>
      <c r="K563">
        <v>1</v>
      </c>
      <c r="L563">
        <v>218</v>
      </c>
      <c r="M563">
        <v>218</v>
      </c>
      <c r="N563" s="5">
        <v>10.965794768611671</v>
      </c>
      <c r="O563" t="s">
        <v>39</v>
      </c>
      <c r="Q563" t="s">
        <v>24</v>
      </c>
    </row>
    <row r="564" spans="1:18" hidden="1" x14ac:dyDescent="0.25">
      <c r="A564" s="2" t="s">
        <v>726</v>
      </c>
      <c r="B564" s="3" t="str">
        <f t="shared" si="11"/>
        <v>18/11/26</v>
      </c>
      <c r="C564" s="10">
        <v>26</v>
      </c>
      <c r="D564" s="10">
        <v>11</v>
      </c>
      <c r="E564" s="10">
        <v>18</v>
      </c>
      <c r="F564" t="s">
        <v>141</v>
      </c>
      <c r="H564" t="s">
        <v>172</v>
      </c>
      <c r="I564" t="s">
        <v>39</v>
      </c>
      <c r="J564" s="4">
        <v>3</v>
      </c>
      <c r="K564">
        <v>1</v>
      </c>
      <c r="L564">
        <v>3</v>
      </c>
      <c r="M564" s="8">
        <v>3</v>
      </c>
      <c r="N564" s="5">
        <v>0.15090543259557346</v>
      </c>
      <c r="O564" t="s">
        <v>39</v>
      </c>
      <c r="Q564" t="s">
        <v>24</v>
      </c>
    </row>
    <row r="565" spans="1:18" hidden="1" x14ac:dyDescent="0.25">
      <c r="A565" s="2" t="s">
        <v>726</v>
      </c>
      <c r="B565" s="3" t="str">
        <f t="shared" si="11"/>
        <v>18/11/26</v>
      </c>
      <c r="C565" s="10">
        <v>26</v>
      </c>
      <c r="D565" s="10">
        <v>11</v>
      </c>
      <c r="E565" s="10">
        <v>18</v>
      </c>
      <c r="F565" t="s">
        <v>104</v>
      </c>
      <c r="I565" t="s">
        <v>72</v>
      </c>
      <c r="J565" s="4">
        <v>82.6</v>
      </c>
      <c r="K565">
        <v>0.5</v>
      </c>
      <c r="L565">
        <v>82.6</v>
      </c>
      <c r="M565">
        <v>41.3</v>
      </c>
      <c r="N565" s="5">
        <v>2.0774647887323945</v>
      </c>
      <c r="O565" t="s">
        <v>783</v>
      </c>
      <c r="P565" t="s">
        <v>340</v>
      </c>
      <c r="Q565" t="s">
        <v>24</v>
      </c>
      <c r="R565" t="s">
        <v>742</v>
      </c>
    </row>
    <row r="566" spans="1:18" hidden="1" x14ac:dyDescent="0.25">
      <c r="A566" s="2" t="s">
        <v>726</v>
      </c>
      <c r="B566" s="3" t="str">
        <f t="shared" si="11"/>
        <v>18/11/26</v>
      </c>
      <c r="C566" s="10">
        <v>26</v>
      </c>
      <c r="D566" s="10">
        <v>11</v>
      </c>
      <c r="E566" s="10">
        <v>18</v>
      </c>
      <c r="F566" t="s">
        <v>104</v>
      </c>
      <c r="I566" t="s">
        <v>72</v>
      </c>
      <c r="J566" s="4">
        <v>23.3</v>
      </c>
      <c r="K566">
        <v>0.33400000000000002</v>
      </c>
      <c r="L566">
        <v>23.3</v>
      </c>
      <c r="M566">
        <v>7.7822000000000005</v>
      </c>
      <c r="N566" s="5">
        <v>0.3914587525150906</v>
      </c>
      <c r="O566" t="s">
        <v>783</v>
      </c>
      <c r="P566" t="s">
        <v>340</v>
      </c>
      <c r="Q566" t="s">
        <v>24</v>
      </c>
      <c r="R566" t="s">
        <v>784</v>
      </c>
    </row>
    <row r="567" spans="1:18" hidden="1" x14ac:dyDescent="0.25">
      <c r="A567" s="2" t="s">
        <v>726</v>
      </c>
      <c r="B567" s="3" t="str">
        <f t="shared" si="11"/>
        <v>18/11/26</v>
      </c>
      <c r="C567" s="10">
        <v>26</v>
      </c>
      <c r="D567" s="10">
        <v>11</v>
      </c>
      <c r="E567" s="10">
        <v>18</v>
      </c>
      <c r="F567" t="s">
        <v>770</v>
      </c>
      <c r="G567" t="s">
        <v>31</v>
      </c>
      <c r="H567" t="s">
        <v>26</v>
      </c>
      <c r="I567" t="s">
        <v>27</v>
      </c>
      <c r="J567" s="4">
        <v>7.8</v>
      </c>
      <c r="K567">
        <v>1</v>
      </c>
      <c r="L567">
        <v>7.8</v>
      </c>
      <c r="M567">
        <v>7.8</v>
      </c>
      <c r="N567" s="5">
        <v>0.39235412474849096</v>
      </c>
      <c r="O567" t="s">
        <v>101</v>
      </c>
      <c r="P567" t="s">
        <v>340</v>
      </c>
      <c r="Q567" t="s">
        <v>24</v>
      </c>
    </row>
    <row r="568" spans="1:18" hidden="1" x14ac:dyDescent="0.25">
      <c r="A568" s="2" t="s">
        <v>726</v>
      </c>
      <c r="B568" s="3" t="str">
        <f t="shared" si="11"/>
        <v>18/11/26</v>
      </c>
      <c r="C568" s="10">
        <v>26</v>
      </c>
      <c r="D568" s="10">
        <v>11</v>
      </c>
      <c r="E568" s="10">
        <v>18</v>
      </c>
      <c r="F568" t="s">
        <v>60</v>
      </c>
      <c r="G568" t="s">
        <v>31</v>
      </c>
      <c r="H568" t="s">
        <v>26</v>
      </c>
      <c r="I568" t="s">
        <v>27</v>
      </c>
      <c r="J568" s="4">
        <v>6.75</v>
      </c>
      <c r="K568">
        <v>1</v>
      </c>
      <c r="L568">
        <v>6.75</v>
      </c>
      <c r="M568">
        <v>6.75</v>
      </c>
      <c r="N568" s="5">
        <v>0.33953722334004027</v>
      </c>
      <c r="O568" t="s">
        <v>101</v>
      </c>
      <c r="P568" t="s">
        <v>340</v>
      </c>
      <c r="Q568" t="s">
        <v>24</v>
      </c>
    </row>
    <row r="569" spans="1:18" hidden="1" x14ac:dyDescent="0.25">
      <c r="A569" s="2" t="s">
        <v>726</v>
      </c>
      <c r="B569" s="3" t="str">
        <f t="shared" si="11"/>
        <v>18/11/26</v>
      </c>
      <c r="C569" s="10">
        <v>26</v>
      </c>
      <c r="D569" s="10">
        <v>11</v>
      </c>
      <c r="E569" s="10">
        <v>18</v>
      </c>
      <c r="F569" t="s">
        <v>71</v>
      </c>
      <c r="I569" t="s">
        <v>72</v>
      </c>
      <c r="J569" s="4">
        <v>0</v>
      </c>
      <c r="K569">
        <v>1</v>
      </c>
      <c r="L569">
        <v>0</v>
      </c>
      <c r="M569">
        <v>0</v>
      </c>
      <c r="N569" s="5">
        <v>0</v>
      </c>
      <c r="O569" t="s">
        <v>39</v>
      </c>
      <c r="Q569" t="s">
        <v>24</v>
      </c>
    </row>
    <row r="570" spans="1:18" hidden="1" x14ac:dyDescent="0.25">
      <c r="A570" s="2" t="s">
        <v>726</v>
      </c>
      <c r="B570" s="3" t="str">
        <f t="shared" si="11"/>
        <v>18/11/26</v>
      </c>
      <c r="C570" s="10">
        <v>26</v>
      </c>
      <c r="D570" s="10">
        <v>11</v>
      </c>
      <c r="E570" s="10">
        <v>18</v>
      </c>
      <c r="F570" t="s">
        <v>146</v>
      </c>
      <c r="H570" t="s">
        <v>49</v>
      </c>
      <c r="I570" t="s">
        <v>50</v>
      </c>
      <c r="J570" s="4">
        <v>0.75</v>
      </c>
      <c r="K570">
        <v>1</v>
      </c>
      <c r="L570">
        <v>0.75</v>
      </c>
      <c r="M570" s="8">
        <v>0.75</v>
      </c>
      <c r="N570" s="5">
        <v>3.7726358148893364E-2</v>
      </c>
      <c r="O570" t="s">
        <v>100</v>
      </c>
      <c r="P570" t="s">
        <v>340</v>
      </c>
      <c r="Q570" t="s">
        <v>24</v>
      </c>
    </row>
    <row r="571" spans="1:18" hidden="1" x14ac:dyDescent="0.25">
      <c r="A571" s="2" t="s">
        <v>726</v>
      </c>
      <c r="B571" s="3" t="str">
        <f t="shared" si="11"/>
        <v>18/11/26</v>
      </c>
      <c r="C571" s="10">
        <v>26</v>
      </c>
      <c r="D571" s="10">
        <v>11</v>
      </c>
      <c r="E571" s="10">
        <v>18</v>
      </c>
      <c r="F571" t="s">
        <v>768</v>
      </c>
      <c r="H571" t="s">
        <v>54</v>
      </c>
      <c r="I571" t="s">
        <v>27</v>
      </c>
      <c r="J571" s="4">
        <v>120</v>
      </c>
      <c r="K571">
        <v>0.27400000000000002</v>
      </c>
      <c r="L571">
        <v>120</v>
      </c>
      <c r="M571">
        <v>32.880000000000003</v>
      </c>
      <c r="N571" s="5">
        <v>1.6539235412474851</v>
      </c>
      <c r="O571" t="s">
        <v>100</v>
      </c>
      <c r="P571" t="s">
        <v>340</v>
      </c>
      <c r="Q571" t="s">
        <v>24</v>
      </c>
    </row>
    <row r="572" spans="1:18" hidden="1" x14ac:dyDescent="0.25">
      <c r="A572" s="2" t="s">
        <v>726</v>
      </c>
      <c r="B572" s="3" t="str">
        <f t="shared" si="11"/>
        <v>18/11/26</v>
      </c>
      <c r="C572" s="10">
        <v>26</v>
      </c>
      <c r="D572" s="10">
        <v>11</v>
      </c>
      <c r="E572" s="10">
        <v>18</v>
      </c>
      <c r="F572" t="s">
        <v>708</v>
      </c>
      <c r="G572" t="s">
        <v>708</v>
      </c>
      <c r="H572" t="s">
        <v>131</v>
      </c>
      <c r="I572" t="s">
        <v>27</v>
      </c>
      <c r="J572" s="4">
        <v>128</v>
      </c>
      <c r="K572">
        <v>0.24</v>
      </c>
      <c r="L572">
        <v>128</v>
      </c>
      <c r="M572">
        <v>30.72</v>
      </c>
      <c r="N572" s="5">
        <v>1.5452716297786722</v>
      </c>
      <c r="O572" t="s">
        <v>100</v>
      </c>
      <c r="P572" t="s">
        <v>340</v>
      </c>
      <c r="Q572" t="s">
        <v>24</v>
      </c>
    </row>
    <row r="573" spans="1:18" hidden="1" x14ac:dyDescent="0.25">
      <c r="A573" s="2" t="s">
        <v>726</v>
      </c>
      <c r="B573" s="3" t="str">
        <f t="shared" si="11"/>
        <v>18/11/26</v>
      </c>
      <c r="C573" s="10">
        <v>26</v>
      </c>
      <c r="D573" s="10">
        <v>11</v>
      </c>
      <c r="E573" s="10">
        <v>18</v>
      </c>
      <c r="F573" t="s">
        <v>118</v>
      </c>
      <c r="H573" t="s">
        <v>40</v>
      </c>
      <c r="I573" t="s">
        <v>27</v>
      </c>
      <c r="J573" s="4">
        <v>10</v>
      </c>
      <c r="K573">
        <v>1</v>
      </c>
      <c r="L573">
        <v>10</v>
      </c>
      <c r="M573">
        <v>10</v>
      </c>
      <c r="N573" s="5">
        <v>0.50301810865191154</v>
      </c>
      <c r="O573" t="s">
        <v>100</v>
      </c>
      <c r="P573" t="s">
        <v>340</v>
      </c>
      <c r="Q573" t="s">
        <v>24</v>
      </c>
    </row>
    <row r="574" spans="1:18" hidden="1" x14ac:dyDescent="0.25">
      <c r="A574" s="2" t="s">
        <v>726</v>
      </c>
      <c r="B574" s="3" t="str">
        <f t="shared" si="11"/>
        <v>18/11/27</v>
      </c>
      <c r="C574" s="10">
        <v>27</v>
      </c>
      <c r="D574" s="10">
        <v>11</v>
      </c>
      <c r="E574" s="10">
        <v>18</v>
      </c>
      <c r="F574" t="s">
        <v>39</v>
      </c>
      <c r="I574" t="s">
        <v>39</v>
      </c>
      <c r="J574" s="4">
        <v>450</v>
      </c>
      <c r="K574">
        <v>1</v>
      </c>
      <c r="L574">
        <v>450</v>
      </c>
      <c r="M574" s="8">
        <v>450</v>
      </c>
      <c r="N574" s="5">
        <v>22.635814889336018</v>
      </c>
      <c r="O574" t="s">
        <v>39</v>
      </c>
      <c r="Q574" t="s">
        <v>84</v>
      </c>
      <c r="R574" t="s">
        <v>785</v>
      </c>
    </row>
    <row r="575" spans="1:18" hidden="1" x14ac:dyDescent="0.25">
      <c r="A575" s="2" t="s">
        <v>726</v>
      </c>
      <c r="B575" s="3" t="str">
        <f t="shared" si="11"/>
        <v>18/11/27</v>
      </c>
      <c r="C575" s="10">
        <v>27</v>
      </c>
      <c r="D575" s="10">
        <v>11</v>
      </c>
      <c r="E575" s="10">
        <v>18</v>
      </c>
      <c r="F575" t="s">
        <v>770</v>
      </c>
      <c r="G575" t="s">
        <v>31</v>
      </c>
      <c r="H575" t="s">
        <v>26</v>
      </c>
      <c r="I575" t="s">
        <v>27</v>
      </c>
      <c r="J575" s="4">
        <v>7.75</v>
      </c>
      <c r="K575">
        <v>2</v>
      </c>
      <c r="L575">
        <v>7.75</v>
      </c>
      <c r="M575">
        <v>15.5</v>
      </c>
      <c r="N575" s="5">
        <v>0.77967806841046283</v>
      </c>
      <c r="O575" t="s">
        <v>101</v>
      </c>
      <c r="P575" t="s">
        <v>340</v>
      </c>
      <c r="Q575" s="10" t="s">
        <v>24</v>
      </c>
    </row>
    <row r="576" spans="1:18" hidden="1" x14ac:dyDescent="0.25">
      <c r="A576" s="2" t="s">
        <v>726</v>
      </c>
      <c r="B576" s="3" t="str">
        <f t="shared" si="11"/>
        <v>18/11/28</v>
      </c>
      <c r="C576" s="23">
        <v>28</v>
      </c>
      <c r="D576" s="10">
        <v>11</v>
      </c>
      <c r="E576" s="10">
        <v>18</v>
      </c>
      <c r="F576" t="s">
        <v>862</v>
      </c>
      <c r="H576" t="s">
        <v>63</v>
      </c>
      <c r="I576" t="s">
        <v>27</v>
      </c>
      <c r="J576" s="4">
        <v>45</v>
      </c>
      <c r="K576">
        <v>1</v>
      </c>
      <c r="L576">
        <v>45</v>
      </c>
      <c r="M576">
        <v>45</v>
      </c>
      <c r="N576" s="5">
        <v>2.2635814889336019</v>
      </c>
      <c r="O576" t="s">
        <v>787</v>
      </c>
      <c r="P576" t="s">
        <v>340</v>
      </c>
      <c r="Q576" t="s">
        <v>24</v>
      </c>
      <c r="R576" t="s">
        <v>786</v>
      </c>
    </row>
    <row r="577" spans="1:18" hidden="1" x14ac:dyDescent="0.25">
      <c r="A577" s="2" t="s">
        <v>726</v>
      </c>
      <c r="B577" s="3" t="str">
        <f t="shared" si="11"/>
        <v>18/11/28</v>
      </c>
      <c r="C577" s="10">
        <v>28</v>
      </c>
      <c r="D577" s="10">
        <v>11</v>
      </c>
      <c r="E577" s="10">
        <v>18</v>
      </c>
      <c r="F577" t="s">
        <v>102</v>
      </c>
      <c r="H577" t="s">
        <v>102</v>
      </c>
      <c r="I577" t="s">
        <v>27</v>
      </c>
      <c r="J577" s="4">
        <v>40</v>
      </c>
      <c r="K577">
        <v>1</v>
      </c>
      <c r="L577">
        <v>40</v>
      </c>
      <c r="M577">
        <v>40</v>
      </c>
      <c r="N577" s="5">
        <v>2.0120724346076462</v>
      </c>
      <c r="O577" t="s">
        <v>787</v>
      </c>
      <c r="P577" t="s">
        <v>340</v>
      </c>
      <c r="Q577" t="s">
        <v>24</v>
      </c>
      <c r="R577" t="s">
        <v>788</v>
      </c>
    </row>
    <row r="578" spans="1:18" hidden="1" x14ac:dyDescent="0.25">
      <c r="A578" s="2" t="s">
        <v>726</v>
      </c>
      <c r="B578" s="3" t="str">
        <f t="shared" si="11"/>
        <v>18/11/28</v>
      </c>
      <c r="C578" s="10">
        <v>28</v>
      </c>
      <c r="D578" s="10">
        <v>11</v>
      </c>
      <c r="E578" s="10">
        <v>18</v>
      </c>
      <c r="F578" t="s">
        <v>102</v>
      </c>
      <c r="H578" t="s">
        <v>102</v>
      </c>
      <c r="I578" t="s">
        <v>27</v>
      </c>
      <c r="J578" s="4">
        <v>40</v>
      </c>
      <c r="K578">
        <v>1</v>
      </c>
      <c r="L578">
        <v>40</v>
      </c>
      <c r="M578">
        <v>40</v>
      </c>
      <c r="N578" s="5">
        <v>2.0120724346076462</v>
      </c>
      <c r="O578" t="s">
        <v>787</v>
      </c>
      <c r="P578" t="s">
        <v>340</v>
      </c>
      <c r="Q578" t="s">
        <v>24</v>
      </c>
      <c r="R578" t="s">
        <v>789</v>
      </c>
    </row>
    <row r="579" spans="1:18" hidden="1" x14ac:dyDescent="0.25">
      <c r="A579" s="2" t="s">
        <v>726</v>
      </c>
      <c r="B579" s="3" t="str">
        <f t="shared" si="11"/>
        <v>18/11/28</v>
      </c>
      <c r="C579" s="10">
        <v>28</v>
      </c>
      <c r="D579" s="10">
        <v>11</v>
      </c>
      <c r="E579" s="10">
        <v>18</v>
      </c>
      <c r="F579" t="s">
        <v>102</v>
      </c>
      <c r="H579" t="s">
        <v>102</v>
      </c>
      <c r="I579" t="s">
        <v>27</v>
      </c>
      <c r="J579" s="4">
        <v>40</v>
      </c>
      <c r="K579">
        <v>1</v>
      </c>
      <c r="L579">
        <v>40</v>
      </c>
      <c r="M579">
        <v>40</v>
      </c>
      <c r="N579" s="5">
        <v>2.0120724346076462</v>
      </c>
      <c r="O579" t="s">
        <v>787</v>
      </c>
      <c r="P579" t="s">
        <v>340</v>
      </c>
      <c r="Q579" t="s">
        <v>24</v>
      </c>
      <c r="R579" t="s">
        <v>790</v>
      </c>
    </row>
    <row r="580" spans="1:18" hidden="1" x14ac:dyDescent="0.25">
      <c r="A580" s="2" t="s">
        <v>726</v>
      </c>
      <c r="B580" s="3" t="str">
        <f t="shared" si="11"/>
        <v>18/11/28</v>
      </c>
      <c r="C580" s="10">
        <v>28</v>
      </c>
      <c r="D580" s="10">
        <v>11</v>
      </c>
      <c r="E580" s="10">
        <v>18</v>
      </c>
      <c r="F580" t="s">
        <v>102</v>
      </c>
      <c r="H580" t="s">
        <v>102</v>
      </c>
      <c r="I580" t="s">
        <v>27</v>
      </c>
      <c r="J580" s="4">
        <v>35</v>
      </c>
      <c r="K580">
        <v>1</v>
      </c>
      <c r="L580">
        <v>35</v>
      </c>
      <c r="M580">
        <v>35</v>
      </c>
      <c r="N580" s="5">
        <v>1.7605633802816902</v>
      </c>
      <c r="O580" t="s">
        <v>787</v>
      </c>
      <c r="P580" t="s">
        <v>340</v>
      </c>
      <c r="Q580" t="s">
        <v>24</v>
      </c>
      <c r="R580" t="s">
        <v>791</v>
      </c>
    </row>
    <row r="581" spans="1:18" hidden="1" x14ac:dyDescent="0.25">
      <c r="A581" s="2" t="s">
        <v>726</v>
      </c>
      <c r="B581" s="3" t="str">
        <f t="shared" si="11"/>
        <v>18/11/28</v>
      </c>
      <c r="C581" s="10">
        <v>28</v>
      </c>
      <c r="D581" s="10">
        <v>11</v>
      </c>
      <c r="E581" s="10">
        <v>18</v>
      </c>
      <c r="F581" t="s">
        <v>102</v>
      </c>
      <c r="H581" t="s">
        <v>102</v>
      </c>
      <c r="I581" t="s">
        <v>27</v>
      </c>
      <c r="J581" s="4">
        <v>35</v>
      </c>
      <c r="K581">
        <v>1</v>
      </c>
      <c r="L581">
        <v>35</v>
      </c>
      <c r="M581">
        <v>35</v>
      </c>
      <c r="N581" s="5">
        <v>1.7605633802816902</v>
      </c>
      <c r="O581" t="s">
        <v>787</v>
      </c>
      <c r="P581" t="s">
        <v>340</v>
      </c>
      <c r="Q581" t="s">
        <v>24</v>
      </c>
      <c r="R581" t="s">
        <v>792</v>
      </c>
    </row>
    <row r="582" spans="1:18" hidden="1" x14ac:dyDescent="0.25">
      <c r="A582" s="2" t="s">
        <v>726</v>
      </c>
      <c r="B582" s="3" t="str">
        <f t="shared" ref="B582:B645" si="12">CONCATENATE(E582,"/",D582,"/",C582)</f>
        <v>18/11/28</v>
      </c>
      <c r="C582" s="10">
        <v>28</v>
      </c>
      <c r="D582" s="10">
        <v>11</v>
      </c>
      <c r="E582" s="10">
        <v>18</v>
      </c>
      <c r="F582" t="s">
        <v>102</v>
      </c>
      <c r="H582" t="s">
        <v>102</v>
      </c>
      <c r="I582" t="s">
        <v>27</v>
      </c>
      <c r="J582" s="4">
        <v>35</v>
      </c>
      <c r="K582">
        <v>1</v>
      </c>
      <c r="L582">
        <v>35</v>
      </c>
      <c r="M582">
        <v>35</v>
      </c>
      <c r="N582" s="5">
        <v>1.7605633802816902</v>
      </c>
      <c r="O582" t="s">
        <v>787</v>
      </c>
      <c r="P582" t="s">
        <v>340</v>
      </c>
      <c r="Q582" t="s">
        <v>24</v>
      </c>
      <c r="R582" t="s">
        <v>793</v>
      </c>
    </row>
    <row r="583" spans="1:18" hidden="1" x14ac:dyDescent="0.25">
      <c r="A583" s="2" t="s">
        <v>726</v>
      </c>
      <c r="B583" s="3" t="str">
        <f t="shared" si="12"/>
        <v>18/11/28</v>
      </c>
      <c r="C583" s="10">
        <v>28</v>
      </c>
      <c r="D583" s="10">
        <v>11</v>
      </c>
      <c r="E583" s="10">
        <v>18</v>
      </c>
      <c r="F583" t="s">
        <v>794</v>
      </c>
      <c r="G583" t="s">
        <v>39</v>
      </c>
      <c r="H583" t="s">
        <v>63</v>
      </c>
      <c r="I583" t="s">
        <v>27</v>
      </c>
      <c r="J583" s="4">
        <v>35</v>
      </c>
      <c r="K583">
        <v>1</v>
      </c>
      <c r="L583">
        <v>35</v>
      </c>
      <c r="M583">
        <v>35</v>
      </c>
      <c r="N583" s="5">
        <v>1.7605633802816902</v>
      </c>
      <c r="O583" t="s">
        <v>787</v>
      </c>
      <c r="P583" t="s">
        <v>340</v>
      </c>
      <c r="Q583" t="s">
        <v>24</v>
      </c>
    </row>
    <row r="584" spans="1:18" hidden="1" x14ac:dyDescent="0.25">
      <c r="A584" s="2" t="s">
        <v>726</v>
      </c>
      <c r="B584" s="3" t="str">
        <f t="shared" si="12"/>
        <v>18/11/28</v>
      </c>
      <c r="C584" s="10">
        <v>28</v>
      </c>
      <c r="D584" s="10">
        <v>11</v>
      </c>
      <c r="E584" s="10">
        <v>18</v>
      </c>
      <c r="F584" t="s">
        <v>66</v>
      </c>
      <c r="G584" t="s">
        <v>67</v>
      </c>
      <c r="H584" t="s">
        <v>59</v>
      </c>
      <c r="I584" t="s">
        <v>27</v>
      </c>
      <c r="J584" s="4">
        <v>92.1</v>
      </c>
      <c r="K584">
        <v>1</v>
      </c>
      <c r="L584">
        <v>95.9375</v>
      </c>
      <c r="M584">
        <v>95.9375</v>
      </c>
      <c r="N584" s="5">
        <v>4.8258299798792761</v>
      </c>
      <c r="O584" t="s">
        <v>795</v>
      </c>
      <c r="P584" t="s">
        <v>340</v>
      </c>
      <c r="Q584" t="s">
        <v>24</v>
      </c>
    </row>
    <row r="585" spans="1:18" hidden="1" x14ac:dyDescent="0.25">
      <c r="A585" s="2" t="s">
        <v>726</v>
      </c>
      <c r="B585" s="3" t="str">
        <f t="shared" si="12"/>
        <v>18/11/28</v>
      </c>
      <c r="C585" s="10">
        <v>28</v>
      </c>
      <c r="D585" s="10">
        <v>11</v>
      </c>
      <c r="E585" s="10">
        <v>18</v>
      </c>
      <c r="F585" t="s">
        <v>796</v>
      </c>
      <c r="G585" t="s">
        <v>67</v>
      </c>
      <c r="H585" t="s">
        <v>59</v>
      </c>
      <c r="I585" t="s">
        <v>27</v>
      </c>
      <c r="J585" s="4">
        <v>88.2</v>
      </c>
      <c r="K585">
        <v>1</v>
      </c>
      <c r="L585">
        <v>91.875</v>
      </c>
      <c r="M585">
        <v>91.875</v>
      </c>
      <c r="N585" s="5">
        <v>4.621478873239437</v>
      </c>
      <c r="O585" t="s">
        <v>795</v>
      </c>
      <c r="P585" t="s">
        <v>340</v>
      </c>
      <c r="Q585" t="s">
        <v>24</v>
      </c>
    </row>
    <row r="586" spans="1:18" hidden="1" x14ac:dyDescent="0.25">
      <c r="A586" s="2" t="s">
        <v>726</v>
      </c>
      <c r="B586" s="3" t="str">
        <f t="shared" si="12"/>
        <v>18/11/28</v>
      </c>
      <c r="C586" s="10">
        <v>28</v>
      </c>
      <c r="D586" s="10">
        <v>11</v>
      </c>
      <c r="E586" s="10">
        <v>18</v>
      </c>
      <c r="F586" t="s">
        <v>797</v>
      </c>
      <c r="G586" t="s">
        <v>67</v>
      </c>
      <c r="H586" t="s">
        <v>59</v>
      </c>
      <c r="I586" t="s">
        <v>27</v>
      </c>
      <c r="J586" s="4">
        <v>165</v>
      </c>
      <c r="K586">
        <v>1</v>
      </c>
      <c r="L586">
        <v>171.875</v>
      </c>
      <c r="M586">
        <v>171.875</v>
      </c>
      <c r="N586" s="5">
        <v>8.6456237424547293</v>
      </c>
      <c r="O586" t="s">
        <v>795</v>
      </c>
      <c r="P586" t="s">
        <v>340</v>
      </c>
      <c r="Q586" t="s">
        <v>24</v>
      </c>
    </row>
    <row r="587" spans="1:18" hidden="1" x14ac:dyDescent="0.25">
      <c r="A587" s="2" t="s">
        <v>726</v>
      </c>
      <c r="B587" s="3" t="str">
        <f t="shared" si="12"/>
        <v>18/11/28</v>
      </c>
      <c r="C587" s="10">
        <v>28</v>
      </c>
      <c r="D587" s="10">
        <v>11</v>
      </c>
      <c r="E587" s="10">
        <v>18</v>
      </c>
      <c r="F587" t="s">
        <v>798</v>
      </c>
      <c r="G587" t="s">
        <v>67</v>
      </c>
      <c r="H587" t="s">
        <v>59</v>
      </c>
      <c r="I587" t="s">
        <v>27</v>
      </c>
      <c r="J587" s="4">
        <v>88.2</v>
      </c>
      <c r="K587">
        <v>1</v>
      </c>
      <c r="L587">
        <v>91.875</v>
      </c>
      <c r="M587">
        <v>91.875</v>
      </c>
      <c r="N587" s="5">
        <v>4.621478873239437</v>
      </c>
      <c r="O587" t="s">
        <v>795</v>
      </c>
      <c r="P587" t="s">
        <v>340</v>
      </c>
      <c r="Q587" t="s">
        <v>24</v>
      </c>
    </row>
    <row r="588" spans="1:18" hidden="1" x14ac:dyDescent="0.25">
      <c r="A588" s="2" t="s">
        <v>726</v>
      </c>
      <c r="B588" s="3" t="str">
        <f t="shared" si="12"/>
        <v>18/11/28</v>
      </c>
      <c r="C588" s="10">
        <v>28</v>
      </c>
      <c r="D588" s="10">
        <v>11</v>
      </c>
      <c r="E588" s="10">
        <v>18</v>
      </c>
      <c r="F588" t="s">
        <v>98</v>
      </c>
      <c r="H588" t="s">
        <v>26</v>
      </c>
      <c r="I588" t="s">
        <v>27</v>
      </c>
      <c r="J588" s="4">
        <v>46.75</v>
      </c>
      <c r="K588">
        <v>1</v>
      </c>
      <c r="L588">
        <v>46.75</v>
      </c>
      <c r="M588">
        <v>46.75</v>
      </c>
      <c r="N588" s="5">
        <v>2.3516096579476864</v>
      </c>
      <c r="O588" t="s">
        <v>100</v>
      </c>
      <c r="P588" t="s">
        <v>340</v>
      </c>
      <c r="Q588" t="s">
        <v>24</v>
      </c>
      <c r="R588" t="s">
        <v>1258</v>
      </c>
    </row>
    <row r="589" spans="1:18" hidden="1" x14ac:dyDescent="0.25">
      <c r="A589" s="2" t="s">
        <v>726</v>
      </c>
      <c r="B589" s="3" t="str">
        <f t="shared" si="12"/>
        <v>18/11/28</v>
      </c>
      <c r="C589" s="10">
        <v>28</v>
      </c>
      <c r="D589" s="10">
        <v>11</v>
      </c>
      <c r="E589" s="10">
        <v>18</v>
      </c>
      <c r="F589" t="s">
        <v>799</v>
      </c>
      <c r="G589" t="s">
        <v>155</v>
      </c>
      <c r="H589" t="s">
        <v>131</v>
      </c>
      <c r="I589" t="s">
        <v>27</v>
      </c>
      <c r="J589" s="4">
        <v>53.2</v>
      </c>
      <c r="K589">
        <v>1</v>
      </c>
      <c r="L589">
        <v>53.2</v>
      </c>
      <c r="M589">
        <v>53.2</v>
      </c>
      <c r="N589" s="5">
        <v>2.6760563380281694</v>
      </c>
      <c r="O589" t="s">
        <v>100</v>
      </c>
      <c r="P589" t="s">
        <v>340</v>
      </c>
      <c r="Q589" t="s">
        <v>24</v>
      </c>
    </row>
    <row r="590" spans="1:18" hidden="1" x14ac:dyDescent="0.25">
      <c r="A590" s="2" t="s">
        <v>726</v>
      </c>
      <c r="B590" s="3" t="str">
        <f t="shared" si="12"/>
        <v>18/11/28</v>
      </c>
      <c r="C590" s="10">
        <v>28</v>
      </c>
      <c r="D590" s="10">
        <v>11</v>
      </c>
      <c r="E590" s="10">
        <v>18</v>
      </c>
      <c r="F590" t="s">
        <v>800</v>
      </c>
      <c r="G590" t="s">
        <v>708</v>
      </c>
      <c r="H590" t="s">
        <v>131</v>
      </c>
      <c r="I590" t="s">
        <v>27</v>
      </c>
      <c r="J590" s="4">
        <v>57.6</v>
      </c>
      <c r="K590">
        <v>1</v>
      </c>
      <c r="L590">
        <v>57.6</v>
      </c>
      <c r="M590">
        <v>57.6</v>
      </c>
      <c r="N590" s="5">
        <v>2.8973843058350104</v>
      </c>
      <c r="O590" t="s">
        <v>100</v>
      </c>
      <c r="P590" t="s">
        <v>340</v>
      </c>
      <c r="Q590" t="s">
        <v>24</v>
      </c>
    </row>
    <row r="591" spans="1:18" hidden="1" x14ac:dyDescent="0.25">
      <c r="A591" s="2" t="s">
        <v>726</v>
      </c>
      <c r="B591" s="3" t="str">
        <f t="shared" si="12"/>
        <v>18/11/28</v>
      </c>
      <c r="C591" s="10">
        <v>28</v>
      </c>
      <c r="D591" s="10">
        <v>11</v>
      </c>
      <c r="E591" s="10">
        <v>18</v>
      </c>
      <c r="F591" t="s">
        <v>372</v>
      </c>
      <c r="G591" t="s">
        <v>373</v>
      </c>
      <c r="H591" t="s">
        <v>131</v>
      </c>
      <c r="I591" t="s">
        <v>27</v>
      </c>
      <c r="J591" s="4">
        <v>9</v>
      </c>
      <c r="K591">
        <v>4</v>
      </c>
      <c r="L591">
        <v>9</v>
      </c>
      <c r="M591">
        <v>36</v>
      </c>
      <c r="N591" s="5">
        <v>1.8108651911468814</v>
      </c>
      <c r="O591" t="s">
        <v>100</v>
      </c>
      <c r="P591" t="s">
        <v>340</v>
      </c>
      <c r="Q591" t="s">
        <v>24</v>
      </c>
    </row>
    <row r="592" spans="1:18" hidden="1" x14ac:dyDescent="0.25">
      <c r="A592" s="2" t="s">
        <v>726</v>
      </c>
      <c r="B592" s="3" t="str">
        <f t="shared" si="12"/>
        <v>18/11/28</v>
      </c>
      <c r="C592" s="10">
        <v>28</v>
      </c>
      <c r="D592" s="10">
        <v>11</v>
      </c>
      <c r="E592" s="10">
        <v>18</v>
      </c>
      <c r="F592" t="s">
        <v>60</v>
      </c>
      <c r="G592" t="s">
        <v>31</v>
      </c>
      <c r="H592" t="s">
        <v>26</v>
      </c>
      <c r="I592" t="s">
        <v>27</v>
      </c>
      <c r="J592" s="4">
        <v>7.7</v>
      </c>
      <c r="K592">
        <v>2</v>
      </c>
      <c r="L592">
        <v>7.7</v>
      </c>
      <c r="M592">
        <v>15.4</v>
      </c>
      <c r="N592" s="5">
        <v>0.77464788732394374</v>
      </c>
      <c r="O592" t="s">
        <v>100</v>
      </c>
      <c r="P592" t="s">
        <v>340</v>
      </c>
      <c r="Q592" t="s">
        <v>24</v>
      </c>
    </row>
    <row r="593" spans="1:18" hidden="1" x14ac:dyDescent="0.25">
      <c r="A593" s="2" t="s">
        <v>726</v>
      </c>
      <c r="B593" s="3" t="str">
        <f t="shared" si="12"/>
        <v>18/11/28</v>
      </c>
      <c r="C593" s="10">
        <v>28</v>
      </c>
      <c r="D593" s="10">
        <v>11</v>
      </c>
      <c r="E593" s="10">
        <v>18</v>
      </c>
      <c r="F593" t="s">
        <v>118</v>
      </c>
      <c r="H593" t="s">
        <v>467</v>
      </c>
      <c r="I593" t="s">
        <v>27</v>
      </c>
      <c r="J593" s="4">
        <v>10</v>
      </c>
      <c r="K593">
        <v>1</v>
      </c>
      <c r="L593">
        <v>10</v>
      </c>
      <c r="M593">
        <v>10</v>
      </c>
      <c r="N593" s="5">
        <v>0.50301810865191154</v>
      </c>
      <c r="O593" t="s">
        <v>100</v>
      </c>
      <c r="P593" t="s">
        <v>340</v>
      </c>
      <c r="Q593" t="s">
        <v>24</v>
      </c>
    </row>
    <row r="594" spans="1:18" hidden="1" x14ac:dyDescent="0.25">
      <c r="A594" s="2" t="s">
        <v>726</v>
      </c>
      <c r="B594" s="3" t="str">
        <f t="shared" si="12"/>
        <v>18/11/28</v>
      </c>
      <c r="C594" s="10">
        <v>28</v>
      </c>
      <c r="D594" s="10">
        <v>11</v>
      </c>
      <c r="E594" s="10">
        <v>18</v>
      </c>
      <c r="F594" t="s">
        <v>801</v>
      </c>
      <c r="G594" t="s">
        <v>31</v>
      </c>
      <c r="H594" t="s">
        <v>26</v>
      </c>
      <c r="I594" t="s">
        <v>27</v>
      </c>
      <c r="J594" s="4">
        <v>6.25</v>
      </c>
      <c r="K594">
        <v>2</v>
      </c>
      <c r="L594">
        <v>6.25</v>
      </c>
      <c r="M594">
        <v>12.5</v>
      </c>
      <c r="N594" s="5">
        <v>0.6287726358148894</v>
      </c>
      <c r="O594" s="10" t="s">
        <v>101</v>
      </c>
      <c r="P594" t="s">
        <v>340</v>
      </c>
      <c r="Q594" t="s">
        <v>24</v>
      </c>
    </row>
    <row r="595" spans="1:18" hidden="1" x14ac:dyDescent="0.25">
      <c r="A595" s="2" t="s">
        <v>726</v>
      </c>
      <c r="B595" s="3" t="str">
        <f t="shared" si="12"/>
        <v>18/11/28</v>
      </c>
      <c r="C595" s="10">
        <v>28</v>
      </c>
      <c r="D595" s="10">
        <v>11</v>
      </c>
      <c r="E595" s="10">
        <v>18</v>
      </c>
      <c r="F595" t="s">
        <v>52</v>
      </c>
      <c r="H595" t="s">
        <v>53</v>
      </c>
      <c r="I595" t="s">
        <v>27</v>
      </c>
      <c r="J595" s="4">
        <v>35</v>
      </c>
      <c r="K595">
        <v>2</v>
      </c>
      <c r="L595">
        <v>35</v>
      </c>
      <c r="M595">
        <v>70</v>
      </c>
      <c r="N595" s="5">
        <v>3.5211267605633805</v>
      </c>
      <c r="O595" s="10" t="s">
        <v>101</v>
      </c>
      <c r="P595" t="s">
        <v>340</v>
      </c>
      <c r="Q595" s="10" t="s">
        <v>24</v>
      </c>
    </row>
    <row r="596" spans="1:18" hidden="1" x14ac:dyDescent="0.25">
      <c r="A596" s="2" t="s">
        <v>726</v>
      </c>
      <c r="B596" s="3" t="str">
        <f t="shared" si="12"/>
        <v>18/11/29</v>
      </c>
      <c r="C596" s="10">
        <v>29</v>
      </c>
      <c r="D596" s="10">
        <v>11</v>
      </c>
      <c r="E596" s="10">
        <v>18</v>
      </c>
      <c r="F596" t="s">
        <v>60</v>
      </c>
      <c r="G596" t="s">
        <v>31</v>
      </c>
      <c r="H596" t="s">
        <v>26</v>
      </c>
      <c r="I596" t="s">
        <v>27</v>
      </c>
      <c r="J596" s="4">
        <v>7.7</v>
      </c>
      <c r="K596">
        <v>2</v>
      </c>
      <c r="L596">
        <v>7.7</v>
      </c>
      <c r="M596">
        <v>15.4</v>
      </c>
      <c r="N596" s="5">
        <v>0.77464788732394374</v>
      </c>
      <c r="O596" t="s">
        <v>100</v>
      </c>
      <c r="P596" t="s">
        <v>340</v>
      </c>
      <c r="Q596" s="10" t="s">
        <v>24</v>
      </c>
    </row>
    <row r="597" spans="1:18" hidden="1" x14ac:dyDescent="0.25">
      <c r="A597" s="2" t="s">
        <v>726</v>
      </c>
      <c r="B597" s="3" t="str">
        <f t="shared" si="12"/>
        <v>18/11/29</v>
      </c>
      <c r="C597" s="10">
        <v>29</v>
      </c>
      <c r="D597" s="10">
        <v>11</v>
      </c>
      <c r="E597" s="10">
        <v>18</v>
      </c>
      <c r="F597" t="s">
        <v>802</v>
      </c>
      <c r="G597" t="s">
        <v>708</v>
      </c>
      <c r="H597" t="s">
        <v>131</v>
      </c>
      <c r="I597" t="s">
        <v>27</v>
      </c>
      <c r="J597" s="4">
        <v>128</v>
      </c>
      <c r="K597">
        <v>0.7</v>
      </c>
      <c r="L597">
        <v>128</v>
      </c>
      <c r="M597">
        <v>89.6</v>
      </c>
      <c r="N597" s="5">
        <v>4.507042253521127</v>
      </c>
      <c r="O597" t="s">
        <v>100</v>
      </c>
      <c r="P597" t="s">
        <v>340</v>
      </c>
      <c r="Q597" s="10" t="s">
        <v>24</v>
      </c>
    </row>
    <row r="598" spans="1:18" hidden="1" x14ac:dyDescent="0.25">
      <c r="A598" s="2" t="s">
        <v>726</v>
      </c>
      <c r="B598" s="3" t="str">
        <f t="shared" si="12"/>
        <v>18/11/29</v>
      </c>
      <c r="C598" s="10">
        <v>29</v>
      </c>
      <c r="D598" s="10">
        <v>11</v>
      </c>
      <c r="E598" s="10">
        <v>18</v>
      </c>
      <c r="F598" t="s">
        <v>427</v>
      </c>
      <c r="G598" t="s">
        <v>319</v>
      </c>
      <c r="H598" t="s">
        <v>131</v>
      </c>
      <c r="I598" t="s">
        <v>27</v>
      </c>
      <c r="J598" s="4">
        <v>19.600000000000001</v>
      </c>
      <c r="K598">
        <v>1</v>
      </c>
      <c r="L598">
        <v>19.600000000000001</v>
      </c>
      <c r="M598">
        <v>19.600000000000001</v>
      </c>
      <c r="N598" s="5">
        <v>0.98591549295774661</v>
      </c>
      <c r="O598" t="s">
        <v>100</v>
      </c>
      <c r="P598" t="s">
        <v>340</v>
      </c>
      <c r="Q598" s="10" t="s">
        <v>84</v>
      </c>
    </row>
    <row r="599" spans="1:18" hidden="1" x14ac:dyDescent="0.25">
      <c r="A599" s="2" t="s">
        <v>726</v>
      </c>
      <c r="B599" s="3" t="str">
        <f t="shared" si="12"/>
        <v>18/11/29</v>
      </c>
      <c r="C599" s="10">
        <v>29</v>
      </c>
      <c r="D599" s="10">
        <v>11</v>
      </c>
      <c r="E599" s="10">
        <v>18</v>
      </c>
      <c r="F599" t="s">
        <v>508</v>
      </c>
      <c r="H599" t="s">
        <v>117</v>
      </c>
      <c r="I599" t="s">
        <v>27</v>
      </c>
      <c r="J599" s="4">
        <v>24.6</v>
      </c>
      <c r="K599">
        <v>1</v>
      </c>
      <c r="L599">
        <v>24.6</v>
      </c>
      <c r="M599">
        <v>24.6</v>
      </c>
      <c r="N599" s="5">
        <v>1.2374245472837024</v>
      </c>
      <c r="O599" t="s">
        <v>100</v>
      </c>
      <c r="P599" t="s">
        <v>340</v>
      </c>
      <c r="Q599" t="s">
        <v>24</v>
      </c>
    </row>
    <row r="600" spans="1:18" hidden="1" x14ac:dyDescent="0.25">
      <c r="A600" s="2" t="s">
        <v>726</v>
      </c>
      <c r="B600" s="3" t="str">
        <f t="shared" si="12"/>
        <v>18/11/29</v>
      </c>
      <c r="C600" s="10">
        <v>29</v>
      </c>
      <c r="D600" s="10">
        <v>11</v>
      </c>
      <c r="E600" s="10">
        <v>18</v>
      </c>
      <c r="F600" t="s">
        <v>427</v>
      </c>
      <c r="G600" t="s">
        <v>319</v>
      </c>
      <c r="H600" t="s">
        <v>131</v>
      </c>
      <c r="I600" t="s">
        <v>27</v>
      </c>
      <c r="J600" s="4">
        <v>26.6</v>
      </c>
      <c r="K600">
        <v>1</v>
      </c>
      <c r="L600">
        <v>26.6</v>
      </c>
      <c r="M600">
        <v>26.6</v>
      </c>
      <c r="N600" s="5">
        <v>1.3380281690140847</v>
      </c>
      <c r="O600" t="s">
        <v>100</v>
      </c>
      <c r="P600" t="s">
        <v>340</v>
      </c>
      <c r="Q600" s="10" t="s">
        <v>84</v>
      </c>
    </row>
    <row r="601" spans="1:18" hidden="1" x14ac:dyDescent="0.25">
      <c r="A601" s="2" t="s">
        <v>726</v>
      </c>
      <c r="B601" s="3" t="str">
        <f t="shared" si="12"/>
        <v>18/11/29</v>
      </c>
      <c r="C601" s="10">
        <v>29</v>
      </c>
      <c r="D601" s="10">
        <v>11</v>
      </c>
      <c r="E601" s="10">
        <v>18</v>
      </c>
      <c r="F601" t="s">
        <v>799</v>
      </c>
      <c r="G601" t="s">
        <v>155</v>
      </c>
      <c r="H601" t="s">
        <v>131</v>
      </c>
      <c r="I601" t="s">
        <v>27</v>
      </c>
      <c r="J601" s="4">
        <v>53.2</v>
      </c>
      <c r="K601">
        <v>1</v>
      </c>
      <c r="L601">
        <v>53.2</v>
      </c>
      <c r="M601">
        <v>53.2</v>
      </c>
      <c r="N601" s="5">
        <v>2.6760563380281694</v>
      </c>
      <c r="O601" t="s">
        <v>100</v>
      </c>
      <c r="P601" t="s">
        <v>340</v>
      </c>
      <c r="Q601" s="10" t="s">
        <v>24</v>
      </c>
    </row>
    <row r="602" spans="1:18" hidden="1" x14ac:dyDescent="0.25">
      <c r="A602" s="2" t="s">
        <v>726</v>
      </c>
      <c r="B602" s="3" t="str">
        <f t="shared" si="12"/>
        <v>18/11/29</v>
      </c>
      <c r="C602" s="10">
        <v>29</v>
      </c>
      <c r="D602" s="10">
        <v>11</v>
      </c>
      <c r="E602" s="10">
        <v>18</v>
      </c>
      <c r="F602" t="s">
        <v>1234</v>
      </c>
      <c r="H602" t="s">
        <v>69</v>
      </c>
      <c r="I602" t="s">
        <v>27</v>
      </c>
      <c r="J602" s="4">
        <v>168</v>
      </c>
      <c r="K602">
        <v>1.24</v>
      </c>
      <c r="L602">
        <v>168</v>
      </c>
      <c r="M602">
        <v>208.32</v>
      </c>
      <c r="N602" s="5">
        <v>10.47887323943662</v>
      </c>
      <c r="O602" t="s">
        <v>750</v>
      </c>
      <c r="P602" t="s">
        <v>340</v>
      </c>
      <c r="Q602" s="10" t="s">
        <v>84</v>
      </c>
    </row>
    <row r="603" spans="1:18" hidden="1" x14ac:dyDescent="0.25">
      <c r="A603" s="2" t="s">
        <v>726</v>
      </c>
      <c r="B603" s="3" t="str">
        <f t="shared" si="12"/>
        <v>18/11/29</v>
      </c>
      <c r="C603" s="10">
        <v>29</v>
      </c>
      <c r="D603" s="10">
        <v>11</v>
      </c>
      <c r="E603" s="10">
        <v>18</v>
      </c>
      <c r="F603" t="s">
        <v>1239</v>
      </c>
      <c r="H603" t="s">
        <v>69</v>
      </c>
      <c r="I603" t="s">
        <v>27</v>
      </c>
      <c r="J603" s="4">
        <v>148</v>
      </c>
      <c r="K603">
        <v>1.01</v>
      </c>
      <c r="L603">
        <v>148</v>
      </c>
      <c r="M603">
        <v>149.47999999999999</v>
      </c>
      <c r="N603" s="5">
        <v>7.5191146881287727</v>
      </c>
      <c r="O603" t="s">
        <v>750</v>
      </c>
      <c r="P603" t="s">
        <v>340</v>
      </c>
      <c r="Q603" s="10" t="s">
        <v>84</v>
      </c>
    </row>
    <row r="604" spans="1:18" hidden="1" x14ac:dyDescent="0.25">
      <c r="A604" s="2" t="s">
        <v>726</v>
      </c>
      <c r="B604" s="3" t="str">
        <f t="shared" si="12"/>
        <v>18/11/29</v>
      </c>
      <c r="C604" s="10">
        <v>29</v>
      </c>
      <c r="D604" s="10">
        <v>11</v>
      </c>
      <c r="E604" s="10">
        <v>18</v>
      </c>
      <c r="F604" t="s">
        <v>1235</v>
      </c>
      <c r="H604" t="s">
        <v>69</v>
      </c>
      <c r="I604" t="s">
        <v>27</v>
      </c>
      <c r="J604" s="4">
        <v>98</v>
      </c>
      <c r="K604">
        <v>1.0620000000000001</v>
      </c>
      <c r="L604">
        <v>98</v>
      </c>
      <c r="M604">
        <v>104.07600000000001</v>
      </c>
      <c r="N604" s="5">
        <v>5.2352112676056342</v>
      </c>
      <c r="O604" t="s">
        <v>750</v>
      </c>
      <c r="P604" t="s">
        <v>340</v>
      </c>
      <c r="Q604" s="10" t="s">
        <v>84</v>
      </c>
    </row>
    <row r="605" spans="1:18" hidden="1" x14ac:dyDescent="0.25">
      <c r="A605" s="2" t="s">
        <v>726</v>
      </c>
      <c r="B605" s="3" t="str">
        <f t="shared" si="12"/>
        <v>18/11/29</v>
      </c>
      <c r="C605" s="10">
        <v>29</v>
      </c>
      <c r="D605" s="10">
        <v>11</v>
      </c>
      <c r="E605" s="10">
        <v>18</v>
      </c>
      <c r="F605" t="s">
        <v>104</v>
      </c>
      <c r="I605" t="s">
        <v>72</v>
      </c>
      <c r="J605" s="4">
        <v>165.66</v>
      </c>
      <c r="K605">
        <v>1</v>
      </c>
      <c r="L605">
        <v>165.66</v>
      </c>
      <c r="M605">
        <v>165.66</v>
      </c>
      <c r="N605" s="5">
        <v>8.3329979879275662</v>
      </c>
      <c r="O605" t="s">
        <v>233</v>
      </c>
      <c r="P605" t="s">
        <v>340</v>
      </c>
      <c r="Q605" s="10" t="s">
        <v>24</v>
      </c>
      <c r="R605" t="s">
        <v>803</v>
      </c>
    </row>
    <row r="606" spans="1:18" hidden="1" x14ac:dyDescent="0.25">
      <c r="A606" s="2" t="s">
        <v>726</v>
      </c>
      <c r="B606" s="3" t="str">
        <f t="shared" si="12"/>
        <v>18/11/29</v>
      </c>
      <c r="C606" s="10">
        <v>29</v>
      </c>
      <c r="D606" s="10">
        <v>11</v>
      </c>
      <c r="E606" s="10">
        <v>18</v>
      </c>
      <c r="F606" t="s">
        <v>104</v>
      </c>
      <c r="I606" t="s">
        <v>72</v>
      </c>
      <c r="J606" s="4">
        <v>226.5</v>
      </c>
      <c r="K606">
        <v>1</v>
      </c>
      <c r="L606">
        <v>226.5</v>
      </c>
      <c r="M606">
        <v>226.5</v>
      </c>
      <c r="N606" s="5">
        <v>11.393360160965795</v>
      </c>
      <c r="O606" t="s">
        <v>233</v>
      </c>
      <c r="P606" t="s">
        <v>340</v>
      </c>
      <c r="Q606" s="10" t="s">
        <v>24</v>
      </c>
      <c r="R606" t="s">
        <v>804</v>
      </c>
    </row>
    <row r="607" spans="1:18" hidden="1" x14ac:dyDescent="0.25">
      <c r="A607" s="2" t="s">
        <v>726</v>
      </c>
      <c r="B607" s="3" t="str">
        <f t="shared" si="12"/>
        <v>18/11/29</v>
      </c>
      <c r="C607" s="10">
        <v>29</v>
      </c>
      <c r="D607" s="10">
        <v>11</v>
      </c>
      <c r="E607" s="10">
        <v>18</v>
      </c>
      <c r="F607" t="s">
        <v>146</v>
      </c>
      <c r="H607" t="s">
        <v>49</v>
      </c>
      <c r="I607" t="s">
        <v>50</v>
      </c>
      <c r="J607" s="4">
        <v>0.1</v>
      </c>
      <c r="K607">
        <v>1</v>
      </c>
      <c r="L607">
        <v>0.1</v>
      </c>
      <c r="M607" s="8">
        <v>0.1</v>
      </c>
      <c r="N607" s="5">
        <v>5.0301810865191155E-3</v>
      </c>
      <c r="O607" t="s">
        <v>233</v>
      </c>
      <c r="P607" t="s">
        <v>340</v>
      </c>
      <c r="Q607" s="10" t="s">
        <v>24</v>
      </c>
    </row>
    <row r="608" spans="1:18" hidden="1" x14ac:dyDescent="0.25">
      <c r="A608" s="2" t="s">
        <v>726</v>
      </c>
      <c r="B608" s="3" t="str">
        <f t="shared" si="12"/>
        <v>18/11/3</v>
      </c>
      <c r="C608" s="10">
        <v>3</v>
      </c>
      <c r="D608" s="10">
        <v>11</v>
      </c>
      <c r="E608" s="10">
        <v>18</v>
      </c>
      <c r="F608" t="s">
        <v>1699</v>
      </c>
      <c r="G608" t="s">
        <v>304</v>
      </c>
      <c r="H608" t="s">
        <v>1695</v>
      </c>
      <c r="I608" t="s">
        <v>79</v>
      </c>
      <c r="J608" s="4">
        <v>200</v>
      </c>
      <c r="K608">
        <v>2</v>
      </c>
      <c r="L608">
        <v>200</v>
      </c>
      <c r="M608" s="8">
        <v>400</v>
      </c>
      <c r="N608" s="5">
        <v>20.120724346076461</v>
      </c>
      <c r="O608" t="s">
        <v>39</v>
      </c>
      <c r="Q608" t="s">
        <v>24</v>
      </c>
    </row>
    <row r="609" spans="1:18" hidden="1" x14ac:dyDescent="0.25">
      <c r="A609" s="2" t="s">
        <v>726</v>
      </c>
      <c r="B609" s="3" t="str">
        <f t="shared" si="12"/>
        <v>18/11/3</v>
      </c>
      <c r="C609" s="10">
        <v>3</v>
      </c>
      <c r="D609" s="10">
        <v>11</v>
      </c>
      <c r="E609" s="10">
        <v>18</v>
      </c>
      <c r="F609" t="s">
        <v>358</v>
      </c>
      <c r="H609" t="s">
        <v>63</v>
      </c>
      <c r="I609" t="s">
        <v>50</v>
      </c>
      <c r="J609" s="4">
        <f>410-90</f>
        <v>320</v>
      </c>
      <c r="K609">
        <v>1</v>
      </c>
      <c r="L609">
        <v>320</v>
      </c>
      <c r="M609" s="8">
        <v>320</v>
      </c>
      <c r="N609" s="5">
        <v>16.096579476861169</v>
      </c>
      <c r="O609" t="s">
        <v>436</v>
      </c>
      <c r="P609" t="s">
        <v>340</v>
      </c>
      <c r="Q609" t="s">
        <v>84</v>
      </c>
    </row>
    <row r="610" spans="1:18" hidden="1" x14ac:dyDescent="0.25">
      <c r="A610" s="2" t="s">
        <v>726</v>
      </c>
      <c r="B610" s="3" t="str">
        <f t="shared" si="12"/>
        <v>18/11/3</v>
      </c>
      <c r="C610" s="10">
        <v>3</v>
      </c>
      <c r="D610" s="10">
        <v>11</v>
      </c>
      <c r="E610" s="10">
        <v>18</v>
      </c>
      <c r="F610" t="s">
        <v>358</v>
      </c>
      <c r="H610" t="s">
        <v>63</v>
      </c>
      <c r="I610" t="s">
        <v>50</v>
      </c>
      <c r="J610" s="4">
        <v>90</v>
      </c>
      <c r="K610">
        <v>1</v>
      </c>
      <c r="L610">
        <v>90</v>
      </c>
      <c r="M610" s="8">
        <v>90</v>
      </c>
      <c r="N610" s="5">
        <v>4.5271629778672038</v>
      </c>
      <c r="O610" t="s">
        <v>436</v>
      </c>
      <c r="P610" t="s">
        <v>340</v>
      </c>
      <c r="Q610" t="s">
        <v>24</v>
      </c>
    </row>
    <row r="611" spans="1:18" hidden="1" x14ac:dyDescent="0.25">
      <c r="A611" s="2" t="s">
        <v>726</v>
      </c>
      <c r="B611" s="3" t="str">
        <f t="shared" si="12"/>
        <v>18/11/3</v>
      </c>
      <c r="C611" s="10">
        <v>3</v>
      </c>
      <c r="D611" s="10">
        <v>11</v>
      </c>
      <c r="E611" s="10">
        <v>18</v>
      </c>
      <c r="F611" t="s">
        <v>358</v>
      </c>
      <c r="G611" t="s">
        <v>39</v>
      </c>
      <c r="H611" t="s">
        <v>63</v>
      </c>
      <c r="I611" t="s">
        <v>50</v>
      </c>
      <c r="J611" s="4">
        <v>90</v>
      </c>
      <c r="K611">
        <v>0</v>
      </c>
      <c r="L611">
        <v>90</v>
      </c>
      <c r="M611" s="8">
        <v>0</v>
      </c>
      <c r="N611" s="5">
        <v>0</v>
      </c>
      <c r="O611" t="s">
        <v>436</v>
      </c>
      <c r="P611" t="s">
        <v>340</v>
      </c>
      <c r="Q611" t="s">
        <v>24</v>
      </c>
      <c r="R611" t="s">
        <v>81</v>
      </c>
    </row>
    <row r="612" spans="1:18" hidden="1" x14ac:dyDescent="0.25">
      <c r="A612" s="2" t="s">
        <v>726</v>
      </c>
      <c r="B612" s="3" t="str">
        <f t="shared" si="12"/>
        <v>18/11/3</v>
      </c>
      <c r="C612" s="10">
        <v>3</v>
      </c>
      <c r="D612" s="10">
        <v>11</v>
      </c>
      <c r="E612" s="10">
        <v>18</v>
      </c>
      <c r="F612" t="s">
        <v>1265</v>
      </c>
      <c r="G612" t="s">
        <v>31</v>
      </c>
      <c r="H612" t="s">
        <v>26</v>
      </c>
      <c r="I612" t="s">
        <v>27</v>
      </c>
      <c r="J612" s="4">
        <v>12.15</v>
      </c>
      <c r="K612">
        <v>8</v>
      </c>
      <c r="L612">
        <v>12.15</v>
      </c>
      <c r="M612">
        <v>97.2</v>
      </c>
      <c r="N612" s="5">
        <v>4.8893360160965802</v>
      </c>
      <c r="O612" t="s">
        <v>100</v>
      </c>
      <c r="P612" t="s">
        <v>340</v>
      </c>
      <c r="Q612" t="s">
        <v>24</v>
      </c>
    </row>
    <row r="613" spans="1:18" hidden="1" x14ac:dyDescent="0.25">
      <c r="A613" s="2" t="s">
        <v>726</v>
      </c>
      <c r="B613" s="3" t="str">
        <f t="shared" si="12"/>
        <v>18/11/3</v>
      </c>
      <c r="C613" s="10">
        <v>3</v>
      </c>
      <c r="D613" s="10">
        <v>11</v>
      </c>
      <c r="E613" s="10">
        <v>18</v>
      </c>
      <c r="F613" t="s">
        <v>369</v>
      </c>
      <c r="G613" t="s">
        <v>210</v>
      </c>
      <c r="H613" t="s">
        <v>131</v>
      </c>
      <c r="I613" t="s">
        <v>27</v>
      </c>
      <c r="J613" s="4">
        <v>64</v>
      </c>
      <c r="K613">
        <v>1</v>
      </c>
      <c r="L613">
        <v>64</v>
      </c>
      <c r="M613">
        <v>64</v>
      </c>
      <c r="N613" s="5">
        <v>3.2193158953722336</v>
      </c>
      <c r="O613" t="s">
        <v>100</v>
      </c>
      <c r="P613" t="s">
        <v>340</v>
      </c>
      <c r="Q613" t="s">
        <v>24</v>
      </c>
    </row>
    <row r="614" spans="1:18" hidden="1" x14ac:dyDescent="0.25">
      <c r="A614" s="2" t="s">
        <v>726</v>
      </c>
      <c r="B614" s="3" t="str">
        <f t="shared" si="12"/>
        <v>18/11/3</v>
      </c>
      <c r="C614" s="10">
        <v>3</v>
      </c>
      <c r="D614" s="10">
        <v>11</v>
      </c>
      <c r="E614" s="10">
        <v>18</v>
      </c>
      <c r="F614" t="s">
        <v>364</v>
      </c>
      <c r="H614" t="s">
        <v>63</v>
      </c>
      <c r="I614" t="s">
        <v>27</v>
      </c>
      <c r="J614" s="4">
        <v>22.6</v>
      </c>
      <c r="K614">
        <v>1</v>
      </c>
      <c r="L614">
        <v>22.6</v>
      </c>
      <c r="M614">
        <v>22.6</v>
      </c>
      <c r="N614" s="5">
        <v>1.1368209255533201</v>
      </c>
      <c r="O614" t="s">
        <v>100</v>
      </c>
      <c r="P614" t="s">
        <v>340</v>
      </c>
      <c r="Q614" t="s">
        <v>24</v>
      </c>
      <c r="R614" t="s">
        <v>805</v>
      </c>
    </row>
    <row r="615" spans="1:18" hidden="1" x14ac:dyDescent="0.25">
      <c r="A615" s="2" t="s">
        <v>726</v>
      </c>
      <c r="B615" s="3" t="str">
        <f t="shared" si="12"/>
        <v>18/11/3</v>
      </c>
      <c r="C615" s="10">
        <v>3</v>
      </c>
      <c r="D615" s="10">
        <v>11</v>
      </c>
      <c r="E615" s="10">
        <v>18</v>
      </c>
      <c r="F615" t="s">
        <v>89</v>
      </c>
      <c r="G615" t="s">
        <v>31</v>
      </c>
      <c r="H615" t="s">
        <v>26</v>
      </c>
      <c r="I615" t="s">
        <v>27</v>
      </c>
      <c r="J615" s="4">
        <v>5.2</v>
      </c>
      <c r="K615">
        <v>2</v>
      </c>
      <c r="L615">
        <v>5.2</v>
      </c>
      <c r="M615">
        <v>10.4</v>
      </c>
      <c r="N615" s="5">
        <v>0.52313883299798802</v>
      </c>
      <c r="O615" t="s">
        <v>100</v>
      </c>
      <c r="P615" t="s">
        <v>340</v>
      </c>
      <c r="Q615" t="s">
        <v>24</v>
      </c>
    </row>
    <row r="616" spans="1:18" hidden="1" x14ac:dyDescent="0.25">
      <c r="A616" s="2" t="s">
        <v>726</v>
      </c>
      <c r="B616" s="3" t="str">
        <f t="shared" si="12"/>
        <v>18/11/3</v>
      </c>
      <c r="C616" s="10">
        <v>3</v>
      </c>
      <c r="D616" s="10">
        <v>11</v>
      </c>
      <c r="E616" s="10">
        <v>18</v>
      </c>
      <c r="F616" t="s">
        <v>806</v>
      </c>
      <c r="G616" t="s">
        <v>33</v>
      </c>
      <c r="H616" t="s">
        <v>35</v>
      </c>
      <c r="I616" t="s">
        <v>27</v>
      </c>
      <c r="J616" s="4">
        <v>110.6</v>
      </c>
      <c r="K616">
        <v>0.83</v>
      </c>
      <c r="L616">
        <v>110.6</v>
      </c>
      <c r="M616">
        <v>91.797999999999988</v>
      </c>
      <c r="N616" s="5">
        <v>4.6176056338028166</v>
      </c>
      <c r="O616" t="s">
        <v>100</v>
      </c>
      <c r="P616" t="s">
        <v>340</v>
      </c>
      <c r="Q616" t="s">
        <v>24</v>
      </c>
    </row>
    <row r="617" spans="1:18" hidden="1" x14ac:dyDescent="0.25">
      <c r="A617" s="2" t="s">
        <v>726</v>
      </c>
      <c r="B617" s="3" t="str">
        <f t="shared" si="12"/>
        <v>18/11/3</v>
      </c>
      <c r="C617" s="10">
        <v>3</v>
      </c>
      <c r="D617" s="10">
        <v>11</v>
      </c>
      <c r="E617" s="10">
        <v>18</v>
      </c>
      <c r="F617" t="s">
        <v>656</v>
      </c>
      <c r="G617" t="s">
        <v>33</v>
      </c>
      <c r="H617" t="s">
        <v>35</v>
      </c>
      <c r="I617" t="s">
        <v>27</v>
      </c>
      <c r="J617" s="4">
        <v>103.6</v>
      </c>
      <c r="K617">
        <v>0.45600000000000002</v>
      </c>
      <c r="L617">
        <v>103.6</v>
      </c>
      <c r="M617">
        <v>47.241599999999998</v>
      </c>
      <c r="N617" s="5">
        <v>2.3763380281690143</v>
      </c>
      <c r="O617" t="s">
        <v>100</v>
      </c>
      <c r="P617" t="s">
        <v>340</v>
      </c>
      <c r="Q617" t="s">
        <v>24</v>
      </c>
    </row>
    <row r="618" spans="1:18" hidden="1" x14ac:dyDescent="0.25">
      <c r="A618" s="2" t="s">
        <v>726</v>
      </c>
      <c r="B618" s="3" t="str">
        <f t="shared" si="12"/>
        <v>18/11/3</v>
      </c>
      <c r="C618" s="10">
        <v>3</v>
      </c>
      <c r="D618" s="10">
        <v>11</v>
      </c>
      <c r="E618" s="10">
        <v>18</v>
      </c>
      <c r="F618" t="s">
        <v>221</v>
      </c>
      <c r="H618" t="s">
        <v>131</v>
      </c>
      <c r="I618" t="s">
        <v>27</v>
      </c>
      <c r="J618" s="4">
        <v>50.25</v>
      </c>
      <c r="K618">
        <v>1</v>
      </c>
      <c r="L618">
        <v>50.25</v>
      </c>
      <c r="M618">
        <v>50.25</v>
      </c>
      <c r="N618" s="5">
        <v>2.5276659959758554</v>
      </c>
      <c r="O618" t="s">
        <v>100</v>
      </c>
      <c r="P618" t="s">
        <v>340</v>
      </c>
      <c r="Q618" t="s">
        <v>84</v>
      </c>
    </row>
    <row r="619" spans="1:18" hidden="1" x14ac:dyDescent="0.25">
      <c r="A619" s="2" t="s">
        <v>726</v>
      </c>
      <c r="B619" s="3" t="str">
        <f t="shared" si="12"/>
        <v>18/11/3</v>
      </c>
      <c r="C619" s="10">
        <v>3</v>
      </c>
      <c r="D619" s="10">
        <v>11</v>
      </c>
      <c r="E619" s="10">
        <v>18</v>
      </c>
      <c r="F619" t="s">
        <v>508</v>
      </c>
      <c r="H619" t="s">
        <v>73</v>
      </c>
      <c r="I619" t="s">
        <v>27</v>
      </c>
      <c r="J619" s="4">
        <v>29.6</v>
      </c>
      <c r="K619">
        <v>1</v>
      </c>
      <c r="L619">
        <v>29.6</v>
      </c>
      <c r="M619">
        <v>29.6</v>
      </c>
      <c r="N619" s="5">
        <v>1.4889336016096582</v>
      </c>
      <c r="O619" t="s">
        <v>100</v>
      </c>
      <c r="P619" t="s">
        <v>340</v>
      </c>
      <c r="Q619" t="s">
        <v>24</v>
      </c>
    </row>
    <row r="620" spans="1:18" hidden="1" x14ac:dyDescent="0.25">
      <c r="A620" s="2" t="s">
        <v>726</v>
      </c>
      <c r="B620" s="3" t="str">
        <f t="shared" si="12"/>
        <v>18/11/3</v>
      </c>
      <c r="C620" s="10">
        <v>3</v>
      </c>
      <c r="D620" s="10">
        <v>11</v>
      </c>
      <c r="E620" s="10">
        <v>18</v>
      </c>
      <c r="F620" t="s">
        <v>99</v>
      </c>
      <c r="H620" t="s">
        <v>40</v>
      </c>
      <c r="I620" t="s">
        <v>27</v>
      </c>
      <c r="J620" s="4">
        <v>10</v>
      </c>
      <c r="K620">
        <v>1</v>
      </c>
      <c r="L620">
        <v>10</v>
      </c>
      <c r="M620">
        <v>10</v>
      </c>
      <c r="N620" s="5">
        <v>0.50301810865191154</v>
      </c>
      <c r="O620" t="s">
        <v>100</v>
      </c>
      <c r="P620" t="s">
        <v>340</v>
      </c>
      <c r="Q620" t="s">
        <v>24</v>
      </c>
    </row>
    <row r="621" spans="1:18" hidden="1" x14ac:dyDescent="0.25">
      <c r="A621" s="2" t="s">
        <v>726</v>
      </c>
      <c r="B621" s="3" t="str">
        <f t="shared" si="12"/>
        <v>18/11/30</v>
      </c>
      <c r="C621" s="10">
        <v>30</v>
      </c>
      <c r="D621" s="10">
        <v>11</v>
      </c>
      <c r="E621" s="10">
        <v>18</v>
      </c>
      <c r="F621" t="s">
        <v>770</v>
      </c>
      <c r="G621" t="s">
        <v>31</v>
      </c>
      <c r="H621" t="s">
        <v>26</v>
      </c>
      <c r="I621" t="s">
        <v>27</v>
      </c>
      <c r="J621" s="4">
        <v>7.8</v>
      </c>
      <c r="K621">
        <v>3</v>
      </c>
      <c r="L621">
        <v>7.8</v>
      </c>
      <c r="M621">
        <v>23.4</v>
      </c>
      <c r="N621" s="5">
        <v>1.1770623742454729</v>
      </c>
      <c r="O621" s="10" t="s">
        <v>101</v>
      </c>
      <c r="P621" t="s">
        <v>340</v>
      </c>
      <c r="Q621" s="10" t="s">
        <v>24</v>
      </c>
    </row>
    <row r="622" spans="1:18" hidden="1" x14ac:dyDescent="0.25">
      <c r="A622" s="2" t="s">
        <v>726</v>
      </c>
      <c r="B622" s="3" t="str">
        <f t="shared" si="12"/>
        <v>18/11/4</v>
      </c>
      <c r="C622" s="10">
        <v>4</v>
      </c>
      <c r="D622" s="10">
        <v>11</v>
      </c>
      <c r="E622" s="10">
        <v>18</v>
      </c>
      <c r="F622" t="s">
        <v>94</v>
      </c>
      <c r="I622" t="s">
        <v>87</v>
      </c>
      <c r="J622" s="4">
        <v>60</v>
      </c>
      <c r="K622">
        <v>2</v>
      </c>
      <c r="L622">
        <v>60</v>
      </c>
      <c r="M622">
        <v>120</v>
      </c>
      <c r="N622" s="5">
        <v>6.0362173038229381</v>
      </c>
      <c r="O622" t="s">
        <v>807</v>
      </c>
      <c r="P622" t="s">
        <v>340</v>
      </c>
      <c r="Q622" t="s">
        <v>24</v>
      </c>
    </row>
    <row r="623" spans="1:18" hidden="1" x14ac:dyDescent="0.25">
      <c r="A623" s="2" t="s">
        <v>726</v>
      </c>
      <c r="B623" s="3" t="str">
        <f t="shared" si="12"/>
        <v>18/11/4</v>
      </c>
      <c r="C623" s="10">
        <v>4</v>
      </c>
      <c r="D623" s="10">
        <v>11</v>
      </c>
      <c r="E623" s="10">
        <v>18</v>
      </c>
      <c r="F623" t="s">
        <v>808</v>
      </c>
      <c r="G623" t="s">
        <v>58</v>
      </c>
      <c r="H623" t="s">
        <v>59</v>
      </c>
      <c r="I623" t="s">
        <v>27</v>
      </c>
      <c r="J623" s="4">
        <v>186</v>
      </c>
      <c r="K623">
        <v>1</v>
      </c>
      <c r="L623">
        <v>186</v>
      </c>
      <c r="M623">
        <v>186</v>
      </c>
      <c r="N623" s="5">
        <v>9.3561368209255544</v>
      </c>
      <c r="O623" t="s">
        <v>809</v>
      </c>
      <c r="P623" t="s">
        <v>340</v>
      </c>
      <c r="Q623" t="s">
        <v>24</v>
      </c>
    </row>
    <row r="624" spans="1:18" hidden="1" x14ac:dyDescent="0.25">
      <c r="A624" s="2" t="s">
        <v>726</v>
      </c>
      <c r="B624" s="3" t="str">
        <f t="shared" si="12"/>
        <v>18/11/4</v>
      </c>
      <c r="C624" s="10">
        <v>4</v>
      </c>
      <c r="D624" s="10">
        <v>11</v>
      </c>
      <c r="E624" s="10">
        <v>18</v>
      </c>
      <c r="F624" t="s">
        <v>810</v>
      </c>
      <c r="G624" t="s">
        <v>58</v>
      </c>
      <c r="H624" t="s">
        <v>59</v>
      </c>
      <c r="I624" t="s">
        <v>27</v>
      </c>
      <c r="J624" s="4">
        <v>180</v>
      </c>
      <c r="K624">
        <v>1</v>
      </c>
      <c r="L624">
        <v>180</v>
      </c>
      <c r="M624">
        <v>180</v>
      </c>
      <c r="N624" s="5">
        <v>9.0543259557344076</v>
      </c>
      <c r="O624" t="s">
        <v>809</v>
      </c>
      <c r="P624" t="s">
        <v>340</v>
      </c>
      <c r="Q624" t="s">
        <v>24</v>
      </c>
    </row>
    <row r="625" spans="1:18" hidden="1" x14ac:dyDescent="0.25">
      <c r="A625" s="2" t="s">
        <v>726</v>
      </c>
      <c r="B625" s="3" t="str">
        <f t="shared" si="12"/>
        <v>18/11/4</v>
      </c>
      <c r="C625" s="10">
        <v>4</v>
      </c>
      <c r="D625" s="10">
        <v>11</v>
      </c>
      <c r="E625" s="10">
        <v>18</v>
      </c>
      <c r="F625" t="s">
        <v>811</v>
      </c>
      <c r="H625" t="s">
        <v>63</v>
      </c>
      <c r="I625" t="s">
        <v>50</v>
      </c>
      <c r="J625" s="4">
        <v>85</v>
      </c>
      <c r="K625">
        <v>1</v>
      </c>
      <c r="L625">
        <v>85</v>
      </c>
      <c r="M625" s="8">
        <v>85</v>
      </c>
      <c r="N625" s="5">
        <v>4.2756539235412481</v>
      </c>
      <c r="O625" t="s">
        <v>809</v>
      </c>
      <c r="P625" t="s">
        <v>340</v>
      </c>
      <c r="Q625" t="s">
        <v>24</v>
      </c>
    </row>
    <row r="626" spans="1:18" hidden="1" x14ac:dyDescent="0.25">
      <c r="A626" s="2" t="s">
        <v>726</v>
      </c>
      <c r="B626" s="3" t="str">
        <f t="shared" si="12"/>
        <v>18/11/4</v>
      </c>
      <c r="C626" s="10">
        <v>4</v>
      </c>
      <c r="D626" s="10">
        <v>11</v>
      </c>
      <c r="E626" s="10">
        <v>18</v>
      </c>
      <c r="F626" t="s">
        <v>196</v>
      </c>
      <c r="G626" t="s">
        <v>155</v>
      </c>
      <c r="H626" t="s">
        <v>131</v>
      </c>
      <c r="I626" t="s">
        <v>27</v>
      </c>
      <c r="J626" s="4">
        <v>22</v>
      </c>
      <c r="K626">
        <v>1</v>
      </c>
      <c r="L626">
        <v>22</v>
      </c>
      <c r="M626">
        <v>22</v>
      </c>
      <c r="N626" s="5">
        <v>1.1066398390342054</v>
      </c>
      <c r="O626" t="s">
        <v>809</v>
      </c>
      <c r="P626" t="s">
        <v>340</v>
      </c>
      <c r="Q626" t="s">
        <v>24</v>
      </c>
    </row>
    <row r="627" spans="1:18" hidden="1" x14ac:dyDescent="0.25">
      <c r="A627" s="2" t="s">
        <v>726</v>
      </c>
      <c r="B627" s="3" t="str">
        <f t="shared" si="12"/>
        <v>18/11/4</v>
      </c>
      <c r="C627" s="10">
        <v>4</v>
      </c>
      <c r="D627" s="10">
        <v>11</v>
      </c>
      <c r="E627" s="10">
        <v>18</v>
      </c>
      <c r="F627" t="s">
        <v>191</v>
      </c>
      <c r="G627" t="s">
        <v>155</v>
      </c>
      <c r="H627" t="s">
        <v>131</v>
      </c>
      <c r="I627" t="s">
        <v>27</v>
      </c>
      <c r="J627" s="4">
        <v>28</v>
      </c>
      <c r="K627">
        <v>1</v>
      </c>
      <c r="L627">
        <v>28</v>
      </c>
      <c r="M627">
        <v>28</v>
      </c>
      <c r="N627" s="5">
        <v>1.4084507042253522</v>
      </c>
      <c r="O627" t="s">
        <v>809</v>
      </c>
      <c r="P627" t="s">
        <v>340</v>
      </c>
      <c r="Q627" t="s">
        <v>24</v>
      </c>
    </row>
    <row r="628" spans="1:18" hidden="1" x14ac:dyDescent="0.25">
      <c r="A628" s="2" t="s">
        <v>726</v>
      </c>
      <c r="B628" s="3" t="str">
        <f t="shared" si="12"/>
        <v>18/11/4</v>
      </c>
      <c r="C628" s="10">
        <v>4</v>
      </c>
      <c r="D628" s="10">
        <v>11</v>
      </c>
      <c r="E628" s="10">
        <v>18</v>
      </c>
      <c r="F628" t="s">
        <v>102</v>
      </c>
      <c r="H628" t="s">
        <v>102</v>
      </c>
      <c r="I628" t="s">
        <v>27</v>
      </c>
      <c r="J628" s="4">
        <v>20</v>
      </c>
      <c r="K628">
        <v>1</v>
      </c>
      <c r="L628">
        <v>20</v>
      </c>
      <c r="M628">
        <v>20</v>
      </c>
      <c r="N628" s="5">
        <v>1.0060362173038231</v>
      </c>
      <c r="O628" t="s">
        <v>812</v>
      </c>
      <c r="P628" t="s">
        <v>340</v>
      </c>
      <c r="Q628" t="s">
        <v>24</v>
      </c>
    </row>
    <row r="629" spans="1:18" hidden="1" x14ac:dyDescent="0.25">
      <c r="A629" s="2" t="s">
        <v>726</v>
      </c>
      <c r="B629" s="3" t="str">
        <f t="shared" si="12"/>
        <v>18/11/4</v>
      </c>
      <c r="C629" s="10">
        <v>4</v>
      </c>
      <c r="D629" s="10">
        <v>11</v>
      </c>
      <c r="E629" s="10">
        <v>18</v>
      </c>
      <c r="F629" t="s">
        <v>224</v>
      </c>
      <c r="G629" t="s">
        <v>224</v>
      </c>
      <c r="H629" t="s">
        <v>26</v>
      </c>
      <c r="I629" t="s">
        <v>27</v>
      </c>
      <c r="J629" s="4">
        <v>22</v>
      </c>
      <c r="K629">
        <v>1</v>
      </c>
      <c r="L629">
        <v>22</v>
      </c>
      <c r="M629">
        <v>22</v>
      </c>
      <c r="N629" s="5">
        <v>1.1066398390342054</v>
      </c>
      <c r="O629" t="s">
        <v>812</v>
      </c>
      <c r="P629" t="s">
        <v>340</v>
      </c>
      <c r="Q629" t="s">
        <v>24</v>
      </c>
    </row>
    <row r="630" spans="1:18" hidden="1" x14ac:dyDescent="0.25">
      <c r="A630" s="2" t="s">
        <v>726</v>
      </c>
      <c r="B630" s="3" t="str">
        <f t="shared" si="12"/>
        <v>18/11/5</v>
      </c>
      <c r="C630" s="10">
        <v>5</v>
      </c>
      <c r="D630" s="10">
        <v>11</v>
      </c>
      <c r="E630" s="10">
        <v>18</v>
      </c>
      <c r="F630" t="s">
        <v>813</v>
      </c>
      <c r="I630" t="s">
        <v>39</v>
      </c>
      <c r="J630" s="4">
        <v>20</v>
      </c>
      <c r="K630">
        <v>2</v>
      </c>
      <c r="L630">
        <v>20</v>
      </c>
      <c r="M630">
        <v>40</v>
      </c>
      <c r="N630" s="5">
        <v>2.0120724346076462</v>
      </c>
      <c r="O630" t="s">
        <v>39</v>
      </c>
      <c r="Q630" t="s">
        <v>24</v>
      </c>
    </row>
    <row r="631" spans="1:18" hidden="1" x14ac:dyDescent="0.25">
      <c r="A631" s="2" t="s">
        <v>726</v>
      </c>
      <c r="B631" s="3" t="str">
        <f t="shared" si="12"/>
        <v>18/11/5</v>
      </c>
      <c r="C631" s="10">
        <v>5</v>
      </c>
      <c r="D631" s="10">
        <v>11</v>
      </c>
      <c r="E631" s="10">
        <v>18</v>
      </c>
      <c r="F631" t="s">
        <v>55</v>
      </c>
      <c r="H631" t="s">
        <v>56</v>
      </c>
      <c r="I631" t="s">
        <v>27</v>
      </c>
      <c r="J631" s="4">
        <v>25</v>
      </c>
      <c r="K631">
        <v>1</v>
      </c>
      <c r="L631">
        <v>25</v>
      </c>
      <c r="M631">
        <v>25</v>
      </c>
      <c r="N631" s="5">
        <v>1.2575452716297788</v>
      </c>
      <c r="O631" t="s">
        <v>454</v>
      </c>
      <c r="P631" t="s">
        <v>340</v>
      </c>
      <c r="Q631" t="s">
        <v>24</v>
      </c>
    </row>
    <row r="632" spans="1:18" hidden="1" x14ac:dyDescent="0.25">
      <c r="A632" s="2" t="s">
        <v>726</v>
      </c>
      <c r="B632" s="3" t="str">
        <f t="shared" si="12"/>
        <v>18/11/5</v>
      </c>
      <c r="C632" s="10">
        <v>5</v>
      </c>
      <c r="D632" s="10">
        <v>11</v>
      </c>
      <c r="E632" s="10">
        <v>18</v>
      </c>
      <c r="F632" t="s">
        <v>404</v>
      </c>
      <c r="H632" t="s">
        <v>54</v>
      </c>
      <c r="I632" t="s">
        <v>27</v>
      </c>
      <c r="J632" s="4">
        <v>21</v>
      </c>
      <c r="K632">
        <v>1</v>
      </c>
      <c r="L632">
        <v>21</v>
      </c>
      <c r="M632">
        <v>21</v>
      </c>
      <c r="N632" s="5">
        <v>1.0563380281690142</v>
      </c>
      <c r="O632" t="s">
        <v>454</v>
      </c>
      <c r="P632" t="s">
        <v>340</v>
      </c>
      <c r="Q632" t="s">
        <v>24</v>
      </c>
    </row>
    <row r="633" spans="1:18" hidden="1" x14ac:dyDescent="0.25">
      <c r="A633" s="2" t="s">
        <v>726</v>
      </c>
      <c r="B633" s="3" t="str">
        <f t="shared" si="12"/>
        <v>18/11/5</v>
      </c>
      <c r="C633" s="10">
        <v>5</v>
      </c>
      <c r="D633" s="10">
        <v>11</v>
      </c>
      <c r="E633" s="10">
        <v>18</v>
      </c>
      <c r="F633" t="s">
        <v>108</v>
      </c>
      <c r="H633" t="s">
        <v>54</v>
      </c>
      <c r="I633" t="s">
        <v>27</v>
      </c>
      <c r="J633" s="4">
        <v>15</v>
      </c>
      <c r="K633">
        <v>1</v>
      </c>
      <c r="L633">
        <v>15</v>
      </c>
      <c r="M633">
        <v>15</v>
      </c>
      <c r="N633" s="5">
        <v>0.75452716297786726</v>
      </c>
      <c r="O633" t="s">
        <v>454</v>
      </c>
      <c r="P633" t="s">
        <v>340</v>
      </c>
      <c r="Q633" t="s">
        <v>24</v>
      </c>
    </row>
    <row r="634" spans="1:18" hidden="1" x14ac:dyDescent="0.25">
      <c r="A634" s="2" t="s">
        <v>726</v>
      </c>
      <c r="B634" s="3" t="str">
        <f t="shared" si="12"/>
        <v>18/11/5</v>
      </c>
      <c r="C634" s="10">
        <v>5</v>
      </c>
      <c r="D634" s="10">
        <v>11</v>
      </c>
      <c r="E634" s="10">
        <v>18</v>
      </c>
      <c r="F634" t="s">
        <v>110</v>
      </c>
      <c r="H634" t="s">
        <v>56</v>
      </c>
      <c r="I634" t="s">
        <v>27</v>
      </c>
      <c r="J634" s="4">
        <v>8</v>
      </c>
      <c r="K634">
        <v>1</v>
      </c>
      <c r="L634">
        <v>8</v>
      </c>
      <c r="M634">
        <v>8</v>
      </c>
      <c r="N634" s="5">
        <v>0.4024144869215292</v>
      </c>
      <c r="O634" t="s">
        <v>454</v>
      </c>
      <c r="P634" t="s">
        <v>340</v>
      </c>
      <c r="Q634" t="s">
        <v>24</v>
      </c>
    </row>
    <row r="635" spans="1:18" hidden="1" x14ac:dyDescent="0.25">
      <c r="A635" s="2" t="s">
        <v>726</v>
      </c>
      <c r="B635" s="3" t="str">
        <f t="shared" si="12"/>
        <v>18/11/5</v>
      </c>
      <c r="C635" s="10">
        <v>5</v>
      </c>
      <c r="D635" s="10">
        <v>11</v>
      </c>
      <c r="E635" s="10">
        <v>18</v>
      </c>
      <c r="F635" t="s">
        <v>104</v>
      </c>
      <c r="I635" t="s">
        <v>72</v>
      </c>
      <c r="J635" s="4">
        <v>34.26</v>
      </c>
      <c r="K635">
        <v>1</v>
      </c>
      <c r="L635">
        <v>34.26</v>
      </c>
      <c r="M635">
        <v>34.26</v>
      </c>
      <c r="N635" s="5">
        <v>1.7233400402414487</v>
      </c>
      <c r="O635" t="s">
        <v>629</v>
      </c>
      <c r="P635" t="s">
        <v>340</v>
      </c>
      <c r="Q635" t="s">
        <v>24</v>
      </c>
      <c r="R635" t="s">
        <v>743</v>
      </c>
    </row>
    <row r="636" spans="1:18" hidden="1" x14ac:dyDescent="0.25">
      <c r="A636" s="2" t="s">
        <v>726</v>
      </c>
      <c r="B636" s="3" t="str">
        <f t="shared" si="12"/>
        <v>18/11/5</v>
      </c>
      <c r="C636" s="10">
        <v>5</v>
      </c>
      <c r="D636" s="10">
        <v>11</v>
      </c>
      <c r="E636" s="10">
        <v>18</v>
      </c>
      <c r="F636" t="s">
        <v>104</v>
      </c>
      <c r="I636" t="s">
        <v>72</v>
      </c>
      <c r="J636" s="4">
        <v>82.27</v>
      </c>
      <c r="K636">
        <v>0.5</v>
      </c>
      <c r="L636">
        <v>82.27</v>
      </c>
      <c r="M636">
        <v>41.134999999999998</v>
      </c>
      <c r="N636" s="5">
        <v>2.069164989939638</v>
      </c>
      <c r="O636" t="s">
        <v>629</v>
      </c>
      <c r="P636" t="s">
        <v>340</v>
      </c>
      <c r="Q636" t="s">
        <v>24</v>
      </c>
      <c r="R636" t="s">
        <v>742</v>
      </c>
    </row>
    <row r="637" spans="1:18" hidden="1" x14ac:dyDescent="0.25">
      <c r="A637" s="2" t="s">
        <v>726</v>
      </c>
      <c r="B637" s="3" t="str">
        <f t="shared" si="12"/>
        <v>18/11/5</v>
      </c>
      <c r="C637" s="10">
        <v>5</v>
      </c>
      <c r="D637" s="10">
        <v>11</v>
      </c>
      <c r="E637" s="10">
        <v>18</v>
      </c>
      <c r="F637" t="s">
        <v>104</v>
      </c>
      <c r="I637" t="s">
        <v>72</v>
      </c>
      <c r="J637" s="4">
        <v>205.25</v>
      </c>
      <c r="K637">
        <v>0.5</v>
      </c>
      <c r="L637">
        <v>205.25</v>
      </c>
      <c r="M637">
        <v>102.625</v>
      </c>
      <c r="N637" s="5">
        <v>5.1622233400402413</v>
      </c>
      <c r="O637" t="s">
        <v>629</v>
      </c>
      <c r="P637" t="s">
        <v>340</v>
      </c>
      <c r="Q637" t="s">
        <v>24</v>
      </c>
      <c r="R637" t="s">
        <v>741</v>
      </c>
    </row>
    <row r="638" spans="1:18" hidden="1" x14ac:dyDescent="0.25">
      <c r="A638" s="2" t="s">
        <v>726</v>
      </c>
      <c r="B638" s="3" t="str">
        <f t="shared" si="12"/>
        <v>18/11/5</v>
      </c>
      <c r="C638" s="10">
        <v>5</v>
      </c>
      <c r="D638" s="10">
        <v>11</v>
      </c>
      <c r="E638" s="10">
        <v>18</v>
      </c>
      <c r="F638" t="s">
        <v>159</v>
      </c>
      <c r="I638" t="s">
        <v>72</v>
      </c>
      <c r="J638" s="4">
        <v>9.39</v>
      </c>
      <c r="K638">
        <v>2</v>
      </c>
      <c r="L638">
        <v>9.39</v>
      </c>
      <c r="M638">
        <v>18.78</v>
      </c>
      <c r="N638" s="5">
        <v>0.94466800804828988</v>
      </c>
      <c r="O638" t="s">
        <v>629</v>
      </c>
      <c r="P638" t="s">
        <v>340</v>
      </c>
      <c r="Q638" t="s">
        <v>24</v>
      </c>
      <c r="R638" t="s">
        <v>814</v>
      </c>
    </row>
    <row r="639" spans="1:18" hidden="1" x14ac:dyDescent="0.25">
      <c r="A639" s="2" t="s">
        <v>726</v>
      </c>
      <c r="B639" s="3" t="str">
        <f t="shared" si="12"/>
        <v>18/11/5</v>
      </c>
      <c r="C639" s="10">
        <v>5</v>
      </c>
      <c r="D639" s="10">
        <v>11</v>
      </c>
      <c r="E639" s="10">
        <v>18</v>
      </c>
      <c r="F639" t="s">
        <v>151</v>
      </c>
      <c r="I639" t="s">
        <v>72</v>
      </c>
      <c r="J639" s="4">
        <v>16.829999999999998</v>
      </c>
      <c r="K639">
        <v>1</v>
      </c>
      <c r="L639">
        <v>16.829999999999998</v>
      </c>
      <c r="M639">
        <v>16.829999999999998</v>
      </c>
      <c r="N639" s="5">
        <v>0.84657947686116697</v>
      </c>
      <c r="O639" t="s">
        <v>629</v>
      </c>
      <c r="P639" t="s">
        <v>340</v>
      </c>
      <c r="Q639" t="s">
        <v>24</v>
      </c>
      <c r="R639" t="s">
        <v>481</v>
      </c>
    </row>
    <row r="640" spans="1:18" hidden="1" x14ac:dyDescent="0.25">
      <c r="A640" s="2" t="s">
        <v>726</v>
      </c>
      <c r="B640" s="3" t="str">
        <f t="shared" si="12"/>
        <v>18/11/5</v>
      </c>
      <c r="C640" s="10">
        <v>5</v>
      </c>
      <c r="D640" s="10">
        <v>11</v>
      </c>
      <c r="E640" s="10">
        <v>18</v>
      </c>
      <c r="F640" t="s">
        <v>71</v>
      </c>
      <c r="I640" t="s">
        <v>72</v>
      </c>
      <c r="J640" s="4">
        <v>250</v>
      </c>
      <c r="K640">
        <v>1</v>
      </c>
      <c r="L640">
        <v>250</v>
      </c>
      <c r="M640">
        <v>250</v>
      </c>
      <c r="N640" s="5">
        <v>12.575452716297788</v>
      </c>
      <c r="O640" t="s">
        <v>675</v>
      </c>
      <c r="P640" t="s">
        <v>340</v>
      </c>
      <c r="Q640" t="s">
        <v>24</v>
      </c>
    </row>
    <row r="641" spans="1:18" hidden="1" x14ac:dyDescent="0.25">
      <c r="A641" s="2" t="s">
        <v>726</v>
      </c>
      <c r="B641" s="3" t="str">
        <f t="shared" si="12"/>
        <v>18/11/5</v>
      </c>
      <c r="C641" s="10">
        <v>5</v>
      </c>
      <c r="D641" s="10">
        <v>11</v>
      </c>
      <c r="E641" s="10">
        <v>18</v>
      </c>
      <c r="F641" t="s">
        <v>815</v>
      </c>
      <c r="I641" t="s">
        <v>96</v>
      </c>
      <c r="J641" s="4">
        <v>40</v>
      </c>
      <c r="K641">
        <v>1</v>
      </c>
      <c r="L641">
        <v>685.19999999999993</v>
      </c>
      <c r="M641">
        <v>685.19999999999993</v>
      </c>
      <c r="N641" s="5">
        <v>34.466800804828971</v>
      </c>
      <c r="O641" t="s">
        <v>39</v>
      </c>
      <c r="Q641" t="s">
        <v>24</v>
      </c>
    </row>
    <row r="642" spans="1:18" hidden="1" x14ac:dyDescent="0.25">
      <c r="A642" s="2" t="s">
        <v>726</v>
      </c>
      <c r="B642" s="3" t="str">
        <f t="shared" si="12"/>
        <v>18/11/5</v>
      </c>
      <c r="C642" s="10">
        <v>5</v>
      </c>
      <c r="D642" s="10">
        <v>11</v>
      </c>
      <c r="E642" s="10">
        <v>18</v>
      </c>
      <c r="F642" t="s">
        <v>816</v>
      </c>
      <c r="I642" t="s">
        <v>96</v>
      </c>
      <c r="J642" s="4">
        <v>28</v>
      </c>
      <c r="K642">
        <v>1</v>
      </c>
      <c r="L642">
        <v>479.64</v>
      </c>
      <c r="M642">
        <v>479.64</v>
      </c>
      <c r="N642" s="5">
        <v>24.126760563380284</v>
      </c>
      <c r="O642" t="s">
        <v>39</v>
      </c>
      <c r="Q642" t="s">
        <v>24</v>
      </c>
    </row>
    <row r="643" spans="1:18" hidden="1" x14ac:dyDescent="0.25">
      <c r="A643" s="2" t="s">
        <v>726</v>
      </c>
      <c r="B643" s="3" t="str">
        <f t="shared" si="12"/>
        <v>18/11/5</v>
      </c>
      <c r="C643" s="10">
        <v>5</v>
      </c>
      <c r="D643" s="10">
        <v>11</v>
      </c>
      <c r="E643" s="10">
        <v>18</v>
      </c>
      <c r="F643" t="s">
        <v>2033</v>
      </c>
      <c r="I643" t="s">
        <v>96</v>
      </c>
      <c r="J643" s="4">
        <v>7.6</v>
      </c>
      <c r="K643">
        <v>1</v>
      </c>
      <c r="L643">
        <v>130.18799999999999</v>
      </c>
      <c r="M643">
        <v>130.18799999999999</v>
      </c>
      <c r="N643" s="5">
        <v>6.5486921529175044</v>
      </c>
      <c r="O643" t="s">
        <v>39</v>
      </c>
      <c r="Q643" t="s">
        <v>24</v>
      </c>
    </row>
    <row r="644" spans="1:18" hidden="1" x14ac:dyDescent="0.25">
      <c r="A644" s="2" t="s">
        <v>726</v>
      </c>
      <c r="B644" s="3" t="str">
        <f t="shared" si="12"/>
        <v>18/11/5</v>
      </c>
      <c r="C644" s="10">
        <v>5</v>
      </c>
      <c r="D644" s="10">
        <v>11</v>
      </c>
      <c r="E644" s="10">
        <v>18</v>
      </c>
      <c r="F644" t="s">
        <v>817</v>
      </c>
      <c r="I644" t="s">
        <v>431</v>
      </c>
      <c r="J644" s="4">
        <v>7.64</v>
      </c>
      <c r="K644">
        <v>2</v>
      </c>
      <c r="L644">
        <v>130.8732</v>
      </c>
      <c r="M644" s="8">
        <v>261.74639999999999</v>
      </c>
      <c r="N644" s="5">
        <v>13.166317907444668</v>
      </c>
      <c r="O644" t="s">
        <v>39</v>
      </c>
      <c r="Q644" t="s">
        <v>24</v>
      </c>
    </row>
    <row r="645" spans="1:18" hidden="1" x14ac:dyDescent="0.25">
      <c r="A645" s="2" t="s">
        <v>726</v>
      </c>
      <c r="B645" s="3" t="str">
        <f t="shared" si="12"/>
        <v>18/11/5</v>
      </c>
      <c r="C645" s="10">
        <v>5</v>
      </c>
      <c r="D645" s="10">
        <v>11</v>
      </c>
      <c r="E645" s="10">
        <v>18</v>
      </c>
      <c r="F645" t="s">
        <v>818</v>
      </c>
      <c r="I645" t="s">
        <v>96</v>
      </c>
      <c r="J645" s="4">
        <v>31</v>
      </c>
      <c r="K645">
        <v>1</v>
      </c>
      <c r="L645">
        <v>531.03</v>
      </c>
      <c r="M645">
        <v>531.03</v>
      </c>
      <c r="N645" s="5">
        <v>26.711770623742456</v>
      </c>
      <c r="O645" t="s">
        <v>39</v>
      </c>
      <c r="Q645" t="s">
        <v>24</v>
      </c>
    </row>
    <row r="646" spans="1:18" hidden="1" x14ac:dyDescent="0.25">
      <c r="A646" s="2" t="s">
        <v>726</v>
      </c>
      <c r="B646" s="3" t="str">
        <f t="shared" ref="B646:B709" si="13">CONCATENATE(E646,"/",D646,"/",C646)</f>
        <v>18/11/5</v>
      </c>
      <c r="C646" s="10">
        <v>5</v>
      </c>
      <c r="D646" s="10">
        <v>11</v>
      </c>
      <c r="E646" s="10">
        <v>18</v>
      </c>
      <c r="F646" t="s">
        <v>1541</v>
      </c>
      <c r="I646" t="s">
        <v>96</v>
      </c>
      <c r="J646" s="4">
        <v>7.67</v>
      </c>
      <c r="K646">
        <v>1</v>
      </c>
      <c r="L646">
        <v>131.3871</v>
      </c>
      <c r="M646">
        <v>131.3871</v>
      </c>
      <c r="N646" s="5">
        <v>6.6090090543259565</v>
      </c>
      <c r="O646" t="s">
        <v>39</v>
      </c>
      <c r="Q646" t="s">
        <v>24</v>
      </c>
    </row>
    <row r="647" spans="1:18" hidden="1" x14ac:dyDescent="0.25">
      <c r="A647" s="2" t="s">
        <v>726</v>
      </c>
      <c r="B647" s="3" t="str">
        <f t="shared" si="13"/>
        <v>18/11/5</v>
      </c>
      <c r="C647" s="10">
        <v>5</v>
      </c>
      <c r="D647" s="10">
        <v>11</v>
      </c>
      <c r="E647" s="10">
        <v>18</v>
      </c>
      <c r="F647" t="s">
        <v>1275</v>
      </c>
      <c r="I647" t="s">
        <v>431</v>
      </c>
      <c r="J647" s="4">
        <v>10.5</v>
      </c>
      <c r="K647">
        <v>1</v>
      </c>
      <c r="L647">
        <v>179.86499999999998</v>
      </c>
      <c r="M647" s="8">
        <v>179.86499999999998</v>
      </c>
      <c r="N647" s="5">
        <v>9.047535211267606</v>
      </c>
      <c r="O647" t="s">
        <v>39</v>
      </c>
      <c r="Q647" t="s">
        <v>24</v>
      </c>
    </row>
    <row r="648" spans="1:18" hidden="1" x14ac:dyDescent="0.25">
      <c r="A648" s="2" t="s">
        <v>726</v>
      </c>
      <c r="B648" s="3" t="str">
        <f t="shared" si="13"/>
        <v>18/11/7</v>
      </c>
      <c r="C648" s="10">
        <v>7</v>
      </c>
      <c r="D648" s="10">
        <v>11</v>
      </c>
      <c r="E648" s="10">
        <v>18</v>
      </c>
      <c r="F648" t="s">
        <v>1666</v>
      </c>
      <c r="I648" t="s">
        <v>72</v>
      </c>
      <c r="J648" s="4">
        <v>27.65</v>
      </c>
      <c r="K648">
        <v>1</v>
      </c>
      <c r="L648">
        <v>27.65</v>
      </c>
      <c r="M648">
        <v>27.65</v>
      </c>
      <c r="N648" s="5">
        <v>1.3908450704225352</v>
      </c>
      <c r="O648" t="s">
        <v>283</v>
      </c>
      <c r="P648" t="s">
        <v>340</v>
      </c>
      <c r="Q648" t="s">
        <v>24</v>
      </c>
      <c r="R648" t="s">
        <v>819</v>
      </c>
    </row>
    <row r="649" spans="1:18" hidden="1" x14ac:dyDescent="0.25">
      <c r="A649" s="2" t="s">
        <v>726</v>
      </c>
      <c r="B649" s="3" t="str">
        <f t="shared" si="13"/>
        <v>18/11/7</v>
      </c>
      <c r="C649" s="10">
        <v>7</v>
      </c>
      <c r="D649" s="10">
        <v>11</v>
      </c>
      <c r="E649" s="10">
        <v>18</v>
      </c>
      <c r="F649" t="s">
        <v>104</v>
      </c>
      <c r="I649" t="s">
        <v>72</v>
      </c>
      <c r="J649" s="4">
        <v>81.599999999999994</v>
      </c>
      <c r="K649">
        <v>1</v>
      </c>
      <c r="L649">
        <v>81.599999999999994</v>
      </c>
      <c r="M649">
        <v>81.599999999999994</v>
      </c>
      <c r="N649" s="5">
        <v>4.1046277665995978</v>
      </c>
      <c r="O649" t="s">
        <v>283</v>
      </c>
      <c r="P649" t="s">
        <v>340</v>
      </c>
      <c r="Q649" t="s">
        <v>24</v>
      </c>
      <c r="R649" t="s">
        <v>347</v>
      </c>
    </row>
    <row r="650" spans="1:18" hidden="1" x14ac:dyDescent="0.25">
      <c r="A650" s="2" t="s">
        <v>726</v>
      </c>
      <c r="B650" s="3" t="str">
        <f t="shared" si="13"/>
        <v>18/11/7</v>
      </c>
      <c r="C650" s="10">
        <v>7</v>
      </c>
      <c r="D650" s="10">
        <v>11</v>
      </c>
      <c r="E650" s="10">
        <v>18</v>
      </c>
      <c r="F650" t="s">
        <v>55</v>
      </c>
      <c r="H650" t="s">
        <v>56</v>
      </c>
      <c r="I650" t="s">
        <v>27</v>
      </c>
      <c r="J650" s="4">
        <v>19.05</v>
      </c>
      <c r="K650">
        <v>1.45</v>
      </c>
      <c r="L650">
        <v>19.05</v>
      </c>
      <c r="M650">
        <v>27.622499999999999</v>
      </c>
      <c r="N650" s="5">
        <v>1.3894617706237424</v>
      </c>
      <c r="O650" t="s">
        <v>1472</v>
      </c>
      <c r="P650" t="s">
        <v>340</v>
      </c>
      <c r="Q650" t="s">
        <v>24</v>
      </c>
    </row>
    <row r="651" spans="1:18" hidden="1" x14ac:dyDescent="0.25">
      <c r="A651" s="2" t="s">
        <v>726</v>
      </c>
      <c r="B651" s="3" t="str">
        <f t="shared" si="13"/>
        <v>18/11/7</v>
      </c>
      <c r="C651" s="10">
        <v>7</v>
      </c>
      <c r="D651" s="10">
        <v>11</v>
      </c>
      <c r="E651" s="10">
        <v>18</v>
      </c>
      <c r="F651" t="s">
        <v>676</v>
      </c>
      <c r="G651" t="s">
        <v>39</v>
      </c>
      <c r="H651" t="s">
        <v>131</v>
      </c>
      <c r="I651" t="s">
        <v>27</v>
      </c>
      <c r="J651" s="4">
        <v>5.3</v>
      </c>
      <c r="K651">
        <v>2</v>
      </c>
      <c r="L651">
        <v>5.3</v>
      </c>
      <c r="M651">
        <v>10.6</v>
      </c>
      <c r="N651" s="5">
        <v>0.53319919517102621</v>
      </c>
      <c r="O651" t="s">
        <v>1472</v>
      </c>
      <c r="P651" t="s">
        <v>340</v>
      </c>
      <c r="Q651" t="s">
        <v>24</v>
      </c>
    </row>
    <row r="652" spans="1:18" hidden="1" x14ac:dyDescent="0.25">
      <c r="A652" s="2" t="s">
        <v>726</v>
      </c>
      <c r="B652" s="3" t="str">
        <f t="shared" si="13"/>
        <v>18/11/7</v>
      </c>
      <c r="C652" s="10">
        <v>7</v>
      </c>
      <c r="D652" s="10">
        <v>11</v>
      </c>
      <c r="E652" s="10">
        <v>18</v>
      </c>
      <c r="F652" t="s">
        <v>89</v>
      </c>
      <c r="G652" t="s">
        <v>31</v>
      </c>
      <c r="H652" t="s">
        <v>26</v>
      </c>
      <c r="I652" t="s">
        <v>27</v>
      </c>
      <c r="J652" s="4">
        <v>12.05</v>
      </c>
      <c r="K652">
        <v>8</v>
      </c>
      <c r="L652">
        <v>12.05</v>
      </c>
      <c r="M652">
        <v>96.4</v>
      </c>
      <c r="N652" s="5">
        <v>4.8490945674044275</v>
      </c>
      <c r="O652" t="s">
        <v>1472</v>
      </c>
      <c r="P652" t="s">
        <v>340</v>
      </c>
      <c r="Q652" t="s">
        <v>24</v>
      </c>
    </row>
    <row r="653" spans="1:18" hidden="1" x14ac:dyDescent="0.25">
      <c r="A653" s="2" t="s">
        <v>726</v>
      </c>
      <c r="B653" s="3" t="str">
        <f t="shared" si="13"/>
        <v>18/11/7</v>
      </c>
      <c r="C653" s="10">
        <v>7</v>
      </c>
      <c r="D653" s="10">
        <v>11</v>
      </c>
      <c r="E653" s="10">
        <v>18</v>
      </c>
      <c r="F653" t="s">
        <v>397</v>
      </c>
      <c r="G653" t="s">
        <v>155</v>
      </c>
      <c r="H653" t="s">
        <v>131</v>
      </c>
      <c r="I653" t="s">
        <v>27</v>
      </c>
      <c r="J653" s="4">
        <v>40.5</v>
      </c>
      <c r="K653">
        <v>1</v>
      </c>
      <c r="L653">
        <v>40.5</v>
      </c>
      <c r="M653">
        <v>40.5</v>
      </c>
      <c r="N653" s="5">
        <v>2.0372233400402417</v>
      </c>
      <c r="O653" t="s">
        <v>1472</v>
      </c>
      <c r="P653" t="s">
        <v>340</v>
      </c>
      <c r="Q653" t="s">
        <v>24</v>
      </c>
    </row>
    <row r="654" spans="1:18" hidden="1" x14ac:dyDescent="0.25">
      <c r="A654" s="2" t="s">
        <v>726</v>
      </c>
      <c r="B654" s="3" t="str">
        <f t="shared" si="13"/>
        <v>18/11/7</v>
      </c>
      <c r="C654" s="10">
        <v>7</v>
      </c>
      <c r="D654" s="10">
        <v>11</v>
      </c>
      <c r="E654" s="10">
        <v>18</v>
      </c>
      <c r="F654" t="s">
        <v>221</v>
      </c>
      <c r="G654" t="s">
        <v>155</v>
      </c>
      <c r="H654" t="s">
        <v>131</v>
      </c>
      <c r="I654" t="s">
        <v>27</v>
      </c>
      <c r="J654" s="4">
        <v>56.1</v>
      </c>
      <c r="K654">
        <v>1</v>
      </c>
      <c r="L654">
        <v>56.1</v>
      </c>
      <c r="M654">
        <v>56.1</v>
      </c>
      <c r="N654" s="5">
        <v>2.8219315895372237</v>
      </c>
      <c r="O654" t="s">
        <v>1472</v>
      </c>
      <c r="P654" t="s">
        <v>340</v>
      </c>
      <c r="Q654" t="s">
        <v>24</v>
      </c>
    </row>
    <row r="655" spans="1:18" hidden="1" x14ac:dyDescent="0.25">
      <c r="A655" s="2" t="s">
        <v>726</v>
      </c>
      <c r="B655" s="3" t="str">
        <f t="shared" si="13"/>
        <v>18/11/7</v>
      </c>
      <c r="C655" s="10">
        <v>7</v>
      </c>
      <c r="D655" s="10">
        <v>11</v>
      </c>
      <c r="E655" s="10">
        <v>18</v>
      </c>
      <c r="F655" t="s">
        <v>782</v>
      </c>
      <c r="G655" t="s">
        <v>155</v>
      </c>
      <c r="H655" t="s">
        <v>131</v>
      </c>
      <c r="I655" t="s">
        <v>27</v>
      </c>
      <c r="J655" s="4">
        <v>45</v>
      </c>
      <c r="K655">
        <v>1</v>
      </c>
      <c r="L655">
        <v>45</v>
      </c>
      <c r="M655">
        <v>45</v>
      </c>
      <c r="N655" s="5">
        <v>2.2635814889336019</v>
      </c>
      <c r="O655" t="s">
        <v>1472</v>
      </c>
      <c r="P655" t="s">
        <v>340</v>
      </c>
      <c r="Q655" t="s">
        <v>24</v>
      </c>
    </row>
    <row r="656" spans="1:18" hidden="1" x14ac:dyDescent="0.25">
      <c r="A656" s="2" t="s">
        <v>726</v>
      </c>
      <c r="B656" s="3" t="str">
        <f t="shared" si="13"/>
        <v>18/11/7</v>
      </c>
      <c r="C656" s="10">
        <v>7</v>
      </c>
      <c r="D656" s="10">
        <v>11</v>
      </c>
      <c r="E656" s="10">
        <v>18</v>
      </c>
      <c r="F656" t="s">
        <v>155</v>
      </c>
      <c r="G656" t="s">
        <v>155</v>
      </c>
      <c r="H656" t="s">
        <v>131</v>
      </c>
      <c r="I656" t="s">
        <v>27</v>
      </c>
      <c r="J656" s="4">
        <v>45</v>
      </c>
      <c r="K656">
        <v>1</v>
      </c>
      <c r="L656">
        <v>45</v>
      </c>
      <c r="M656">
        <v>45</v>
      </c>
      <c r="N656" s="5">
        <v>2.2635814889336019</v>
      </c>
      <c r="O656" t="s">
        <v>1472</v>
      </c>
      <c r="P656" t="s">
        <v>340</v>
      </c>
      <c r="Q656" t="s">
        <v>24</v>
      </c>
    </row>
    <row r="657" spans="1:18" hidden="1" x14ac:dyDescent="0.25">
      <c r="A657" s="2" t="s">
        <v>726</v>
      </c>
      <c r="B657" s="3" t="str">
        <f t="shared" si="13"/>
        <v>18/11/7</v>
      </c>
      <c r="C657" s="10">
        <v>7</v>
      </c>
      <c r="D657" s="10">
        <v>11</v>
      </c>
      <c r="E657" s="10">
        <v>18</v>
      </c>
      <c r="F657" t="s">
        <v>60</v>
      </c>
      <c r="G657" t="s">
        <v>31</v>
      </c>
      <c r="H657" t="s">
        <v>26</v>
      </c>
      <c r="I657" t="s">
        <v>27</v>
      </c>
      <c r="J657" s="4">
        <v>7.45</v>
      </c>
      <c r="K657">
        <v>2</v>
      </c>
      <c r="L657">
        <v>7.45</v>
      </c>
      <c r="M657">
        <v>14.9</v>
      </c>
      <c r="N657" s="5">
        <v>0.74949698189134817</v>
      </c>
      <c r="O657" t="s">
        <v>1472</v>
      </c>
      <c r="P657" t="s">
        <v>340</v>
      </c>
      <c r="Q657" t="s">
        <v>24</v>
      </c>
    </row>
    <row r="658" spans="1:18" hidden="1" x14ac:dyDescent="0.25">
      <c r="A658" s="2" t="s">
        <v>726</v>
      </c>
      <c r="B658" s="3" t="str">
        <f t="shared" si="13"/>
        <v>18/11/8</v>
      </c>
      <c r="C658" s="10">
        <v>8</v>
      </c>
      <c r="D658" s="10">
        <v>11</v>
      </c>
      <c r="E658" s="10">
        <v>18</v>
      </c>
      <c r="F658" t="s">
        <v>820</v>
      </c>
      <c r="I658" t="s">
        <v>431</v>
      </c>
      <c r="J658" s="4">
        <v>190</v>
      </c>
      <c r="K658">
        <v>1</v>
      </c>
      <c r="L658">
        <v>190</v>
      </c>
      <c r="M658" s="8">
        <v>190</v>
      </c>
      <c r="N658" s="5">
        <v>9.557344064386319</v>
      </c>
      <c r="O658" t="s">
        <v>39</v>
      </c>
      <c r="Q658" t="s">
        <v>24</v>
      </c>
    </row>
    <row r="659" spans="1:18" hidden="1" x14ac:dyDescent="0.25">
      <c r="A659" s="2" t="s">
        <v>726</v>
      </c>
      <c r="B659" s="3" t="str">
        <f t="shared" si="13"/>
        <v>18/11/8</v>
      </c>
      <c r="C659" s="10">
        <v>8</v>
      </c>
      <c r="D659" s="10">
        <v>11</v>
      </c>
      <c r="E659" s="10">
        <v>18</v>
      </c>
      <c r="F659" t="s">
        <v>821</v>
      </c>
      <c r="I659" t="s">
        <v>431</v>
      </c>
      <c r="J659" s="4">
        <v>229</v>
      </c>
      <c r="K659">
        <v>1</v>
      </c>
      <c r="L659">
        <v>229</v>
      </c>
      <c r="M659" s="8">
        <v>229</v>
      </c>
      <c r="N659" s="5">
        <v>11.519114688128774</v>
      </c>
      <c r="O659" t="s">
        <v>39</v>
      </c>
      <c r="Q659" t="s">
        <v>24</v>
      </c>
    </row>
    <row r="660" spans="1:18" hidden="1" x14ac:dyDescent="0.25">
      <c r="A660" s="2" t="s">
        <v>726</v>
      </c>
      <c r="B660" s="3" t="str">
        <f t="shared" si="13"/>
        <v>18/11/8</v>
      </c>
      <c r="C660" s="10">
        <v>8</v>
      </c>
      <c r="D660" s="10">
        <v>11</v>
      </c>
      <c r="E660" s="10">
        <v>18</v>
      </c>
      <c r="F660" t="s">
        <v>374</v>
      </c>
      <c r="I660" t="s">
        <v>82</v>
      </c>
      <c r="J660" s="4">
        <v>144</v>
      </c>
      <c r="K660">
        <v>1</v>
      </c>
      <c r="L660">
        <v>144</v>
      </c>
      <c r="M660">
        <v>144</v>
      </c>
      <c r="N660" s="5">
        <v>7.2434607645875255</v>
      </c>
      <c r="O660" t="s">
        <v>39</v>
      </c>
      <c r="P660" t="s">
        <v>340</v>
      </c>
      <c r="Q660" t="s">
        <v>24</v>
      </c>
    </row>
    <row r="661" spans="1:18" hidden="1" x14ac:dyDescent="0.25">
      <c r="A661" s="2" t="s">
        <v>726</v>
      </c>
      <c r="B661" s="3" t="str">
        <f t="shared" si="13"/>
        <v>18/11/8</v>
      </c>
      <c r="C661" s="10">
        <v>8</v>
      </c>
      <c r="D661" s="10">
        <v>11</v>
      </c>
      <c r="E661" s="10">
        <v>18</v>
      </c>
      <c r="F661" t="s">
        <v>822</v>
      </c>
      <c r="G661" t="s">
        <v>155</v>
      </c>
      <c r="H661" t="s">
        <v>131</v>
      </c>
      <c r="I661" t="s">
        <v>27</v>
      </c>
      <c r="J661" s="4">
        <v>45</v>
      </c>
      <c r="K661">
        <v>1</v>
      </c>
      <c r="L661">
        <v>45</v>
      </c>
      <c r="M661">
        <v>45</v>
      </c>
      <c r="N661" s="5">
        <v>2.2635814889336019</v>
      </c>
      <c r="O661" t="s">
        <v>100</v>
      </c>
      <c r="P661" t="s">
        <v>340</v>
      </c>
      <c r="Q661" t="s">
        <v>24</v>
      </c>
    </row>
    <row r="662" spans="1:18" hidden="1" x14ac:dyDescent="0.25">
      <c r="A662" s="2" t="s">
        <v>726</v>
      </c>
      <c r="B662" s="3" t="str">
        <f t="shared" si="13"/>
        <v>18/11/8</v>
      </c>
      <c r="C662" s="10">
        <v>8</v>
      </c>
      <c r="D662" s="10">
        <v>11</v>
      </c>
      <c r="E662" s="10">
        <v>18</v>
      </c>
      <c r="F662" t="s">
        <v>369</v>
      </c>
      <c r="G662" t="s">
        <v>210</v>
      </c>
      <c r="H662" t="s">
        <v>131</v>
      </c>
      <c r="I662" t="s">
        <v>27</v>
      </c>
      <c r="J662" s="4">
        <v>64</v>
      </c>
      <c r="K662">
        <v>1</v>
      </c>
      <c r="L662">
        <v>64</v>
      </c>
      <c r="M662">
        <v>64</v>
      </c>
      <c r="N662" s="5">
        <v>3.2193158953722336</v>
      </c>
      <c r="O662" t="s">
        <v>100</v>
      </c>
      <c r="P662" t="s">
        <v>340</v>
      </c>
      <c r="Q662" t="s">
        <v>24</v>
      </c>
    </row>
    <row r="663" spans="1:18" hidden="1" x14ac:dyDescent="0.25">
      <c r="A663" s="2" t="s">
        <v>726</v>
      </c>
      <c r="B663" s="3" t="str">
        <f t="shared" si="13"/>
        <v>18/11/8</v>
      </c>
      <c r="C663" s="10">
        <v>8</v>
      </c>
      <c r="D663" s="10">
        <v>11</v>
      </c>
      <c r="E663" s="10">
        <v>18</v>
      </c>
      <c r="F663" t="s">
        <v>372</v>
      </c>
      <c r="G663" t="s">
        <v>373</v>
      </c>
      <c r="H663" t="s">
        <v>65</v>
      </c>
      <c r="I663" t="s">
        <v>27</v>
      </c>
      <c r="J663" s="4">
        <v>9</v>
      </c>
      <c r="K663">
        <v>2</v>
      </c>
      <c r="L663">
        <v>9</v>
      </c>
      <c r="M663">
        <v>18</v>
      </c>
      <c r="N663" s="5">
        <v>0.90543259557344069</v>
      </c>
      <c r="O663" t="s">
        <v>100</v>
      </c>
      <c r="P663" t="s">
        <v>340</v>
      </c>
      <c r="Q663" t="s">
        <v>24</v>
      </c>
    </row>
    <row r="664" spans="1:18" hidden="1" x14ac:dyDescent="0.25">
      <c r="A664" s="2" t="s">
        <v>726</v>
      </c>
      <c r="B664" s="3" t="str">
        <f t="shared" si="13"/>
        <v>18/11/8</v>
      </c>
      <c r="C664" s="10">
        <v>8</v>
      </c>
      <c r="D664" s="10">
        <v>11</v>
      </c>
      <c r="E664" s="10">
        <v>18</v>
      </c>
      <c r="F664" t="s">
        <v>98</v>
      </c>
      <c r="H664" t="s">
        <v>26</v>
      </c>
      <c r="I664" t="s">
        <v>27</v>
      </c>
      <c r="J664" s="4">
        <v>84.6</v>
      </c>
      <c r="K664">
        <v>1</v>
      </c>
      <c r="L664">
        <v>84.6</v>
      </c>
      <c r="M664">
        <v>84.6</v>
      </c>
      <c r="N664" s="5">
        <v>4.2555331991951713</v>
      </c>
      <c r="O664" t="s">
        <v>100</v>
      </c>
      <c r="P664" t="s">
        <v>340</v>
      </c>
      <c r="Q664" t="s">
        <v>24</v>
      </c>
      <c r="R664" t="s">
        <v>1257</v>
      </c>
    </row>
    <row r="665" spans="1:18" hidden="1" x14ac:dyDescent="0.25">
      <c r="A665" s="2" t="s">
        <v>726</v>
      </c>
      <c r="B665" s="3" t="str">
        <f t="shared" si="13"/>
        <v>18/11/8</v>
      </c>
      <c r="C665" s="10">
        <v>8</v>
      </c>
      <c r="D665" s="10">
        <v>11</v>
      </c>
      <c r="E665" s="10">
        <v>18</v>
      </c>
      <c r="F665" t="s">
        <v>823</v>
      </c>
      <c r="G665" t="s">
        <v>155</v>
      </c>
      <c r="H665" t="s">
        <v>131</v>
      </c>
      <c r="I665" t="s">
        <v>27</v>
      </c>
      <c r="J665" s="4">
        <v>121.25</v>
      </c>
      <c r="K665">
        <v>1</v>
      </c>
      <c r="L665">
        <v>121.25</v>
      </c>
      <c r="M665">
        <v>121.25</v>
      </c>
      <c r="N665" s="5">
        <v>6.0990945674044266</v>
      </c>
      <c r="O665" t="s">
        <v>100</v>
      </c>
      <c r="P665" t="s">
        <v>340</v>
      </c>
      <c r="Q665" t="s">
        <v>24</v>
      </c>
    </row>
    <row r="666" spans="1:18" hidden="1" x14ac:dyDescent="0.25">
      <c r="A666" s="2" t="s">
        <v>726</v>
      </c>
      <c r="B666" s="3" t="str">
        <f t="shared" si="13"/>
        <v>18/11/8</v>
      </c>
      <c r="C666" s="10">
        <v>8</v>
      </c>
      <c r="D666" s="10">
        <v>11</v>
      </c>
      <c r="E666" s="10">
        <v>18</v>
      </c>
      <c r="F666" t="s">
        <v>824</v>
      </c>
      <c r="G666" t="s">
        <v>155</v>
      </c>
      <c r="H666" t="s">
        <v>131</v>
      </c>
      <c r="I666" t="s">
        <v>27</v>
      </c>
      <c r="J666" s="4">
        <v>53.2</v>
      </c>
      <c r="K666">
        <v>1</v>
      </c>
      <c r="L666">
        <v>53.2</v>
      </c>
      <c r="M666">
        <v>53.2</v>
      </c>
      <c r="N666" s="5">
        <v>2.6760563380281694</v>
      </c>
      <c r="O666" t="s">
        <v>100</v>
      </c>
      <c r="P666" t="s">
        <v>340</v>
      </c>
      <c r="Q666" t="s">
        <v>24</v>
      </c>
    </row>
    <row r="667" spans="1:18" hidden="1" x14ac:dyDescent="0.25">
      <c r="A667" s="2" t="s">
        <v>726</v>
      </c>
      <c r="B667" s="3" t="str">
        <f t="shared" si="13"/>
        <v>18/11/8</v>
      </c>
      <c r="C667" s="10">
        <v>8</v>
      </c>
      <c r="D667" s="10">
        <v>11</v>
      </c>
      <c r="E667" s="10">
        <v>18</v>
      </c>
      <c r="F667" t="s">
        <v>89</v>
      </c>
      <c r="G667" t="s">
        <v>31</v>
      </c>
      <c r="H667" t="s">
        <v>26</v>
      </c>
      <c r="I667" t="s">
        <v>27</v>
      </c>
      <c r="J667" s="4">
        <v>5.2</v>
      </c>
      <c r="K667">
        <v>2</v>
      </c>
      <c r="L667">
        <v>5.2</v>
      </c>
      <c r="M667">
        <v>10.4</v>
      </c>
      <c r="N667" s="5">
        <v>0.52313883299798802</v>
      </c>
      <c r="O667" t="s">
        <v>100</v>
      </c>
      <c r="P667" t="s">
        <v>340</v>
      </c>
      <c r="Q667" t="s">
        <v>24</v>
      </c>
    </row>
    <row r="668" spans="1:18" hidden="1" x14ac:dyDescent="0.25">
      <c r="A668" s="2" t="s">
        <v>726</v>
      </c>
      <c r="B668" s="3" t="str">
        <f t="shared" si="13"/>
        <v>18/11/8</v>
      </c>
      <c r="C668" s="10">
        <v>8</v>
      </c>
      <c r="D668" s="10">
        <v>11</v>
      </c>
      <c r="E668" s="10">
        <v>18</v>
      </c>
      <c r="F668" t="s">
        <v>224</v>
      </c>
      <c r="G668" t="s">
        <v>224</v>
      </c>
      <c r="H668" t="s">
        <v>26</v>
      </c>
      <c r="I668" t="s">
        <v>27</v>
      </c>
      <c r="J668" s="4">
        <v>28.6</v>
      </c>
      <c r="K668">
        <v>1</v>
      </c>
      <c r="L668">
        <v>28.6</v>
      </c>
      <c r="M668">
        <v>28.6</v>
      </c>
      <c r="N668" s="5">
        <v>1.438631790744467</v>
      </c>
      <c r="O668" t="s">
        <v>100</v>
      </c>
      <c r="P668" t="s">
        <v>340</v>
      </c>
      <c r="Q668" t="s">
        <v>24</v>
      </c>
    </row>
    <row r="669" spans="1:18" hidden="1" x14ac:dyDescent="0.25">
      <c r="A669" s="2" t="s">
        <v>726</v>
      </c>
      <c r="B669" s="3" t="str">
        <f t="shared" si="13"/>
        <v>18/11/8</v>
      </c>
      <c r="C669" s="10">
        <v>8</v>
      </c>
      <c r="D669" s="10">
        <v>11</v>
      </c>
      <c r="E669" s="10">
        <v>18</v>
      </c>
      <c r="F669" t="s">
        <v>711</v>
      </c>
      <c r="G669" t="s">
        <v>708</v>
      </c>
      <c r="H669" t="s">
        <v>131</v>
      </c>
      <c r="I669" t="s">
        <v>27</v>
      </c>
      <c r="J669" s="4">
        <v>128</v>
      </c>
      <c r="K669">
        <v>0.19500000000000001</v>
      </c>
      <c r="L669">
        <v>128</v>
      </c>
      <c r="M669">
        <v>24.96</v>
      </c>
      <c r="N669" s="5">
        <v>1.255533199195171</v>
      </c>
      <c r="O669" t="s">
        <v>100</v>
      </c>
      <c r="P669" t="s">
        <v>340</v>
      </c>
      <c r="Q669" t="s">
        <v>24</v>
      </c>
    </row>
    <row r="670" spans="1:18" hidden="1" x14ac:dyDescent="0.25">
      <c r="A670" s="2" t="s">
        <v>726</v>
      </c>
      <c r="B670" s="3" t="str">
        <f t="shared" si="13"/>
        <v>18/11/8</v>
      </c>
      <c r="C670" s="10">
        <v>8</v>
      </c>
      <c r="D670" s="10">
        <v>11</v>
      </c>
      <c r="E670" s="10">
        <v>18</v>
      </c>
      <c r="F670" t="s">
        <v>825</v>
      </c>
      <c r="G670" t="s">
        <v>708</v>
      </c>
      <c r="H670" t="s">
        <v>131</v>
      </c>
      <c r="I670" t="s">
        <v>27</v>
      </c>
      <c r="J670" s="4">
        <v>154</v>
      </c>
      <c r="K670">
        <v>0.20499999999999999</v>
      </c>
      <c r="L670">
        <v>154</v>
      </c>
      <c r="M670">
        <v>31.569999999999997</v>
      </c>
      <c r="N670" s="5">
        <v>1.5880281690140845</v>
      </c>
      <c r="O670" t="s">
        <v>100</v>
      </c>
      <c r="P670" t="s">
        <v>340</v>
      </c>
      <c r="Q670" t="s">
        <v>24</v>
      </c>
    </row>
    <row r="671" spans="1:18" hidden="1" x14ac:dyDescent="0.25">
      <c r="A671" s="2" t="s">
        <v>726</v>
      </c>
      <c r="B671" s="3" t="str">
        <f t="shared" si="13"/>
        <v>18/11/8</v>
      </c>
      <c r="C671" s="10">
        <v>8</v>
      </c>
      <c r="D671" s="10">
        <v>11</v>
      </c>
      <c r="E671" s="10">
        <v>18</v>
      </c>
      <c r="F671" t="s">
        <v>959</v>
      </c>
      <c r="G671" t="s">
        <v>155</v>
      </c>
      <c r="H671" t="s">
        <v>131</v>
      </c>
      <c r="I671" t="s">
        <v>27</v>
      </c>
      <c r="J671" s="4">
        <v>37.5</v>
      </c>
      <c r="K671">
        <v>1</v>
      </c>
      <c r="L671">
        <v>37.5</v>
      </c>
      <c r="M671">
        <v>37.5</v>
      </c>
      <c r="N671" s="5">
        <v>1.8863179074446681</v>
      </c>
      <c r="O671" t="s">
        <v>100</v>
      </c>
      <c r="P671" t="s">
        <v>340</v>
      </c>
      <c r="Q671" t="s">
        <v>24</v>
      </c>
    </row>
    <row r="672" spans="1:18" hidden="1" x14ac:dyDescent="0.25">
      <c r="A672" s="2" t="s">
        <v>726</v>
      </c>
      <c r="B672" s="3" t="str">
        <f t="shared" si="13"/>
        <v>18/11/8</v>
      </c>
      <c r="C672" s="10">
        <v>8</v>
      </c>
      <c r="D672" s="10">
        <v>11</v>
      </c>
      <c r="E672" s="10">
        <v>18</v>
      </c>
      <c r="F672" t="s">
        <v>196</v>
      </c>
      <c r="G672" t="s">
        <v>155</v>
      </c>
      <c r="H672" t="s">
        <v>131</v>
      </c>
      <c r="I672" t="s">
        <v>27</v>
      </c>
      <c r="J672" s="4">
        <v>25</v>
      </c>
      <c r="K672">
        <v>1</v>
      </c>
      <c r="L672">
        <v>25</v>
      </c>
      <c r="M672">
        <v>25</v>
      </c>
      <c r="N672" s="5">
        <v>1.2575452716297788</v>
      </c>
      <c r="O672" t="s">
        <v>100</v>
      </c>
      <c r="P672" t="s">
        <v>340</v>
      </c>
      <c r="Q672" t="s">
        <v>24</v>
      </c>
    </row>
    <row r="673" spans="1:17" hidden="1" x14ac:dyDescent="0.25">
      <c r="A673" s="2" t="s">
        <v>726</v>
      </c>
      <c r="B673" s="3" t="str">
        <f t="shared" si="13"/>
        <v>18/11/8</v>
      </c>
      <c r="C673" s="10">
        <v>8</v>
      </c>
      <c r="D673" s="10">
        <v>11</v>
      </c>
      <c r="E673" s="10">
        <v>18</v>
      </c>
      <c r="F673" t="s">
        <v>40</v>
      </c>
      <c r="H673" t="s">
        <v>40</v>
      </c>
      <c r="I673" t="s">
        <v>27</v>
      </c>
      <c r="J673" s="4">
        <v>15.6</v>
      </c>
      <c r="K673">
        <v>1</v>
      </c>
      <c r="L673">
        <v>15.6</v>
      </c>
      <c r="M673">
        <v>15.6</v>
      </c>
      <c r="N673" s="5">
        <v>0.78470824949698192</v>
      </c>
      <c r="O673" t="s">
        <v>100</v>
      </c>
      <c r="P673" t="s">
        <v>340</v>
      </c>
      <c r="Q673" t="s">
        <v>24</v>
      </c>
    </row>
    <row r="674" spans="1:17" hidden="1" x14ac:dyDescent="0.25">
      <c r="A674" s="2" t="s">
        <v>726</v>
      </c>
      <c r="B674" s="3" t="str">
        <f t="shared" si="13"/>
        <v>18/11/8</v>
      </c>
      <c r="C674" s="10">
        <v>8</v>
      </c>
      <c r="D674" s="10">
        <v>11</v>
      </c>
      <c r="E674" s="10">
        <v>18</v>
      </c>
      <c r="F674" t="s">
        <v>146</v>
      </c>
      <c r="H674" t="s">
        <v>49</v>
      </c>
      <c r="I674" t="s">
        <v>50</v>
      </c>
      <c r="J674" s="4">
        <v>0.75</v>
      </c>
      <c r="K674">
        <v>1</v>
      </c>
      <c r="L674">
        <v>0.75</v>
      </c>
      <c r="M674" s="8">
        <v>0.75</v>
      </c>
      <c r="N674" s="5">
        <v>3.7726358148893364E-2</v>
      </c>
      <c r="O674" t="s">
        <v>100</v>
      </c>
      <c r="P674" t="s">
        <v>340</v>
      </c>
      <c r="Q674" t="s">
        <v>24</v>
      </c>
    </row>
    <row r="675" spans="1:17" hidden="1" x14ac:dyDescent="0.25">
      <c r="A675" s="9" t="s">
        <v>249</v>
      </c>
      <c r="B675" s="3" t="str">
        <f t="shared" si="13"/>
        <v>18/12/1</v>
      </c>
      <c r="C675" s="10">
        <v>1</v>
      </c>
      <c r="D675" s="10">
        <v>12</v>
      </c>
      <c r="E675" s="10">
        <v>18</v>
      </c>
      <c r="F675" t="s">
        <v>60</v>
      </c>
      <c r="G675" t="s">
        <v>31</v>
      </c>
      <c r="H675" t="s">
        <v>26</v>
      </c>
      <c r="I675" t="s">
        <v>27</v>
      </c>
      <c r="J675" s="4">
        <v>13.6</v>
      </c>
      <c r="K675">
        <v>1</v>
      </c>
      <c r="L675">
        <v>13.6</v>
      </c>
      <c r="M675">
        <v>13.6</v>
      </c>
      <c r="N675" s="5">
        <v>0.68410462776659964</v>
      </c>
      <c r="O675" t="s">
        <v>826</v>
      </c>
      <c r="P675" t="s">
        <v>340</v>
      </c>
      <c r="Q675" s="10" t="s">
        <v>24</v>
      </c>
    </row>
    <row r="676" spans="1:17" hidden="1" x14ac:dyDescent="0.25">
      <c r="A676" s="9" t="s">
        <v>249</v>
      </c>
      <c r="B676" s="3" t="str">
        <f t="shared" si="13"/>
        <v>18/12/1</v>
      </c>
      <c r="C676" s="10">
        <v>1</v>
      </c>
      <c r="D676" s="10">
        <v>12</v>
      </c>
      <c r="E676" s="10">
        <v>18</v>
      </c>
      <c r="F676" t="s">
        <v>586</v>
      </c>
      <c r="G676" t="s">
        <v>31</v>
      </c>
      <c r="H676" t="s">
        <v>26</v>
      </c>
      <c r="I676" t="s">
        <v>27</v>
      </c>
      <c r="J676" s="4">
        <v>4.75</v>
      </c>
      <c r="K676">
        <v>2</v>
      </c>
      <c r="L676">
        <v>4.75</v>
      </c>
      <c r="M676">
        <v>9.5</v>
      </c>
      <c r="N676" s="5">
        <v>0.47786720321931592</v>
      </c>
      <c r="O676" t="s">
        <v>826</v>
      </c>
      <c r="P676" t="s">
        <v>340</v>
      </c>
      <c r="Q676" s="10" t="s">
        <v>24</v>
      </c>
    </row>
    <row r="677" spans="1:17" hidden="1" x14ac:dyDescent="0.25">
      <c r="A677" s="9" t="s">
        <v>249</v>
      </c>
      <c r="B677" s="3" t="str">
        <f t="shared" si="13"/>
        <v>18/12/1</v>
      </c>
      <c r="C677" s="10">
        <v>1</v>
      </c>
      <c r="D677" s="10">
        <v>12</v>
      </c>
      <c r="E677" s="10">
        <v>18</v>
      </c>
      <c r="F677" t="s">
        <v>676</v>
      </c>
      <c r="G677" t="s">
        <v>39</v>
      </c>
      <c r="H677" t="s">
        <v>131</v>
      </c>
      <c r="I677" t="s">
        <v>27</v>
      </c>
      <c r="J677" s="4">
        <v>4.8499999999999996</v>
      </c>
      <c r="K677">
        <v>2</v>
      </c>
      <c r="L677">
        <v>4.8499999999999996</v>
      </c>
      <c r="M677">
        <v>9.6999999999999993</v>
      </c>
      <c r="N677" s="5">
        <v>0.4879275653923541</v>
      </c>
      <c r="O677" t="s">
        <v>826</v>
      </c>
      <c r="P677" t="s">
        <v>340</v>
      </c>
      <c r="Q677" s="10" t="s">
        <v>24</v>
      </c>
    </row>
    <row r="678" spans="1:17" hidden="1" x14ac:dyDescent="0.25">
      <c r="A678" s="9" t="s">
        <v>249</v>
      </c>
      <c r="B678" s="3" t="str">
        <f t="shared" si="13"/>
        <v>18/12/1</v>
      </c>
      <c r="C678" s="10">
        <v>1</v>
      </c>
      <c r="D678" s="10">
        <v>12</v>
      </c>
      <c r="E678" s="10">
        <v>18</v>
      </c>
      <c r="F678" t="s">
        <v>827</v>
      </c>
      <c r="G678" t="s">
        <v>708</v>
      </c>
      <c r="H678" t="s">
        <v>131</v>
      </c>
      <c r="I678" t="s">
        <v>27</v>
      </c>
      <c r="J678" s="4">
        <v>60</v>
      </c>
      <c r="K678">
        <v>1</v>
      </c>
      <c r="L678">
        <v>60</v>
      </c>
      <c r="M678">
        <v>60</v>
      </c>
      <c r="N678" s="5">
        <v>3.018108651911469</v>
      </c>
      <c r="O678" t="s">
        <v>100</v>
      </c>
      <c r="P678" t="s">
        <v>340</v>
      </c>
      <c r="Q678" s="10" t="s">
        <v>24</v>
      </c>
    </row>
    <row r="679" spans="1:17" hidden="1" x14ac:dyDescent="0.25">
      <c r="A679" s="9" t="s">
        <v>249</v>
      </c>
      <c r="B679" s="3" t="str">
        <f t="shared" si="13"/>
        <v>18/12/1</v>
      </c>
      <c r="C679" s="10">
        <v>1</v>
      </c>
      <c r="D679" s="10">
        <v>12</v>
      </c>
      <c r="E679" s="10">
        <v>18</v>
      </c>
      <c r="F679" t="s">
        <v>118</v>
      </c>
      <c r="H679" t="s">
        <v>467</v>
      </c>
      <c r="I679" t="s">
        <v>27</v>
      </c>
      <c r="J679" s="4">
        <v>10</v>
      </c>
      <c r="K679">
        <v>1</v>
      </c>
      <c r="L679">
        <v>10</v>
      </c>
      <c r="M679">
        <v>10</v>
      </c>
      <c r="N679" s="5">
        <v>0.50301810865191154</v>
      </c>
      <c r="O679" t="s">
        <v>100</v>
      </c>
      <c r="P679" t="s">
        <v>340</v>
      </c>
      <c r="Q679" s="10" t="s">
        <v>24</v>
      </c>
    </row>
    <row r="680" spans="1:17" hidden="1" x14ac:dyDescent="0.25">
      <c r="A680" s="9" t="s">
        <v>249</v>
      </c>
      <c r="B680" s="3" t="str">
        <f t="shared" si="13"/>
        <v>18/12/1</v>
      </c>
      <c r="C680" s="10">
        <v>1</v>
      </c>
      <c r="D680" s="10">
        <v>12</v>
      </c>
      <c r="E680" s="10">
        <v>18</v>
      </c>
      <c r="F680" t="s">
        <v>802</v>
      </c>
      <c r="G680" t="s">
        <v>708</v>
      </c>
      <c r="H680" t="s">
        <v>131</v>
      </c>
      <c r="I680" t="s">
        <v>27</v>
      </c>
      <c r="J680" s="4">
        <v>128</v>
      </c>
      <c r="K680">
        <v>0.35499999999999998</v>
      </c>
      <c r="L680">
        <v>128</v>
      </c>
      <c r="M680">
        <v>45.44</v>
      </c>
      <c r="N680" s="5">
        <v>2.2857142857142856</v>
      </c>
      <c r="O680" t="s">
        <v>100</v>
      </c>
      <c r="P680" t="s">
        <v>340</v>
      </c>
      <c r="Q680" s="10" t="s">
        <v>24</v>
      </c>
    </row>
    <row r="681" spans="1:17" hidden="1" x14ac:dyDescent="0.25">
      <c r="A681" s="9" t="s">
        <v>249</v>
      </c>
      <c r="B681" s="3" t="str">
        <f t="shared" si="13"/>
        <v>18/12/10</v>
      </c>
      <c r="C681" s="10">
        <v>10</v>
      </c>
      <c r="D681" s="10">
        <v>12</v>
      </c>
      <c r="E681" s="10">
        <v>18</v>
      </c>
      <c r="F681" t="s">
        <v>828</v>
      </c>
      <c r="G681" t="s">
        <v>708</v>
      </c>
      <c r="H681" t="s">
        <v>131</v>
      </c>
      <c r="I681" t="s">
        <v>27</v>
      </c>
      <c r="J681" s="4">
        <v>28.5</v>
      </c>
      <c r="K681">
        <v>1</v>
      </c>
      <c r="L681">
        <v>28.5</v>
      </c>
      <c r="M681">
        <v>28.5</v>
      </c>
      <c r="N681" s="5">
        <v>1.4336016096579478</v>
      </c>
      <c r="O681" t="s">
        <v>101</v>
      </c>
      <c r="P681" t="s">
        <v>340</v>
      </c>
      <c r="Q681" s="10" t="s">
        <v>24</v>
      </c>
    </row>
    <row r="682" spans="1:17" hidden="1" x14ac:dyDescent="0.25">
      <c r="A682" s="9" t="s">
        <v>249</v>
      </c>
      <c r="B682" s="3" t="str">
        <f t="shared" si="13"/>
        <v>18/12/10</v>
      </c>
      <c r="C682" s="10">
        <v>10</v>
      </c>
      <c r="D682" s="10">
        <v>12</v>
      </c>
      <c r="E682" s="10">
        <v>18</v>
      </c>
      <c r="F682" t="s">
        <v>166</v>
      </c>
      <c r="G682" t="s">
        <v>77</v>
      </c>
      <c r="H682" t="s">
        <v>26</v>
      </c>
      <c r="I682" t="s">
        <v>27</v>
      </c>
      <c r="J682" s="4">
        <v>19</v>
      </c>
      <c r="K682">
        <v>1</v>
      </c>
      <c r="L682">
        <v>19</v>
      </c>
      <c r="M682">
        <v>19</v>
      </c>
      <c r="N682" s="5">
        <v>0.95573440643863183</v>
      </c>
      <c r="O682" t="s">
        <v>101</v>
      </c>
      <c r="P682" t="s">
        <v>340</v>
      </c>
      <c r="Q682" s="10" t="s">
        <v>24</v>
      </c>
    </row>
    <row r="683" spans="1:17" hidden="1" x14ac:dyDescent="0.25">
      <c r="A683" s="9" t="s">
        <v>249</v>
      </c>
      <c r="B683" s="3" t="str">
        <f t="shared" si="13"/>
        <v>18/12/10</v>
      </c>
      <c r="C683" s="10">
        <v>10</v>
      </c>
      <c r="D683" s="10">
        <v>12</v>
      </c>
      <c r="E683" s="10">
        <v>18</v>
      </c>
      <c r="F683" t="s">
        <v>770</v>
      </c>
      <c r="G683" t="s">
        <v>31</v>
      </c>
      <c r="H683" t="s">
        <v>26</v>
      </c>
      <c r="I683" t="s">
        <v>27</v>
      </c>
      <c r="J683" s="4">
        <v>7.8</v>
      </c>
      <c r="K683">
        <v>2</v>
      </c>
      <c r="L683">
        <v>7.8</v>
      </c>
      <c r="M683">
        <v>15.6</v>
      </c>
      <c r="N683" s="5">
        <v>0.78470824949698192</v>
      </c>
      <c r="O683" t="s">
        <v>101</v>
      </c>
      <c r="P683" t="s">
        <v>340</v>
      </c>
      <c r="Q683" s="10" t="s">
        <v>24</v>
      </c>
    </row>
    <row r="684" spans="1:17" hidden="1" x14ac:dyDescent="0.25">
      <c r="A684" s="9" t="s">
        <v>249</v>
      </c>
      <c r="B684" s="3" t="str">
        <f t="shared" si="13"/>
        <v>18/12/11</v>
      </c>
      <c r="C684" s="10">
        <v>11</v>
      </c>
      <c r="D684" s="10">
        <v>12</v>
      </c>
      <c r="E684" s="10">
        <v>18</v>
      </c>
      <c r="F684" t="s">
        <v>770</v>
      </c>
      <c r="G684" t="s">
        <v>31</v>
      </c>
      <c r="H684" t="s">
        <v>26</v>
      </c>
      <c r="I684" t="s">
        <v>27</v>
      </c>
      <c r="J684" s="4">
        <v>7.75</v>
      </c>
      <c r="K684">
        <v>3</v>
      </c>
      <c r="L684">
        <v>7.75</v>
      </c>
      <c r="M684">
        <v>23.25</v>
      </c>
      <c r="N684" s="5">
        <v>1.1695171026156943</v>
      </c>
      <c r="O684" t="s">
        <v>101</v>
      </c>
      <c r="P684" t="s">
        <v>340</v>
      </c>
      <c r="Q684" s="10" t="s">
        <v>24</v>
      </c>
    </row>
    <row r="685" spans="1:17" hidden="1" x14ac:dyDescent="0.25">
      <c r="A685" s="9" t="s">
        <v>249</v>
      </c>
      <c r="B685" s="3" t="str">
        <f t="shared" si="13"/>
        <v>18/12/11</v>
      </c>
      <c r="C685" s="10">
        <v>11</v>
      </c>
      <c r="D685" s="10">
        <v>12</v>
      </c>
      <c r="E685" s="10">
        <v>18</v>
      </c>
      <c r="F685" t="s">
        <v>166</v>
      </c>
      <c r="G685" t="s">
        <v>77</v>
      </c>
      <c r="H685" t="s">
        <v>26</v>
      </c>
      <c r="I685" t="s">
        <v>27</v>
      </c>
      <c r="J685" s="4">
        <v>19</v>
      </c>
      <c r="K685">
        <v>1</v>
      </c>
      <c r="L685">
        <v>19</v>
      </c>
      <c r="M685">
        <v>19</v>
      </c>
      <c r="N685" s="5">
        <v>0.95573440643863183</v>
      </c>
      <c r="O685" t="s">
        <v>101</v>
      </c>
      <c r="P685" t="s">
        <v>340</v>
      </c>
      <c r="Q685" s="10" t="s">
        <v>24</v>
      </c>
    </row>
    <row r="686" spans="1:17" hidden="1" x14ac:dyDescent="0.25">
      <c r="A686" s="9" t="s">
        <v>249</v>
      </c>
      <c r="B686" s="3" t="str">
        <f t="shared" si="13"/>
        <v>18/12/11</v>
      </c>
      <c r="C686" s="10">
        <v>11</v>
      </c>
      <c r="D686" s="10">
        <v>12</v>
      </c>
      <c r="E686" s="10">
        <v>18</v>
      </c>
      <c r="F686" t="s">
        <v>676</v>
      </c>
      <c r="G686" t="s">
        <v>39</v>
      </c>
      <c r="H686" t="s">
        <v>131</v>
      </c>
      <c r="I686" t="s">
        <v>27</v>
      </c>
      <c r="J686" s="4">
        <v>5.15</v>
      </c>
      <c r="K686">
        <v>2</v>
      </c>
      <c r="L686">
        <v>5.15</v>
      </c>
      <c r="M686">
        <v>10.3</v>
      </c>
      <c r="N686" s="5">
        <v>0.51810865191146882</v>
      </c>
      <c r="O686" t="s">
        <v>101</v>
      </c>
      <c r="P686" t="s">
        <v>340</v>
      </c>
      <c r="Q686" s="10" t="s">
        <v>24</v>
      </c>
    </row>
    <row r="687" spans="1:17" hidden="1" x14ac:dyDescent="0.25">
      <c r="A687" s="9" t="s">
        <v>249</v>
      </c>
      <c r="B687" s="3" t="str">
        <f t="shared" si="13"/>
        <v>18/12/13</v>
      </c>
      <c r="C687" s="10">
        <v>13</v>
      </c>
      <c r="D687" s="10">
        <v>12</v>
      </c>
      <c r="E687" s="10">
        <v>18</v>
      </c>
      <c r="F687" t="s">
        <v>770</v>
      </c>
      <c r="G687" t="s">
        <v>31</v>
      </c>
      <c r="H687" t="s">
        <v>26</v>
      </c>
      <c r="I687" t="s">
        <v>27</v>
      </c>
      <c r="J687" s="4">
        <v>7.75</v>
      </c>
      <c r="K687">
        <v>3</v>
      </c>
      <c r="L687">
        <v>7.75</v>
      </c>
      <c r="M687">
        <v>23.25</v>
      </c>
      <c r="N687" s="5">
        <v>1.1695171026156943</v>
      </c>
      <c r="O687" t="s">
        <v>101</v>
      </c>
      <c r="P687" t="s">
        <v>340</v>
      </c>
      <c r="Q687" s="10" t="s">
        <v>24</v>
      </c>
    </row>
    <row r="688" spans="1:17" hidden="1" x14ac:dyDescent="0.25">
      <c r="A688" s="9" t="s">
        <v>249</v>
      </c>
      <c r="B688" s="3" t="str">
        <f t="shared" si="13"/>
        <v>18/12/13</v>
      </c>
      <c r="C688" s="10">
        <v>13</v>
      </c>
      <c r="D688" s="10">
        <v>12</v>
      </c>
      <c r="E688" s="10">
        <v>18</v>
      </c>
      <c r="F688" t="s">
        <v>60</v>
      </c>
      <c r="G688" t="s">
        <v>31</v>
      </c>
      <c r="H688" t="s">
        <v>26</v>
      </c>
      <c r="I688" t="s">
        <v>27</v>
      </c>
      <c r="J688" s="4">
        <v>6.72</v>
      </c>
      <c r="K688">
        <v>1</v>
      </c>
      <c r="L688">
        <v>6.72</v>
      </c>
      <c r="M688">
        <v>6.72</v>
      </c>
      <c r="N688" s="5">
        <v>0.3380281690140845</v>
      </c>
      <c r="O688" t="s">
        <v>101</v>
      </c>
      <c r="P688" t="s">
        <v>340</v>
      </c>
      <c r="Q688" s="10" t="s">
        <v>24</v>
      </c>
    </row>
    <row r="689" spans="1:18" hidden="1" x14ac:dyDescent="0.25">
      <c r="A689" s="9" t="s">
        <v>249</v>
      </c>
      <c r="B689" s="3" t="str">
        <f t="shared" si="13"/>
        <v>18/12/15</v>
      </c>
      <c r="C689" s="10">
        <v>15</v>
      </c>
      <c r="D689" s="10">
        <v>12</v>
      </c>
      <c r="E689" s="10">
        <v>18</v>
      </c>
      <c r="F689" t="s">
        <v>94</v>
      </c>
      <c r="I689" t="s">
        <v>87</v>
      </c>
      <c r="J689" s="4">
        <v>150</v>
      </c>
      <c r="K689">
        <v>1</v>
      </c>
      <c r="L689">
        <v>150</v>
      </c>
      <c r="M689">
        <v>150</v>
      </c>
      <c r="N689" s="5">
        <v>7.5452716297786724</v>
      </c>
      <c r="O689" t="s">
        <v>39</v>
      </c>
      <c r="Q689" s="10" t="s">
        <v>24</v>
      </c>
    </row>
    <row r="690" spans="1:18" hidden="1" x14ac:dyDescent="0.25">
      <c r="A690" s="9" t="s">
        <v>249</v>
      </c>
      <c r="B690" s="3" t="str">
        <f t="shared" si="13"/>
        <v>18/12/15</v>
      </c>
      <c r="C690" s="10">
        <v>15</v>
      </c>
      <c r="D690" s="10">
        <v>12</v>
      </c>
      <c r="E690" s="10">
        <v>18</v>
      </c>
      <c r="F690" t="s">
        <v>78</v>
      </c>
      <c r="H690" t="s">
        <v>78</v>
      </c>
      <c r="I690" t="s">
        <v>79</v>
      </c>
      <c r="J690" s="4">
        <v>18.690000000000001</v>
      </c>
      <c r="K690">
        <v>53.51</v>
      </c>
      <c r="L690">
        <v>18.690000000000001</v>
      </c>
      <c r="M690" s="8">
        <v>1000.1019</v>
      </c>
      <c r="N690" s="5">
        <v>50.306936619718314</v>
      </c>
      <c r="O690" t="s">
        <v>80</v>
      </c>
      <c r="P690" t="s">
        <v>340</v>
      </c>
      <c r="Q690" s="10" t="s">
        <v>24</v>
      </c>
    </row>
    <row r="691" spans="1:18" hidden="1" x14ac:dyDescent="0.25">
      <c r="A691" s="9" t="s">
        <v>249</v>
      </c>
      <c r="B691" s="3" t="str">
        <f t="shared" si="13"/>
        <v>18/12/16</v>
      </c>
      <c r="C691" s="10">
        <v>16</v>
      </c>
      <c r="D691" s="10">
        <v>12</v>
      </c>
      <c r="E691" s="10">
        <v>18</v>
      </c>
      <c r="F691" t="s">
        <v>55</v>
      </c>
      <c r="H691" t="s">
        <v>56</v>
      </c>
      <c r="I691" t="s">
        <v>27</v>
      </c>
      <c r="J691" s="4">
        <v>19.489999999999998</v>
      </c>
      <c r="K691">
        <v>1.3340000000000001</v>
      </c>
      <c r="L691">
        <v>19.489999999999998</v>
      </c>
      <c r="M691">
        <v>25.999659999999999</v>
      </c>
      <c r="N691" s="5">
        <v>1.3078299798792756</v>
      </c>
      <c r="O691" t="s">
        <v>829</v>
      </c>
      <c r="P691" t="s">
        <v>340</v>
      </c>
      <c r="Q691" s="10" t="s">
        <v>24</v>
      </c>
    </row>
    <row r="692" spans="1:18" hidden="1" x14ac:dyDescent="0.25">
      <c r="A692" s="9" t="s">
        <v>249</v>
      </c>
      <c r="B692" s="3" t="str">
        <f t="shared" si="13"/>
        <v>18/12/16</v>
      </c>
      <c r="C692" s="10">
        <v>16</v>
      </c>
      <c r="D692" s="10">
        <v>12</v>
      </c>
      <c r="E692" s="10">
        <v>18</v>
      </c>
      <c r="F692" t="s">
        <v>124</v>
      </c>
      <c r="H692" t="s">
        <v>54</v>
      </c>
      <c r="I692" t="s">
        <v>27</v>
      </c>
      <c r="J692" s="4">
        <v>29</v>
      </c>
      <c r="K692">
        <v>0.378</v>
      </c>
      <c r="L692">
        <v>29</v>
      </c>
      <c r="M692">
        <v>10.962</v>
      </c>
      <c r="N692" s="5">
        <v>0.55140845070422539</v>
      </c>
      <c r="O692" t="s">
        <v>829</v>
      </c>
      <c r="P692" t="s">
        <v>340</v>
      </c>
      <c r="Q692" s="10" t="s">
        <v>24</v>
      </c>
    </row>
    <row r="693" spans="1:18" hidden="1" x14ac:dyDescent="0.25">
      <c r="A693" s="9" t="s">
        <v>249</v>
      </c>
      <c r="B693" s="3" t="str">
        <f t="shared" si="13"/>
        <v>18/12/16</v>
      </c>
      <c r="C693" s="10">
        <v>16</v>
      </c>
      <c r="D693" s="10">
        <v>12</v>
      </c>
      <c r="E693" s="10">
        <v>18</v>
      </c>
      <c r="F693" t="s">
        <v>121</v>
      </c>
      <c r="H693" t="s">
        <v>54</v>
      </c>
      <c r="I693" t="s">
        <v>27</v>
      </c>
      <c r="J693" s="4">
        <v>20</v>
      </c>
      <c r="K693">
        <v>1.1339999999999999</v>
      </c>
      <c r="L693">
        <v>20</v>
      </c>
      <c r="M693">
        <v>22.68</v>
      </c>
      <c r="N693" s="5">
        <v>1.1408450704225352</v>
      </c>
      <c r="O693" t="s">
        <v>829</v>
      </c>
      <c r="P693" t="s">
        <v>340</v>
      </c>
      <c r="Q693" s="10" t="s">
        <v>24</v>
      </c>
    </row>
    <row r="694" spans="1:18" hidden="1" x14ac:dyDescent="0.25">
      <c r="A694" s="9" t="s">
        <v>249</v>
      </c>
      <c r="B694" s="3" t="str">
        <f t="shared" si="13"/>
        <v>18/12/16</v>
      </c>
      <c r="C694" s="10">
        <v>16</v>
      </c>
      <c r="D694" s="10">
        <v>12</v>
      </c>
      <c r="E694" s="10">
        <v>18</v>
      </c>
      <c r="F694" t="s">
        <v>110</v>
      </c>
      <c r="H694" t="s">
        <v>56</v>
      </c>
      <c r="I694" t="s">
        <v>27</v>
      </c>
      <c r="J694" s="4">
        <v>32</v>
      </c>
      <c r="K694">
        <v>0.55000000000000004</v>
      </c>
      <c r="L694">
        <v>32</v>
      </c>
      <c r="M694">
        <v>17.600000000000001</v>
      </c>
      <c r="N694" s="5">
        <v>0.88531187122736432</v>
      </c>
      <c r="O694" t="s">
        <v>829</v>
      </c>
      <c r="P694" t="s">
        <v>340</v>
      </c>
      <c r="Q694" s="10" t="s">
        <v>24</v>
      </c>
    </row>
    <row r="695" spans="1:18" hidden="1" x14ac:dyDescent="0.25">
      <c r="A695" s="9" t="s">
        <v>249</v>
      </c>
      <c r="B695" s="3" t="str">
        <f t="shared" si="13"/>
        <v>18/12/16</v>
      </c>
      <c r="C695" s="10">
        <v>16</v>
      </c>
      <c r="D695" s="10">
        <v>12</v>
      </c>
      <c r="E695" s="10">
        <v>18</v>
      </c>
      <c r="F695" t="s">
        <v>508</v>
      </c>
      <c r="H695" t="s">
        <v>73</v>
      </c>
      <c r="I695" t="s">
        <v>27</v>
      </c>
      <c r="J695" s="4">
        <v>25.5</v>
      </c>
      <c r="K695">
        <v>1</v>
      </c>
      <c r="L695">
        <v>25.5</v>
      </c>
      <c r="M695">
        <v>25.5</v>
      </c>
      <c r="N695" s="5">
        <v>1.2826961770623744</v>
      </c>
      <c r="O695" t="s">
        <v>829</v>
      </c>
      <c r="P695" t="s">
        <v>340</v>
      </c>
      <c r="Q695" t="s">
        <v>24</v>
      </c>
    </row>
    <row r="696" spans="1:18" hidden="1" x14ac:dyDescent="0.25">
      <c r="A696" s="9" t="s">
        <v>249</v>
      </c>
      <c r="B696" s="3" t="str">
        <f t="shared" si="13"/>
        <v>18/12/16</v>
      </c>
      <c r="C696" s="10">
        <v>16</v>
      </c>
      <c r="D696" s="10">
        <v>12</v>
      </c>
      <c r="E696" s="10">
        <v>18</v>
      </c>
      <c r="F696" t="s">
        <v>146</v>
      </c>
      <c r="H696" t="s">
        <v>49</v>
      </c>
      <c r="I696" t="s">
        <v>50</v>
      </c>
      <c r="J696" s="4">
        <v>1.2</v>
      </c>
      <c r="K696">
        <v>1</v>
      </c>
      <c r="L696">
        <v>1.2</v>
      </c>
      <c r="M696" s="8">
        <v>1.2</v>
      </c>
      <c r="N696" s="5">
        <v>6.0362173038229376E-2</v>
      </c>
      <c r="O696" t="s">
        <v>829</v>
      </c>
      <c r="P696" t="s">
        <v>340</v>
      </c>
      <c r="Q696" s="10" t="s">
        <v>24</v>
      </c>
    </row>
    <row r="697" spans="1:18" hidden="1" x14ac:dyDescent="0.25">
      <c r="A697" s="9" t="s">
        <v>249</v>
      </c>
      <c r="B697" s="3" t="str">
        <f t="shared" si="13"/>
        <v>18/12/16</v>
      </c>
      <c r="C697" s="10">
        <v>16</v>
      </c>
      <c r="D697" s="10">
        <v>12</v>
      </c>
      <c r="E697" s="10">
        <v>18</v>
      </c>
      <c r="F697" t="s">
        <v>830</v>
      </c>
      <c r="G697" t="s">
        <v>155</v>
      </c>
      <c r="H697" t="s">
        <v>131</v>
      </c>
      <c r="I697" t="s">
        <v>27</v>
      </c>
      <c r="J697" s="4">
        <v>33</v>
      </c>
      <c r="K697">
        <v>1</v>
      </c>
      <c r="L697">
        <v>33</v>
      </c>
      <c r="M697">
        <v>33</v>
      </c>
      <c r="N697" s="5">
        <v>1.659959758551308</v>
      </c>
      <c r="O697" t="s">
        <v>829</v>
      </c>
      <c r="P697" t="s">
        <v>340</v>
      </c>
      <c r="Q697" s="10" t="s">
        <v>84</v>
      </c>
    </row>
    <row r="698" spans="1:18" hidden="1" x14ac:dyDescent="0.25">
      <c r="A698" s="9" t="s">
        <v>249</v>
      </c>
      <c r="B698" s="3" t="str">
        <f t="shared" si="13"/>
        <v>18/12/17</v>
      </c>
      <c r="C698" s="10">
        <v>17</v>
      </c>
      <c r="D698" s="10">
        <v>12</v>
      </c>
      <c r="E698" s="10">
        <v>18</v>
      </c>
      <c r="F698" t="s">
        <v>831</v>
      </c>
      <c r="I698" t="s">
        <v>431</v>
      </c>
      <c r="J698" s="4">
        <v>200</v>
      </c>
      <c r="K698">
        <v>1</v>
      </c>
      <c r="L698">
        <v>200</v>
      </c>
      <c r="M698" s="8">
        <v>200</v>
      </c>
      <c r="N698" s="5">
        <v>10.06036217303823</v>
      </c>
      <c r="O698" t="s">
        <v>832</v>
      </c>
      <c r="P698" t="s">
        <v>340</v>
      </c>
      <c r="Q698" s="10" t="s">
        <v>24</v>
      </c>
    </row>
    <row r="699" spans="1:18" hidden="1" x14ac:dyDescent="0.25">
      <c r="A699" s="9" t="s">
        <v>249</v>
      </c>
      <c r="B699" s="3" t="str">
        <f t="shared" si="13"/>
        <v>18/12/17</v>
      </c>
      <c r="C699" s="10">
        <v>17</v>
      </c>
      <c r="D699" s="10">
        <v>12</v>
      </c>
      <c r="E699" s="10">
        <v>18</v>
      </c>
      <c r="F699" t="s">
        <v>833</v>
      </c>
      <c r="G699" t="s">
        <v>155</v>
      </c>
      <c r="H699" t="s">
        <v>131</v>
      </c>
      <c r="I699" t="s">
        <v>27</v>
      </c>
      <c r="J699" s="4">
        <v>46.7</v>
      </c>
      <c r="K699">
        <v>1</v>
      </c>
      <c r="L699">
        <v>46.7</v>
      </c>
      <c r="M699">
        <v>46.7</v>
      </c>
      <c r="N699" s="5">
        <v>2.349094567404427</v>
      </c>
      <c r="O699" t="s">
        <v>654</v>
      </c>
      <c r="P699" t="s">
        <v>340</v>
      </c>
      <c r="Q699" s="10" t="s">
        <v>84</v>
      </c>
    </row>
    <row r="700" spans="1:18" hidden="1" x14ac:dyDescent="0.25">
      <c r="A700" s="9" t="s">
        <v>249</v>
      </c>
      <c r="B700" s="3" t="str">
        <f t="shared" si="13"/>
        <v>18/12/18</v>
      </c>
      <c r="C700" s="10">
        <v>18</v>
      </c>
      <c r="D700" s="10">
        <v>12</v>
      </c>
      <c r="E700" s="10">
        <v>18</v>
      </c>
      <c r="F700" t="s">
        <v>71</v>
      </c>
      <c r="I700" t="s">
        <v>72</v>
      </c>
      <c r="J700" s="4">
        <v>300</v>
      </c>
      <c r="K700">
        <v>1</v>
      </c>
      <c r="L700">
        <v>300</v>
      </c>
      <c r="M700">
        <v>300</v>
      </c>
      <c r="N700" s="5">
        <v>15.090543259557345</v>
      </c>
      <c r="O700" t="s">
        <v>562</v>
      </c>
      <c r="P700" t="s">
        <v>340</v>
      </c>
      <c r="Q700" s="10" t="s">
        <v>24</v>
      </c>
      <c r="R700" t="s">
        <v>834</v>
      </c>
    </row>
    <row r="701" spans="1:18" hidden="1" x14ac:dyDescent="0.25">
      <c r="A701" s="9" t="s">
        <v>249</v>
      </c>
      <c r="B701" s="3" t="str">
        <f t="shared" si="13"/>
        <v>18/12/18</v>
      </c>
      <c r="C701" s="10">
        <v>18</v>
      </c>
      <c r="D701" s="10">
        <v>12</v>
      </c>
      <c r="E701" s="10">
        <v>18</v>
      </c>
      <c r="F701" t="s">
        <v>104</v>
      </c>
      <c r="I701" t="s">
        <v>72</v>
      </c>
      <c r="J701" s="4">
        <v>74.44</v>
      </c>
      <c r="K701">
        <v>1</v>
      </c>
      <c r="L701">
        <v>74.44</v>
      </c>
      <c r="M701">
        <v>74.44</v>
      </c>
      <c r="N701" s="5">
        <v>3.7444668008048292</v>
      </c>
      <c r="O701" t="s">
        <v>233</v>
      </c>
      <c r="P701" t="s">
        <v>340</v>
      </c>
      <c r="Q701" s="10" t="s">
        <v>24</v>
      </c>
      <c r="R701" t="s">
        <v>835</v>
      </c>
    </row>
    <row r="702" spans="1:18" hidden="1" x14ac:dyDescent="0.25">
      <c r="A702" s="9" t="s">
        <v>249</v>
      </c>
      <c r="B702" s="3" t="str">
        <f t="shared" si="13"/>
        <v>18/12/19</v>
      </c>
      <c r="C702" s="10">
        <v>19</v>
      </c>
      <c r="D702" s="10">
        <v>12</v>
      </c>
      <c r="E702" s="10">
        <v>18</v>
      </c>
      <c r="F702" t="s">
        <v>246</v>
      </c>
      <c r="I702" t="s">
        <v>72</v>
      </c>
      <c r="J702">
        <v>620</v>
      </c>
      <c r="K702">
        <v>1</v>
      </c>
      <c r="L702">
        <v>620</v>
      </c>
      <c r="M702">
        <v>620</v>
      </c>
      <c r="N702" s="5">
        <v>31.509887266678984</v>
      </c>
      <c r="O702" t="s">
        <v>567</v>
      </c>
      <c r="P702" t="s">
        <v>340</v>
      </c>
      <c r="Q702" s="10" t="s">
        <v>24</v>
      </c>
    </row>
    <row r="703" spans="1:18" hidden="1" x14ac:dyDescent="0.25">
      <c r="A703" s="9" t="s">
        <v>249</v>
      </c>
      <c r="B703" s="3" t="str">
        <f t="shared" si="13"/>
        <v>18/12/2</v>
      </c>
      <c r="C703" s="10">
        <v>2</v>
      </c>
      <c r="D703" s="10">
        <v>12</v>
      </c>
      <c r="E703" s="10">
        <v>18</v>
      </c>
      <c r="F703" t="s">
        <v>55</v>
      </c>
      <c r="H703" t="s">
        <v>56</v>
      </c>
      <c r="I703" t="s">
        <v>27</v>
      </c>
      <c r="J703" s="4">
        <v>19.8</v>
      </c>
      <c r="K703">
        <v>2.17</v>
      </c>
      <c r="L703">
        <v>19.8</v>
      </c>
      <c r="M703">
        <v>42.966000000000001</v>
      </c>
      <c r="N703" s="5">
        <v>2.1612676056338032</v>
      </c>
      <c r="O703" t="s">
        <v>1472</v>
      </c>
      <c r="P703" t="s">
        <v>340</v>
      </c>
      <c r="Q703" s="10" t="s">
        <v>24</v>
      </c>
    </row>
    <row r="704" spans="1:18" hidden="1" x14ac:dyDescent="0.25">
      <c r="A704" s="9" t="s">
        <v>249</v>
      </c>
      <c r="B704" s="3" t="str">
        <f t="shared" si="13"/>
        <v>18/12/2</v>
      </c>
      <c r="C704" s="10">
        <v>2</v>
      </c>
      <c r="D704" s="10">
        <v>12</v>
      </c>
      <c r="E704" s="10">
        <v>18</v>
      </c>
      <c r="F704" t="s">
        <v>771</v>
      </c>
      <c r="G704" t="s">
        <v>31</v>
      </c>
      <c r="H704" t="s">
        <v>26</v>
      </c>
      <c r="I704" t="s">
        <v>27</v>
      </c>
      <c r="J704" s="4">
        <v>15.15</v>
      </c>
      <c r="K704">
        <v>1</v>
      </c>
      <c r="L704">
        <v>15.15</v>
      </c>
      <c r="M704">
        <v>15.15</v>
      </c>
      <c r="N704" s="5">
        <v>0.76207243460764595</v>
      </c>
      <c r="O704" t="s">
        <v>1472</v>
      </c>
      <c r="P704" t="s">
        <v>340</v>
      </c>
      <c r="Q704" s="10" t="s">
        <v>24</v>
      </c>
    </row>
    <row r="705" spans="1:18" hidden="1" x14ac:dyDescent="0.25">
      <c r="A705" s="9" t="s">
        <v>249</v>
      </c>
      <c r="B705" s="3" t="str">
        <f t="shared" si="13"/>
        <v>18/12/2</v>
      </c>
      <c r="C705" s="10">
        <v>2</v>
      </c>
      <c r="D705" s="10">
        <v>12</v>
      </c>
      <c r="E705" s="10">
        <v>18</v>
      </c>
      <c r="F705" t="s">
        <v>770</v>
      </c>
      <c r="G705" t="s">
        <v>31</v>
      </c>
      <c r="H705" t="s">
        <v>26</v>
      </c>
      <c r="I705" t="s">
        <v>27</v>
      </c>
      <c r="J705" s="4">
        <v>7.65</v>
      </c>
      <c r="K705">
        <v>2</v>
      </c>
      <c r="L705">
        <v>7.65</v>
      </c>
      <c r="M705">
        <v>15.3</v>
      </c>
      <c r="N705" s="5">
        <v>0.76961770623742465</v>
      </c>
      <c r="O705" t="s">
        <v>1472</v>
      </c>
      <c r="P705" t="s">
        <v>340</v>
      </c>
      <c r="Q705" s="10" t="s">
        <v>24</v>
      </c>
    </row>
    <row r="706" spans="1:18" hidden="1" x14ac:dyDescent="0.25">
      <c r="A706" s="9" t="s">
        <v>249</v>
      </c>
      <c r="B706" s="3" t="str">
        <f t="shared" si="13"/>
        <v>18/12/2</v>
      </c>
      <c r="C706" s="10">
        <v>2</v>
      </c>
      <c r="D706" s="10">
        <v>12</v>
      </c>
      <c r="E706" s="10">
        <v>18</v>
      </c>
      <c r="F706" t="s">
        <v>110</v>
      </c>
      <c r="H706" t="s">
        <v>56</v>
      </c>
      <c r="I706" t="s">
        <v>27</v>
      </c>
      <c r="J706" s="4">
        <v>36.99</v>
      </c>
      <c r="K706">
        <v>0.33</v>
      </c>
      <c r="L706">
        <v>36.99</v>
      </c>
      <c r="M706">
        <v>12.206700000000001</v>
      </c>
      <c r="N706" s="5">
        <v>0.61401911468812886</v>
      </c>
      <c r="O706" t="s">
        <v>1472</v>
      </c>
      <c r="P706" t="s">
        <v>340</v>
      </c>
      <c r="Q706" s="10" t="s">
        <v>24</v>
      </c>
    </row>
    <row r="707" spans="1:18" hidden="1" x14ac:dyDescent="0.25">
      <c r="A707" s="9" t="s">
        <v>249</v>
      </c>
      <c r="B707" s="3" t="str">
        <f t="shared" si="13"/>
        <v>18/12/20</v>
      </c>
      <c r="C707" s="10">
        <v>20</v>
      </c>
      <c r="D707" s="10">
        <v>12</v>
      </c>
      <c r="E707" s="10">
        <v>18</v>
      </c>
      <c r="F707" t="s">
        <v>102</v>
      </c>
      <c r="H707" t="s">
        <v>102</v>
      </c>
      <c r="I707" t="s">
        <v>27</v>
      </c>
      <c r="J707" s="4">
        <v>25.25</v>
      </c>
      <c r="K707">
        <v>1</v>
      </c>
      <c r="L707">
        <v>25.25</v>
      </c>
      <c r="M707">
        <v>25.25</v>
      </c>
      <c r="N707" s="5">
        <v>1.2701207243460766</v>
      </c>
      <c r="O707" t="s">
        <v>233</v>
      </c>
      <c r="P707" t="s">
        <v>340</v>
      </c>
      <c r="Q707" s="10" t="s">
        <v>24</v>
      </c>
      <c r="R707" t="s">
        <v>836</v>
      </c>
    </row>
    <row r="708" spans="1:18" hidden="1" x14ac:dyDescent="0.25">
      <c r="A708" s="9" t="s">
        <v>249</v>
      </c>
      <c r="B708" s="3" t="str">
        <f t="shared" si="13"/>
        <v>18/12/20</v>
      </c>
      <c r="C708" s="10">
        <v>20</v>
      </c>
      <c r="D708" s="10">
        <v>12</v>
      </c>
      <c r="E708" s="10">
        <v>18</v>
      </c>
      <c r="F708" t="s">
        <v>102</v>
      </c>
      <c r="H708" t="s">
        <v>102</v>
      </c>
      <c r="I708" t="s">
        <v>27</v>
      </c>
      <c r="J708" s="4">
        <v>25.86</v>
      </c>
      <c r="K708">
        <v>1</v>
      </c>
      <c r="L708">
        <v>25.86</v>
      </c>
      <c r="M708">
        <v>25.86</v>
      </c>
      <c r="N708" s="5">
        <v>1.3026614054235583</v>
      </c>
      <c r="O708" t="s">
        <v>233</v>
      </c>
      <c r="P708" t="s">
        <v>340</v>
      </c>
      <c r="Q708" s="10" t="s">
        <v>24</v>
      </c>
      <c r="R708" t="s">
        <v>837</v>
      </c>
    </row>
    <row r="709" spans="1:18" hidden="1" x14ac:dyDescent="0.25">
      <c r="A709" s="9" t="s">
        <v>249</v>
      </c>
      <c r="B709" s="3" t="str">
        <f t="shared" si="13"/>
        <v>18/12/20</v>
      </c>
      <c r="C709" s="10">
        <v>20</v>
      </c>
      <c r="D709" s="10">
        <v>12</v>
      </c>
      <c r="E709" s="10">
        <v>18</v>
      </c>
      <c r="F709" t="s">
        <v>102</v>
      </c>
      <c r="H709" t="s">
        <v>102</v>
      </c>
      <c r="I709" t="s">
        <v>27</v>
      </c>
      <c r="J709" s="4">
        <v>25.25</v>
      </c>
      <c r="K709">
        <v>1</v>
      </c>
      <c r="L709">
        <v>25.25</v>
      </c>
      <c r="M709">
        <v>25.25</v>
      </c>
      <c r="N709" s="5">
        <v>1.2701207243460766</v>
      </c>
      <c r="O709" t="s">
        <v>233</v>
      </c>
      <c r="P709" t="s">
        <v>340</v>
      </c>
      <c r="Q709" s="10" t="s">
        <v>24</v>
      </c>
      <c r="R709" t="s">
        <v>838</v>
      </c>
    </row>
    <row r="710" spans="1:18" hidden="1" x14ac:dyDescent="0.25">
      <c r="A710" s="9" t="s">
        <v>249</v>
      </c>
      <c r="B710" s="3" t="str">
        <f t="shared" ref="B710:B773" si="14">CONCATENATE(E710,"/",D710,"/",C710)</f>
        <v>18/12/20</v>
      </c>
      <c r="C710" s="10">
        <v>20</v>
      </c>
      <c r="D710" s="10">
        <v>12</v>
      </c>
      <c r="E710" s="10">
        <v>18</v>
      </c>
      <c r="F710" t="s">
        <v>146</v>
      </c>
      <c r="H710" t="s">
        <v>49</v>
      </c>
      <c r="I710" t="s">
        <v>50</v>
      </c>
      <c r="J710" s="4">
        <v>0.3</v>
      </c>
      <c r="K710">
        <v>1</v>
      </c>
      <c r="L710">
        <v>0.3</v>
      </c>
      <c r="M710" s="8">
        <v>0.3</v>
      </c>
      <c r="N710" s="5">
        <v>1.5090543259557344E-2</v>
      </c>
      <c r="O710" t="s">
        <v>233</v>
      </c>
      <c r="P710" t="s">
        <v>340</v>
      </c>
      <c r="Q710" s="10" t="s">
        <v>24</v>
      </c>
    </row>
    <row r="711" spans="1:18" hidden="1" x14ac:dyDescent="0.25">
      <c r="A711" s="9" t="s">
        <v>249</v>
      </c>
      <c r="B711" s="3" t="str">
        <f t="shared" si="14"/>
        <v>18/12/20</v>
      </c>
      <c r="C711" s="10">
        <v>20</v>
      </c>
      <c r="D711" s="10">
        <v>12</v>
      </c>
      <c r="E711" s="10">
        <v>18</v>
      </c>
      <c r="F711" t="s">
        <v>141</v>
      </c>
      <c r="H711" t="s">
        <v>172</v>
      </c>
      <c r="I711" t="s">
        <v>39</v>
      </c>
      <c r="J711" s="4">
        <v>2</v>
      </c>
      <c r="K711">
        <v>1</v>
      </c>
      <c r="L711">
        <v>2</v>
      </c>
      <c r="M711" s="8">
        <v>2</v>
      </c>
      <c r="N711" s="5">
        <v>0.1006036217303823</v>
      </c>
      <c r="O711" t="s">
        <v>39</v>
      </c>
      <c r="P711" t="s">
        <v>340</v>
      </c>
      <c r="Q711" s="10" t="s">
        <v>24</v>
      </c>
    </row>
    <row r="712" spans="1:18" hidden="1" x14ac:dyDescent="0.25">
      <c r="A712" s="9" t="s">
        <v>249</v>
      </c>
      <c r="B712" s="3" t="str">
        <f t="shared" si="14"/>
        <v>18/12/20</v>
      </c>
      <c r="C712" s="10">
        <v>20</v>
      </c>
      <c r="D712" s="10">
        <v>12</v>
      </c>
      <c r="E712" s="10">
        <v>18</v>
      </c>
      <c r="F712" t="s">
        <v>246</v>
      </c>
      <c r="I712" t="s">
        <v>72</v>
      </c>
      <c r="J712" s="4">
        <v>300</v>
      </c>
      <c r="K712">
        <v>1</v>
      </c>
      <c r="L712">
        <v>300</v>
      </c>
      <c r="M712">
        <v>300</v>
      </c>
      <c r="N712" s="5">
        <v>15.090543259557345</v>
      </c>
      <c r="O712" t="s">
        <v>562</v>
      </c>
      <c r="P712" t="s">
        <v>340</v>
      </c>
      <c r="Q712" s="10" t="s">
        <v>24</v>
      </c>
    </row>
    <row r="713" spans="1:18" hidden="1" x14ac:dyDescent="0.25">
      <c r="A713" s="9" t="s">
        <v>249</v>
      </c>
      <c r="B713" s="3" t="str">
        <f t="shared" si="14"/>
        <v>18/12/21</v>
      </c>
      <c r="C713" s="10">
        <v>21</v>
      </c>
      <c r="D713" s="10">
        <v>12</v>
      </c>
      <c r="E713" s="10">
        <v>18</v>
      </c>
      <c r="F713" t="s">
        <v>246</v>
      </c>
      <c r="I713" t="s">
        <v>72</v>
      </c>
      <c r="J713">
        <v>870</v>
      </c>
      <c r="K713">
        <v>1</v>
      </c>
      <c r="L713">
        <v>870</v>
      </c>
      <c r="M713">
        <v>870</v>
      </c>
      <c r="N713" s="5">
        <v>44.215486970985026</v>
      </c>
      <c r="O713" t="s">
        <v>876</v>
      </c>
      <c r="P713" t="s">
        <v>340</v>
      </c>
      <c r="Q713" s="10" t="s">
        <v>24</v>
      </c>
    </row>
    <row r="714" spans="1:18" hidden="1" x14ac:dyDescent="0.25">
      <c r="A714" s="9" t="s">
        <v>249</v>
      </c>
      <c r="B714" s="3" t="str">
        <f t="shared" si="14"/>
        <v>18/12/21</v>
      </c>
      <c r="C714" s="10">
        <v>21</v>
      </c>
      <c r="D714" s="10">
        <v>12</v>
      </c>
      <c r="E714" s="10">
        <v>18</v>
      </c>
      <c r="F714" t="s">
        <v>55</v>
      </c>
      <c r="H714" t="s">
        <v>56</v>
      </c>
      <c r="I714" t="s">
        <v>27</v>
      </c>
      <c r="J714" s="4">
        <v>24.05</v>
      </c>
      <c r="K714">
        <v>1.8360000000000001</v>
      </c>
      <c r="L714">
        <v>24.05</v>
      </c>
      <c r="M714">
        <v>44.155800000000006</v>
      </c>
      <c r="N714" s="5">
        <v>2.2211167002012075</v>
      </c>
      <c r="O714" t="s">
        <v>1472</v>
      </c>
      <c r="P714" t="s">
        <v>340</v>
      </c>
      <c r="Q714" s="10" t="s">
        <v>24</v>
      </c>
    </row>
    <row r="715" spans="1:18" hidden="1" x14ac:dyDescent="0.25">
      <c r="A715" s="9" t="s">
        <v>249</v>
      </c>
      <c r="B715" s="3" t="str">
        <f t="shared" si="14"/>
        <v>18/12/21</v>
      </c>
      <c r="C715" s="10">
        <v>21</v>
      </c>
      <c r="D715" s="10">
        <v>12</v>
      </c>
      <c r="E715" s="10">
        <v>18</v>
      </c>
      <c r="F715" t="s">
        <v>839</v>
      </c>
      <c r="H715" t="s">
        <v>56</v>
      </c>
      <c r="I715" t="s">
        <v>27</v>
      </c>
      <c r="J715" s="4">
        <v>29.7</v>
      </c>
      <c r="K715">
        <v>1.4279999999999999</v>
      </c>
      <c r="L715">
        <v>29.7</v>
      </c>
      <c r="M715">
        <v>42.4116</v>
      </c>
      <c r="N715" s="5">
        <v>2.1333802816901408</v>
      </c>
      <c r="O715" t="s">
        <v>1472</v>
      </c>
      <c r="P715" t="s">
        <v>340</v>
      </c>
      <c r="Q715" s="10" t="s">
        <v>24</v>
      </c>
    </row>
    <row r="716" spans="1:18" hidden="1" x14ac:dyDescent="0.25">
      <c r="A716" s="9" t="s">
        <v>249</v>
      </c>
      <c r="B716" s="3" t="str">
        <f t="shared" si="14"/>
        <v>18/12/21</v>
      </c>
      <c r="C716" s="10">
        <v>21</v>
      </c>
      <c r="D716" s="10">
        <v>12</v>
      </c>
      <c r="E716" s="10">
        <v>18</v>
      </c>
      <c r="F716" t="s">
        <v>840</v>
      </c>
      <c r="H716" t="s">
        <v>56</v>
      </c>
      <c r="I716" t="s">
        <v>27</v>
      </c>
      <c r="J716" s="4">
        <v>23.4</v>
      </c>
      <c r="K716">
        <v>0.224</v>
      </c>
      <c r="L716">
        <v>23.4</v>
      </c>
      <c r="M716">
        <v>5.2416</v>
      </c>
      <c r="N716" s="5">
        <v>0.26366197183098594</v>
      </c>
      <c r="O716" t="s">
        <v>1472</v>
      </c>
      <c r="P716" t="s">
        <v>340</v>
      </c>
      <c r="Q716" s="10" t="s">
        <v>24</v>
      </c>
    </row>
    <row r="717" spans="1:18" hidden="1" x14ac:dyDescent="0.25">
      <c r="A717" s="9" t="s">
        <v>249</v>
      </c>
      <c r="B717" s="3" t="str">
        <f t="shared" si="14"/>
        <v>18/12/21</v>
      </c>
      <c r="C717" s="10">
        <v>21</v>
      </c>
      <c r="D717" s="10">
        <v>12</v>
      </c>
      <c r="E717" s="10">
        <v>18</v>
      </c>
      <c r="F717" t="s">
        <v>841</v>
      </c>
      <c r="H717" t="s">
        <v>56</v>
      </c>
      <c r="I717" t="s">
        <v>27</v>
      </c>
      <c r="J717" s="4">
        <v>24.05</v>
      </c>
      <c r="K717">
        <v>1.034</v>
      </c>
      <c r="L717">
        <v>24.05</v>
      </c>
      <c r="M717">
        <v>24.867700000000003</v>
      </c>
      <c r="N717" s="5">
        <v>1.2508903420523141</v>
      </c>
      <c r="O717" t="s">
        <v>1472</v>
      </c>
      <c r="P717" t="s">
        <v>340</v>
      </c>
      <c r="Q717" s="10" t="s">
        <v>24</v>
      </c>
    </row>
    <row r="718" spans="1:18" hidden="1" x14ac:dyDescent="0.25">
      <c r="A718" s="9" t="s">
        <v>249</v>
      </c>
      <c r="B718" s="3" t="str">
        <f t="shared" si="14"/>
        <v>18/12/21</v>
      </c>
      <c r="C718" s="10">
        <v>21</v>
      </c>
      <c r="D718" s="10">
        <v>12</v>
      </c>
      <c r="E718" s="10">
        <v>18</v>
      </c>
      <c r="F718" t="s">
        <v>112</v>
      </c>
      <c r="H718" t="s">
        <v>56</v>
      </c>
      <c r="I718" t="s">
        <v>27</v>
      </c>
      <c r="J718" s="4">
        <v>21.2</v>
      </c>
      <c r="K718">
        <v>0.9</v>
      </c>
      <c r="L718">
        <v>21.2</v>
      </c>
      <c r="M718">
        <v>19.079999999999998</v>
      </c>
      <c r="N718" s="5">
        <v>0.95975855130784704</v>
      </c>
      <c r="O718" t="s">
        <v>1472</v>
      </c>
      <c r="P718" t="s">
        <v>340</v>
      </c>
      <c r="Q718" s="10" t="s">
        <v>24</v>
      </c>
    </row>
    <row r="719" spans="1:18" hidden="1" x14ac:dyDescent="0.25">
      <c r="A719" s="9" t="s">
        <v>249</v>
      </c>
      <c r="B719" s="3" t="str">
        <f t="shared" si="14"/>
        <v>18/12/21</v>
      </c>
      <c r="C719" s="10">
        <v>21</v>
      </c>
      <c r="D719" s="10">
        <v>12</v>
      </c>
      <c r="E719" s="10">
        <v>18</v>
      </c>
      <c r="F719" t="s">
        <v>212</v>
      </c>
      <c r="H719" t="s">
        <v>54</v>
      </c>
      <c r="I719" t="s">
        <v>27</v>
      </c>
      <c r="J719" s="4">
        <v>18.899999999999999</v>
      </c>
      <c r="K719">
        <v>1</v>
      </c>
      <c r="L719">
        <v>18.899999999999999</v>
      </c>
      <c r="M719">
        <v>18.899999999999999</v>
      </c>
      <c r="N719" s="5">
        <v>0.95070422535211263</v>
      </c>
      <c r="O719" t="s">
        <v>1472</v>
      </c>
      <c r="P719" t="s">
        <v>340</v>
      </c>
      <c r="Q719" s="10" t="s">
        <v>24</v>
      </c>
    </row>
    <row r="720" spans="1:18" hidden="1" x14ac:dyDescent="0.25">
      <c r="A720" s="9" t="s">
        <v>249</v>
      </c>
      <c r="B720" s="3" t="str">
        <f t="shared" si="14"/>
        <v>18/12/21</v>
      </c>
      <c r="C720" s="10">
        <v>21</v>
      </c>
      <c r="D720" s="10">
        <v>12</v>
      </c>
      <c r="E720" s="10">
        <v>18</v>
      </c>
      <c r="F720" t="s">
        <v>361</v>
      </c>
      <c r="H720" t="s">
        <v>54</v>
      </c>
      <c r="I720" t="s">
        <v>27</v>
      </c>
      <c r="J720" s="4">
        <v>25</v>
      </c>
      <c r="K720">
        <v>1</v>
      </c>
      <c r="L720">
        <v>25</v>
      </c>
      <c r="M720">
        <v>25</v>
      </c>
      <c r="N720" s="5">
        <v>1.2575452716297788</v>
      </c>
      <c r="O720" t="s">
        <v>1472</v>
      </c>
      <c r="P720" t="s">
        <v>340</v>
      </c>
      <c r="Q720" s="10" t="s">
        <v>24</v>
      </c>
    </row>
    <row r="721" spans="1:18" hidden="1" x14ac:dyDescent="0.25">
      <c r="A721" s="9" t="s">
        <v>249</v>
      </c>
      <c r="B721" s="3" t="str">
        <f t="shared" si="14"/>
        <v>18/12/21</v>
      </c>
      <c r="C721" s="10">
        <v>21</v>
      </c>
      <c r="D721" s="10">
        <v>12</v>
      </c>
      <c r="E721" s="10">
        <v>18</v>
      </c>
      <c r="F721" t="s">
        <v>202</v>
      </c>
      <c r="H721" t="s">
        <v>54</v>
      </c>
      <c r="I721" t="s">
        <v>27</v>
      </c>
      <c r="J721" s="4">
        <v>69.989999999999995</v>
      </c>
      <c r="K721">
        <v>0.60399999999999998</v>
      </c>
      <c r="L721">
        <v>69.989999999999995</v>
      </c>
      <c r="M721">
        <v>42.273959999999995</v>
      </c>
      <c r="N721" s="5">
        <v>2.1264567404426558</v>
      </c>
      <c r="O721" t="s">
        <v>1472</v>
      </c>
      <c r="P721" t="s">
        <v>340</v>
      </c>
      <c r="Q721" s="10" t="s">
        <v>24</v>
      </c>
    </row>
    <row r="722" spans="1:18" hidden="1" x14ac:dyDescent="0.25">
      <c r="A722" s="9" t="s">
        <v>249</v>
      </c>
      <c r="B722" s="3" t="str">
        <f t="shared" si="14"/>
        <v>18/12/22</v>
      </c>
      <c r="C722" s="10">
        <v>22</v>
      </c>
      <c r="D722" s="10">
        <v>12</v>
      </c>
      <c r="E722" s="10">
        <v>18</v>
      </c>
      <c r="F722" t="s">
        <v>841</v>
      </c>
      <c r="G722" t="s">
        <v>55</v>
      </c>
      <c r="H722" t="s">
        <v>56</v>
      </c>
      <c r="I722" t="s">
        <v>27</v>
      </c>
      <c r="J722" s="4">
        <v>57.4</v>
      </c>
      <c r="K722">
        <v>0.96599999999999997</v>
      </c>
      <c r="L722">
        <v>57.4</v>
      </c>
      <c r="M722">
        <v>55.448399999999999</v>
      </c>
      <c r="N722" s="5">
        <v>2.7891549295774647</v>
      </c>
      <c r="O722" t="s">
        <v>1472</v>
      </c>
      <c r="P722" t="s">
        <v>340</v>
      </c>
      <c r="Q722" s="10" t="s">
        <v>84</v>
      </c>
    </row>
    <row r="723" spans="1:18" hidden="1" x14ac:dyDescent="0.25">
      <c r="A723" s="9" t="s">
        <v>249</v>
      </c>
      <c r="B723" s="3" t="str">
        <f t="shared" si="14"/>
        <v>18/12/22</v>
      </c>
      <c r="C723" s="10">
        <v>22</v>
      </c>
      <c r="D723" s="10">
        <v>12</v>
      </c>
      <c r="E723" s="10">
        <v>18</v>
      </c>
      <c r="F723" t="s">
        <v>839</v>
      </c>
      <c r="H723" t="s">
        <v>56</v>
      </c>
      <c r="I723" t="s">
        <v>27</v>
      </c>
      <c r="J723" s="4">
        <v>29.7</v>
      </c>
      <c r="K723">
        <v>1.07</v>
      </c>
      <c r="L723">
        <v>29.7</v>
      </c>
      <c r="M723">
        <v>31.779</v>
      </c>
      <c r="N723" s="5">
        <v>1.5985412474849094</v>
      </c>
      <c r="O723" t="s">
        <v>1472</v>
      </c>
      <c r="P723" t="s">
        <v>340</v>
      </c>
      <c r="Q723" s="10" t="s">
        <v>84</v>
      </c>
    </row>
    <row r="724" spans="1:18" hidden="1" x14ac:dyDescent="0.25">
      <c r="A724" s="9" t="s">
        <v>249</v>
      </c>
      <c r="B724" s="3" t="str">
        <f t="shared" si="14"/>
        <v>18/12/22</v>
      </c>
      <c r="C724" s="10">
        <v>22</v>
      </c>
      <c r="D724" s="10">
        <v>12</v>
      </c>
      <c r="E724" s="10">
        <v>18</v>
      </c>
      <c r="F724" t="s">
        <v>184</v>
      </c>
      <c r="H724" t="s">
        <v>184</v>
      </c>
      <c r="I724" t="s">
        <v>79</v>
      </c>
      <c r="J724" s="4">
        <v>70</v>
      </c>
      <c r="K724">
        <v>1</v>
      </c>
      <c r="L724">
        <v>70</v>
      </c>
      <c r="M724" s="8">
        <v>70</v>
      </c>
      <c r="N724" s="5">
        <v>3.5211267605633805</v>
      </c>
      <c r="O724" t="s">
        <v>185</v>
      </c>
      <c r="P724" t="s">
        <v>340</v>
      </c>
      <c r="Q724" s="10" t="s">
        <v>24</v>
      </c>
    </row>
    <row r="725" spans="1:18" hidden="1" x14ac:dyDescent="0.25">
      <c r="A725" s="9" t="s">
        <v>249</v>
      </c>
      <c r="B725" s="3" t="str">
        <f t="shared" si="14"/>
        <v>18/12/22</v>
      </c>
      <c r="C725" s="10">
        <v>22</v>
      </c>
      <c r="D725" s="10">
        <v>12</v>
      </c>
      <c r="E725" s="10">
        <v>18</v>
      </c>
      <c r="F725" t="s">
        <v>842</v>
      </c>
      <c r="I725" t="s">
        <v>50</v>
      </c>
      <c r="J725" s="4">
        <v>350</v>
      </c>
      <c r="K725">
        <v>1</v>
      </c>
      <c r="L725">
        <v>350</v>
      </c>
      <c r="M725" s="8">
        <v>350</v>
      </c>
      <c r="N725" s="5">
        <v>17.605633802816904</v>
      </c>
      <c r="O725" t="s">
        <v>39</v>
      </c>
      <c r="Q725" s="10" t="s">
        <v>24</v>
      </c>
    </row>
    <row r="726" spans="1:18" hidden="1" x14ac:dyDescent="0.25">
      <c r="A726" s="9" t="s">
        <v>249</v>
      </c>
      <c r="B726" s="3" t="str">
        <f t="shared" si="14"/>
        <v>18/12/23</v>
      </c>
      <c r="C726" s="10">
        <v>23</v>
      </c>
      <c r="D726" s="10">
        <v>12</v>
      </c>
      <c r="E726" s="10">
        <v>18</v>
      </c>
      <c r="F726" t="s">
        <v>104</v>
      </c>
      <c r="I726" t="s">
        <v>72</v>
      </c>
      <c r="J726">
        <v>74.45</v>
      </c>
      <c r="K726">
        <v>1</v>
      </c>
      <c r="L726">
        <v>74.45</v>
      </c>
      <c r="M726">
        <v>74.45</v>
      </c>
      <c r="N726" s="5">
        <v>3.750314835026447</v>
      </c>
      <c r="O726" t="s">
        <v>39</v>
      </c>
      <c r="P726" t="s">
        <v>340</v>
      </c>
      <c r="Q726" s="10" t="s">
        <v>24</v>
      </c>
      <c r="R726" t="s">
        <v>888</v>
      </c>
    </row>
    <row r="727" spans="1:18" hidden="1" x14ac:dyDescent="0.25">
      <c r="A727" s="9" t="s">
        <v>249</v>
      </c>
      <c r="B727" s="3" t="str">
        <f t="shared" si="14"/>
        <v>18/12/23</v>
      </c>
      <c r="C727" s="10">
        <v>23</v>
      </c>
      <c r="D727" s="10">
        <v>12</v>
      </c>
      <c r="E727" s="10">
        <v>18</v>
      </c>
      <c r="F727" t="s">
        <v>174</v>
      </c>
      <c r="G727" t="s">
        <v>174</v>
      </c>
      <c r="H727" t="s">
        <v>54</v>
      </c>
      <c r="I727" t="s">
        <v>27</v>
      </c>
      <c r="J727" s="4">
        <v>10</v>
      </c>
      <c r="K727">
        <v>0.83799999999999997</v>
      </c>
      <c r="L727">
        <v>10</v>
      </c>
      <c r="M727">
        <v>8.379999999999999</v>
      </c>
      <c r="N727" s="5">
        <v>0.4215291750503018</v>
      </c>
      <c r="O727" t="s">
        <v>101</v>
      </c>
      <c r="P727" t="s">
        <v>340</v>
      </c>
      <c r="Q727" s="10" t="s">
        <v>24</v>
      </c>
    </row>
    <row r="728" spans="1:18" hidden="1" x14ac:dyDescent="0.25">
      <c r="A728" s="9" t="s">
        <v>249</v>
      </c>
      <c r="B728" s="3" t="str">
        <f t="shared" si="14"/>
        <v>18/12/23</v>
      </c>
      <c r="C728" s="10">
        <v>23</v>
      </c>
      <c r="D728" s="10">
        <v>12</v>
      </c>
      <c r="E728" s="10">
        <v>18</v>
      </c>
      <c r="F728" t="s">
        <v>843</v>
      </c>
      <c r="H728" t="s">
        <v>131</v>
      </c>
      <c r="I728" t="s">
        <v>27</v>
      </c>
      <c r="J728" s="4">
        <v>30.3</v>
      </c>
      <c r="K728">
        <v>0.20200000000000001</v>
      </c>
      <c r="L728">
        <v>30.3</v>
      </c>
      <c r="M728">
        <v>6.1206000000000005</v>
      </c>
      <c r="N728" s="5">
        <v>0.30787726358148898</v>
      </c>
      <c r="O728" t="s">
        <v>583</v>
      </c>
      <c r="P728" t="s">
        <v>340</v>
      </c>
      <c r="Q728" s="10" t="s">
        <v>84</v>
      </c>
    </row>
    <row r="729" spans="1:18" hidden="1" x14ac:dyDescent="0.25">
      <c r="A729" s="9" t="s">
        <v>249</v>
      </c>
      <c r="B729" s="3" t="str">
        <f t="shared" si="14"/>
        <v>18/12/23</v>
      </c>
      <c r="C729" s="10">
        <v>23</v>
      </c>
      <c r="D729" s="10">
        <v>12</v>
      </c>
      <c r="E729" s="10">
        <v>18</v>
      </c>
      <c r="F729" t="s">
        <v>844</v>
      </c>
      <c r="H729" t="s">
        <v>131</v>
      </c>
      <c r="I729" t="s">
        <v>27</v>
      </c>
      <c r="J729" s="4">
        <v>200</v>
      </c>
      <c r="K729">
        <v>0.33600000000000002</v>
      </c>
      <c r="L729">
        <v>200</v>
      </c>
      <c r="M729">
        <v>67.2</v>
      </c>
      <c r="N729" s="5">
        <v>3.3802816901408455</v>
      </c>
      <c r="O729" t="s">
        <v>583</v>
      </c>
      <c r="P729" t="s">
        <v>340</v>
      </c>
      <c r="Q729" s="10" t="s">
        <v>84</v>
      </c>
    </row>
    <row r="730" spans="1:18" hidden="1" x14ac:dyDescent="0.25">
      <c r="A730" s="9" t="s">
        <v>249</v>
      </c>
      <c r="B730" s="3" t="str">
        <f t="shared" si="14"/>
        <v>18/12/23</v>
      </c>
      <c r="C730" s="10">
        <v>23</v>
      </c>
      <c r="D730" s="10">
        <v>12</v>
      </c>
      <c r="E730" s="10">
        <v>18</v>
      </c>
      <c r="F730" t="s">
        <v>94</v>
      </c>
      <c r="I730" t="s">
        <v>87</v>
      </c>
      <c r="J730" s="4">
        <v>110</v>
      </c>
      <c r="K730">
        <v>1</v>
      </c>
      <c r="L730">
        <v>110</v>
      </c>
      <c r="M730">
        <v>110</v>
      </c>
      <c r="N730" s="5">
        <v>5.5331991951710267</v>
      </c>
      <c r="O730" t="s">
        <v>583</v>
      </c>
      <c r="P730" t="s">
        <v>340</v>
      </c>
      <c r="Q730" s="10" t="s">
        <v>24</v>
      </c>
    </row>
    <row r="731" spans="1:18" hidden="1" x14ac:dyDescent="0.25">
      <c r="A731" s="9" t="s">
        <v>249</v>
      </c>
      <c r="B731" s="3" t="str">
        <f t="shared" si="14"/>
        <v>18/12/24</v>
      </c>
      <c r="C731" s="10">
        <v>24</v>
      </c>
      <c r="D731" s="10">
        <v>12</v>
      </c>
      <c r="E731" s="10">
        <v>18</v>
      </c>
      <c r="F731" t="s">
        <v>81</v>
      </c>
      <c r="I731" t="s">
        <v>431</v>
      </c>
      <c r="J731" s="4">
        <f>290*0.9</f>
        <v>261</v>
      </c>
      <c r="K731">
        <v>1</v>
      </c>
      <c r="L731">
        <v>261</v>
      </c>
      <c r="M731" s="8">
        <v>261</v>
      </c>
      <c r="N731" s="5">
        <v>13.12877263581489</v>
      </c>
      <c r="O731" t="s">
        <v>447</v>
      </c>
      <c r="P731" t="s">
        <v>340</v>
      </c>
      <c r="Q731" s="10" t="s">
        <v>84</v>
      </c>
      <c r="R731" t="s">
        <v>845</v>
      </c>
    </row>
    <row r="732" spans="1:18" hidden="1" x14ac:dyDescent="0.25">
      <c r="A732" s="9" t="s">
        <v>249</v>
      </c>
      <c r="B732" s="3" t="str">
        <f t="shared" si="14"/>
        <v>18/12/24</v>
      </c>
      <c r="C732" s="10">
        <v>24</v>
      </c>
      <c r="D732" s="10">
        <v>12</v>
      </c>
      <c r="E732" s="10">
        <v>18</v>
      </c>
      <c r="F732" t="s">
        <v>81</v>
      </c>
      <c r="I732" t="s">
        <v>431</v>
      </c>
      <c r="J732" s="4">
        <f>290*0.9</f>
        <v>261</v>
      </c>
      <c r="K732">
        <v>1</v>
      </c>
      <c r="L732">
        <v>261</v>
      </c>
      <c r="M732" s="8">
        <v>261</v>
      </c>
      <c r="N732" s="5">
        <v>13.12877263581489</v>
      </c>
      <c r="O732" t="s">
        <v>447</v>
      </c>
      <c r="P732" t="s">
        <v>340</v>
      </c>
      <c r="Q732" s="10" t="s">
        <v>84</v>
      </c>
      <c r="R732" t="s">
        <v>846</v>
      </c>
    </row>
    <row r="733" spans="1:18" hidden="1" x14ac:dyDescent="0.25">
      <c r="A733" s="9" t="s">
        <v>249</v>
      </c>
      <c r="B733" s="3" t="str">
        <f t="shared" si="14"/>
        <v>18/12/24</v>
      </c>
      <c r="C733" s="10">
        <v>24</v>
      </c>
      <c r="D733" s="10">
        <v>12</v>
      </c>
      <c r="E733" s="10">
        <v>18</v>
      </c>
      <c r="F733" t="s">
        <v>81</v>
      </c>
      <c r="H733" t="s">
        <v>63</v>
      </c>
      <c r="I733" t="s">
        <v>50</v>
      </c>
      <c r="J733" s="4">
        <v>238</v>
      </c>
      <c r="K733">
        <v>1</v>
      </c>
      <c r="L733">
        <v>238</v>
      </c>
      <c r="M733" s="8">
        <v>238</v>
      </c>
      <c r="N733" s="5">
        <v>11.971830985915494</v>
      </c>
      <c r="O733" t="s">
        <v>688</v>
      </c>
      <c r="P733" t="s">
        <v>340</v>
      </c>
      <c r="Q733" s="10" t="s">
        <v>84</v>
      </c>
      <c r="R733" t="s">
        <v>847</v>
      </c>
    </row>
    <row r="734" spans="1:18" hidden="1" x14ac:dyDescent="0.25">
      <c r="A734" s="9" t="s">
        <v>249</v>
      </c>
      <c r="B734" s="3" t="str">
        <f t="shared" si="14"/>
        <v>18/12/24</v>
      </c>
      <c r="C734" s="10">
        <v>24</v>
      </c>
      <c r="D734" s="10">
        <v>12</v>
      </c>
      <c r="E734" s="10">
        <v>18</v>
      </c>
      <c r="F734" t="s">
        <v>848</v>
      </c>
      <c r="I734" t="s">
        <v>431</v>
      </c>
      <c r="J734" s="4">
        <v>80</v>
      </c>
      <c r="K734">
        <v>1</v>
      </c>
      <c r="L734">
        <v>80</v>
      </c>
      <c r="M734" s="8">
        <v>80</v>
      </c>
      <c r="N734" s="5">
        <v>4.0241448692152924</v>
      </c>
      <c r="O734" t="s">
        <v>849</v>
      </c>
      <c r="P734" t="s">
        <v>340</v>
      </c>
      <c r="Q734" s="10" t="s">
        <v>84</v>
      </c>
    </row>
    <row r="735" spans="1:18" hidden="1" x14ac:dyDescent="0.25">
      <c r="A735" s="9" t="s">
        <v>249</v>
      </c>
      <c r="B735" s="3" t="str">
        <f t="shared" si="14"/>
        <v>18/12/24</v>
      </c>
      <c r="C735" s="10">
        <v>24</v>
      </c>
      <c r="D735" s="10">
        <v>12</v>
      </c>
      <c r="E735" s="10">
        <v>18</v>
      </c>
      <c r="F735" t="s">
        <v>435</v>
      </c>
      <c r="I735" t="s">
        <v>431</v>
      </c>
      <c r="J735" s="4">
        <v>33</v>
      </c>
      <c r="K735">
        <v>3</v>
      </c>
      <c r="L735">
        <v>33</v>
      </c>
      <c r="M735" s="8">
        <v>99</v>
      </c>
      <c r="N735" s="5">
        <v>4.9798792756539241</v>
      </c>
      <c r="O735" t="s">
        <v>849</v>
      </c>
      <c r="P735" t="s">
        <v>340</v>
      </c>
      <c r="Q735" s="10" t="s">
        <v>84</v>
      </c>
    </row>
    <row r="736" spans="1:18" hidden="1" x14ac:dyDescent="0.25">
      <c r="A736" s="9" t="s">
        <v>249</v>
      </c>
      <c r="B736" s="3" t="str">
        <f t="shared" si="14"/>
        <v>18/12/24</v>
      </c>
      <c r="C736" s="10">
        <v>24</v>
      </c>
      <c r="D736" s="10">
        <v>12</v>
      </c>
      <c r="E736" s="10">
        <v>18</v>
      </c>
      <c r="F736" t="s">
        <v>435</v>
      </c>
      <c r="I736" t="s">
        <v>431</v>
      </c>
      <c r="J736" s="4">
        <v>27</v>
      </c>
      <c r="K736">
        <v>2</v>
      </c>
      <c r="L736">
        <v>27</v>
      </c>
      <c r="M736" s="8">
        <v>54</v>
      </c>
      <c r="N736" s="5">
        <v>2.7162977867203222</v>
      </c>
      <c r="O736" t="s">
        <v>849</v>
      </c>
      <c r="P736" t="s">
        <v>340</v>
      </c>
      <c r="Q736" s="10" t="s">
        <v>84</v>
      </c>
    </row>
    <row r="737" spans="1:18" hidden="1" x14ac:dyDescent="0.25">
      <c r="A737" s="9" t="s">
        <v>249</v>
      </c>
      <c r="B737" s="3" t="str">
        <f t="shared" si="14"/>
        <v>18/12/24</v>
      </c>
      <c r="C737" s="10">
        <v>24</v>
      </c>
      <c r="D737" s="10">
        <v>12</v>
      </c>
      <c r="E737" s="10">
        <v>18</v>
      </c>
      <c r="F737" t="s">
        <v>81</v>
      </c>
      <c r="H737" t="s">
        <v>49</v>
      </c>
      <c r="I737" t="s">
        <v>50</v>
      </c>
      <c r="J737" s="4">
        <v>50</v>
      </c>
      <c r="K737">
        <v>2</v>
      </c>
      <c r="L737">
        <v>50</v>
      </c>
      <c r="M737" s="8">
        <v>100</v>
      </c>
      <c r="N737" s="5">
        <v>5.0301810865191152</v>
      </c>
      <c r="O737" t="s">
        <v>849</v>
      </c>
      <c r="P737" t="s">
        <v>340</v>
      </c>
      <c r="Q737" s="10" t="s">
        <v>84</v>
      </c>
      <c r="R737" t="s">
        <v>850</v>
      </c>
    </row>
    <row r="738" spans="1:18" hidden="1" x14ac:dyDescent="0.25">
      <c r="A738" s="9" t="s">
        <v>249</v>
      </c>
      <c r="B738" s="3" t="str">
        <f t="shared" si="14"/>
        <v>18/12/24</v>
      </c>
      <c r="C738" s="10">
        <v>24</v>
      </c>
      <c r="D738" s="10">
        <v>12</v>
      </c>
      <c r="E738" s="10">
        <v>18</v>
      </c>
      <c r="F738" t="s">
        <v>848</v>
      </c>
      <c r="I738" t="s">
        <v>431</v>
      </c>
      <c r="J738" s="4">
        <v>75</v>
      </c>
      <c r="K738">
        <v>1</v>
      </c>
      <c r="L738">
        <v>75</v>
      </c>
      <c r="M738" s="8">
        <v>75</v>
      </c>
      <c r="N738" s="5">
        <v>3.7726358148893362</v>
      </c>
      <c r="O738" t="s">
        <v>849</v>
      </c>
      <c r="P738" t="s">
        <v>340</v>
      </c>
      <c r="Q738" s="10" t="s">
        <v>84</v>
      </c>
    </row>
    <row r="739" spans="1:18" hidden="1" x14ac:dyDescent="0.25">
      <c r="A739" s="9" t="s">
        <v>249</v>
      </c>
      <c r="B739" s="3" t="str">
        <f t="shared" si="14"/>
        <v>18/12/24</v>
      </c>
      <c r="C739" s="10">
        <v>24</v>
      </c>
      <c r="D739" s="10">
        <v>12</v>
      </c>
      <c r="E739" s="10">
        <v>18</v>
      </c>
      <c r="F739" t="s">
        <v>389</v>
      </c>
      <c r="I739" t="s">
        <v>87</v>
      </c>
      <c r="J739" s="4">
        <v>90</v>
      </c>
      <c r="K739">
        <v>1</v>
      </c>
      <c r="L739">
        <v>1786.5000000000002</v>
      </c>
      <c r="M739">
        <v>1786.5000000000002</v>
      </c>
      <c r="N739" s="5">
        <v>89.864185110663996</v>
      </c>
      <c r="O739" t="s">
        <v>39</v>
      </c>
      <c r="P739" t="s">
        <v>340</v>
      </c>
      <c r="Q739" s="10" t="s">
        <v>24</v>
      </c>
      <c r="R739" t="s">
        <v>851</v>
      </c>
    </row>
    <row r="740" spans="1:18" hidden="1" x14ac:dyDescent="0.25">
      <c r="A740" s="9" t="s">
        <v>249</v>
      </c>
      <c r="B740" s="3" t="str">
        <f t="shared" si="14"/>
        <v>18/12/26</v>
      </c>
      <c r="C740" s="10">
        <v>26</v>
      </c>
      <c r="D740" s="10">
        <v>12</v>
      </c>
      <c r="E740" s="10">
        <v>18</v>
      </c>
      <c r="F740" t="s">
        <v>52</v>
      </c>
      <c r="H740" t="s">
        <v>53</v>
      </c>
      <c r="I740" t="s">
        <v>27</v>
      </c>
      <c r="J740" s="4">
        <v>35</v>
      </c>
      <c r="K740">
        <v>2</v>
      </c>
      <c r="L740">
        <v>35</v>
      </c>
      <c r="M740">
        <v>70</v>
      </c>
      <c r="N740" s="5">
        <v>3.5211267605633805</v>
      </c>
      <c r="O740" t="s">
        <v>101</v>
      </c>
      <c r="P740" t="s">
        <v>340</v>
      </c>
      <c r="Q740" s="10" t="s">
        <v>24</v>
      </c>
    </row>
    <row r="741" spans="1:18" hidden="1" x14ac:dyDescent="0.25">
      <c r="A741" s="9" t="s">
        <v>249</v>
      </c>
      <c r="B741" s="3" t="str">
        <f t="shared" si="14"/>
        <v>18/12/26</v>
      </c>
      <c r="C741" s="10">
        <v>26</v>
      </c>
      <c r="D741" s="10">
        <v>12</v>
      </c>
      <c r="E741" s="10">
        <v>18</v>
      </c>
      <c r="F741" t="s">
        <v>852</v>
      </c>
      <c r="G741" t="s">
        <v>155</v>
      </c>
      <c r="H741" t="s">
        <v>131</v>
      </c>
      <c r="I741" t="s">
        <v>27</v>
      </c>
      <c r="J741" s="4">
        <v>11.5</v>
      </c>
      <c r="K741">
        <v>3</v>
      </c>
      <c r="L741">
        <v>11.5</v>
      </c>
      <c r="M741">
        <v>34.5</v>
      </c>
      <c r="N741" s="5">
        <v>1.7354124748490947</v>
      </c>
      <c r="O741" t="s">
        <v>101</v>
      </c>
      <c r="P741" t="s">
        <v>340</v>
      </c>
      <c r="Q741" s="10" t="s">
        <v>84</v>
      </c>
    </row>
    <row r="742" spans="1:18" hidden="1" x14ac:dyDescent="0.25">
      <c r="A742" s="9" t="s">
        <v>249</v>
      </c>
      <c r="B742" s="3" t="str">
        <f t="shared" si="14"/>
        <v>18/12/26</v>
      </c>
      <c r="C742" s="10">
        <v>26</v>
      </c>
      <c r="D742" s="10">
        <v>12</v>
      </c>
      <c r="E742" s="10">
        <v>18</v>
      </c>
      <c r="F742" t="s">
        <v>104</v>
      </c>
      <c r="I742" t="s">
        <v>72</v>
      </c>
      <c r="J742" s="4">
        <v>11.32</v>
      </c>
      <c r="K742">
        <v>1</v>
      </c>
      <c r="L742">
        <v>11.32</v>
      </c>
      <c r="M742">
        <v>11.32</v>
      </c>
      <c r="N742" s="5">
        <v>0.56941649899396385</v>
      </c>
      <c r="O742" t="s">
        <v>233</v>
      </c>
      <c r="P742" t="s">
        <v>340</v>
      </c>
      <c r="Q742" s="10" t="s">
        <v>24</v>
      </c>
      <c r="R742" t="s">
        <v>853</v>
      </c>
    </row>
    <row r="743" spans="1:18" hidden="1" x14ac:dyDescent="0.25">
      <c r="A743" s="9" t="s">
        <v>249</v>
      </c>
      <c r="B743" s="3" t="str">
        <f t="shared" si="14"/>
        <v>18/12/26</v>
      </c>
      <c r="C743" s="10">
        <v>26</v>
      </c>
      <c r="D743" s="10">
        <v>12</v>
      </c>
      <c r="E743" s="10">
        <v>18</v>
      </c>
      <c r="F743" t="s">
        <v>779</v>
      </c>
      <c r="I743" t="s">
        <v>72</v>
      </c>
      <c r="J743" s="4">
        <v>0.82</v>
      </c>
      <c r="K743">
        <v>1</v>
      </c>
      <c r="L743">
        <v>0.82</v>
      </c>
      <c r="M743">
        <v>0.82</v>
      </c>
      <c r="N743" s="5">
        <v>4.124748490945674E-2</v>
      </c>
      <c r="O743" t="s">
        <v>233</v>
      </c>
      <c r="P743" t="s">
        <v>340</v>
      </c>
      <c r="Q743" s="10" t="s">
        <v>24</v>
      </c>
    </row>
    <row r="744" spans="1:18" hidden="1" x14ac:dyDescent="0.25">
      <c r="A744" s="9" t="s">
        <v>249</v>
      </c>
      <c r="B744" s="3" t="str">
        <f t="shared" si="14"/>
        <v>18/12/26</v>
      </c>
      <c r="C744" s="10">
        <v>26</v>
      </c>
      <c r="D744" s="10">
        <v>12</v>
      </c>
      <c r="E744" s="10">
        <v>18</v>
      </c>
      <c r="F744" t="s">
        <v>104</v>
      </c>
      <c r="I744" t="s">
        <v>72</v>
      </c>
      <c r="J744" s="4">
        <v>35.65</v>
      </c>
      <c r="K744">
        <v>2</v>
      </c>
      <c r="L744">
        <v>35.65</v>
      </c>
      <c r="M744">
        <v>71.3</v>
      </c>
      <c r="N744" s="5">
        <v>3.5865191146881288</v>
      </c>
      <c r="O744" t="s">
        <v>233</v>
      </c>
      <c r="P744" t="s">
        <v>340</v>
      </c>
      <c r="Q744" s="10" t="s">
        <v>24</v>
      </c>
      <c r="R744" t="s">
        <v>854</v>
      </c>
    </row>
    <row r="745" spans="1:18" hidden="1" x14ac:dyDescent="0.25">
      <c r="A745" s="9" t="s">
        <v>249</v>
      </c>
      <c r="B745" s="3" t="str">
        <f t="shared" si="14"/>
        <v>18/12/26</v>
      </c>
      <c r="C745" s="10">
        <v>26</v>
      </c>
      <c r="D745" s="10">
        <v>12</v>
      </c>
      <c r="E745" s="10">
        <v>18</v>
      </c>
      <c r="F745" t="s">
        <v>102</v>
      </c>
      <c r="H745" t="s">
        <v>102</v>
      </c>
      <c r="I745" t="s">
        <v>27</v>
      </c>
      <c r="J745" s="4">
        <v>30.22</v>
      </c>
      <c r="K745">
        <v>2</v>
      </c>
      <c r="L745">
        <v>30.22</v>
      </c>
      <c r="M745">
        <v>60.44</v>
      </c>
      <c r="N745" s="5">
        <v>3.0402414486921527</v>
      </c>
      <c r="O745" t="s">
        <v>233</v>
      </c>
      <c r="P745" t="s">
        <v>340</v>
      </c>
      <c r="Q745" s="10" t="s">
        <v>24</v>
      </c>
      <c r="R745" t="s">
        <v>855</v>
      </c>
    </row>
    <row r="746" spans="1:18" hidden="1" x14ac:dyDescent="0.25">
      <c r="A746" s="9" t="s">
        <v>249</v>
      </c>
      <c r="B746" s="3" t="str">
        <f t="shared" si="14"/>
        <v>18/12/26</v>
      </c>
      <c r="C746" s="10">
        <v>26</v>
      </c>
      <c r="D746" s="10">
        <v>12</v>
      </c>
      <c r="E746" s="10">
        <v>18</v>
      </c>
      <c r="F746" t="s">
        <v>146</v>
      </c>
      <c r="H746" t="s">
        <v>49</v>
      </c>
      <c r="I746" t="s">
        <v>50</v>
      </c>
      <c r="J746" s="4">
        <v>0.15</v>
      </c>
      <c r="K746">
        <v>1</v>
      </c>
      <c r="L746">
        <v>0.15</v>
      </c>
      <c r="M746" s="8">
        <v>0.15</v>
      </c>
      <c r="N746" s="5">
        <v>7.545271629778672E-3</v>
      </c>
      <c r="O746" t="s">
        <v>233</v>
      </c>
      <c r="P746" t="s">
        <v>340</v>
      </c>
      <c r="Q746" s="10" t="s">
        <v>24</v>
      </c>
    </row>
    <row r="747" spans="1:18" hidden="1" x14ac:dyDescent="0.25">
      <c r="A747" s="9" t="s">
        <v>249</v>
      </c>
      <c r="B747" s="3" t="str">
        <f t="shared" si="14"/>
        <v>18/12/26</v>
      </c>
      <c r="C747" s="10">
        <v>26</v>
      </c>
      <c r="D747" s="10">
        <v>12</v>
      </c>
      <c r="E747" s="10">
        <v>18</v>
      </c>
      <c r="F747" t="s">
        <v>71</v>
      </c>
      <c r="I747" t="s">
        <v>72</v>
      </c>
      <c r="J747" s="4">
        <v>350</v>
      </c>
      <c r="K747">
        <v>1</v>
      </c>
      <c r="L747">
        <v>350</v>
      </c>
      <c r="M747">
        <v>350</v>
      </c>
      <c r="N747" s="5">
        <v>17.605633802816904</v>
      </c>
      <c r="O747" t="s">
        <v>857</v>
      </c>
      <c r="P747" t="s">
        <v>340</v>
      </c>
      <c r="Q747" s="10" t="s">
        <v>24</v>
      </c>
      <c r="R747" t="s">
        <v>856</v>
      </c>
    </row>
    <row r="748" spans="1:18" hidden="1" x14ac:dyDescent="0.25">
      <c r="A748" s="9" t="s">
        <v>249</v>
      </c>
      <c r="B748" s="3" t="str">
        <f t="shared" si="14"/>
        <v>18/12/26</v>
      </c>
      <c r="C748" s="10">
        <v>26</v>
      </c>
      <c r="D748" s="10">
        <v>12</v>
      </c>
      <c r="E748" s="10">
        <v>18</v>
      </c>
      <c r="F748" t="s">
        <v>780</v>
      </c>
      <c r="I748" t="s">
        <v>72</v>
      </c>
      <c r="J748" s="4">
        <v>17</v>
      </c>
      <c r="K748">
        <v>1</v>
      </c>
      <c r="L748">
        <v>17</v>
      </c>
      <c r="M748">
        <v>17</v>
      </c>
      <c r="N748" s="5">
        <v>0.85513078470824955</v>
      </c>
      <c r="O748" t="s">
        <v>633</v>
      </c>
      <c r="P748" t="s">
        <v>340</v>
      </c>
      <c r="Q748" s="10" t="s">
        <v>24</v>
      </c>
    </row>
    <row r="749" spans="1:18" hidden="1" x14ac:dyDescent="0.25">
      <c r="A749" s="9" t="s">
        <v>249</v>
      </c>
      <c r="B749" s="3" t="str">
        <f t="shared" si="14"/>
        <v>18/12/27</v>
      </c>
      <c r="C749" s="10">
        <v>27</v>
      </c>
      <c r="D749" s="10">
        <v>12</v>
      </c>
      <c r="E749" s="10">
        <v>18</v>
      </c>
      <c r="F749" t="s">
        <v>102</v>
      </c>
      <c r="H749" t="s">
        <v>102</v>
      </c>
      <c r="I749" t="s">
        <v>27</v>
      </c>
      <c r="J749">
        <v>10</v>
      </c>
      <c r="K749">
        <v>1</v>
      </c>
      <c r="L749">
        <v>10</v>
      </c>
      <c r="M749">
        <v>10</v>
      </c>
      <c r="N749" s="5">
        <v>0.50822398817224168</v>
      </c>
      <c r="O749" t="s">
        <v>877</v>
      </c>
      <c r="P749" t="s">
        <v>340</v>
      </c>
      <c r="Q749" s="10" t="s">
        <v>24</v>
      </c>
    </row>
    <row r="750" spans="1:18" hidden="1" x14ac:dyDescent="0.25">
      <c r="A750" s="9" t="s">
        <v>249</v>
      </c>
      <c r="B750" s="3" t="str">
        <f t="shared" si="14"/>
        <v>18/12/27</v>
      </c>
      <c r="C750" s="10">
        <v>27</v>
      </c>
      <c r="D750" s="10">
        <v>12</v>
      </c>
      <c r="E750" s="10">
        <v>18</v>
      </c>
      <c r="F750" t="s">
        <v>55</v>
      </c>
      <c r="H750" t="s">
        <v>56</v>
      </c>
      <c r="I750" t="s">
        <v>27</v>
      </c>
      <c r="J750">
        <v>29.99</v>
      </c>
      <c r="K750">
        <v>0.55600000000000005</v>
      </c>
      <c r="L750">
        <v>29.99</v>
      </c>
      <c r="M750">
        <v>16.674440000000001</v>
      </c>
      <c r="N750" s="5">
        <v>0.84743503973387535</v>
      </c>
      <c r="O750" t="s">
        <v>101</v>
      </c>
      <c r="P750" t="s">
        <v>340</v>
      </c>
      <c r="Q750" s="10" t="s">
        <v>24</v>
      </c>
    </row>
    <row r="751" spans="1:18" hidden="1" x14ac:dyDescent="0.25">
      <c r="A751" s="9" t="s">
        <v>249</v>
      </c>
      <c r="B751" s="3" t="str">
        <f t="shared" si="14"/>
        <v>18/12/27</v>
      </c>
      <c r="C751" s="10">
        <v>27</v>
      </c>
      <c r="D751" s="10">
        <v>12</v>
      </c>
      <c r="E751" s="10">
        <v>18</v>
      </c>
      <c r="F751" t="s">
        <v>878</v>
      </c>
      <c r="H751" t="s">
        <v>53</v>
      </c>
      <c r="I751" t="s">
        <v>27</v>
      </c>
      <c r="J751">
        <v>7.5</v>
      </c>
      <c r="K751">
        <v>2</v>
      </c>
      <c r="L751">
        <v>7.5</v>
      </c>
      <c r="M751">
        <v>15</v>
      </c>
      <c r="N751" s="5">
        <v>0.76233598225836252</v>
      </c>
      <c r="O751" t="s">
        <v>101</v>
      </c>
      <c r="P751" t="s">
        <v>340</v>
      </c>
      <c r="Q751" s="10" t="s">
        <v>24</v>
      </c>
    </row>
    <row r="752" spans="1:18" hidden="1" x14ac:dyDescent="0.25">
      <c r="A752" s="9" t="s">
        <v>249</v>
      </c>
      <c r="B752" s="3" t="str">
        <f t="shared" si="14"/>
        <v>18/12/27</v>
      </c>
      <c r="C752" s="10">
        <v>27</v>
      </c>
      <c r="D752" s="10">
        <v>12</v>
      </c>
      <c r="E752" s="10">
        <v>18</v>
      </c>
      <c r="F752" t="s">
        <v>102</v>
      </c>
      <c r="H752" t="s">
        <v>102</v>
      </c>
      <c r="I752" t="s">
        <v>27</v>
      </c>
      <c r="J752" s="4">
        <v>10</v>
      </c>
      <c r="K752">
        <v>1</v>
      </c>
      <c r="L752">
        <v>10</v>
      </c>
      <c r="M752">
        <v>10</v>
      </c>
      <c r="N752" s="5">
        <v>0.50301810865191154</v>
      </c>
      <c r="O752" t="s">
        <v>877</v>
      </c>
      <c r="P752" t="s">
        <v>340</v>
      </c>
      <c r="Q752" s="10" t="s">
        <v>24</v>
      </c>
    </row>
    <row r="753" spans="1:18" hidden="1" x14ac:dyDescent="0.25">
      <c r="A753" s="9" t="s">
        <v>249</v>
      </c>
      <c r="B753" s="3" t="str">
        <f t="shared" si="14"/>
        <v>18/12/28</v>
      </c>
      <c r="C753" s="10">
        <v>28</v>
      </c>
      <c r="D753" s="10">
        <v>12</v>
      </c>
      <c r="E753" s="10">
        <v>18</v>
      </c>
      <c r="F753" t="s">
        <v>384</v>
      </c>
      <c r="G753" t="s">
        <v>75</v>
      </c>
      <c r="H753" t="s">
        <v>65</v>
      </c>
      <c r="I753" t="s">
        <v>27</v>
      </c>
      <c r="J753">
        <v>17.600000000000001</v>
      </c>
      <c r="K753">
        <v>2</v>
      </c>
      <c r="L753">
        <v>17.600000000000001</v>
      </c>
      <c r="M753">
        <v>35.200000000000003</v>
      </c>
      <c r="N753" s="5">
        <v>1.7889484383662908</v>
      </c>
      <c r="O753" t="s">
        <v>1472</v>
      </c>
      <c r="P753" t="s">
        <v>340</v>
      </c>
      <c r="Q753" s="10" t="s">
        <v>24</v>
      </c>
    </row>
    <row r="754" spans="1:18" hidden="1" x14ac:dyDescent="0.25">
      <c r="A754" s="9" t="s">
        <v>249</v>
      </c>
      <c r="B754" s="3" t="str">
        <f t="shared" si="14"/>
        <v>18/12/28</v>
      </c>
      <c r="C754" s="10">
        <v>28</v>
      </c>
      <c r="D754" s="10">
        <v>12</v>
      </c>
      <c r="E754" s="10">
        <v>18</v>
      </c>
      <c r="F754" t="s">
        <v>74</v>
      </c>
      <c r="H754" t="s">
        <v>56</v>
      </c>
      <c r="I754" t="s">
        <v>27</v>
      </c>
      <c r="J754">
        <v>29.7</v>
      </c>
      <c r="K754">
        <v>1.29</v>
      </c>
      <c r="L754">
        <v>29.7</v>
      </c>
      <c r="M754">
        <v>38.313000000000002</v>
      </c>
      <c r="N754" s="5">
        <v>1.9471585658843096</v>
      </c>
      <c r="O754" t="s">
        <v>1472</v>
      </c>
      <c r="P754" t="s">
        <v>340</v>
      </c>
      <c r="Q754" s="10" t="s">
        <v>24</v>
      </c>
    </row>
    <row r="755" spans="1:18" hidden="1" x14ac:dyDescent="0.25">
      <c r="A755" s="9" t="s">
        <v>249</v>
      </c>
      <c r="B755" s="3" t="str">
        <f t="shared" si="14"/>
        <v>18/12/28</v>
      </c>
      <c r="C755" s="10">
        <v>28</v>
      </c>
      <c r="D755" s="10">
        <v>12</v>
      </c>
      <c r="E755" s="10">
        <v>18</v>
      </c>
      <c r="F755" t="s">
        <v>146</v>
      </c>
      <c r="H755" t="s">
        <v>49</v>
      </c>
      <c r="I755" t="s">
        <v>50</v>
      </c>
      <c r="J755">
        <v>0.5</v>
      </c>
      <c r="K755">
        <v>1</v>
      </c>
      <c r="L755">
        <v>0.5</v>
      </c>
      <c r="M755">
        <v>0.5</v>
      </c>
      <c r="N755" s="5">
        <v>2.5411199408612084E-2</v>
      </c>
      <c r="O755" t="s">
        <v>1472</v>
      </c>
      <c r="P755" t="s">
        <v>340</v>
      </c>
      <c r="Q755" s="10" t="s">
        <v>24</v>
      </c>
    </row>
    <row r="756" spans="1:18" hidden="1" x14ac:dyDescent="0.25">
      <c r="A756" s="9" t="s">
        <v>249</v>
      </c>
      <c r="B756" s="3" t="str">
        <f t="shared" si="14"/>
        <v>18/12/28</v>
      </c>
      <c r="C756" s="10">
        <v>28</v>
      </c>
      <c r="D756" s="10">
        <v>12</v>
      </c>
      <c r="E756" s="10">
        <v>18</v>
      </c>
      <c r="F756" t="s">
        <v>94</v>
      </c>
      <c r="I756" t="s">
        <v>87</v>
      </c>
      <c r="J756" s="4">
        <v>200</v>
      </c>
      <c r="K756">
        <v>1</v>
      </c>
      <c r="L756">
        <v>200</v>
      </c>
      <c r="M756">
        <v>200</v>
      </c>
      <c r="N756" s="5">
        <v>0</v>
      </c>
      <c r="O756" t="s">
        <v>39</v>
      </c>
      <c r="Q756" s="10" t="s">
        <v>24</v>
      </c>
    </row>
    <row r="757" spans="1:18" hidden="1" x14ac:dyDescent="0.25">
      <c r="A757" s="9" t="s">
        <v>249</v>
      </c>
      <c r="B757" s="3" t="str">
        <f t="shared" si="14"/>
        <v>18/12/28</v>
      </c>
      <c r="C757" s="10">
        <v>28</v>
      </c>
      <c r="D757" s="10">
        <v>12</v>
      </c>
      <c r="E757" s="10">
        <v>18</v>
      </c>
      <c r="F757" t="s">
        <v>858</v>
      </c>
      <c r="H757" t="s">
        <v>63</v>
      </c>
      <c r="I757" t="s">
        <v>50</v>
      </c>
      <c r="J757" s="4">
        <v>80</v>
      </c>
      <c r="K757">
        <v>2</v>
      </c>
      <c r="L757">
        <v>80</v>
      </c>
      <c r="M757">
        <v>80</v>
      </c>
      <c r="N757" s="5">
        <v>4.0241448692152924</v>
      </c>
      <c r="O757" t="s">
        <v>859</v>
      </c>
      <c r="P757" t="s">
        <v>340</v>
      </c>
      <c r="Q757" s="10" t="s">
        <v>24</v>
      </c>
    </row>
    <row r="758" spans="1:18" hidden="1" x14ac:dyDescent="0.25">
      <c r="A758" s="9" t="s">
        <v>249</v>
      </c>
      <c r="B758" s="3" t="str">
        <f t="shared" si="14"/>
        <v>18/12/28</v>
      </c>
      <c r="C758" s="10">
        <v>28</v>
      </c>
      <c r="D758" s="10">
        <v>12</v>
      </c>
      <c r="E758" s="10">
        <v>18</v>
      </c>
      <c r="F758" t="s">
        <v>860</v>
      </c>
      <c r="G758" t="s">
        <v>155</v>
      </c>
      <c r="H758" t="s">
        <v>131</v>
      </c>
      <c r="I758" t="s">
        <v>27</v>
      </c>
      <c r="J758" s="4">
        <v>119</v>
      </c>
      <c r="K758">
        <v>1</v>
      </c>
      <c r="L758">
        <v>119</v>
      </c>
      <c r="M758">
        <v>119</v>
      </c>
      <c r="N758" s="5">
        <v>0</v>
      </c>
      <c r="O758" t="s">
        <v>859</v>
      </c>
      <c r="P758" t="s">
        <v>340</v>
      </c>
      <c r="Q758" s="10" t="s">
        <v>84</v>
      </c>
    </row>
    <row r="759" spans="1:18" hidden="1" x14ac:dyDescent="0.25">
      <c r="A759" s="9" t="s">
        <v>249</v>
      </c>
      <c r="B759" s="3" t="str">
        <f t="shared" si="14"/>
        <v>18/12/28</v>
      </c>
      <c r="C759" s="10">
        <v>28</v>
      </c>
      <c r="D759" s="10">
        <v>12</v>
      </c>
      <c r="E759" s="10">
        <v>18</v>
      </c>
      <c r="F759" t="s">
        <v>862</v>
      </c>
      <c r="H759" t="s">
        <v>63</v>
      </c>
      <c r="I759" t="s">
        <v>27</v>
      </c>
      <c r="J759" s="4">
        <v>46</v>
      </c>
      <c r="K759">
        <v>1</v>
      </c>
      <c r="L759">
        <v>46</v>
      </c>
      <c r="M759">
        <v>46</v>
      </c>
      <c r="N759" s="5">
        <v>2.313883299798793</v>
      </c>
      <c r="O759" t="s">
        <v>39</v>
      </c>
      <c r="Q759" s="10" t="s">
        <v>24</v>
      </c>
      <c r="R759" t="s">
        <v>861</v>
      </c>
    </row>
    <row r="760" spans="1:18" hidden="1" x14ac:dyDescent="0.25">
      <c r="A760" s="9" t="s">
        <v>249</v>
      </c>
      <c r="B760" s="3" t="str">
        <f t="shared" si="14"/>
        <v>18/12/28</v>
      </c>
      <c r="C760" s="10">
        <v>28</v>
      </c>
      <c r="D760" s="10">
        <v>12</v>
      </c>
      <c r="E760" s="10">
        <v>18</v>
      </c>
      <c r="F760" t="s">
        <v>141</v>
      </c>
      <c r="H760" t="s">
        <v>172</v>
      </c>
      <c r="I760" t="s">
        <v>39</v>
      </c>
      <c r="J760" s="4">
        <v>2</v>
      </c>
      <c r="K760">
        <v>1</v>
      </c>
      <c r="L760">
        <v>2</v>
      </c>
      <c r="M760">
        <v>2</v>
      </c>
      <c r="N760" s="5">
        <v>0</v>
      </c>
      <c r="O760" t="s">
        <v>39</v>
      </c>
      <c r="P760" t="s">
        <v>340</v>
      </c>
      <c r="Q760" s="10" t="s">
        <v>24</v>
      </c>
    </row>
    <row r="761" spans="1:18" hidden="1" x14ac:dyDescent="0.25">
      <c r="A761" s="9" t="s">
        <v>249</v>
      </c>
      <c r="B761" s="3" t="str">
        <f t="shared" si="14"/>
        <v>18/12/28</v>
      </c>
      <c r="C761" s="10">
        <v>28</v>
      </c>
      <c r="D761" s="10">
        <v>12</v>
      </c>
      <c r="E761" s="10">
        <v>18</v>
      </c>
      <c r="F761" t="s">
        <v>75</v>
      </c>
      <c r="H761" t="s">
        <v>65</v>
      </c>
      <c r="I761" s="32" t="s">
        <v>27</v>
      </c>
      <c r="J761" s="4">
        <v>10</v>
      </c>
      <c r="K761">
        <v>5</v>
      </c>
      <c r="L761">
        <v>10</v>
      </c>
      <c r="M761">
        <v>50</v>
      </c>
      <c r="N761" s="5">
        <v>2.5150905432595576</v>
      </c>
      <c r="O761" t="s">
        <v>101</v>
      </c>
      <c r="P761" t="s">
        <v>340</v>
      </c>
      <c r="Q761" s="10" t="s">
        <v>24</v>
      </c>
    </row>
    <row r="762" spans="1:18" hidden="1" x14ac:dyDescent="0.25">
      <c r="A762" s="9" t="s">
        <v>249</v>
      </c>
      <c r="B762" s="3" t="str">
        <f t="shared" si="14"/>
        <v>18/12/3</v>
      </c>
      <c r="C762" s="10">
        <v>3</v>
      </c>
      <c r="D762" s="10">
        <v>12</v>
      </c>
      <c r="E762" s="10">
        <v>18</v>
      </c>
      <c r="F762" t="s">
        <v>863</v>
      </c>
      <c r="G762" t="s">
        <v>708</v>
      </c>
      <c r="H762" t="s">
        <v>131</v>
      </c>
      <c r="I762" t="s">
        <v>27</v>
      </c>
      <c r="J762" s="4">
        <v>59.5</v>
      </c>
      <c r="K762">
        <v>0.252</v>
      </c>
      <c r="L762">
        <v>59.5</v>
      </c>
      <c r="M762">
        <v>14.994</v>
      </c>
      <c r="N762" s="5">
        <v>0.75422535211267605</v>
      </c>
      <c r="O762" s="10" t="s">
        <v>101</v>
      </c>
      <c r="P762" t="s">
        <v>340</v>
      </c>
      <c r="Q762" s="10" t="s">
        <v>24</v>
      </c>
    </row>
    <row r="763" spans="1:18" hidden="1" x14ac:dyDescent="0.25">
      <c r="A763" s="9" t="s">
        <v>249</v>
      </c>
      <c r="B763" s="3" t="str">
        <f t="shared" si="14"/>
        <v>18/12/3</v>
      </c>
      <c r="C763" s="10">
        <v>3</v>
      </c>
      <c r="D763" s="10">
        <v>12</v>
      </c>
      <c r="E763" s="10">
        <v>18</v>
      </c>
      <c r="F763" t="s">
        <v>864</v>
      </c>
      <c r="G763" t="s">
        <v>708</v>
      </c>
      <c r="H763" t="s">
        <v>131</v>
      </c>
      <c r="I763" t="s">
        <v>27</v>
      </c>
      <c r="J763" s="4">
        <v>25.75</v>
      </c>
      <c r="K763">
        <v>1</v>
      </c>
      <c r="L763">
        <v>25.75</v>
      </c>
      <c r="M763">
        <v>25.75</v>
      </c>
      <c r="N763" s="5">
        <v>1.2952716297786722</v>
      </c>
      <c r="O763" s="10" t="s">
        <v>101</v>
      </c>
      <c r="P763" t="s">
        <v>340</v>
      </c>
      <c r="Q763" s="10" t="s">
        <v>24</v>
      </c>
    </row>
    <row r="764" spans="1:18" hidden="1" x14ac:dyDescent="0.25">
      <c r="A764" s="9" t="s">
        <v>249</v>
      </c>
      <c r="B764" s="3" t="str">
        <f t="shared" si="14"/>
        <v>18/12/3</v>
      </c>
      <c r="C764" s="10">
        <v>3</v>
      </c>
      <c r="D764" s="10">
        <v>12</v>
      </c>
      <c r="E764" s="10">
        <v>18</v>
      </c>
      <c r="F764" t="s">
        <v>865</v>
      </c>
      <c r="G764" t="s">
        <v>31</v>
      </c>
      <c r="H764" t="s">
        <v>26</v>
      </c>
      <c r="I764" t="s">
        <v>27</v>
      </c>
      <c r="J764" s="4">
        <v>6.75</v>
      </c>
      <c r="K764">
        <v>1</v>
      </c>
      <c r="L764">
        <v>6.75</v>
      </c>
      <c r="M764">
        <v>6.75</v>
      </c>
      <c r="N764" s="5">
        <v>0.33953722334004027</v>
      </c>
      <c r="O764" s="10" t="s">
        <v>101</v>
      </c>
      <c r="P764" t="s">
        <v>340</v>
      </c>
      <c r="Q764" s="10" t="s">
        <v>24</v>
      </c>
    </row>
    <row r="765" spans="1:18" hidden="1" x14ac:dyDescent="0.25">
      <c r="A765" s="9" t="s">
        <v>249</v>
      </c>
      <c r="B765" s="3" t="str">
        <f t="shared" si="14"/>
        <v>18/12/3</v>
      </c>
      <c r="C765" s="10">
        <v>3</v>
      </c>
      <c r="D765" s="10">
        <v>12</v>
      </c>
      <c r="E765" s="10">
        <v>18</v>
      </c>
      <c r="F765" t="s">
        <v>770</v>
      </c>
      <c r="G765" t="s">
        <v>31</v>
      </c>
      <c r="H765" t="s">
        <v>26</v>
      </c>
      <c r="I765" t="s">
        <v>27</v>
      </c>
      <c r="J765" s="4">
        <v>7.75</v>
      </c>
      <c r="K765">
        <v>1</v>
      </c>
      <c r="L765">
        <v>7.75</v>
      </c>
      <c r="M765">
        <v>7.75</v>
      </c>
      <c r="N765" s="5">
        <v>0.38983903420523142</v>
      </c>
      <c r="O765" s="10" t="s">
        <v>101</v>
      </c>
      <c r="P765" t="s">
        <v>340</v>
      </c>
      <c r="Q765" s="10" t="s">
        <v>24</v>
      </c>
    </row>
    <row r="766" spans="1:18" hidden="1" x14ac:dyDescent="0.25">
      <c r="A766" s="9" t="s">
        <v>249</v>
      </c>
      <c r="B766" s="3" t="str">
        <f t="shared" si="14"/>
        <v>18/12/3</v>
      </c>
      <c r="C766" s="10">
        <v>3</v>
      </c>
      <c r="D766" s="10">
        <v>12</v>
      </c>
      <c r="E766" s="10">
        <v>18</v>
      </c>
      <c r="F766" t="s">
        <v>2242</v>
      </c>
      <c r="G766" t="s">
        <v>345</v>
      </c>
      <c r="H766" t="s">
        <v>26</v>
      </c>
      <c r="I766" t="s">
        <v>27</v>
      </c>
      <c r="J766" s="4">
        <v>6.5</v>
      </c>
      <c r="K766">
        <v>1</v>
      </c>
      <c r="L766">
        <v>6.5</v>
      </c>
      <c r="M766">
        <v>6.5</v>
      </c>
      <c r="N766" s="5">
        <v>0.32696177062374249</v>
      </c>
      <c r="O766" s="10" t="s">
        <v>101</v>
      </c>
      <c r="P766" t="s">
        <v>340</v>
      </c>
      <c r="Q766" s="10" t="s">
        <v>24</v>
      </c>
    </row>
    <row r="767" spans="1:18" hidden="1" x14ac:dyDescent="0.25">
      <c r="A767" s="9" t="s">
        <v>249</v>
      </c>
      <c r="B767" s="3" t="str">
        <f t="shared" si="14"/>
        <v>18/12/30</v>
      </c>
      <c r="C767" s="10">
        <v>30</v>
      </c>
      <c r="D767" s="10">
        <v>12</v>
      </c>
      <c r="E767" s="10">
        <v>18</v>
      </c>
      <c r="F767" t="s">
        <v>372</v>
      </c>
      <c r="G767" t="s">
        <v>373</v>
      </c>
      <c r="H767" t="s">
        <v>65</v>
      </c>
      <c r="I767" t="s">
        <v>27</v>
      </c>
      <c r="J767">
        <v>9</v>
      </c>
      <c r="K767">
        <v>3</v>
      </c>
      <c r="L767">
        <v>9</v>
      </c>
      <c r="M767">
        <v>27</v>
      </c>
      <c r="N767" s="5">
        <v>1.3722047680650524</v>
      </c>
      <c r="O767" t="s">
        <v>100</v>
      </c>
      <c r="P767" t="s">
        <v>340</v>
      </c>
      <c r="Q767" s="10" t="s">
        <v>24</v>
      </c>
    </row>
    <row r="768" spans="1:18" hidden="1" x14ac:dyDescent="0.25">
      <c r="A768" s="9" t="s">
        <v>249</v>
      </c>
      <c r="B768" s="3" t="str">
        <f t="shared" si="14"/>
        <v>18/12/30</v>
      </c>
      <c r="C768" s="10">
        <v>30</v>
      </c>
      <c r="D768" s="10">
        <v>12</v>
      </c>
      <c r="E768" s="10">
        <v>18</v>
      </c>
      <c r="F768" t="s">
        <v>757</v>
      </c>
      <c r="H768" t="s">
        <v>40</v>
      </c>
      <c r="I768" t="s">
        <v>27</v>
      </c>
      <c r="J768">
        <v>15.6</v>
      </c>
      <c r="K768">
        <v>1</v>
      </c>
      <c r="L768">
        <v>15.6</v>
      </c>
      <c r="M768">
        <v>15.6</v>
      </c>
      <c r="N768" s="5">
        <v>0.79282942154869696</v>
      </c>
      <c r="O768" t="s">
        <v>100</v>
      </c>
      <c r="P768" t="s">
        <v>340</v>
      </c>
      <c r="Q768" s="10" t="s">
        <v>24</v>
      </c>
    </row>
    <row r="769" spans="1:18" hidden="1" x14ac:dyDescent="0.25">
      <c r="A769" s="9" t="s">
        <v>249</v>
      </c>
      <c r="B769" s="3" t="str">
        <f t="shared" si="14"/>
        <v>18/12/30</v>
      </c>
      <c r="C769" s="10">
        <v>30</v>
      </c>
      <c r="D769" s="10">
        <v>12</v>
      </c>
      <c r="E769" s="10">
        <v>18</v>
      </c>
      <c r="F769" t="s">
        <v>711</v>
      </c>
      <c r="G769" t="s">
        <v>708</v>
      </c>
      <c r="H769" t="s">
        <v>131</v>
      </c>
      <c r="I769" t="s">
        <v>27</v>
      </c>
      <c r="J769">
        <v>128</v>
      </c>
      <c r="K769">
        <v>0.32999999999999996</v>
      </c>
      <c r="L769">
        <v>128</v>
      </c>
      <c r="M769">
        <v>42.239999999999995</v>
      </c>
      <c r="N769" s="5">
        <v>2.1467381260395486</v>
      </c>
      <c r="O769" t="s">
        <v>100</v>
      </c>
      <c r="P769" t="s">
        <v>340</v>
      </c>
      <c r="Q769" s="10" t="s">
        <v>24</v>
      </c>
    </row>
    <row r="770" spans="1:18" hidden="1" x14ac:dyDescent="0.25">
      <c r="A770" s="9" t="s">
        <v>249</v>
      </c>
      <c r="B770" s="3" t="str">
        <f t="shared" si="14"/>
        <v>18/12/30</v>
      </c>
      <c r="C770" s="10">
        <v>30</v>
      </c>
      <c r="D770" s="10">
        <v>12</v>
      </c>
      <c r="E770" s="10">
        <v>18</v>
      </c>
      <c r="F770" t="s">
        <v>879</v>
      </c>
      <c r="G770" t="s">
        <v>708</v>
      </c>
      <c r="H770" t="s">
        <v>131</v>
      </c>
      <c r="I770" t="s">
        <v>27</v>
      </c>
      <c r="J770">
        <v>265</v>
      </c>
      <c r="K770">
        <v>0.18</v>
      </c>
      <c r="L770">
        <v>265</v>
      </c>
      <c r="M770">
        <v>47.699999999999996</v>
      </c>
      <c r="N770" s="5">
        <v>2.4242284235815923</v>
      </c>
      <c r="O770" t="s">
        <v>100</v>
      </c>
      <c r="P770" t="s">
        <v>340</v>
      </c>
      <c r="Q770" s="10" t="s">
        <v>24</v>
      </c>
    </row>
    <row r="771" spans="1:18" hidden="1" x14ac:dyDescent="0.25">
      <c r="A771" s="9" t="s">
        <v>249</v>
      </c>
      <c r="B771" s="3" t="str">
        <f t="shared" si="14"/>
        <v>18/12/30</v>
      </c>
      <c r="C771" s="10">
        <v>30</v>
      </c>
      <c r="D771" s="10">
        <v>12</v>
      </c>
      <c r="E771" s="10">
        <v>18</v>
      </c>
      <c r="F771" t="s">
        <v>52</v>
      </c>
      <c r="H771" t="s">
        <v>53</v>
      </c>
      <c r="I771" t="s">
        <v>27</v>
      </c>
      <c r="J771">
        <v>7.6</v>
      </c>
      <c r="K771">
        <v>1</v>
      </c>
      <c r="L771">
        <v>7.6</v>
      </c>
      <c r="M771">
        <v>7.6</v>
      </c>
      <c r="N771" s="5">
        <v>0.38625023101090361</v>
      </c>
      <c r="O771" t="s">
        <v>100</v>
      </c>
      <c r="P771" t="s">
        <v>340</v>
      </c>
      <c r="Q771" s="10" t="s">
        <v>24</v>
      </c>
    </row>
    <row r="772" spans="1:18" hidden="1" x14ac:dyDescent="0.25">
      <c r="A772" s="9" t="s">
        <v>249</v>
      </c>
      <c r="B772" s="3" t="str">
        <f t="shared" si="14"/>
        <v>18/12/30</v>
      </c>
      <c r="C772" s="10">
        <v>30</v>
      </c>
      <c r="D772" s="10">
        <v>12</v>
      </c>
      <c r="E772" s="10">
        <v>18</v>
      </c>
      <c r="F772" t="s">
        <v>1231</v>
      </c>
      <c r="H772" t="s">
        <v>69</v>
      </c>
      <c r="I772" t="s">
        <v>27</v>
      </c>
      <c r="J772">
        <v>89</v>
      </c>
      <c r="K772">
        <v>1.194</v>
      </c>
      <c r="L772">
        <v>89</v>
      </c>
      <c r="M772">
        <v>106.26599999999999</v>
      </c>
      <c r="N772" s="5">
        <v>5.4006930327111426</v>
      </c>
      <c r="O772" t="s">
        <v>750</v>
      </c>
      <c r="P772" t="s">
        <v>340</v>
      </c>
      <c r="Q772" s="10" t="s">
        <v>24</v>
      </c>
    </row>
    <row r="773" spans="1:18" hidden="1" x14ac:dyDescent="0.25">
      <c r="A773" s="9" t="s">
        <v>249</v>
      </c>
      <c r="B773" s="3" t="str">
        <f t="shared" si="14"/>
        <v>18/12/30</v>
      </c>
      <c r="C773" s="10">
        <v>30</v>
      </c>
      <c r="D773" s="10">
        <v>12</v>
      </c>
      <c r="E773" s="10">
        <v>18</v>
      </c>
      <c r="F773" t="s">
        <v>1235</v>
      </c>
      <c r="H773" t="s">
        <v>69</v>
      </c>
      <c r="I773" t="s">
        <v>27</v>
      </c>
      <c r="J773">
        <v>98</v>
      </c>
      <c r="K773">
        <v>1.056</v>
      </c>
      <c r="L773">
        <v>98</v>
      </c>
      <c r="M773">
        <v>103.488</v>
      </c>
      <c r="N773" s="5">
        <v>5.2595084087968944</v>
      </c>
      <c r="O773" t="s">
        <v>750</v>
      </c>
      <c r="P773" t="s">
        <v>340</v>
      </c>
      <c r="Q773" s="10" t="s">
        <v>24</v>
      </c>
    </row>
    <row r="774" spans="1:18" hidden="1" x14ac:dyDescent="0.25">
      <c r="A774" s="9" t="s">
        <v>249</v>
      </c>
      <c r="B774" s="3" t="str">
        <f t="shared" ref="B774:B823" si="15">CONCATENATE(E774,"/",D774,"/",C774)</f>
        <v>18/12/30</v>
      </c>
      <c r="C774" s="10">
        <v>30</v>
      </c>
      <c r="D774" s="10">
        <v>12</v>
      </c>
      <c r="E774" s="10">
        <v>18</v>
      </c>
      <c r="F774" t="s">
        <v>1232</v>
      </c>
      <c r="H774" t="s">
        <v>69</v>
      </c>
      <c r="I774" t="s">
        <v>27</v>
      </c>
      <c r="J774">
        <v>54</v>
      </c>
      <c r="K774">
        <v>1.4359999999999999</v>
      </c>
      <c r="L774">
        <v>54</v>
      </c>
      <c r="M774">
        <v>77.543999999999997</v>
      </c>
      <c r="N774" s="5">
        <v>3.9409720938828303</v>
      </c>
      <c r="O774" t="s">
        <v>750</v>
      </c>
      <c r="P774" t="s">
        <v>340</v>
      </c>
      <c r="Q774" s="10" t="s">
        <v>24</v>
      </c>
    </row>
    <row r="775" spans="1:18" hidden="1" x14ac:dyDescent="0.25">
      <c r="A775" s="9" t="s">
        <v>249</v>
      </c>
      <c r="B775" s="3" t="str">
        <f t="shared" si="15"/>
        <v>18/12/30</v>
      </c>
      <c r="C775" s="10">
        <v>30</v>
      </c>
      <c r="D775" s="10">
        <v>12</v>
      </c>
      <c r="E775" s="10">
        <v>18</v>
      </c>
      <c r="F775" t="s">
        <v>880</v>
      </c>
      <c r="G775" t="s">
        <v>38</v>
      </c>
      <c r="H775" t="s">
        <v>39</v>
      </c>
      <c r="I775" t="s">
        <v>27</v>
      </c>
      <c r="J775">
        <v>69</v>
      </c>
      <c r="K775">
        <v>1</v>
      </c>
      <c r="L775">
        <v>69</v>
      </c>
      <c r="M775">
        <v>69</v>
      </c>
      <c r="N775" s="5">
        <v>3.5067455183884673</v>
      </c>
      <c r="O775" t="s">
        <v>750</v>
      </c>
      <c r="P775" t="s">
        <v>340</v>
      </c>
      <c r="Q775" s="10" t="s">
        <v>24</v>
      </c>
    </row>
    <row r="776" spans="1:18" hidden="1" x14ac:dyDescent="0.25">
      <c r="A776" s="9" t="s">
        <v>249</v>
      </c>
      <c r="B776" s="3" t="str">
        <f t="shared" si="15"/>
        <v>18/12/30</v>
      </c>
      <c r="C776" s="10">
        <v>30</v>
      </c>
      <c r="D776" s="10">
        <v>12</v>
      </c>
      <c r="E776" s="10">
        <v>18</v>
      </c>
      <c r="F776" t="s">
        <v>881</v>
      </c>
      <c r="H776" t="s">
        <v>131</v>
      </c>
      <c r="I776" t="s">
        <v>27</v>
      </c>
      <c r="J776">
        <v>35</v>
      </c>
      <c r="K776">
        <v>1</v>
      </c>
      <c r="L776">
        <v>35</v>
      </c>
      <c r="M776">
        <v>35</v>
      </c>
      <c r="N776" s="5">
        <v>1.7787839586028458</v>
      </c>
      <c r="O776" t="s">
        <v>859</v>
      </c>
      <c r="P776" t="s">
        <v>340</v>
      </c>
      <c r="Q776" s="10" t="s">
        <v>84</v>
      </c>
    </row>
    <row r="777" spans="1:18" hidden="1" x14ac:dyDescent="0.25">
      <c r="A777" s="9" t="s">
        <v>249</v>
      </c>
      <c r="B777" s="3" t="str">
        <f t="shared" si="15"/>
        <v>18/12/30</v>
      </c>
      <c r="C777" s="10">
        <v>30</v>
      </c>
      <c r="D777" s="10">
        <v>12</v>
      </c>
      <c r="E777" s="10">
        <v>18</v>
      </c>
      <c r="F777" t="s">
        <v>882</v>
      </c>
      <c r="H777" t="s">
        <v>39</v>
      </c>
      <c r="I777" t="s">
        <v>27</v>
      </c>
      <c r="J777">
        <v>15</v>
      </c>
      <c r="K777">
        <v>1</v>
      </c>
      <c r="L777">
        <v>15</v>
      </c>
      <c r="M777">
        <v>15</v>
      </c>
      <c r="N777" s="5">
        <v>0.76233598225836252</v>
      </c>
      <c r="O777" t="s">
        <v>859</v>
      </c>
      <c r="P777" t="s">
        <v>340</v>
      </c>
      <c r="Q777" s="10" t="s">
        <v>24</v>
      </c>
    </row>
    <row r="778" spans="1:18" hidden="1" x14ac:dyDescent="0.25">
      <c r="A778" s="9" t="s">
        <v>249</v>
      </c>
      <c r="B778" s="3" t="str">
        <f t="shared" si="15"/>
        <v>18/12/30</v>
      </c>
      <c r="C778" s="10">
        <v>30</v>
      </c>
      <c r="D778" s="10">
        <v>12</v>
      </c>
      <c r="E778" s="10">
        <v>18</v>
      </c>
      <c r="F778" t="s">
        <v>389</v>
      </c>
      <c r="I778" t="s">
        <v>87</v>
      </c>
      <c r="J778">
        <v>25</v>
      </c>
      <c r="K778">
        <v>1</v>
      </c>
      <c r="L778">
        <v>25</v>
      </c>
      <c r="M778">
        <v>25</v>
      </c>
      <c r="N778" s="5">
        <v>1.2705599704306041</v>
      </c>
      <c r="O778" t="s">
        <v>859</v>
      </c>
      <c r="P778" t="s">
        <v>340</v>
      </c>
      <c r="Q778" s="10" t="s">
        <v>84</v>
      </c>
      <c r="R778" t="s">
        <v>883</v>
      </c>
    </row>
    <row r="779" spans="1:18" hidden="1" x14ac:dyDescent="0.25">
      <c r="A779" s="9" t="s">
        <v>249</v>
      </c>
      <c r="B779" s="3" t="str">
        <f t="shared" si="15"/>
        <v>18/12/30</v>
      </c>
      <c r="C779" s="10">
        <v>30</v>
      </c>
      <c r="D779" s="10">
        <v>12</v>
      </c>
      <c r="E779" s="10">
        <v>18</v>
      </c>
      <c r="F779" t="s">
        <v>884</v>
      </c>
      <c r="H779" t="s">
        <v>65</v>
      </c>
      <c r="I779" t="s">
        <v>27</v>
      </c>
      <c r="J779">
        <v>35</v>
      </c>
      <c r="K779">
        <v>1</v>
      </c>
      <c r="L779">
        <v>35</v>
      </c>
      <c r="M779">
        <v>35</v>
      </c>
      <c r="N779" s="5">
        <v>1.7787839586028458</v>
      </c>
      <c r="O779" t="s">
        <v>859</v>
      </c>
      <c r="P779" t="s">
        <v>340</v>
      </c>
      <c r="Q779" s="10" t="s">
        <v>84</v>
      </c>
    </row>
    <row r="780" spans="1:18" hidden="1" x14ac:dyDescent="0.25">
      <c r="A780" s="9" t="s">
        <v>249</v>
      </c>
      <c r="B780" s="3" t="str">
        <f t="shared" si="15"/>
        <v>18/12/30</v>
      </c>
      <c r="C780" s="10">
        <v>30</v>
      </c>
      <c r="D780" s="10">
        <v>12</v>
      </c>
      <c r="E780" s="10">
        <v>18</v>
      </c>
      <c r="F780" t="s">
        <v>203</v>
      </c>
      <c r="H780" t="s">
        <v>54</v>
      </c>
      <c r="I780" t="s">
        <v>27</v>
      </c>
      <c r="J780">
        <v>10</v>
      </c>
      <c r="K780">
        <v>2.2000000000000002</v>
      </c>
      <c r="L780">
        <v>10</v>
      </c>
      <c r="M780">
        <v>22</v>
      </c>
      <c r="N780" s="5">
        <v>1.1180927739789317</v>
      </c>
      <c r="O780" t="s">
        <v>593</v>
      </c>
      <c r="P780" t="s">
        <v>340</v>
      </c>
      <c r="Q780" s="10" t="s">
        <v>24</v>
      </c>
      <c r="R780" t="s">
        <v>517</v>
      </c>
    </row>
    <row r="781" spans="1:18" hidden="1" x14ac:dyDescent="0.25">
      <c r="A781" s="9" t="s">
        <v>249</v>
      </c>
      <c r="B781" s="3" t="str">
        <f t="shared" si="15"/>
        <v>18/12/30</v>
      </c>
      <c r="C781" s="10">
        <v>30</v>
      </c>
      <c r="D781" s="10">
        <v>12</v>
      </c>
      <c r="E781" s="10">
        <v>18</v>
      </c>
      <c r="F781" t="s">
        <v>125</v>
      </c>
      <c r="H781" t="s">
        <v>54</v>
      </c>
      <c r="I781" t="s">
        <v>27</v>
      </c>
      <c r="J781">
        <v>7</v>
      </c>
      <c r="K781">
        <v>1</v>
      </c>
      <c r="L781">
        <v>7</v>
      </c>
      <c r="M781">
        <v>7</v>
      </c>
      <c r="N781" s="5">
        <v>0.35575679172056918</v>
      </c>
      <c r="O781" t="s">
        <v>593</v>
      </c>
      <c r="P781" t="s">
        <v>340</v>
      </c>
      <c r="Q781" s="10" t="s">
        <v>24</v>
      </c>
      <c r="R781" t="s">
        <v>517</v>
      </c>
    </row>
    <row r="782" spans="1:18" hidden="1" x14ac:dyDescent="0.25">
      <c r="A782" s="9" t="s">
        <v>249</v>
      </c>
      <c r="B782" s="3" t="str">
        <f t="shared" si="15"/>
        <v>18/12/30</v>
      </c>
      <c r="C782" s="10">
        <v>30</v>
      </c>
      <c r="D782" s="10">
        <v>12</v>
      </c>
      <c r="E782" s="10">
        <v>18</v>
      </c>
      <c r="F782" t="s">
        <v>174</v>
      </c>
      <c r="H782" t="s">
        <v>54</v>
      </c>
      <c r="I782" t="s">
        <v>27</v>
      </c>
      <c r="J782">
        <v>14</v>
      </c>
      <c r="K782">
        <v>1</v>
      </c>
      <c r="L782">
        <v>14</v>
      </c>
      <c r="M782">
        <v>14</v>
      </c>
      <c r="N782" s="5">
        <v>0.71151358344113835</v>
      </c>
      <c r="O782" t="s">
        <v>593</v>
      </c>
      <c r="P782" t="s">
        <v>340</v>
      </c>
      <c r="Q782" s="10" t="s">
        <v>24</v>
      </c>
      <c r="R782" t="s">
        <v>517</v>
      </c>
    </row>
    <row r="783" spans="1:18" hidden="1" x14ac:dyDescent="0.25">
      <c r="A783" s="9" t="s">
        <v>249</v>
      </c>
      <c r="B783" s="3" t="str">
        <f t="shared" si="15"/>
        <v>18/12/30</v>
      </c>
      <c r="C783" s="10">
        <v>30</v>
      </c>
      <c r="D783" s="10">
        <v>12</v>
      </c>
      <c r="E783" s="10">
        <v>18</v>
      </c>
      <c r="F783" t="s">
        <v>744</v>
      </c>
      <c r="H783" t="s">
        <v>54</v>
      </c>
      <c r="I783" t="s">
        <v>27</v>
      </c>
      <c r="J783">
        <v>7</v>
      </c>
      <c r="K783">
        <v>1</v>
      </c>
      <c r="L783">
        <v>7</v>
      </c>
      <c r="M783">
        <v>7</v>
      </c>
      <c r="N783" s="5">
        <v>0.35575679172056918</v>
      </c>
      <c r="O783" t="s">
        <v>593</v>
      </c>
      <c r="P783" t="s">
        <v>340</v>
      </c>
      <c r="Q783" s="10" t="s">
        <v>24</v>
      </c>
      <c r="R783" t="s">
        <v>517</v>
      </c>
    </row>
    <row r="784" spans="1:18" hidden="1" x14ac:dyDescent="0.25">
      <c r="A784" s="9" t="s">
        <v>249</v>
      </c>
      <c r="B784" s="3" t="str">
        <f t="shared" si="15"/>
        <v>18/12/31</v>
      </c>
      <c r="C784" s="10">
        <v>31</v>
      </c>
      <c r="D784" s="10">
        <v>12</v>
      </c>
      <c r="E784" s="10">
        <v>18</v>
      </c>
      <c r="F784" t="s">
        <v>848</v>
      </c>
      <c r="I784" t="s">
        <v>431</v>
      </c>
      <c r="J784">
        <v>138.75</v>
      </c>
      <c r="K784">
        <v>1</v>
      </c>
      <c r="L784">
        <v>138.75</v>
      </c>
      <c r="M784">
        <v>138.75</v>
      </c>
      <c r="N784" s="5">
        <v>7.0516078358898531</v>
      </c>
      <c r="O784" t="s">
        <v>46</v>
      </c>
      <c r="P784" t="s">
        <v>340</v>
      </c>
      <c r="Q784" s="10" t="s">
        <v>84</v>
      </c>
    </row>
    <row r="785" spans="1:18" hidden="1" x14ac:dyDescent="0.25">
      <c r="A785" s="9" t="s">
        <v>249</v>
      </c>
      <c r="B785" s="3" t="str">
        <f t="shared" si="15"/>
        <v>18/12/31</v>
      </c>
      <c r="C785" s="10">
        <v>31</v>
      </c>
      <c r="D785" s="10">
        <v>12</v>
      </c>
      <c r="E785" s="10">
        <v>18</v>
      </c>
      <c r="F785" t="s">
        <v>848</v>
      </c>
      <c r="I785" t="s">
        <v>431</v>
      </c>
      <c r="J785">
        <v>57.6</v>
      </c>
      <c r="K785">
        <v>1</v>
      </c>
      <c r="L785">
        <v>57.6</v>
      </c>
      <c r="M785">
        <v>57.6</v>
      </c>
      <c r="N785" s="5">
        <v>2.9273701718721119</v>
      </c>
      <c r="O785" t="s">
        <v>46</v>
      </c>
      <c r="P785" t="s">
        <v>340</v>
      </c>
      <c r="Q785" s="10" t="s">
        <v>84</v>
      </c>
      <c r="R785" t="s">
        <v>1532</v>
      </c>
    </row>
    <row r="786" spans="1:18" hidden="1" x14ac:dyDescent="0.25">
      <c r="A786" s="9" t="s">
        <v>249</v>
      </c>
      <c r="B786" s="3" t="str">
        <f t="shared" si="15"/>
        <v>18/12/31</v>
      </c>
      <c r="C786" s="10">
        <v>31</v>
      </c>
      <c r="D786" s="10">
        <v>12</v>
      </c>
      <c r="E786" s="10">
        <v>18</v>
      </c>
      <c r="F786" t="s">
        <v>848</v>
      </c>
      <c r="I786" t="s">
        <v>431</v>
      </c>
      <c r="J786">
        <v>53.95</v>
      </c>
      <c r="K786">
        <v>1</v>
      </c>
      <c r="L786">
        <v>53.95</v>
      </c>
      <c r="M786">
        <v>53.95</v>
      </c>
      <c r="N786" s="5">
        <v>2.7418684161892437</v>
      </c>
      <c r="O786" t="s">
        <v>46</v>
      </c>
      <c r="P786" t="s">
        <v>340</v>
      </c>
      <c r="Q786" s="10" t="s">
        <v>84</v>
      </c>
      <c r="R786" t="s">
        <v>1533</v>
      </c>
    </row>
    <row r="787" spans="1:18" hidden="1" x14ac:dyDescent="0.25">
      <c r="A787" s="9" t="s">
        <v>249</v>
      </c>
      <c r="B787" s="3" t="str">
        <f t="shared" si="15"/>
        <v>18/12/31</v>
      </c>
      <c r="C787" s="10">
        <v>31</v>
      </c>
      <c r="D787" s="10">
        <v>12</v>
      </c>
      <c r="E787" s="10">
        <v>18</v>
      </c>
      <c r="F787" t="s">
        <v>885</v>
      </c>
      <c r="H787" t="s">
        <v>53</v>
      </c>
      <c r="I787" t="s">
        <v>27</v>
      </c>
      <c r="J787">
        <v>11.65</v>
      </c>
      <c r="K787">
        <v>2</v>
      </c>
      <c r="L787">
        <v>11.65</v>
      </c>
      <c r="M787">
        <v>23.3</v>
      </c>
      <c r="N787" s="5">
        <v>1.1841618924413231</v>
      </c>
      <c r="O787" t="s">
        <v>46</v>
      </c>
      <c r="P787" t="s">
        <v>340</v>
      </c>
      <c r="Q787" s="10" t="s">
        <v>84</v>
      </c>
    </row>
    <row r="788" spans="1:18" hidden="1" x14ac:dyDescent="0.25">
      <c r="A788" s="9" t="s">
        <v>249</v>
      </c>
      <c r="B788" s="3" t="str">
        <f t="shared" si="15"/>
        <v>18/12/31</v>
      </c>
      <c r="C788" s="10">
        <v>31</v>
      </c>
      <c r="D788" s="10">
        <v>12</v>
      </c>
      <c r="E788" s="10">
        <v>18</v>
      </c>
      <c r="F788" t="s">
        <v>886</v>
      </c>
      <c r="G788" t="s">
        <v>155</v>
      </c>
      <c r="H788" t="s">
        <v>131</v>
      </c>
      <c r="I788" t="s">
        <v>27</v>
      </c>
      <c r="J788">
        <v>11.5</v>
      </c>
      <c r="K788">
        <v>2</v>
      </c>
      <c r="L788">
        <v>11.5</v>
      </c>
      <c r="M788">
        <v>23</v>
      </c>
      <c r="N788" s="5">
        <v>1.1689151727961558</v>
      </c>
      <c r="O788" t="s">
        <v>101</v>
      </c>
      <c r="P788" t="s">
        <v>340</v>
      </c>
      <c r="Q788" s="10" t="s">
        <v>84</v>
      </c>
      <c r="R788" t="s">
        <v>517</v>
      </c>
    </row>
    <row r="789" spans="1:18" hidden="1" x14ac:dyDescent="0.25">
      <c r="A789" s="9" t="s">
        <v>249</v>
      </c>
      <c r="B789" s="3" t="str">
        <f t="shared" si="15"/>
        <v>18/12/31</v>
      </c>
      <c r="C789" s="10">
        <v>31</v>
      </c>
      <c r="D789" s="10">
        <v>12</v>
      </c>
      <c r="E789" s="10">
        <v>18</v>
      </c>
      <c r="F789" t="s">
        <v>887</v>
      </c>
      <c r="G789" t="s">
        <v>155</v>
      </c>
      <c r="H789" t="s">
        <v>131</v>
      </c>
      <c r="I789" t="s">
        <v>27</v>
      </c>
      <c r="J789">
        <v>16.5</v>
      </c>
      <c r="K789">
        <v>2</v>
      </c>
      <c r="L789">
        <v>16.5</v>
      </c>
      <c r="M789">
        <v>33</v>
      </c>
      <c r="N789" s="5">
        <v>1.6771391609683974</v>
      </c>
      <c r="O789" t="s">
        <v>101</v>
      </c>
      <c r="P789" t="s">
        <v>340</v>
      </c>
      <c r="Q789" s="10" t="s">
        <v>84</v>
      </c>
      <c r="R789" t="s">
        <v>517</v>
      </c>
    </row>
    <row r="790" spans="1:18" hidden="1" x14ac:dyDescent="0.25">
      <c r="A790" s="9" t="s">
        <v>249</v>
      </c>
      <c r="B790" s="3" t="str">
        <f t="shared" si="15"/>
        <v>18/12/31</v>
      </c>
      <c r="C790" s="10">
        <v>31</v>
      </c>
      <c r="D790" s="10">
        <v>12</v>
      </c>
      <c r="E790" s="10">
        <v>18</v>
      </c>
      <c r="F790" t="s">
        <v>52</v>
      </c>
      <c r="H790" t="s">
        <v>53</v>
      </c>
      <c r="I790" t="s">
        <v>27</v>
      </c>
      <c r="J790">
        <v>35</v>
      </c>
      <c r="K790">
        <v>2</v>
      </c>
      <c r="L790">
        <v>35</v>
      </c>
      <c r="M790">
        <v>70</v>
      </c>
      <c r="N790" s="5">
        <v>3.5575679172056915</v>
      </c>
      <c r="O790" t="s">
        <v>101</v>
      </c>
      <c r="P790" t="s">
        <v>340</v>
      </c>
      <c r="Q790" s="10" t="s">
        <v>24</v>
      </c>
      <c r="R790" t="s">
        <v>517</v>
      </c>
    </row>
    <row r="791" spans="1:18" hidden="1" x14ac:dyDescent="0.25">
      <c r="A791" s="9" t="s">
        <v>249</v>
      </c>
      <c r="B791" s="3" t="str">
        <f t="shared" si="15"/>
        <v>18/12/4</v>
      </c>
      <c r="C791" s="10">
        <v>4</v>
      </c>
      <c r="D791" s="10">
        <v>12</v>
      </c>
      <c r="E791" s="10">
        <v>18</v>
      </c>
      <c r="F791" t="s">
        <v>770</v>
      </c>
      <c r="G791" t="s">
        <v>31</v>
      </c>
      <c r="H791" t="s">
        <v>26</v>
      </c>
      <c r="I791" t="s">
        <v>27</v>
      </c>
      <c r="J791" s="4">
        <v>7.75</v>
      </c>
      <c r="K791">
        <v>2</v>
      </c>
      <c r="L791">
        <v>7.75</v>
      </c>
      <c r="M791">
        <v>15.5</v>
      </c>
      <c r="N791" s="5">
        <v>0.77967806841046283</v>
      </c>
      <c r="O791" t="s">
        <v>101</v>
      </c>
      <c r="P791" t="s">
        <v>340</v>
      </c>
      <c r="Q791" s="10" t="s">
        <v>24</v>
      </c>
    </row>
    <row r="792" spans="1:18" hidden="1" x14ac:dyDescent="0.25">
      <c r="A792" s="9" t="s">
        <v>249</v>
      </c>
      <c r="B792" s="3" t="str">
        <f t="shared" si="15"/>
        <v>18/12/4</v>
      </c>
      <c r="C792" s="10">
        <v>4</v>
      </c>
      <c r="D792" s="10">
        <v>12</v>
      </c>
      <c r="E792" s="10">
        <v>18</v>
      </c>
      <c r="F792" t="s">
        <v>770</v>
      </c>
      <c r="G792" t="s">
        <v>31</v>
      </c>
      <c r="H792" t="s">
        <v>26</v>
      </c>
      <c r="I792" t="s">
        <v>27</v>
      </c>
      <c r="J792" s="4">
        <v>11.5</v>
      </c>
      <c r="K792">
        <v>2</v>
      </c>
      <c r="L792">
        <v>11.5</v>
      </c>
      <c r="M792">
        <v>23</v>
      </c>
      <c r="N792" s="5">
        <v>1.1569416498993965</v>
      </c>
      <c r="O792" t="s">
        <v>101</v>
      </c>
      <c r="P792" t="s">
        <v>340</v>
      </c>
      <c r="Q792" s="10" t="s">
        <v>24</v>
      </c>
    </row>
    <row r="793" spans="1:18" hidden="1" x14ac:dyDescent="0.25">
      <c r="A793" s="9" t="s">
        <v>249</v>
      </c>
      <c r="B793" s="3" t="str">
        <f t="shared" si="15"/>
        <v>18/12/4</v>
      </c>
      <c r="C793" s="10">
        <v>4</v>
      </c>
      <c r="D793" s="10">
        <v>12</v>
      </c>
      <c r="E793" s="10">
        <v>18</v>
      </c>
      <c r="F793" t="s">
        <v>52</v>
      </c>
      <c r="H793" t="s">
        <v>53</v>
      </c>
      <c r="I793" t="s">
        <v>27</v>
      </c>
      <c r="J793" s="4">
        <v>35</v>
      </c>
      <c r="K793">
        <v>1</v>
      </c>
      <c r="L793">
        <v>35</v>
      </c>
      <c r="M793">
        <v>35</v>
      </c>
      <c r="N793" s="5">
        <v>1.7605633802816902</v>
      </c>
      <c r="O793" t="s">
        <v>101</v>
      </c>
      <c r="P793" t="s">
        <v>340</v>
      </c>
      <c r="Q793" s="10" t="s">
        <v>24</v>
      </c>
    </row>
    <row r="794" spans="1:18" hidden="1" x14ac:dyDescent="0.25">
      <c r="A794" s="9" t="s">
        <v>249</v>
      </c>
      <c r="B794" s="3" t="str">
        <f t="shared" si="15"/>
        <v>18/12/4</v>
      </c>
      <c r="C794" s="10">
        <v>4</v>
      </c>
      <c r="D794" s="10">
        <v>12</v>
      </c>
      <c r="E794" s="10">
        <v>18</v>
      </c>
      <c r="F794" t="s">
        <v>1597</v>
      </c>
      <c r="I794" t="s">
        <v>39</v>
      </c>
      <c r="J794" s="4">
        <v>139</v>
      </c>
      <c r="K794">
        <v>4</v>
      </c>
      <c r="L794">
        <v>139</v>
      </c>
      <c r="M794" s="8">
        <v>556</v>
      </c>
      <c r="N794" s="5">
        <v>27.967806841046279</v>
      </c>
      <c r="O794" t="s">
        <v>867</v>
      </c>
      <c r="P794" t="s">
        <v>340</v>
      </c>
      <c r="Q794" s="10" t="s">
        <v>84</v>
      </c>
      <c r="R794" t="s">
        <v>866</v>
      </c>
    </row>
    <row r="795" spans="1:18" hidden="1" x14ac:dyDescent="0.25">
      <c r="A795" s="9" t="s">
        <v>249</v>
      </c>
      <c r="B795" s="3" t="str">
        <f t="shared" si="15"/>
        <v>18/12/4</v>
      </c>
      <c r="C795" s="10">
        <v>4</v>
      </c>
      <c r="D795" s="10">
        <v>12</v>
      </c>
      <c r="E795" s="10">
        <v>18</v>
      </c>
      <c r="F795" t="s">
        <v>1597</v>
      </c>
      <c r="I795" t="s">
        <v>39</v>
      </c>
      <c r="J795" s="4">
        <v>146</v>
      </c>
      <c r="K795">
        <v>2</v>
      </c>
      <c r="L795">
        <v>146</v>
      </c>
      <c r="M795" s="8">
        <v>292</v>
      </c>
      <c r="N795" s="5">
        <v>14.688128772635816</v>
      </c>
      <c r="O795" t="s">
        <v>867</v>
      </c>
      <c r="P795" t="s">
        <v>340</v>
      </c>
      <c r="Q795" s="10" t="s">
        <v>84</v>
      </c>
      <c r="R795" t="s">
        <v>1539</v>
      </c>
    </row>
    <row r="796" spans="1:18" hidden="1" x14ac:dyDescent="0.25">
      <c r="A796" s="9" t="s">
        <v>249</v>
      </c>
      <c r="B796" s="3" t="str">
        <f t="shared" si="15"/>
        <v>18/12/4</v>
      </c>
      <c r="C796" s="10">
        <v>4</v>
      </c>
      <c r="D796" s="10">
        <v>12</v>
      </c>
      <c r="E796" s="10">
        <v>18</v>
      </c>
      <c r="F796" t="s">
        <v>1597</v>
      </c>
      <c r="I796" t="s">
        <v>39</v>
      </c>
      <c r="J796" s="4">
        <v>163</v>
      </c>
      <c r="K796">
        <v>2</v>
      </c>
      <c r="L796">
        <v>163</v>
      </c>
      <c r="M796" s="8">
        <v>326</v>
      </c>
      <c r="N796" s="5">
        <v>16.398390342052316</v>
      </c>
      <c r="O796" t="s">
        <v>867</v>
      </c>
      <c r="P796" t="s">
        <v>340</v>
      </c>
      <c r="Q796" s="10" t="s">
        <v>84</v>
      </c>
      <c r="R796" t="s">
        <v>1540</v>
      </c>
    </row>
    <row r="797" spans="1:18" hidden="1" x14ac:dyDescent="0.25">
      <c r="A797" s="9" t="s">
        <v>249</v>
      </c>
      <c r="B797" s="3" t="str">
        <f t="shared" si="15"/>
        <v>18/12/6</v>
      </c>
      <c r="C797" s="10">
        <v>6</v>
      </c>
      <c r="D797" s="10">
        <v>12</v>
      </c>
      <c r="E797" s="10">
        <v>18</v>
      </c>
      <c r="F797" t="s">
        <v>110</v>
      </c>
      <c r="H797" t="s">
        <v>56</v>
      </c>
      <c r="I797" t="s">
        <v>27</v>
      </c>
      <c r="J797" s="4">
        <v>40</v>
      </c>
      <c r="K797">
        <v>0.33200000000000002</v>
      </c>
      <c r="L797">
        <v>40</v>
      </c>
      <c r="M797">
        <v>13.280000000000001</v>
      </c>
      <c r="N797" s="5">
        <v>0.66800804828973848</v>
      </c>
      <c r="O797" t="s">
        <v>101</v>
      </c>
      <c r="P797" t="s">
        <v>340</v>
      </c>
      <c r="Q797" s="10" t="s">
        <v>24</v>
      </c>
    </row>
    <row r="798" spans="1:18" hidden="1" x14ac:dyDescent="0.25">
      <c r="A798" s="9" t="s">
        <v>249</v>
      </c>
      <c r="B798" s="3" t="str">
        <f t="shared" si="15"/>
        <v>18/12/6</v>
      </c>
      <c r="C798" s="10">
        <v>6</v>
      </c>
      <c r="D798" s="10">
        <v>12</v>
      </c>
      <c r="E798" s="10">
        <v>18</v>
      </c>
      <c r="F798" t="s">
        <v>868</v>
      </c>
      <c r="G798" t="s">
        <v>31</v>
      </c>
      <c r="H798" t="s">
        <v>26</v>
      </c>
      <c r="I798" t="s">
        <v>27</v>
      </c>
      <c r="J798" s="4">
        <v>15</v>
      </c>
      <c r="K798">
        <v>1</v>
      </c>
      <c r="L798">
        <v>15</v>
      </c>
      <c r="M798">
        <v>15</v>
      </c>
      <c r="N798" s="5">
        <v>0.75452716297786726</v>
      </c>
      <c r="O798" t="s">
        <v>101</v>
      </c>
      <c r="P798" t="s">
        <v>340</v>
      </c>
      <c r="Q798" s="10" t="s">
        <v>24</v>
      </c>
    </row>
    <row r="799" spans="1:18" hidden="1" x14ac:dyDescent="0.25">
      <c r="A799" s="9" t="s">
        <v>249</v>
      </c>
      <c r="B799" s="3" t="str">
        <f t="shared" si="15"/>
        <v>18/12/6</v>
      </c>
      <c r="C799" s="10">
        <v>6</v>
      </c>
      <c r="D799" s="10">
        <v>12</v>
      </c>
      <c r="E799" s="10">
        <v>18</v>
      </c>
      <c r="F799" t="s">
        <v>770</v>
      </c>
      <c r="G799" t="s">
        <v>31</v>
      </c>
      <c r="H799" t="s">
        <v>26</v>
      </c>
      <c r="I799" t="s">
        <v>27</v>
      </c>
      <c r="J799" s="4">
        <v>7.75</v>
      </c>
      <c r="K799">
        <v>1</v>
      </c>
      <c r="L799">
        <v>7.75</v>
      </c>
      <c r="M799">
        <v>7.75</v>
      </c>
      <c r="N799" s="5">
        <v>0.38983903420523142</v>
      </c>
      <c r="O799" t="s">
        <v>101</v>
      </c>
      <c r="P799" t="s">
        <v>340</v>
      </c>
      <c r="Q799" s="10" t="s">
        <v>24</v>
      </c>
    </row>
    <row r="800" spans="1:18" hidden="1" x14ac:dyDescent="0.25">
      <c r="A800" s="9" t="s">
        <v>249</v>
      </c>
      <c r="B800" s="3" t="str">
        <f t="shared" si="15"/>
        <v>18/12/6</v>
      </c>
      <c r="C800" s="10">
        <v>6</v>
      </c>
      <c r="D800" s="10">
        <v>12</v>
      </c>
      <c r="E800" s="10">
        <v>18</v>
      </c>
      <c r="F800" t="s">
        <v>146</v>
      </c>
      <c r="H800" t="s">
        <v>49</v>
      </c>
      <c r="I800" t="s">
        <v>50</v>
      </c>
      <c r="J800" s="4">
        <v>0.6</v>
      </c>
      <c r="K800">
        <v>1</v>
      </c>
      <c r="L800">
        <v>0.6</v>
      </c>
      <c r="M800" s="8">
        <v>0.6</v>
      </c>
      <c r="N800" s="5">
        <v>3.0181086519114688E-2</v>
      </c>
      <c r="O800" t="s">
        <v>46</v>
      </c>
      <c r="P800" t="s">
        <v>340</v>
      </c>
      <c r="Q800" s="10" t="s">
        <v>24</v>
      </c>
    </row>
    <row r="801" spans="1:18" hidden="1" x14ac:dyDescent="0.25">
      <c r="A801" s="9" t="s">
        <v>249</v>
      </c>
      <c r="B801" s="3" t="str">
        <f t="shared" si="15"/>
        <v>18/12/6</v>
      </c>
      <c r="C801" s="10">
        <v>6</v>
      </c>
      <c r="D801" s="10">
        <v>12</v>
      </c>
      <c r="E801" s="10">
        <v>18</v>
      </c>
      <c r="F801" t="s">
        <v>37</v>
      </c>
      <c r="G801" t="s">
        <v>31</v>
      </c>
      <c r="H801" t="s">
        <v>26</v>
      </c>
      <c r="I801" t="s">
        <v>27</v>
      </c>
      <c r="J801" s="4">
        <v>7.35</v>
      </c>
      <c r="K801">
        <v>1</v>
      </c>
      <c r="L801">
        <v>7.35</v>
      </c>
      <c r="M801">
        <v>7.35</v>
      </c>
      <c r="N801" s="5">
        <v>0.36971830985915494</v>
      </c>
      <c r="O801" t="s">
        <v>46</v>
      </c>
      <c r="P801" t="s">
        <v>340</v>
      </c>
      <c r="Q801" s="10" t="s">
        <v>24</v>
      </c>
    </row>
    <row r="802" spans="1:18" hidden="1" x14ac:dyDescent="0.25">
      <c r="A802" s="9" t="s">
        <v>249</v>
      </c>
      <c r="B802" s="3" t="str">
        <f t="shared" si="15"/>
        <v>18/12/6</v>
      </c>
      <c r="C802" s="10">
        <v>6</v>
      </c>
      <c r="D802" s="10">
        <v>12</v>
      </c>
      <c r="E802" s="10">
        <v>18</v>
      </c>
      <c r="F802" t="s">
        <v>770</v>
      </c>
      <c r="G802" t="s">
        <v>31</v>
      </c>
      <c r="H802" t="s">
        <v>26</v>
      </c>
      <c r="I802" t="s">
        <v>27</v>
      </c>
      <c r="J802" s="4">
        <v>7.1</v>
      </c>
      <c r="K802">
        <v>1</v>
      </c>
      <c r="L802">
        <v>7.1</v>
      </c>
      <c r="M802">
        <v>7.1</v>
      </c>
      <c r="N802" s="5">
        <v>0.35714285714285715</v>
      </c>
      <c r="O802" t="s">
        <v>46</v>
      </c>
      <c r="P802" t="s">
        <v>340</v>
      </c>
      <c r="Q802" s="10" t="s">
        <v>24</v>
      </c>
    </row>
    <row r="803" spans="1:18" hidden="1" x14ac:dyDescent="0.25">
      <c r="A803" s="9" t="s">
        <v>249</v>
      </c>
      <c r="B803" s="3" t="str">
        <f t="shared" si="15"/>
        <v>18/12/6</v>
      </c>
      <c r="C803" s="10">
        <v>6</v>
      </c>
      <c r="D803" s="10">
        <v>12</v>
      </c>
      <c r="E803" s="10">
        <v>18</v>
      </c>
      <c r="F803" t="s">
        <v>372</v>
      </c>
      <c r="G803" t="s">
        <v>373</v>
      </c>
      <c r="H803" t="s">
        <v>425</v>
      </c>
      <c r="I803" t="s">
        <v>27</v>
      </c>
      <c r="J803" s="4">
        <v>7.7</v>
      </c>
      <c r="K803">
        <v>3</v>
      </c>
      <c r="L803">
        <v>7.7</v>
      </c>
      <c r="M803">
        <v>23.1</v>
      </c>
      <c r="N803" s="5">
        <v>1.1619718309859157</v>
      </c>
      <c r="O803" t="s">
        <v>46</v>
      </c>
      <c r="P803" t="s">
        <v>340</v>
      </c>
      <c r="Q803" s="10" t="s">
        <v>24</v>
      </c>
    </row>
    <row r="804" spans="1:18" hidden="1" x14ac:dyDescent="0.25">
      <c r="A804" s="9" t="s">
        <v>249</v>
      </c>
      <c r="B804" s="3" t="str">
        <f t="shared" si="15"/>
        <v>18/12/7</v>
      </c>
      <c r="C804" s="10">
        <v>7</v>
      </c>
      <c r="D804" s="10">
        <v>12</v>
      </c>
      <c r="E804" s="10">
        <v>18</v>
      </c>
      <c r="F804" t="s">
        <v>112</v>
      </c>
      <c r="H804" t="s">
        <v>56</v>
      </c>
      <c r="I804" t="s">
        <v>27</v>
      </c>
      <c r="J804" s="4">
        <v>23.99</v>
      </c>
      <c r="K804">
        <v>1.17</v>
      </c>
      <c r="L804">
        <v>23.99</v>
      </c>
      <c r="M804">
        <v>28.068299999999997</v>
      </c>
      <c r="N804" s="5">
        <v>1.4118863179074446</v>
      </c>
      <c r="O804" t="s">
        <v>1472</v>
      </c>
      <c r="P804" t="s">
        <v>340</v>
      </c>
      <c r="Q804" s="10" t="s">
        <v>24</v>
      </c>
    </row>
    <row r="805" spans="1:18" hidden="1" x14ac:dyDescent="0.25">
      <c r="A805" s="9" t="s">
        <v>249</v>
      </c>
      <c r="B805" s="3" t="str">
        <f t="shared" si="15"/>
        <v>18/12/7</v>
      </c>
      <c r="C805" s="10">
        <v>7</v>
      </c>
      <c r="D805" s="10">
        <v>12</v>
      </c>
      <c r="E805" s="10">
        <v>18</v>
      </c>
      <c r="F805" t="s">
        <v>55</v>
      </c>
      <c r="H805" t="s">
        <v>56</v>
      </c>
      <c r="I805" t="s">
        <v>27</v>
      </c>
      <c r="J805" s="4">
        <v>19.8</v>
      </c>
      <c r="K805">
        <v>1.36</v>
      </c>
      <c r="L805">
        <v>19.8</v>
      </c>
      <c r="M805">
        <v>26.928000000000004</v>
      </c>
      <c r="N805" s="5">
        <v>1.3545271629778675</v>
      </c>
      <c r="O805" t="s">
        <v>1472</v>
      </c>
      <c r="P805" t="s">
        <v>340</v>
      </c>
      <c r="Q805" s="10" t="s">
        <v>24</v>
      </c>
    </row>
    <row r="806" spans="1:18" hidden="1" x14ac:dyDescent="0.25">
      <c r="A806" s="9" t="s">
        <v>249</v>
      </c>
      <c r="B806" s="3" t="str">
        <f t="shared" si="15"/>
        <v>18/12/7</v>
      </c>
      <c r="C806" s="10">
        <v>7</v>
      </c>
      <c r="D806" s="10">
        <v>12</v>
      </c>
      <c r="E806" s="10">
        <v>18</v>
      </c>
      <c r="F806" t="s">
        <v>770</v>
      </c>
      <c r="G806" t="s">
        <v>31</v>
      </c>
      <c r="H806" t="s">
        <v>26</v>
      </c>
      <c r="I806" t="s">
        <v>27</v>
      </c>
      <c r="J806" s="4">
        <v>7.65</v>
      </c>
      <c r="K806">
        <v>3</v>
      </c>
      <c r="L806">
        <v>7.65</v>
      </c>
      <c r="M806">
        <v>22.950000000000003</v>
      </c>
      <c r="N806" s="5">
        <v>1.1544265593561369</v>
      </c>
      <c r="O806" t="s">
        <v>1472</v>
      </c>
      <c r="P806" t="s">
        <v>340</v>
      </c>
      <c r="Q806" s="10" t="s">
        <v>24</v>
      </c>
    </row>
    <row r="807" spans="1:18" hidden="1" x14ac:dyDescent="0.25">
      <c r="A807" s="9" t="s">
        <v>249</v>
      </c>
      <c r="B807" s="3" t="str">
        <f t="shared" si="15"/>
        <v>18/12/7</v>
      </c>
      <c r="C807" s="10">
        <v>7</v>
      </c>
      <c r="D807" s="10">
        <v>12</v>
      </c>
      <c r="E807" s="10">
        <v>18</v>
      </c>
      <c r="F807" t="s">
        <v>104</v>
      </c>
      <c r="I807" t="s">
        <v>72</v>
      </c>
      <c r="J807" s="4">
        <v>106.94</v>
      </c>
      <c r="K807">
        <v>1</v>
      </c>
      <c r="L807">
        <v>106.94</v>
      </c>
      <c r="M807">
        <v>106.94</v>
      </c>
      <c r="N807" s="5">
        <v>5.3792756539235418</v>
      </c>
      <c r="O807" t="s">
        <v>233</v>
      </c>
      <c r="P807" t="s">
        <v>340</v>
      </c>
      <c r="Q807" s="10" t="s">
        <v>24</v>
      </c>
      <c r="R807" t="s">
        <v>854</v>
      </c>
    </row>
    <row r="808" spans="1:18" hidden="1" x14ac:dyDescent="0.25">
      <c r="A808" s="9" t="s">
        <v>249</v>
      </c>
      <c r="B808" s="3" t="str">
        <f t="shared" si="15"/>
        <v>18/12/7</v>
      </c>
      <c r="C808" s="10">
        <v>7</v>
      </c>
      <c r="D808" s="10">
        <v>12</v>
      </c>
      <c r="E808" s="10">
        <v>18</v>
      </c>
      <c r="F808" t="s">
        <v>104</v>
      </c>
      <c r="I808" t="s">
        <v>72</v>
      </c>
      <c r="J808" s="4">
        <v>116.34</v>
      </c>
      <c r="K808">
        <v>1</v>
      </c>
      <c r="L808">
        <v>116.34</v>
      </c>
      <c r="M808">
        <v>116.34</v>
      </c>
      <c r="N808" s="5">
        <v>5.8521126760563389</v>
      </c>
      <c r="O808" t="s">
        <v>233</v>
      </c>
      <c r="P808" t="s">
        <v>340</v>
      </c>
      <c r="Q808" s="10" t="s">
        <v>24</v>
      </c>
      <c r="R808" t="s">
        <v>869</v>
      </c>
    </row>
    <row r="809" spans="1:18" hidden="1" x14ac:dyDescent="0.25">
      <c r="A809" s="9" t="s">
        <v>249</v>
      </c>
      <c r="B809" s="3" t="str">
        <f t="shared" si="15"/>
        <v>18/12/7</v>
      </c>
      <c r="C809" s="10">
        <v>7</v>
      </c>
      <c r="D809" s="10">
        <v>12</v>
      </c>
      <c r="E809" s="10">
        <v>18</v>
      </c>
      <c r="F809" t="s">
        <v>104</v>
      </c>
      <c r="I809" t="s">
        <v>72</v>
      </c>
      <c r="J809" s="4">
        <v>23.76</v>
      </c>
      <c r="K809">
        <v>1</v>
      </c>
      <c r="L809">
        <v>23.76</v>
      </c>
      <c r="M809">
        <v>23.76</v>
      </c>
      <c r="N809" s="5">
        <v>1.1951710261569417</v>
      </c>
      <c r="O809" t="s">
        <v>233</v>
      </c>
      <c r="P809" t="s">
        <v>340</v>
      </c>
      <c r="Q809" s="10" t="s">
        <v>24</v>
      </c>
      <c r="R809" t="s">
        <v>870</v>
      </c>
    </row>
    <row r="810" spans="1:18" hidden="1" x14ac:dyDescent="0.25">
      <c r="A810" s="9" t="s">
        <v>249</v>
      </c>
      <c r="B810" s="3" t="str">
        <f t="shared" si="15"/>
        <v>18/12/7</v>
      </c>
      <c r="C810" s="10">
        <v>7</v>
      </c>
      <c r="D810" s="10">
        <v>12</v>
      </c>
      <c r="E810" s="10">
        <v>18</v>
      </c>
      <c r="F810" t="s">
        <v>104</v>
      </c>
      <c r="I810" t="s">
        <v>72</v>
      </c>
      <c r="J810" s="4">
        <v>126.51</v>
      </c>
      <c r="K810">
        <v>1</v>
      </c>
      <c r="L810">
        <v>126.51</v>
      </c>
      <c r="M810">
        <v>126.51</v>
      </c>
      <c r="N810" s="5">
        <v>6.3636820925553321</v>
      </c>
      <c r="O810" t="s">
        <v>233</v>
      </c>
      <c r="P810" t="s">
        <v>340</v>
      </c>
      <c r="Q810" s="10" t="s">
        <v>24</v>
      </c>
      <c r="R810" t="s">
        <v>871</v>
      </c>
    </row>
    <row r="811" spans="1:18" hidden="1" x14ac:dyDescent="0.25">
      <c r="A811" s="9" t="s">
        <v>249</v>
      </c>
      <c r="B811" s="3" t="str">
        <f t="shared" si="15"/>
        <v>18/12/7</v>
      </c>
      <c r="C811" s="10">
        <v>7</v>
      </c>
      <c r="D811" s="10">
        <v>12</v>
      </c>
      <c r="E811" s="10">
        <v>18</v>
      </c>
      <c r="F811" t="s">
        <v>159</v>
      </c>
      <c r="I811" t="s">
        <v>72</v>
      </c>
      <c r="J811" s="4">
        <v>9.9</v>
      </c>
      <c r="K811">
        <v>2</v>
      </c>
      <c r="L811">
        <v>9.9</v>
      </c>
      <c r="M811">
        <v>19.8</v>
      </c>
      <c r="N811" s="5">
        <v>0.99597585513078479</v>
      </c>
      <c r="O811" t="s">
        <v>233</v>
      </c>
      <c r="P811" t="s">
        <v>340</v>
      </c>
      <c r="Q811" s="10" t="s">
        <v>24</v>
      </c>
      <c r="R811" t="s">
        <v>159</v>
      </c>
    </row>
    <row r="812" spans="1:18" hidden="1" x14ac:dyDescent="0.25">
      <c r="A812" s="9" t="s">
        <v>249</v>
      </c>
      <c r="B812" s="3" t="str">
        <f t="shared" si="15"/>
        <v>18/12/7</v>
      </c>
      <c r="C812" s="10">
        <v>7</v>
      </c>
      <c r="D812" s="10">
        <v>12</v>
      </c>
      <c r="E812" s="10">
        <v>18</v>
      </c>
      <c r="F812" t="s">
        <v>146</v>
      </c>
      <c r="H812" t="s">
        <v>49</v>
      </c>
      <c r="I812" t="s">
        <v>50</v>
      </c>
      <c r="J812" s="4">
        <v>0.3</v>
      </c>
      <c r="K812">
        <v>1</v>
      </c>
      <c r="L812">
        <v>0.3</v>
      </c>
      <c r="M812" s="8">
        <v>0.3</v>
      </c>
      <c r="N812" s="5">
        <v>1.5090543259557344E-2</v>
      </c>
      <c r="O812" t="s">
        <v>233</v>
      </c>
      <c r="P812" t="s">
        <v>340</v>
      </c>
      <c r="Q812" s="10" t="s">
        <v>24</v>
      </c>
    </row>
    <row r="813" spans="1:18" hidden="1" x14ac:dyDescent="0.25">
      <c r="A813" s="2" t="s">
        <v>726</v>
      </c>
      <c r="B813" s="3" t="str">
        <f t="shared" si="15"/>
        <v>18/12/8</v>
      </c>
      <c r="C813" s="10">
        <v>8</v>
      </c>
      <c r="D813" s="10">
        <v>12</v>
      </c>
      <c r="E813" s="10">
        <v>18</v>
      </c>
      <c r="F813" t="s">
        <v>94</v>
      </c>
      <c r="I813" t="s">
        <v>87</v>
      </c>
      <c r="J813" s="4">
        <v>115</v>
      </c>
      <c r="K813">
        <v>1</v>
      </c>
      <c r="L813">
        <v>115</v>
      </c>
      <c r="M813">
        <v>115</v>
      </c>
      <c r="N813" s="5">
        <v>5.7847082494969824</v>
      </c>
      <c r="O813" t="s">
        <v>39</v>
      </c>
      <c r="Q813" s="10" t="s">
        <v>24</v>
      </c>
    </row>
    <row r="814" spans="1:18" hidden="1" x14ac:dyDescent="0.25">
      <c r="A814" s="9" t="s">
        <v>249</v>
      </c>
      <c r="B814" s="3" t="str">
        <f t="shared" si="15"/>
        <v>18/12/8</v>
      </c>
      <c r="C814" s="10">
        <v>8</v>
      </c>
      <c r="D814" s="10">
        <v>12</v>
      </c>
      <c r="E814" s="10">
        <v>18</v>
      </c>
      <c r="F814" t="s">
        <v>189</v>
      </c>
      <c r="H814" t="s">
        <v>172</v>
      </c>
      <c r="I814" t="s">
        <v>39</v>
      </c>
      <c r="J814" s="4">
        <v>54</v>
      </c>
      <c r="K814">
        <v>1</v>
      </c>
      <c r="L814">
        <v>54</v>
      </c>
      <c r="M814" s="8">
        <v>54</v>
      </c>
      <c r="N814" s="5">
        <v>2.7162977867203222</v>
      </c>
      <c r="O814" t="s">
        <v>39</v>
      </c>
      <c r="P814" t="s">
        <v>340</v>
      </c>
      <c r="Q814" s="10" t="s">
        <v>24</v>
      </c>
    </row>
    <row r="815" spans="1:18" hidden="1" x14ac:dyDescent="0.25">
      <c r="A815" s="9" t="s">
        <v>249</v>
      </c>
      <c r="B815" s="3" t="str">
        <f t="shared" si="15"/>
        <v>18/12/8</v>
      </c>
      <c r="C815" s="10">
        <v>8</v>
      </c>
      <c r="D815" s="10">
        <v>12</v>
      </c>
      <c r="E815" s="10">
        <v>18</v>
      </c>
      <c r="F815" t="s">
        <v>768</v>
      </c>
      <c r="H815" t="s">
        <v>54</v>
      </c>
      <c r="I815" t="s">
        <v>27</v>
      </c>
      <c r="J815" s="4">
        <v>160</v>
      </c>
      <c r="K815">
        <v>0.16800000000000001</v>
      </c>
      <c r="L815">
        <v>160</v>
      </c>
      <c r="M815">
        <v>26.880000000000003</v>
      </c>
      <c r="N815" s="5">
        <v>1.3521126760563382</v>
      </c>
      <c r="O815" t="s">
        <v>767</v>
      </c>
      <c r="P815" t="s">
        <v>340</v>
      </c>
      <c r="Q815" s="10" t="s">
        <v>24</v>
      </c>
    </row>
    <row r="816" spans="1:18" hidden="1" x14ac:dyDescent="0.25">
      <c r="A816" s="9" t="s">
        <v>249</v>
      </c>
      <c r="B816" s="3" t="str">
        <f t="shared" si="15"/>
        <v>18/12/8</v>
      </c>
      <c r="C816" s="10">
        <v>8</v>
      </c>
      <c r="D816" s="10">
        <v>12</v>
      </c>
      <c r="E816" s="10">
        <v>18</v>
      </c>
      <c r="F816" t="s">
        <v>872</v>
      </c>
      <c r="G816" t="s">
        <v>38</v>
      </c>
      <c r="H816" t="s">
        <v>39</v>
      </c>
      <c r="I816" t="s">
        <v>27</v>
      </c>
      <c r="J816" s="4">
        <v>120</v>
      </c>
      <c r="K816">
        <v>0.28599999999999998</v>
      </c>
      <c r="L816">
        <v>120</v>
      </c>
      <c r="M816">
        <v>34.32</v>
      </c>
      <c r="N816" s="5">
        <v>1.7263581488933604</v>
      </c>
      <c r="O816" t="s">
        <v>767</v>
      </c>
      <c r="P816" t="s">
        <v>340</v>
      </c>
      <c r="Q816" s="10" t="s">
        <v>24</v>
      </c>
    </row>
    <row r="817" spans="1:17" hidden="1" x14ac:dyDescent="0.25">
      <c r="A817" s="9" t="s">
        <v>249</v>
      </c>
      <c r="B817" s="3" t="str">
        <f t="shared" si="15"/>
        <v>18/12/8</v>
      </c>
      <c r="C817" s="10">
        <v>8</v>
      </c>
      <c r="D817" s="10">
        <v>12</v>
      </c>
      <c r="E817" s="10">
        <v>18</v>
      </c>
      <c r="F817" t="s">
        <v>560</v>
      </c>
      <c r="H817" t="s">
        <v>69</v>
      </c>
      <c r="I817" t="s">
        <v>27</v>
      </c>
      <c r="J817" s="4">
        <v>230</v>
      </c>
      <c r="K817">
        <v>0.22600000000000001</v>
      </c>
      <c r="L817">
        <v>230</v>
      </c>
      <c r="M817">
        <v>51.980000000000004</v>
      </c>
      <c r="N817" s="5">
        <v>2.6146881287726362</v>
      </c>
      <c r="O817" t="s">
        <v>767</v>
      </c>
      <c r="P817" t="s">
        <v>340</v>
      </c>
      <c r="Q817" s="10" t="s">
        <v>24</v>
      </c>
    </row>
    <row r="818" spans="1:17" hidden="1" x14ac:dyDescent="0.25">
      <c r="A818" s="9" t="s">
        <v>249</v>
      </c>
      <c r="B818" s="3" t="str">
        <f t="shared" si="15"/>
        <v>18/12/8</v>
      </c>
      <c r="C818" s="10">
        <v>8</v>
      </c>
      <c r="D818" s="10">
        <v>12</v>
      </c>
      <c r="E818" s="10">
        <v>18</v>
      </c>
      <c r="F818" t="s">
        <v>873</v>
      </c>
      <c r="H818" t="s">
        <v>69</v>
      </c>
      <c r="I818" t="s">
        <v>27</v>
      </c>
      <c r="J818" s="4">
        <v>380</v>
      </c>
      <c r="K818">
        <v>0.32800000000000001</v>
      </c>
      <c r="L818">
        <v>380</v>
      </c>
      <c r="M818">
        <v>124.64</v>
      </c>
      <c r="N818" s="5">
        <v>6.2696177062374252</v>
      </c>
      <c r="O818" t="s">
        <v>767</v>
      </c>
      <c r="P818" t="s">
        <v>340</v>
      </c>
      <c r="Q818" s="10" t="s">
        <v>24</v>
      </c>
    </row>
    <row r="819" spans="1:17" hidden="1" x14ac:dyDescent="0.25">
      <c r="A819" s="9" t="s">
        <v>249</v>
      </c>
      <c r="B819" s="3" t="str">
        <f t="shared" si="15"/>
        <v>18/12/8</v>
      </c>
      <c r="C819" s="10">
        <v>8</v>
      </c>
      <c r="D819" s="10">
        <v>12</v>
      </c>
      <c r="E819" s="10">
        <v>18</v>
      </c>
      <c r="F819" t="s">
        <v>224</v>
      </c>
      <c r="G819" t="s">
        <v>224</v>
      </c>
      <c r="H819" t="s">
        <v>26</v>
      </c>
      <c r="I819" t="s">
        <v>27</v>
      </c>
      <c r="J819" s="4">
        <v>69.5</v>
      </c>
      <c r="K819">
        <v>1</v>
      </c>
      <c r="L819">
        <v>69.5</v>
      </c>
      <c r="M819">
        <v>69.5</v>
      </c>
      <c r="N819" s="5">
        <v>3.4959758551307849</v>
      </c>
      <c r="O819" t="s">
        <v>100</v>
      </c>
      <c r="P819" t="s">
        <v>340</v>
      </c>
      <c r="Q819" s="10" t="s">
        <v>24</v>
      </c>
    </row>
    <row r="820" spans="1:17" hidden="1" x14ac:dyDescent="0.25">
      <c r="A820" s="9" t="s">
        <v>249</v>
      </c>
      <c r="B820" s="3" t="str">
        <f t="shared" si="15"/>
        <v>18/12/8</v>
      </c>
      <c r="C820" s="10">
        <v>8</v>
      </c>
      <c r="D820" s="10">
        <v>12</v>
      </c>
      <c r="E820" s="10">
        <v>18</v>
      </c>
      <c r="F820" t="s">
        <v>292</v>
      </c>
      <c r="H820" t="s">
        <v>467</v>
      </c>
      <c r="I820" t="s">
        <v>27</v>
      </c>
      <c r="J820" s="4">
        <v>17</v>
      </c>
      <c r="K820">
        <v>1</v>
      </c>
      <c r="L820">
        <v>17</v>
      </c>
      <c r="M820">
        <v>17</v>
      </c>
      <c r="N820" s="5">
        <v>0.85513078470824955</v>
      </c>
      <c r="O820" t="s">
        <v>100</v>
      </c>
      <c r="P820" t="s">
        <v>340</v>
      </c>
      <c r="Q820" s="10" t="s">
        <v>24</v>
      </c>
    </row>
    <row r="821" spans="1:17" hidden="1" x14ac:dyDescent="0.25">
      <c r="A821" s="9" t="s">
        <v>249</v>
      </c>
      <c r="B821" s="3" t="str">
        <f t="shared" si="15"/>
        <v>18/12/8</v>
      </c>
      <c r="C821" s="10">
        <v>8</v>
      </c>
      <c r="D821" s="10">
        <v>12</v>
      </c>
      <c r="E821" s="10">
        <v>18</v>
      </c>
      <c r="F821" t="s">
        <v>221</v>
      </c>
      <c r="G821" t="s">
        <v>155</v>
      </c>
      <c r="H821" t="s">
        <v>131</v>
      </c>
      <c r="I821" t="s">
        <v>27</v>
      </c>
      <c r="J821" s="4">
        <v>50.25</v>
      </c>
      <c r="K821">
        <v>2</v>
      </c>
      <c r="L821">
        <v>50.25</v>
      </c>
      <c r="M821">
        <v>100.5</v>
      </c>
      <c r="N821" s="5">
        <v>5.0553319919517108</v>
      </c>
      <c r="O821" t="s">
        <v>100</v>
      </c>
      <c r="P821" t="s">
        <v>340</v>
      </c>
      <c r="Q821" s="10" t="s">
        <v>24</v>
      </c>
    </row>
    <row r="822" spans="1:17" hidden="1" x14ac:dyDescent="0.25">
      <c r="A822" s="9" t="s">
        <v>249</v>
      </c>
      <c r="B822" s="3" t="str">
        <f t="shared" si="15"/>
        <v>18/12/8</v>
      </c>
      <c r="C822" s="10">
        <v>8</v>
      </c>
      <c r="D822" s="10">
        <v>12</v>
      </c>
      <c r="E822" s="10">
        <v>18</v>
      </c>
      <c r="F822" t="s">
        <v>874</v>
      </c>
      <c r="G822" t="s">
        <v>155</v>
      </c>
      <c r="H822" t="s">
        <v>131</v>
      </c>
      <c r="I822" t="s">
        <v>27</v>
      </c>
      <c r="J822" s="4">
        <v>31.75</v>
      </c>
      <c r="K822">
        <v>1</v>
      </c>
      <c r="L822">
        <v>31.75</v>
      </c>
      <c r="M822">
        <v>31.75</v>
      </c>
      <c r="N822" s="5">
        <v>1.597082494969819</v>
      </c>
      <c r="O822" t="s">
        <v>100</v>
      </c>
      <c r="P822" t="s">
        <v>340</v>
      </c>
      <c r="Q822" s="10" t="s">
        <v>24</v>
      </c>
    </row>
    <row r="823" spans="1:17" hidden="1" x14ac:dyDescent="0.25">
      <c r="A823" s="9" t="s">
        <v>249</v>
      </c>
      <c r="B823" s="3" t="str">
        <f t="shared" si="15"/>
        <v>18/12/8</v>
      </c>
      <c r="C823" s="10">
        <v>8</v>
      </c>
      <c r="D823" s="10">
        <v>12</v>
      </c>
      <c r="E823" s="10">
        <v>18</v>
      </c>
      <c r="F823" t="s">
        <v>802</v>
      </c>
      <c r="G823" t="s">
        <v>708</v>
      </c>
      <c r="H823" t="s">
        <v>131</v>
      </c>
      <c r="I823" t="s">
        <v>27</v>
      </c>
      <c r="J823" s="4">
        <v>128</v>
      </c>
      <c r="K823">
        <v>0.16</v>
      </c>
      <c r="L823">
        <v>128</v>
      </c>
      <c r="M823">
        <v>20.48</v>
      </c>
      <c r="N823" s="5">
        <v>1.0301810865191148</v>
      </c>
      <c r="O823" t="s">
        <v>100</v>
      </c>
      <c r="P823" t="s">
        <v>340</v>
      </c>
      <c r="Q823" s="10" t="s">
        <v>24</v>
      </c>
    </row>
    <row r="824" spans="1:17" hidden="1" x14ac:dyDescent="0.25">
      <c r="A824" s="36" t="str">
        <f t="shared" ref="A824:A843" si="16">IF(D824=1,"Jan-18",IF(D824=2,"Feb-18",IF(D824=3,"Mar-18",IF(D824=4,"Apr-18",IF(D824=5,"May-18",IF(D824=6,"Jun-18",(IF(D824=7,"Jul-18",IF(D824=8,"Aug-18",IF(D824=9,"Sep-18",IF(D824=10,"Oct-18",IF(D824=11,"Nov-18",IF(D824=12,"Dec-18","...")))))))))))))</f>
        <v>Dec-18</v>
      </c>
      <c r="B824" s="3" t="s">
        <v>1298</v>
      </c>
      <c r="C824" s="10">
        <v>8</v>
      </c>
      <c r="D824" s="10">
        <v>12</v>
      </c>
      <c r="E824" s="10">
        <v>18</v>
      </c>
      <c r="F824" t="s">
        <v>107</v>
      </c>
      <c r="G824" t="s">
        <v>889</v>
      </c>
      <c r="H824" t="s">
        <v>53</v>
      </c>
      <c r="I824" t="s">
        <v>27</v>
      </c>
      <c r="J824" s="4">
        <v>9.92</v>
      </c>
      <c r="K824">
        <v>12</v>
      </c>
      <c r="L824">
        <v>9.92</v>
      </c>
      <c r="M824">
        <v>119.03999999999999</v>
      </c>
      <c r="N824" s="5">
        <v>6.0256467941507301</v>
      </c>
      <c r="O824" t="s">
        <v>51</v>
      </c>
      <c r="P824" t="s">
        <v>340</v>
      </c>
      <c r="Q824" s="10" t="s">
        <v>1102</v>
      </c>
    </row>
    <row r="825" spans="1:17" hidden="1" x14ac:dyDescent="0.25">
      <c r="A825" s="36" t="str">
        <f t="shared" si="16"/>
        <v>Dec-18</v>
      </c>
      <c r="B825" s="3" t="s">
        <v>1298</v>
      </c>
      <c r="C825" s="10">
        <v>8</v>
      </c>
      <c r="D825" s="10">
        <v>12</v>
      </c>
      <c r="E825" s="10">
        <v>18</v>
      </c>
      <c r="F825" t="s">
        <v>1288</v>
      </c>
      <c r="G825" t="s">
        <v>889</v>
      </c>
      <c r="H825" t="s">
        <v>65</v>
      </c>
      <c r="I825" t="s">
        <v>27</v>
      </c>
      <c r="J825" s="4">
        <v>8.59</v>
      </c>
      <c r="K825">
        <v>8</v>
      </c>
      <c r="L825">
        <v>8.59</v>
      </c>
      <c r="M825">
        <v>63.25</v>
      </c>
      <c r="N825" s="5">
        <v>3.201631046119235</v>
      </c>
      <c r="O825" t="s">
        <v>51</v>
      </c>
      <c r="P825" t="s">
        <v>340</v>
      </c>
      <c r="Q825" s="10" t="s">
        <v>1102</v>
      </c>
    </row>
    <row r="826" spans="1:17" hidden="1" x14ac:dyDescent="0.25">
      <c r="A826" s="36" t="str">
        <f t="shared" si="16"/>
        <v>Dec-18</v>
      </c>
      <c r="B826" s="3" t="s">
        <v>1298</v>
      </c>
      <c r="C826" s="10">
        <v>8</v>
      </c>
      <c r="D826" s="10">
        <v>12</v>
      </c>
      <c r="E826" s="10">
        <v>18</v>
      </c>
      <c r="F826" t="s">
        <v>776</v>
      </c>
      <c r="G826" t="s">
        <v>889</v>
      </c>
      <c r="H826" t="s">
        <v>56</v>
      </c>
      <c r="I826" t="s">
        <v>27</v>
      </c>
      <c r="J826" s="4">
        <v>25.5</v>
      </c>
      <c r="K826">
        <v>0.46</v>
      </c>
      <c r="L826">
        <v>25.5</v>
      </c>
      <c r="M826">
        <v>11.73</v>
      </c>
      <c r="N826" s="5">
        <v>0.59375703037120364</v>
      </c>
      <c r="O826" t="s">
        <v>51</v>
      </c>
      <c r="P826" t="s">
        <v>340</v>
      </c>
      <c r="Q826" s="10" t="s">
        <v>1102</v>
      </c>
    </row>
    <row r="827" spans="1:17" hidden="1" x14ac:dyDescent="0.25">
      <c r="A827" s="36" t="str">
        <f t="shared" si="16"/>
        <v>Dec-18</v>
      </c>
      <c r="B827" s="3" t="s">
        <v>1298</v>
      </c>
      <c r="C827" s="10">
        <v>8</v>
      </c>
      <c r="D827" s="10">
        <v>12</v>
      </c>
      <c r="E827" s="10">
        <v>18</v>
      </c>
      <c r="F827" t="s">
        <v>1498</v>
      </c>
      <c r="G827" t="s">
        <v>889</v>
      </c>
      <c r="H827" t="s">
        <v>49</v>
      </c>
      <c r="I827" t="s">
        <v>50</v>
      </c>
      <c r="J827" s="4">
        <v>42</v>
      </c>
      <c r="K827">
        <v>1</v>
      </c>
      <c r="L827">
        <v>42</v>
      </c>
      <c r="M827">
        <v>42</v>
      </c>
      <c r="N827" s="5">
        <v>2.1259842519685037</v>
      </c>
      <c r="O827" t="s">
        <v>51</v>
      </c>
      <c r="P827" t="s">
        <v>340</v>
      </c>
      <c r="Q827" s="10" t="s">
        <v>1102</v>
      </c>
    </row>
    <row r="828" spans="1:17" hidden="1" x14ac:dyDescent="0.25">
      <c r="A828" s="36" t="str">
        <f t="shared" si="16"/>
        <v>Dec-18</v>
      </c>
      <c r="B828" s="3" t="s">
        <v>1298</v>
      </c>
      <c r="C828" s="10">
        <v>8</v>
      </c>
      <c r="D828" s="10">
        <v>12</v>
      </c>
      <c r="E828" s="10">
        <v>18</v>
      </c>
      <c r="F828" t="s">
        <v>140</v>
      </c>
      <c r="G828" t="s">
        <v>140</v>
      </c>
      <c r="H828" t="s">
        <v>49</v>
      </c>
      <c r="I828" t="s">
        <v>50</v>
      </c>
      <c r="J828" s="4">
        <v>39</v>
      </c>
      <c r="K828">
        <v>1</v>
      </c>
      <c r="L828">
        <v>39</v>
      </c>
      <c r="M828">
        <v>39</v>
      </c>
      <c r="N828" s="5">
        <v>1.9741282339707535</v>
      </c>
      <c r="O828" t="s">
        <v>51</v>
      </c>
      <c r="P828" t="s">
        <v>340</v>
      </c>
      <c r="Q828" s="10" t="s">
        <v>1102</v>
      </c>
    </row>
    <row r="829" spans="1:17" hidden="1" x14ac:dyDescent="0.25">
      <c r="A829" s="36" t="str">
        <f t="shared" si="16"/>
        <v>Dec-18</v>
      </c>
      <c r="B829" s="3" t="s">
        <v>1298</v>
      </c>
      <c r="C829" s="10">
        <v>8</v>
      </c>
      <c r="D829" s="10">
        <v>12</v>
      </c>
      <c r="E829" s="10">
        <v>18</v>
      </c>
      <c r="F829" t="s">
        <v>202</v>
      </c>
      <c r="G829" t="s">
        <v>889</v>
      </c>
      <c r="H829" t="s">
        <v>54</v>
      </c>
      <c r="I829" t="s">
        <v>27</v>
      </c>
      <c r="J829" s="4">
        <v>69</v>
      </c>
      <c r="K829">
        <v>0.25600000000000001</v>
      </c>
      <c r="L829">
        <v>69</v>
      </c>
      <c r="M829">
        <v>17.664000000000001</v>
      </c>
      <c r="N829" s="5">
        <v>0.89412823397075369</v>
      </c>
      <c r="O829" t="s">
        <v>51</v>
      </c>
      <c r="P829" t="s">
        <v>340</v>
      </c>
      <c r="Q829" s="10" t="s">
        <v>1102</v>
      </c>
    </row>
    <row r="830" spans="1:17" hidden="1" x14ac:dyDescent="0.25">
      <c r="A830" s="36" t="str">
        <f t="shared" si="16"/>
        <v>Dec-18</v>
      </c>
      <c r="B830" s="3" t="s">
        <v>1298</v>
      </c>
      <c r="C830" s="10">
        <v>8</v>
      </c>
      <c r="D830" s="10">
        <v>12</v>
      </c>
      <c r="E830" s="10">
        <v>18</v>
      </c>
      <c r="F830" t="s">
        <v>1289</v>
      </c>
      <c r="G830" t="s">
        <v>889</v>
      </c>
      <c r="H830" t="s">
        <v>54</v>
      </c>
      <c r="I830" t="s">
        <v>27</v>
      </c>
      <c r="J830" s="4">
        <v>37.9</v>
      </c>
      <c r="K830">
        <v>0.76600000000000001</v>
      </c>
      <c r="L830">
        <v>37.9</v>
      </c>
      <c r="M830">
        <v>29.031399999999998</v>
      </c>
      <c r="N830" s="5">
        <v>1.4695309336332956</v>
      </c>
      <c r="O830" t="s">
        <v>51</v>
      </c>
      <c r="P830" t="s">
        <v>340</v>
      </c>
      <c r="Q830" s="10" t="s">
        <v>1102</v>
      </c>
    </row>
    <row r="831" spans="1:17" hidden="1" x14ac:dyDescent="0.25">
      <c r="A831" s="36" t="str">
        <f t="shared" si="16"/>
        <v>Dec-18</v>
      </c>
      <c r="B831" s="3" t="s">
        <v>1298</v>
      </c>
      <c r="C831" s="10">
        <v>8</v>
      </c>
      <c r="D831" s="10">
        <v>12</v>
      </c>
      <c r="E831" s="10">
        <v>18</v>
      </c>
      <c r="F831" t="s">
        <v>106</v>
      </c>
      <c r="G831" t="s">
        <v>889</v>
      </c>
      <c r="H831" t="s">
        <v>56</v>
      </c>
      <c r="I831" t="s">
        <v>27</v>
      </c>
      <c r="J831" s="4">
        <v>26.9</v>
      </c>
      <c r="K831">
        <v>1.8480000000000001</v>
      </c>
      <c r="L831">
        <v>26.9</v>
      </c>
      <c r="M831">
        <v>49.711199999999998</v>
      </c>
      <c r="N831" s="5">
        <v>2.5163149606299209</v>
      </c>
      <c r="O831" t="s">
        <v>51</v>
      </c>
      <c r="P831" t="s">
        <v>340</v>
      </c>
      <c r="Q831" s="10" t="s">
        <v>1102</v>
      </c>
    </row>
    <row r="832" spans="1:17" hidden="1" x14ac:dyDescent="0.25">
      <c r="A832" s="36" t="str">
        <f t="shared" si="16"/>
        <v>Dec-18</v>
      </c>
      <c r="B832" s="3" t="s">
        <v>1298</v>
      </c>
      <c r="C832" s="10">
        <v>8</v>
      </c>
      <c r="D832" s="10">
        <v>12</v>
      </c>
      <c r="E832" s="10">
        <v>18</v>
      </c>
      <c r="F832" t="s">
        <v>1290</v>
      </c>
      <c r="G832" t="s">
        <v>889</v>
      </c>
      <c r="H832" t="s">
        <v>59</v>
      </c>
      <c r="I832" t="s">
        <v>27</v>
      </c>
      <c r="J832" s="4">
        <v>68.989999999999995</v>
      </c>
      <c r="K832">
        <v>1</v>
      </c>
      <c r="L832">
        <v>68.989999999999995</v>
      </c>
      <c r="M832">
        <v>68.989999999999995</v>
      </c>
      <c r="N832" s="5">
        <v>3.4921822272215968</v>
      </c>
      <c r="O832" t="s">
        <v>51</v>
      </c>
      <c r="P832" t="s">
        <v>340</v>
      </c>
      <c r="Q832" s="10" t="s">
        <v>1102</v>
      </c>
    </row>
    <row r="833" spans="1:18" hidden="1" x14ac:dyDescent="0.25">
      <c r="A833" s="36" t="str">
        <f t="shared" si="16"/>
        <v>Dec-18</v>
      </c>
      <c r="B833" s="3" t="s">
        <v>1298</v>
      </c>
      <c r="C833" s="10">
        <v>8</v>
      </c>
      <c r="D833" s="10">
        <v>12</v>
      </c>
      <c r="E833" s="10">
        <v>18</v>
      </c>
      <c r="F833" t="s">
        <v>1290</v>
      </c>
      <c r="G833" t="s">
        <v>889</v>
      </c>
      <c r="H833" t="s">
        <v>59</v>
      </c>
      <c r="I833" t="s">
        <v>27</v>
      </c>
      <c r="J833" s="4">
        <v>109</v>
      </c>
      <c r="K833">
        <v>1</v>
      </c>
      <c r="L833">
        <v>109</v>
      </c>
      <c r="M833">
        <v>109</v>
      </c>
      <c r="N833" s="5">
        <v>5.5174353205849265</v>
      </c>
      <c r="O833" t="s">
        <v>51</v>
      </c>
      <c r="P833" t="s">
        <v>340</v>
      </c>
      <c r="Q833" s="10" t="s">
        <v>1102</v>
      </c>
    </row>
    <row r="834" spans="1:18" hidden="1" x14ac:dyDescent="0.25">
      <c r="A834" s="36" t="str">
        <f t="shared" si="16"/>
        <v>Dec-18</v>
      </c>
      <c r="B834" s="3" t="s">
        <v>1298</v>
      </c>
      <c r="C834" s="10">
        <v>8</v>
      </c>
      <c r="D834" s="10">
        <v>12</v>
      </c>
      <c r="E834" s="10">
        <v>18</v>
      </c>
      <c r="F834" t="s">
        <v>1291</v>
      </c>
      <c r="G834" t="s">
        <v>889</v>
      </c>
      <c r="H834" t="s">
        <v>59</v>
      </c>
      <c r="I834" t="s">
        <v>27</v>
      </c>
      <c r="J834" s="4">
        <v>68.900000000000006</v>
      </c>
      <c r="K834">
        <v>1</v>
      </c>
      <c r="L834">
        <v>68.900000000000006</v>
      </c>
      <c r="M834">
        <v>68.900000000000006</v>
      </c>
      <c r="N834" s="5">
        <v>3.4876265466816649</v>
      </c>
      <c r="O834" t="s">
        <v>51</v>
      </c>
      <c r="P834" t="s">
        <v>340</v>
      </c>
      <c r="Q834" s="10" t="s">
        <v>1102</v>
      </c>
    </row>
    <row r="835" spans="1:18" hidden="1" x14ac:dyDescent="0.25">
      <c r="A835" s="36" t="str">
        <f t="shared" si="16"/>
        <v>Dec-18</v>
      </c>
      <c r="B835" s="3" t="s">
        <v>1298</v>
      </c>
      <c r="C835" s="10">
        <v>8</v>
      </c>
      <c r="D835" s="10">
        <v>12</v>
      </c>
      <c r="E835" s="10">
        <v>18</v>
      </c>
      <c r="F835" t="s">
        <v>1292</v>
      </c>
      <c r="G835" t="s">
        <v>889</v>
      </c>
      <c r="H835" t="s">
        <v>59</v>
      </c>
      <c r="I835" t="s">
        <v>27</v>
      </c>
      <c r="J835" s="4">
        <v>99</v>
      </c>
      <c r="K835">
        <v>2</v>
      </c>
      <c r="L835">
        <v>99</v>
      </c>
      <c r="M835">
        <v>198</v>
      </c>
      <c r="N835" s="5">
        <v>10.022497187851519</v>
      </c>
      <c r="O835" t="s">
        <v>51</v>
      </c>
      <c r="P835" t="s">
        <v>340</v>
      </c>
      <c r="Q835" s="10" t="s">
        <v>1102</v>
      </c>
    </row>
    <row r="836" spans="1:18" hidden="1" x14ac:dyDescent="0.25">
      <c r="A836" s="36" t="str">
        <f t="shared" si="16"/>
        <v>Dec-18</v>
      </c>
      <c r="B836" s="3" t="s">
        <v>1298</v>
      </c>
      <c r="C836" s="10">
        <v>8</v>
      </c>
      <c r="D836" s="10">
        <v>12</v>
      </c>
      <c r="E836" s="10">
        <v>18</v>
      </c>
      <c r="F836" t="s">
        <v>66</v>
      </c>
      <c r="G836" t="s">
        <v>67</v>
      </c>
      <c r="H836" t="s">
        <v>59</v>
      </c>
      <c r="I836" t="s">
        <v>27</v>
      </c>
      <c r="J836" s="4">
        <v>154.9</v>
      </c>
      <c r="K836">
        <v>1</v>
      </c>
      <c r="L836">
        <v>154.9</v>
      </c>
      <c r="M836">
        <v>154.9</v>
      </c>
      <c r="N836" s="5">
        <v>7.840832395950506</v>
      </c>
      <c r="O836" t="s">
        <v>51</v>
      </c>
      <c r="P836" t="s">
        <v>340</v>
      </c>
      <c r="Q836" s="10" t="s">
        <v>1102</v>
      </c>
    </row>
    <row r="837" spans="1:18" hidden="1" x14ac:dyDescent="0.25">
      <c r="A837" s="36" t="str">
        <f t="shared" si="16"/>
        <v>Dec-18</v>
      </c>
      <c r="B837" s="3" t="s">
        <v>1298</v>
      </c>
      <c r="C837" s="10">
        <v>8</v>
      </c>
      <c r="D837" s="10">
        <v>12</v>
      </c>
      <c r="E837" s="10">
        <v>18</v>
      </c>
      <c r="F837" t="s">
        <v>474</v>
      </c>
      <c r="G837" t="s">
        <v>889</v>
      </c>
      <c r="H837" t="s">
        <v>475</v>
      </c>
      <c r="I837" t="s">
        <v>27</v>
      </c>
      <c r="J837" s="4">
        <v>93.7</v>
      </c>
      <c r="K837">
        <v>1</v>
      </c>
      <c r="L837">
        <v>93.7</v>
      </c>
      <c r="M837">
        <v>93.7</v>
      </c>
      <c r="N837" s="5">
        <v>4.7429696287964003</v>
      </c>
      <c r="O837" t="s">
        <v>51</v>
      </c>
      <c r="P837" t="s">
        <v>340</v>
      </c>
      <c r="Q837" s="10" t="s">
        <v>1102</v>
      </c>
    </row>
    <row r="838" spans="1:18" hidden="1" x14ac:dyDescent="0.25">
      <c r="A838" s="36" t="str">
        <f t="shared" si="16"/>
        <v>Dec-18</v>
      </c>
      <c r="B838" s="3" t="s">
        <v>1298</v>
      </c>
      <c r="C838" s="10">
        <v>8</v>
      </c>
      <c r="D838" s="10">
        <v>12</v>
      </c>
      <c r="E838" s="10">
        <v>18</v>
      </c>
      <c r="F838" t="s">
        <v>701</v>
      </c>
      <c r="G838" t="s">
        <v>889</v>
      </c>
      <c r="H838" t="s">
        <v>49</v>
      </c>
      <c r="I838" t="s">
        <v>50</v>
      </c>
      <c r="J838" s="4">
        <v>19.73</v>
      </c>
      <c r="K838">
        <v>1</v>
      </c>
      <c r="L838">
        <v>19.73</v>
      </c>
      <c r="M838">
        <v>19.73</v>
      </c>
      <c r="N838" s="5">
        <v>0.99870641169853769</v>
      </c>
      <c r="O838" t="s">
        <v>51</v>
      </c>
      <c r="P838" t="s">
        <v>340</v>
      </c>
      <c r="Q838" s="10" t="s">
        <v>1102</v>
      </c>
    </row>
    <row r="839" spans="1:18" hidden="1" x14ac:dyDescent="0.25">
      <c r="A839" s="36" t="str">
        <f t="shared" si="16"/>
        <v>Dec-18</v>
      </c>
      <c r="B839" s="3" t="s">
        <v>1298</v>
      </c>
      <c r="C839" s="10">
        <v>8</v>
      </c>
      <c r="D839" s="10">
        <v>12</v>
      </c>
      <c r="E839" s="10">
        <v>18</v>
      </c>
      <c r="F839" t="s">
        <v>48</v>
      </c>
      <c r="G839" t="s">
        <v>889</v>
      </c>
      <c r="H839" t="s">
        <v>49</v>
      </c>
      <c r="I839" t="s">
        <v>50</v>
      </c>
      <c r="J839" s="4">
        <v>34.9</v>
      </c>
      <c r="K839">
        <v>1</v>
      </c>
      <c r="L839">
        <v>34.9</v>
      </c>
      <c r="M839">
        <v>34.9</v>
      </c>
      <c r="N839" s="5">
        <v>1.7665916760404947</v>
      </c>
      <c r="O839" t="s">
        <v>51</v>
      </c>
      <c r="P839" t="s">
        <v>340</v>
      </c>
      <c r="Q839" s="10" t="s">
        <v>1102</v>
      </c>
    </row>
    <row r="840" spans="1:18" hidden="1" x14ac:dyDescent="0.25">
      <c r="A840" s="36" t="str">
        <f t="shared" si="16"/>
        <v>Dec-18</v>
      </c>
      <c r="B840" s="3" t="s">
        <v>1298</v>
      </c>
      <c r="C840" s="10">
        <v>8</v>
      </c>
      <c r="D840" s="10">
        <v>12</v>
      </c>
      <c r="E840" s="10">
        <v>18</v>
      </c>
      <c r="F840" t="s">
        <v>701</v>
      </c>
      <c r="G840" t="s">
        <v>889</v>
      </c>
      <c r="H840" t="s">
        <v>49</v>
      </c>
      <c r="I840" t="s">
        <v>50</v>
      </c>
      <c r="J840" s="4">
        <v>13.9</v>
      </c>
      <c r="K840">
        <v>1</v>
      </c>
      <c r="L840">
        <v>13.9</v>
      </c>
      <c r="M840">
        <v>13.9</v>
      </c>
      <c r="N840" s="5">
        <v>0.70359955005624297</v>
      </c>
      <c r="O840" t="s">
        <v>51</v>
      </c>
      <c r="P840" t="s">
        <v>340</v>
      </c>
      <c r="Q840" s="10" t="s">
        <v>1102</v>
      </c>
    </row>
    <row r="841" spans="1:18" hidden="1" x14ac:dyDescent="0.25">
      <c r="A841" s="36" t="str">
        <f t="shared" si="16"/>
        <v>Dec-18</v>
      </c>
      <c r="B841" s="3" t="s">
        <v>1298</v>
      </c>
      <c r="C841" s="10">
        <v>8</v>
      </c>
      <c r="D841" s="10">
        <v>12</v>
      </c>
      <c r="E841" s="10">
        <v>18</v>
      </c>
      <c r="F841" t="s">
        <v>1692</v>
      </c>
      <c r="H841" t="s">
        <v>49</v>
      </c>
      <c r="I841" t="s">
        <v>50</v>
      </c>
      <c r="J841" s="4">
        <v>28.49</v>
      </c>
      <c r="K841">
        <v>2</v>
      </c>
      <c r="L841">
        <v>28.49</v>
      </c>
      <c r="M841">
        <v>54.12</v>
      </c>
      <c r="N841" s="5">
        <v>2.739482564679415</v>
      </c>
      <c r="O841" t="s">
        <v>51</v>
      </c>
      <c r="P841" t="s">
        <v>340</v>
      </c>
      <c r="Q841" s="10" t="s">
        <v>1102</v>
      </c>
    </row>
    <row r="842" spans="1:18" hidden="1" x14ac:dyDescent="0.25">
      <c r="A842" s="36" t="str">
        <f t="shared" si="16"/>
        <v>Dec-18</v>
      </c>
      <c r="B842" s="3" t="s">
        <v>1298</v>
      </c>
      <c r="C842" s="10">
        <v>8</v>
      </c>
      <c r="D842" s="10">
        <v>12</v>
      </c>
      <c r="E842" s="10">
        <v>18</v>
      </c>
      <c r="F842" t="s">
        <v>48</v>
      </c>
      <c r="G842" t="s">
        <v>889</v>
      </c>
      <c r="H842" t="s">
        <v>49</v>
      </c>
      <c r="I842" t="s">
        <v>50</v>
      </c>
      <c r="J842" s="4">
        <v>34.9</v>
      </c>
      <c r="K842">
        <v>1</v>
      </c>
      <c r="L842">
        <v>34.9</v>
      </c>
      <c r="M842">
        <v>34.9</v>
      </c>
      <c r="N842" s="5">
        <v>1.7665916760404947</v>
      </c>
      <c r="O842" t="s">
        <v>51</v>
      </c>
      <c r="P842" t="s">
        <v>340</v>
      </c>
      <c r="Q842" s="10" t="s">
        <v>1102</v>
      </c>
    </row>
    <row r="843" spans="1:18" hidden="1" x14ac:dyDescent="0.25">
      <c r="A843" s="36" t="str">
        <f t="shared" si="16"/>
        <v>Dec-18</v>
      </c>
      <c r="B843" s="3" t="s">
        <v>1298</v>
      </c>
      <c r="C843" s="10">
        <v>8</v>
      </c>
      <c r="D843" s="10">
        <v>12</v>
      </c>
      <c r="E843" s="10">
        <v>18</v>
      </c>
      <c r="F843" t="s">
        <v>415</v>
      </c>
      <c r="H843" t="s">
        <v>49</v>
      </c>
      <c r="I843" t="s">
        <v>50</v>
      </c>
      <c r="J843" s="4">
        <v>34.9</v>
      </c>
      <c r="K843">
        <v>1</v>
      </c>
      <c r="L843">
        <v>34.9</v>
      </c>
      <c r="M843">
        <v>34.9</v>
      </c>
      <c r="N843" s="5">
        <v>1.7665916760404947</v>
      </c>
      <c r="O843" t="s">
        <v>51</v>
      </c>
      <c r="P843" t="s">
        <v>340</v>
      </c>
      <c r="Q843" s="10" t="s">
        <v>1102</v>
      </c>
      <c r="R843" t="s">
        <v>1518</v>
      </c>
    </row>
    <row r="844" spans="1:18" hidden="1" x14ac:dyDescent="0.25">
      <c r="A844" s="9" t="s">
        <v>249</v>
      </c>
      <c r="B844" s="3" t="str">
        <f t="shared" ref="B844:B907" si="17">CONCATENATE(E844,"/",D844,"/",C844)</f>
        <v>18/12/9</v>
      </c>
      <c r="C844" s="10">
        <v>9</v>
      </c>
      <c r="D844" s="10">
        <v>12</v>
      </c>
      <c r="E844" s="10">
        <v>18</v>
      </c>
      <c r="F844" t="s">
        <v>176</v>
      </c>
      <c r="H844" t="s">
        <v>176</v>
      </c>
      <c r="I844" t="s">
        <v>105</v>
      </c>
      <c r="J844" s="4">
        <v>237</v>
      </c>
      <c r="K844">
        <v>1</v>
      </c>
      <c r="L844">
        <v>237</v>
      </c>
      <c r="M844">
        <v>237</v>
      </c>
      <c r="N844" s="5">
        <v>11.921529175050303</v>
      </c>
      <c r="O844" t="s">
        <v>39</v>
      </c>
      <c r="Q844" s="10" t="s">
        <v>24</v>
      </c>
    </row>
    <row r="845" spans="1:18" hidden="1" x14ac:dyDescent="0.25">
      <c r="A845" s="9" t="s">
        <v>249</v>
      </c>
      <c r="B845" s="3" t="str">
        <f t="shared" si="17"/>
        <v>18/12/9</v>
      </c>
      <c r="C845" s="10">
        <v>9</v>
      </c>
      <c r="D845" s="10">
        <v>12</v>
      </c>
      <c r="E845" s="10">
        <v>18</v>
      </c>
      <c r="F845" t="s">
        <v>328</v>
      </c>
      <c r="G845" t="s">
        <v>328</v>
      </c>
      <c r="H845" t="s">
        <v>49</v>
      </c>
      <c r="I845" t="s">
        <v>50</v>
      </c>
      <c r="J845" s="4">
        <v>7</v>
      </c>
      <c r="K845">
        <v>2</v>
      </c>
      <c r="L845">
        <v>7</v>
      </c>
      <c r="M845" s="8">
        <v>14</v>
      </c>
      <c r="N845" s="5">
        <v>0.70422535211267612</v>
      </c>
      <c r="O845" t="s">
        <v>875</v>
      </c>
      <c r="P845" t="s">
        <v>340</v>
      </c>
      <c r="Q845" s="10" t="s">
        <v>24</v>
      </c>
    </row>
    <row r="846" spans="1:18" hidden="1" x14ac:dyDescent="0.25">
      <c r="A846" s="9" t="s">
        <v>249</v>
      </c>
      <c r="B846" s="3" t="str">
        <f t="shared" si="17"/>
        <v>18/12/9</v>
      </c>
      <c r="C846" s="10">
        <v>9</v>
      </c>
      <c r="D846" s="10">
        <v>12</v>
      </c>
      <c r="E846" s="10">
        <v>18</v>
      </c>
      <c r="F846" t="s">
        <v>770</v>
      </c>
      <c r="G846" t="s">
        <v>31</v>
      </c>
      <c r="H846" t="s">
        <v>26</v>
      </c>
      <c r="I846" t="s">
        <v>27</v>
      </c>
      <c r="J846" s="4">
        <v>7.65</v>
      </c>
      <c r="K846">
        <v>2</v>
      </c>
      <c r="L846">
        <v>7.65</v>
      </c>
      <c r="M846">
        <v>15.3</v>
      </c>
      <c r="N846" s="5">
        <v>0.76961770623742465</v>
      </c>
      <c r="O846" t="s">
        <v>1472</v>
      </c>
      <c r="P846" t="s">
        <v>340</v>
      </c>
      <c r="Q846" s="10" t="s">
        <v>24</v>
      </c>
    </row>
    <row r="847" spans="1:18" hidden="1" x14ac:dyDescent="0.25">
      <c r="A847" s="2" t="s">
        <v>201</v>
      </c>
      <c r="B847" s="3" t="str">
        <f t="shared" si="17"/>
        <v>18/2/1</v>
      </c>
      <c r="C847">
        <v>1</v>
      </c>
      <c r="D847">
        <v>2</v>
      </c>
      <c r="E847">
        <v>18</v>
      </c>
      <c r="F847" t="s">
        <v>1492</v>
      </c>
      <c r="H847" t="s">
        <v>21</v>
      </c>
      <c r="I847" t="s">
        <v>22</v>
      </c>
      <c r="J847" s="4">
        <f>Spending_raw[[#This Row],[Price, lei]]</f>
        <v>1588.25</v>
      </c>
      <c r="K847">
        <v>2</v>
      </c>
      <c r="L847">
        <v>1588.25</v>
      </c>
      <c r="M847">
        <v>3176.5</v>
      </c>
      <c r="N847" s="5">
        <v>159.7837022132797</v>
      </c>
      <c r="O847" t="s">
        <v>23</v>
      </c>
      <c r="P847" t="s">
        <v>340</v>
      </c>
      <c r="Q847" t="s">
        <v>24</v>
      </c>
      <c r="R847" t="s">
        <v>20</v>
      </c>
    </row>
    <row r="848" spans="1:18" hidden="1" x14ac:dyDescent="0.25">
      <c r="A848" s="2" t="s">
        <v>201</v>
      </c>
      <c r="B848" s="3" t="str">
        <f t="shared" si="17"/>
        <v>18/2/1</v>
      </c>
      <c r="C848">
        <v>1</v>
      </c>
      <c r="D848">
        <v>2</v>
      </c>
      <c r="E848">
        <v>18</v>
      </c>
      <c r="F848" t="s">
        <v>89</v>
      </c>
      <c r="G848" t="s">
        <v>31</v>
      </c>
      <c r="H848" t="s">
        <v>26</v>
      </c>
      <c r="I848" t="s">
        <v>27</v>
      </c>
      <c r="J848" s="4">
        <f>Spending_raw[[#This Row],[Price, lei]]</f>
        <v>14.4</v>
      </c>
      <c r="K848">
        <v>2</v>
      </c>
      <c r="L848">
        <v>14.4</v>
      </c>
      <c r="M848">
        <v>28.8</v>
      </c>
      <c r="N848" s="5">
        <v>1.4486921529175052</v>
      </c>
      <c r="O848" t="s">
        <v>90</v>
      </c>
      <c r="P848" t="s">
        <v>340</v>
      </c>
      <c r="Q848" t="s">
        <v>24</v>
      </c>
    </row>
    <row r="849" spans="1:17" hidden="1" x14ac:dyDescent="0.25">
      <c r="A849" s="2" t="s">
        <v>201</v>
      </c>
      <c r="B849" s="3" t="str">
        <f t="shared" si="17"/>
        <v>18/2/1</v>
      </c>
      <c r="C849">
        <v>1</v>
      </c>
      <c r="D849">
        <v>2</v>
      </c>
      <c r="E849">
        <v>18</v>
      </c>
      <c r="F849" t="s">
        <v>106</v>
      </c>
      <c r="H849" t="s">
        <v>56</v>
      </c>
      <c r="I849" t="s">
        <v>27</v>
      </c>
      <c r="J849" s="4">
        <f>Spending_raw[[#This Row],[Price, lei]]</f>
        <v>30.5</v>
      </c>
      <c r="K849">
        <v>2.2080000000000002</v>
      </c>
      <c r="L849">
        <v>30.5</v>
      </c>
      <c r="M849">
        <v>67.343999999999994</v>
      </c>
      <c r="N849" s="5">
        <v>3.3875251509054323</v>
      </c>
      <c r="O849" t="s">
        <v>90</v>
      </c>
      <c r="P849" t="s">
        <v>340</v>
      </c>
      <c r="Q849" t="s">
        <v>24</v>
      </c>
    </row>
    <row r="850" spans="1:17" hidden="1" x14ac:dyDescent="0.25">
      <c r="A850" s="2" t="s">
        <v>201</v>
      </c>
      <c r="B850" s="3" t="str">
        <f t="shared" si="17"/>
        <v>18/2/1</v>
      </c>
      <c r="C850">
        <v>1</v>
      </c>
      <c r="D850">
        <v>2</v>
      </c>
      <c r="E850">
        <v>18</v>
      </c>
      <c r="F850" t="s">
        <v>202</v>
      </c>
      <c r="H850" t="s">
        <v>54</v>
      </c>
      <c r="I850" t="s">
        <v>27</v>
      </c>
      <c r="J850" s="4">
        <f>Spending_raw[[#This Row],[Price, lei]]</f>
        <v>100.4</v>
      </c>
      <c r="K850">
        <v>0.316</v>
      </c>
      <c r="L850">
        <v>100.4</v>
      </c>
      <c r="M850">
        <v>31.726400000000002</v>
      </c>
      <c r="N850" s="5">
        <v>1.5958953722334006</v>
      </c>
      <c r="O850" t="s">
        <v>90</v>
      </c>
      <c r="P850" t="s">
        <v>340</v>
      </c>
      <c r="Q850" t="s">
        <v>24</v>
      </c>
    </row>
    <row r="851" spans="1:17" hidden="1" x14ac:dyDescent="0.25">
      <c r="A851" s="2" t="s">
        <v>201</v>
      </c>
      <c r="B851" s="3" t="str">
        <f t="shared" si="17"/>
        <v>18/2/1</v>
      </c>
      <c r="C851">
        <v>1</v>
      </c>
      <c r="D851">
        <v>2</v>
      </c>
      <c r="E851">
        <v>18</v>
      </c>
      <c r="F851" t="s">
        <v>203</v>
      </c>
      <c r="H851" t="s">
        <v>54</v>
      </c>
      <c r="I851" t="s">
        <v>27</v>
      </c>
      <c r="J851" s="4">
        <f>Spending_raw[[#This Row],[Price, lei]]</f>
        <v>8</v>
      </c>
      <c r="K851">
        <v>1.9419999999999999</v>
      </c>
      <c r="L851">
        <v>8</v>
      </c>
      <c r="M851">
        <v>15.536</v>
      </c>
      <c r="N851" s="5">
        <v>0.78148893360160965</v>
      </c>
      <c r="O851" t="s">
        <v>90</v>
      </c>
      <c r="P851" t="s">
        <v>340</v>
      </c>
      <c r="Q851" t="s">
        <v>24</v>
      </c>
    </row>
    <row r="852" spans="1:17" hidden="1" x14ac:dyDescent="0.25">
      <c r="A852" s="2" t="s">
        <v>201</v>
      </c>
      <c r="B852" s="3" t="str">
        <f t="shared" si="17"/>
        <v>18/2/1</v>
      </c>
      <c r="C852">
        <v>1</v>
      </c>
      <c r="D852">
        <v>2</v>
      </c>
      <c r="E852">
        <v>18</v>
      </c>
      <c r="F852" t="s">
        <v>109</v>
      </c>
      <c r="H852" t="s">
        <v>54</v>
      </c>
      <c r="I852" t="s">
        <v>27</v>
      </c>
      <c r="J852" s="4">
        <f>Spending_raw[[#This Row],[Price, lei]]</f>
        <v>29.6</v>
      </c>
      <c r="K852">
        <v>0.35799999999999998</v>
      </c>
      <c r="L852">
        <v>29.6</v>
      </c>
      <c r="M852">
        <v>10.5968</v>
      </c>
      <c r="N852" s="5">
        <v>0.53303822937625756</v>
      </c>
      <c r="O852" t="s">
        <v>90</v>
      </c>
      <c r="P852" t="s">
        <v>340</v>
      </c>
      <c r="Q852" t="s">
        <v>24</v>
      </c>
    </row>
    <row r="853" spans="1:17" hidden="1" x14ac:dyDescent="0.25">
      <c r="A853" s="2" t="s">
        <v>201</v>
      </c>
      <c r="B853" s="3" t="str">
        <f t="shared" si="17"/>
        <v>18/2/1</v>
      </c>
      <c r="C853">
        <v>1</v>
      </c>
      <c r="D853">
        <v>2</v>
      </c>
      <c r="E853">
        <v>18</v>
      </c>
      <c r="F853" t="s">
        <v>89</v>
      </c>
      <c r="G853" t="s">
        <v>31</v>
      </c>
      <c r="H853" t="s">
        <v>26</v>
      </c>
      <c r="I853" t="s">
        <v>27</v>
      </c>
      <c r="J853" s="4">
        <f>Spending_raw[[#This Row],[Price, lei]]</f>
        <v>6.72</v>
      </c>
      <c r="K853">
        <v>4</v>
      </c>
      <c r="L853">
        <v>6.72</v>
      </c>
      <c r="M853">
        <v>26.88</v>
      </c>
      <c r="N853" s="5">
        <v>1.352112676056338</v>
      </c>
      <c r="O853" t="s">
        <v>90</v>
      </c>
      <c r="P853" t="s">
        <v>340</v>
      </c>
      <c r="Q853" t="s">
        <v>24</v>
      </c>
    </row>
    <row r="854" spans="1:17" hidden="1" x14ac:dyDescent="0.25">
      <c r="A854" s="2" t="s">
        <v>201</v>
      </c>
      <c r="B854" s="3" t="str">
        <f t="shared" si="17"/>
        <v>18/2/1</v>
      </c>
      <c r="C854">
        <v>1</v>
      </c>
      <c r="D854">
        <v>2</v>
      </c>
      <c r="E854">
        <v>18</v>
      </c>
      <c r="F854" t="s">
        <v>204</v>
      </c>
      <c r="H854" t="s">
        <v>54</v>
      </c>
      <c r="I854" t="s">
        <v>27</v>
      </c>
      <c r="J854" s="4">
        <f>Spending_raw[[#This Row],[Price, lei]]</f>
        <v>55.6</v>
      </c>
      <c r="K854">
        <v>0.11799999999999999</v>
      </c>
      <c r="L854">
        <v>55.6</v>
      </c>
      <c r="M854">
        <v>6.5608000000000004</v>
      </c>
      <c r="N854" s="5">
        <v>0.33002012072434611</v>
      </c>
      <c r="O854" t="s">
        <v>90</v>
      </c>
      <c r="P854" t="s">
        <v>340</v>
      </c>
      <c r="Q854" t="s">
        <v>24</v>
      </c>
    </row>
    <row r="855" spans="1:17" hidden="1" x14ac:dyDescent="0.25">
      <c r="A855" s="2" t="s">
        <v>201</v>
      </c>
      <c r="B855" s="3" t="str">
        <f t="shared" si="17"/>
        <v>18/2/1</v>
      </c>
      <c r="C855">
        <v>1</v>
      </c>
      <c r="D855">
        <v>2</v>
      </c>
      <c r="E855">
        <v>18</v>
      </c>
      <c r="F855" t="s">
        <v>205</v>
      </c>
      <c r="H855" t="s">
        <v>54</v>
      </c>
      <c r="I855" t="s">
        <v>27</v>
      </c>
      <c r="J855" s="4">
        <f>Spending_raw[[#This Row],[Price, lei]]</f>
        <v>20.9</v>
      </c>
      <c r="K855">
        <v>1</v>
      </c>
      <c r="L855">
        <v>20.9</v>
      </c>
      <c r="M855">
        <v>20.9</v>
      </c>
      <c r="N855" s="5">
        <v>1.051307847082495</v>
      </c>
      <c r="O855" t="s">
        <v>90</v>
      </c>
      <c r="P855" t="s">
        <v>340</v>
      </c>
      <c r="Q855" t="s">
        <v>24</v>
      </c>
    </row>
    <row r="856" spans="1:17" hidden="1" x14ac:dyDescent="0.25">
      <c r="A856" s="2" t="s">
        <v>201</v>
      </c>
      <c r="B856" s="3" t="str">
        <f t="shared" si="17"/>
        <v>18/2/1</v>
      </c>
      <c r="C856">
        <v>1</v>
      </c>
      <c r="D856">
        <v>2</v>
      </c>
      <c r="E856">
        <v>18</v>
      </c>
      <c r="F856" t="s">
        <v>206</v>
      </c>
      <c r="H856" t="s">
        <v>56</v>
      </c>
      <c r="I856" t="s">
        <v>27</v>
      </c>
      <c r="J856" s="4">
        <f>Spending_raw[[#This Row],[Price, lei]]</f>
        <v>31.9</v>
      </c>
      <c r="K856">
        <v>0.39400000000000002</v>
      </c>
      <c r="L856">
        <v>31.9</v>
      </c>
      <c r="M856">
        <v>12.5686</v>
      </c>
      <c r="N856" s="5">
        <v>0.6322233400402415</v>
      </c>
      <c r="O856" t="s">
        <v>90</v>
      </c>
      <c r="P856" t="s">
        <v>340</v>
      </c>
      <c r="Q856" t="s">
        <v>24</v>
      </c>
    </row>
    <row r="857" spans="1:17" hidden="1" x14ac:dyDescent="0.25">
      <c r="A857" s="2" t="s">
        <v>201</v>
      </c>
      <c r="B857" s="3" t="str">
        <f t="shared" si="17"/>
        <v>18/2/1</v>
      </c>
      <c r="C857">
        <v>1</v>
      </c>
      <c r="D857">
        <v>2</v>
      </c>
      <c r="E857">
        <v>18</v>
      </c>
      <c r="F857" t="s">
        <v>207</v>
      </c>
      <c r="H857" t="s">
        <v>56</v>
      </c>
      <c r="I857" t="s">
        <v>27</v>
      </c>
      <c r="J857" s="4">
        <f>Spending_raw[[#This Row],[Price, lei]]</f>
        <v>27.9</v>
      </c>
      <c r="K857">
        <v>0.53800000000000003</v>
      </c>
      <c r="L857">
        <v>27.9</v>
      </c>
      <c r="M857">
        <v>15.010199999999999</v>
      </c>
      <c r="N857" s="5">
        <v>0.7550402414486922</v>
      </c>
      <c r="O857" t="s">
        <v>90</v>
      </c>
      <c r="P857" t="s">
        <v>340</v>
      </c>
      <c r="Q857" t="s">
        <v>24</v>
      </c>
    </row>
    <row r="858" spans="1:17" hidden="1" x14ac:dyDescent="0.25">
      <c r="A858" s="2" t="s">
        <v>201</v>
      </c>
      <c r="B858" s="3" t="str">
        <f t="shared" si="17"/>
        <v>18/2/1</v>
      </c>
      <c r="C858">
        <v>1</v>
      </c>
      <c r="D858">
        <v>2</v>
      </c>
      <c r="E858">
        <v>18</v>
      </c>
      <c r="F858" t="s">
        <v>208</v>
      </c>
      <c r="H858" t="s">
        <v>56</v>
      </c>
      <c r="I858" t="s">
        <v>27</v>
      </c>
      <c r="J858" s="4">
        <f>Spending_raw[[#This Row],[Price, lei]]</f>
        <v>67.8</v>
      </c>
      <c r="K858">
        <v>0.188</v>
      </c>
      <c r="L858">
        <v>67.8</v>
      </c>
      <c r="M858">
        <v>12.7464</v>
      </c>
      <c r="N858" s="5">
        <v>0.64116700201207244</v>
      </c>
      <c r="O858" t="s">
        <v>90</v>
      </c>
      <c r="P858" t="s">
        <v>340</v>
      </c>
      <c r="Q858" t="s">
        <v>24</v>
      </c>
    </row>
    <row r="859" spans="1:17" hidden="1" x14ac:dyDescent="0.25">
      <c r="A859" s="2" t="s">
        <v>201</v>
      </c>
      <c r="B859" s="3" t="str">
        <f t="shared" si="17"/>
        <v>18/2/1</v>
      </c>
      <c r="C859">
        <v>1</v>
      </c>
      <c r="D859">
        <v>2</v>
      </c>
      <c r="E859">
        <v>18</v>
      </c>
      <c r="F859" t="s">
        <v>209</v>
      </c>
      <c r="H859" t="s">
        <v>56</v>
      </c>
      <c r="I859" t="s">
        <v>27</v>
      </c>
      <c r="J859" s="4">
        <f>Spending_raw[[#This Row],[Price, lei]]</f>
        <v>27.1</v>
      </c>
      <c r="K859">
        <v>0.86399999999999999</v>
      </c>
      <c r="L859">
        <v>27.1</v>
      </c>
      <c r="M859">
        <v>23.414400000000001</v>
      </c>
      <c r="N859" s="5">
        <v>1.1777867203219317</v>
      </c>
      <c r="O859" t="s">
        <v>90</v>
      </c>
      <c r="P859" t="s">
        <v>340</v>
      </c>
      <c r="Q859" t="s">
        <v>24</v>
      </c>
    </row>
    <row r="860" spans="1:17" hidden="1" x14ac:dyDescent="0.25">
      <c r="A860" s="2" t="s">
        <v>201</v>
      </c>
      <c r="B860" s="3" t="str">
        <f t="shared" si="17"/>
        <v>18/2/1</v>
      </c>
      <c r="C860">
        <v>1</v>
      </c>
      <c r="D860">
        <v>2</v>
      </c>
      <c r="E860">
        <v>18</v>
      </c>
      <c r="F860" t="s">
        <v>177</v>
      </c>
      <c r="H860" t="s">
        <v>56</v>
      </c>
      <c r="I860" t="s">
        <v>27</v>
      </c>
      <c r="J860" s="4">
        <f>Spending_raw[[#This Row],[Price, lei]]</f>
        <v>14.8</v>
      </c>
      <c r="K860">
        <v>1.036</v>
      </c>
      <c r="L860">
        <v>14.8</v>
      </c>
      <c r="M860">
        <v>15.332800000000001</v>
      </c>
      <c r="N860" s="5">
        <v>0.77126760563380292</v>
      </c>
      <c r="O860" t="s">
        <v>90</v>
      </c>
      <c r="P860" t="s">
        <v>340</v>
      </c>
      <c r="Q860" t="s">
        <v>24</v>
      </c>
    </row>
    <row r="861" spans="1:17" hidden="1" x14ac:dyDescent="0.25">
      <c r="A861" s="2" t="s">
        <v>201</v>
      </c>
      <c r="B861" s="3" t="str">
        <f t="shared" si="17"/>
        <v>18/2/1</v>
      </c>
      <c r="C861">
        <v>1</v>
      </c>
      <c r="D861">
        <v>2</v>
      </c>
      <c r="E861">
        <v>18</v>
      </c>
      <c r="F861" t="s">
        <v>177</v>
      </c>
      <c r="H861" t="s">
        <v>56</v>
      </c>
      <c r="I861" t="s">
        <v>27</v>
      </c>
      <c r="J861" s="4">
        <f>Spending_raw[[#This Row],[Price, lei]]</f>
        <v>12.5</v>
      </c>
      <c r="K861">
        <v>1.1459999999999999</v>
      </c>
      <c r="L861">
        <v>12.5</v>
      </c>
      <c r="M861">
        <v>14.324999999999999</v>
      </c>
      <c r="N861" s="5">
        <v>0.72057344064386319</v>
      </c>
      <c r="O861" t="s">
        <v>90</v>
      </c>
      <c r="P861" t="s">
        <v>340</v>
      </c>
      <c r="Q861" t="s">
        <v>24</v>
      </c>
    </row>
    <row r="862" spans="1:17" hidden="1" x14ac:dyDescent="0.25">
      <c r="A862" s="2" t="s">
        <v>201</v>
      </c>
      <c r="B862" s="3" t="str">
        <f t="shared" si="17"/>
        <v>18/2/1</v>
      </c>
      <c r="C862">
        <v>1</v>
      </c>
      <c r="D862">
        <v>2</v>
      </c>
      <c r="E862">
        <v>18</v>
      </c>
      <c r="F862" t="s">
        <v>177</v>
      </c>
      <c r="H862" t="s">
        <v>56</v>
      </c>
      <c r="I862" t="s">
        <v>27</v>
      </c>
      <c r="J862" s="4">
        <f>Spending_raw[[#This Row],[Price, lei]]</f>
        <v>13.7</v>
      </c>
      <c r="K862">
        <v>0.92</v>
      </c>
      <c r="L862">
        <v>13.7</v>
      </c>
      <c r="M862">
        <v>12.603999999999999</v>
      </c>
      <c r="N862" s="5">
        <v>0.63400402414486923</v>
      </c>
      <c r="O862" t="s">
        <v>90</v>
      </c>
      <c r="P862" t="s">
        <v>340</v>
      </c>
      <c r="Q862" t="s">
        <v>24</v>
      </c>
    </row>
    <row r="863" spans="1:17" hidden="1" x14ac:dyDescent="0.25">
      <c r="A863" s="2" t="s">
        <v>201</v>
      </c>
      <c r="B863" s="3" t="str">
        <f t="shared" si="17"/>
        <v>18/2/1</v>
      </c>
      <c r="C863">
        <v>1</v>
      </c>
      <c r="D863">
        <v>2</v>
      </c>
      <c r="E863">
        <v>18</v>
      </c>
      <c r="F863" t="s">
        <v>210</v>
      </c>
      <c r="G863" t="s">
        <v>210</v>
      </c>
      <c r="H863" t="s">
        <v>131</v>
      </c>
      <c r="I863" t="s">
        <v>27</v>
      </c>
      <c r="J863" s="4">
        <f>Spending_raw[[#This Row],[Price, lei]]</f>
        <v>322</v>
      </c>
      <c r="K863">
        <v>8.2000000000000003E-2</v>
      </c>
      <c r="L863">
        <v>322</v>
      </c>
      <c r="M863">
        <v>26.404</v>
      </c>
      <c r="N863" s="5">
        <v>1.328169014084507</v>
      </c>
      <c r="O863" t="s">
        <v>90</v>
      </c>
      <c r="P863" t="s">
        <v>340</v>
      </c>
      <c r="Q863" t="s">
        <v>24</v>
      </c>
    </row>
    <row r="864" spans="1:17" hidden="1" x14ac:dyDescent="0.25">
      <c r="A864" s="2" t="s">
        <v>201</v>
      </c>
      <c r="B864" s="3" t="str">
        <f t="shared" si="17"/>
        <v>18/2/1</v>
      </c>
      <c r="C864">
        <v>1</v>
      </c>
      <c r="D864">
        <v>2</v>
      </c>
      <c r="E864">
        <v>18</v>
      </c>
      <c r="F864" t="s">
        <v>116</v>
      </c>
      <c r="H864" t="s">
        <v>54</v>
      </c>
      <c r="I864" t="s">
        <v>27</v>
      </c>
      <c r="J864" s="4">
        <f>Spending_raw[[#This Row],[Price, lei]]</f>
        <v>7.3</v>
      </c>
      <c r="K864">
        <v>1.6220000000000001</v>
      </c>
      <c r="L864">
        <v>7.3</v>
      </c>
      <c r="M864">
        <v>11.8406</v>
      </c>
      <c r="N864" s="5">
        <v>0.59560362173038228</v>
      </c>
      <c r="O864" t="s">
        <v>90</v>
      </c>
      <c r="P864" t="s">
        <v>340</v>
      </c>
      <c r="Q864" t="s">
        <v>24</v>
      </c>
    </row>
    <row r="865" spans="1:18" hidden="1" x14ac:dyDescent="0.25">
      <c r="A865" s="2" t="s">
        <v>201</v>
      </c>
      <c r="B865" s="3" t="str">
        <f t="shared" si="17"/>
        <v>18/2/1</v>
      </c>
      <c r="C865">
        <v>1</v>
      </c>
      <c r="D865">
        <v>2</v>
      </c>
      <c r="E865">
        <v>18</v>
      </c>
      <c r="F865" t="s">
        <v>211</v>
      </c>
      <c r="H865" t="s">
        <v>56</v>
      </c>
      <c r="I865" t="s">
        <v>27</v>
      </c>
      <c r="J865" s="4">
        <f>Spending_raw[[#This Row],[Price, lei]]</f>
        <v>34.4</v>
      </c>
      <c r="K865">
        <v>0.79800000000000004</v>
      </c>
      <c r="L865">
        <v>34.4</v>
      </c>
      <c r="M865">
        <v>27.4512</v>
      </c>
      <c r="N865" s="5">
        <v>1.3808450704225352</v>
      </c>
      <c r="O865" t="s">
        <v>90</v>
      </c>
      <c r="P865" t="s">
        <v>340</v>
      </c>
      <c r="Q865" t="s">
        <v>24</v>
      </c>
    </row>
    <row r="866" spans="1:18" hidden="1" x14ac:dyDescent="0.25">
      <c r="A866" s="2" t="s">
        <v>201</v>
      </c>
      <c r="B866" s="3" t="str">
        <f t="shared" si="17"/>
        <v>18/2/1</v>
      </c>
      <c r="C866">
        <v>1</v>
      </c>
      <c r="D866">
        <v>2</v>
      </c>
      <c r="E866">
        <v>18</v>
      </c>
      <c r="F866" t="s">
        <v>40</v>
      </c>
      <c r="H866" t="s">
        <v>40</v>
      </c>
      <c r="I866" t="s">
        <v>27</v>
      </c>
      <c r="J866" s="4">
        <f>Spending_raw[[#This Row],[Price, lei]]</f>
        <v>7.68</v>
      </c>
      <c r="K866">
        <v>1</v>
      </c>
      <c r="L866">
        <v>7.68</v>
      </c>
      <c r="M866">
        <v>7.68</v>
      </c>
      <c r="N866" s="5">
        <v>0.38631790744466804</v>
      </c>
      <c r="O866" t="s">
        <v>90</v>
      </c>
      <c r="P866" t="s">
        <v>340</v>
      </c>
      <c r="Q866" t="s">
        <v>24</v>
      </c>
    </row>
    <row r="867" spans="1:18" hidden="1" x14ac:dyDescent="0.25">
      <c r="A867" s="2" t="s">
        <v>201</v>
      </c>
      <c r="B867" s="3" t="str">
        <f t="shared" si="17"/>
        <v>18/2/1</v>
      </c>
      <c r="C867">
        <v>1</v>
      </c>
      <c r="D867">
        <v>2</v>
      </c>
      <c r="E867">
        <v>18</v>
      </c>
      <c r="F867" t="s">
        <v>119</v>
      </c>
      <c r="H867" t="s">
        <v>56</v>
      </c>
      <c r="I867" t="s">
        <v>27</v>
      </c>
      <c r="J867" s="4">
        <f>Spending_raw[[#This Row],[Price, lei]]</f>
        <v>16.899999999999999</v>
      </c>
      <c r="K867">
        <v>1.234</v>
      </c>
      <c r="L867">
        <v>16.899999999999999</v>
      </c>
      <c r="M867">
        <v>20.854600000000001</v>
      </c>
      <c r="N867" s="5">
        <v>1.0490241448692155</v>
      </c>
      <c r="O867" t="s">
        <v>90</v>
      </c>
      <c r="P867" t="s">
        <v>340</v>
      </c>
      <c r="Q867" t="s">
        <v>24</v>
      </c>
    </row>
    <row r="868" spans="1:18" hidden="1" x14ac:dyDescent="0.25">
      <c r="A868" s="2" t="s">
        <v>201</v>
      </c>
      <c r="B868" s="3" t="str">
        <f t="shared" si="17"/>
        <v>18/2/1</v>
      </c>
      <c r="C868">
        <v>1</v>
      </c>
      <c r="D868">
        <v>2</v>
      </c>
      <c r="E868">
        <v>18</v>
      </c>
      <c r="F868" t="s">
        <v>121</v>
      </c>
      <c r="H868" t="s">
        <v>54</v>
      </c>
      <c r="I868" t="s">
        <v>27</v>
      </c>
      <c r="J868" s="4">
        <f>Spending_raw[[#This Row],[Price, lei]]</f>
        <v>15.1</v>
      </c>
      <c r="K868">
        <v>1.214</v>
      </c>
      <c r="L868">
        <v>15.1</v>
      </c>
      <c r="M868">
        <v>18.331399999999999</v>
      </c>
      <c r="N868" s="5">
        <v>0.92210261569416496</v>
      </c>
      <c r="O868" t="s">
        <v>90</v>
      </c>
      <c r="P868" t="s">
        <v>340</v>
      </c>
      <c r="Q868" t="s">
        <v>24</v>
      </c>
    </row>
    <row r="869" spans="1:18" hidden="1" x14ac:dyDescent="0.25">
      <c r="A869" s="2" t="s">
        <v>201</v>
      </c>
      <c r="B869" s="3" t="str">
        <f t="shared" si="17"/>
        <v>18/2/1</v>
      </c>
      <c r="C869">
        <v>1</v>
      </c>
      <c r="D869">
        <v>2</v>
      </c>
      <c r="E869">
        <v>18</v>
      </c>
      <c r="F869" t="s">
        <v>212</v>
      </c>
      <c r="H869" t="s">
        <v>54</v>
      </c>
      <c r="I869" t="s">
        <v>27</v>
      </c>
      <c r="J869" s="4">
        <f>Spending_raw[[#This Row],[Price, lei]]</f>
        <v>29.9</v>
      </c>
      <c r="K869">
        <v>2</v>
      </c>
      <c r="L869">
        <v>29.9</v>
      </c>
      <c r="M869">
        <v>59.8</v>
      </c>
      <c r="N869" s="5">
        <v>3.0080482897384306</v>
      </c>
      <c r="O869" t="s">
        <v>90</v>
      </c>
      <c r="P869" t="s">
        <v>340</v>
      </c>
      <c r="Q869" t="s">
        <v>24</v>
      </c>
    </row>
    <row r="870" spans="1:18" hidden="1" x14ac:dyDescent="0.25">
      <c r="A870" s="2" t="s">
        <v>201</v>
      </c>
      <c r="B870" s="3" t="str">
        <f t="shared" si="17"/>
        <v>18/2/1</v>
      </c>
      <c r="C870">
        <v>1</v>
      </c>
      <c r="D870">
        <v>2</v>
      </c>
      <c r="E870">
        <v>18</v>
      </c>
      <c r="F870" t="s">
        <v>98</v>
      </c>
      <c r="H870" t="s">
        <v>26</v>
      </c>
      <c r="I870" t="s">
        <v>27</v>
      </c>
      <c r="J870" s="4">
        <v>35.04</v>
      </c>
      <c r="K870">
        <v>1</v>
      </c>
      <c r="L870">
        <v>35.04</v>
      </c>
      <c r="M870">
        <v>35.04</v>
      </c>
      <c r="N870" s="5">
        <v>1.7625754527162978</v>
      </c>
      <c r="O870" t="s">
        <v>90</v>
      </c>
      <c r="P870" t="s">
        <v>340</v>
      </c>
      <c r="Q870" t="s">
        <v>24</v>
      </c>
      <c r="R870" t="s">
        <v>1260</v>
      </c>
    </row>
    <row r="871" spans="1:18" hidden="1" x14ac:dyDescent="0.25">
      <c r="A871" s="2" t="s">
        <v>201</v>
      </c>
      <c r="B871" s="3" t="str">
        <f t="shared" si="17"/>
        <v>18/2/1</v>
      </c>
      <c r="C871">
        <v>1</v>
      </c>
      <c r="D871">
        <v>2</v>
      </c>
      <c r="E871">
        <v>18</v>
      </c>
      <c r="F871" t="s">
        <v>214</v>
      </c>
      <c r="H871" t="s">
        <v>54</v>
      </c>
      <c r="I871" t="s">
        <v>27</v>
      </c>
      <c r="J871" s="4">
        <f>Spending_raw[[#This Row],[Price, lei]]</f>
        <v>22.2</v>
      </c>
      <c r="K871">
        <v>1</v>
      </c>
      <c r="L871">
        <v>22.2</v>
      </c>
      <c r="M871">
        <v>22.2</v>
      </c>
      <c r="N871" s="5">
        <v>1.1167002012072436</v>
      </c>
      <c r="O871" t="s">
        <v>90</v>
      </c>
      <c r="P871" t="s">
        <v>340</v>
      </c>
      <c r="Q871" t="s">
        <v>24</v>
      </c>
    </row>
    <row r="872" spans="1:18" hidden="1" x14ac:dyDescent="0.25">
      <c r="A872" s="2" t="s">
        <v>201</v>
      </c>
      <c r="B872" s="3" t="str">
        <f t="shared" si="17"/>
        <v>18/2/10</v>
      </c>
      <c r="C872">
        <v>10</v>
      </c>
      <c r="D872">
        <v>2</v>
      </c>
      <c r="E872">
        <v>18</v>
      </c>
      <c r="F872" t="s">
        <v>215</v>
      </c>
      <c r="G872" t="s">
        <v>25</v>
      </c>
      <c r="H872" t="s">
        <v>26</v>
      </c>
      <c r="I872" t="s">
        <v>27</v>
      </c>
      <c r="J872" s="4">
        <f>Spending_raw[[#This Row],[Price, lei]]</f>
        <v>15.2</v>
      </c>
      <c r="K872">
        <v>1</v>
      </c>
      <c r="L872">
        <v>15.2</v>
      </c>
      <c r="M872">
        <v>15.2</v>
      </c>
      <c r="N872" s="5">
        <v>0.76458752515090544</v>
      </c>
      <c r="O872" t="s">
        <v>32</v>
      </c>
      <c r="P872" t="s">
        <v>340</v>
      </c>
      <c r="Q872" t="s">
        <v>24</v>
      </c>
      <c r="R872" t="s">
        <v>216</v>
      </c>
    </row>
    <row r="873" spans="1:18" hidden="1" x14ac:dyDescent="0.25">
      <c r="A873" s="2" t="s">
        <v>201</v>
      </c>
      <c r="B873" s="3" t="str">
        <f t="shared" si="17"/>
        <v>18/2/10</v>
      </c>
      <c r="C873">
        <v>10</v>
      </c>
      <c r="D873">
        <v>2</v>
      </c>
      <c r="E873">
        <v>18</v>
      </c>
      <c r="F873" t="s">
        <v>89</v>
      </c>
      <c r="G873" t="s">
        <v>31</v>
      </c>
      <c r="H873" t="s">
        <v>26</v>
      </c>
      <c r="I873" t="s">
        <v>27</v>
      </c>
      <c r="J873" s="4">
        <f>Spending_raw[[#This Row],[Price, lei]]</f>
        <v>6.3</v>
      </c>
      <c r="K873">
        <v>2</v>
      </c>
      <c r="L873">
        <v>6.3</v>
      </c>
      <c r="M873">
        <v>12.6</v>
      </c>
      <c r="N873" s="5">
        <v>0.63380281690140849</v>
      </c>
      <c r="O873" t="s">
        <v>32</v>
      </c>
      <c r="P873" t="s">
        <v>340</v>
      </c>
      <c r="Q873" t="s">
        <v>24</v>
      </c>
      <c r="R873" t="s">
        <v>216</v>
      </c>
    </row>
    <row r="874" spans="1:18" hidden="1" x14ac:dyDescent="0.25">
      <c r="A874" s="2" t="s">
        <v>201</v>
      </c>
      <c r="B874" s="3" t="str">
        <f t="shared" si="17"/>
        <v>18/2/10</v>
      </c>
      <c r="C874">
        <v>10</v>
      </c>
      <c r="D874">
        <v>2</v>
      </c>
      <c r="E874">
        <v>18</v>
      </c>
      <c r="F874" t="s">
        <v>89</v>
      </c>
      <c r="G874" t="s">
        <v>31</v>
      </c>
      <c r="H874" t="s">
        <v>26</v>
      </c>
      <c r="I874" t="s">
        <v>27</v>
      </c>
      <c r="J874" s="4">
        <f>Spending_raw[[#This Row],[Price, lei]]</f>
        <v>7.4</v>
      </c>
      <c r="K874">
        <v>1</v>
      </c>
      <c r="L874">
        <v>7.4</v>
      </c>
      <c r="M874">
        <v>7.4</v>
      </c>
      <c r="N874" s="5">
        <v>0.37223340040241454</v>
      </c>
      <c r="O874" t="s">
        <v>32</v>
      </c>
      <c r="P874" t="s">
        <v>340</v>
      </c>
      <c r="Q874" t="s">
        <v>24</v>
      </c>
      <c r="R874" t="s">
        <v>216</v>
      </c>
    </row>
    <row r="875" spans="1:18" hidden="1" x14ac:dyDescent="0.25">
      <c r="A875" s="2" t="s">
        <v>201</v>
      </c>
      <c r="B875" s="3" t="str">
        <f t="shared" si="17"/>
        <v>18/2/11</v>
      </c>
      <c r="C875">
        <v>11</v>
      </c>
      <c r="D875">
        <v>2</v>
      </c>
      <c r="E875">
        <v>18</v>
      </c>
      <c r="F875" t="s">
        <v>217</v>
      </c>
      <c r="G875" t="s">
        <v>25</v>
      </c>
      <c r="H875" t="s">
        <v>26</v>
      </c>
      <c r="I875" t="s">
        <v>27</v>
      </c>
      <c r="J875" s="4">
        <f>Spending_raw[[#This Row],[Price, lei]]</f>
        <v>25.08</v>
      </c>
      <c r="K875">
        <v>3</v>
      </c>
      <c r="L875">
        <v>25.08</v>
      </c>
      <c r="M875">
        <v>75.239999999999995</v>
      </c>
      <c r="N875" s="5">
        <v>3.7847082494969819</v>
      </c>
      <c r="O875" t="s">
        <v>90</v>
      </c>
      <c r="P875" t="s">
        <v>340</v>
      </c>
      <c r="Q875" t="s">
        <v>24</v>
      </c>
    </row>
    <row r="876" spans="1:18" hidden="1" x14ac:dyDescent="0.25">
      <c r="A876" s="2" t="s">
        <v>201</v>
      </c>
      <c r="B876" s="3" t="str">
        <f t="shared" si="17"/>
        <v>18/2/11</v>
      </c>
      <c r="C876">
        <v>11</v>
      </c>
      <c r="D876">
        <v>2</v>
      </c>
      <c r="E876">
        <v>18</v>
      </c>
      <c r="F876" t="s">
        <v>106</v>
      </c>
      <c r="H876" t="s">
        <v>56</v>
      </c>
      <c r="I876" t="s">
        <v>27</v>
      </c>
      <c r="J876" s="4">
        <f>Spending_raw[[#This Row],[Price, lei]]</f>
        <v>30.5</v>
      </c>
      <c r="K876">
        <v>2.5859999999999999</v>
      </c>
      <c r="L876">
        <v>30.5</v>
      </c>
      <c r="M876">
        <v>78.873000000000005</v>
      </c>
      <c r="N876" s="5">
        <v>3.967454728370222</v>
      </c>
      <c r="O876" t="s">
        <v>90</v>
      </c>
      <c r="P876" t="s">
        <v>340</v>
      </c>
      <c r="Q876" t="s">
        <v>24</v>
      </c>
    </row>
    <row r="877" spans="1:18" hidden="1" x14ac:dyDescent="0.25">
      <c r="A877" s="2" t="s">
        <v>201</v>
      </c>
      <c r="B877" s="3" t="str">
        <f t="shared" si="17"/>
        <v>18/2/11</v>
      </c>
      <c r="C877">
        <v>11</v>
      </c>
      <c r="D877">
        <v>2</v>
      </c>
      <c r="E877">
        <v>18</v>
      </c>
      <c r="F877" t="s">
        <v>108</v>
      </c>
      <c r="H877" t="s">
        <v>54</v>
      </c>
      <c r="I877" t="s">
        <v>27</v>
      </c>
      <c r="J877" s="4">
        <f>Spending_raw[[#This Row],[Price, lei]]</f>
        <v>41</v>
      </c>
      <c r="K877">
        <v>0.38800000000000001</v>
      </c>
      <c r="L877">
        <v>41</v>
      </c>
      <c r="M877">
        <v>15.907999999999999</v>
      </c>
      <c r="N877" s="5">
        <v>0.80020120724346078</v>
      </c>
      <c r="O877" t="s">
        <v>90</v>
      </c>
      <c r="P877" t="s">
        <v>340</v>
      </c>
      <c r="Q877" t="s">
        <v>24</v>
      </c>
    </row>
    <row r="878" spans="1:18" hidden="1" x14ac:dyDescent="0.25">
      <c r="A878" s="2" t="s">
        <v>201</v>
      </c>
      <c r="B878" s="3" t="str">
        <f t="shared" si="17"/>
        <v>18/2/11</v>
      </c>
      <c r="C878">
        <v>11</v>
      </c>
      <c r="D878">
        <v>2</v>
      </c>
      <c r="E878">
        <v>18</v>
      </c>
      <c r="F878" t="s">
        <v>55</v>
      </c>
      <c r="H878" t="s">
        <v>56</v>
      </c>
      <c r="I878" t="s">
        <v>27</v>
      </c>
      <c r="J878" s="4">
        <f>Spending_raw[[#This Row],[Price, lei]]</f>
        <v>37.99</v>
      </c>
      <c r="K878">
        <v>0.41799999999999998</v>
      </c>
      <c r="L878">
        <v>37.99</v>
      </c>
      <c r="M878">
        <v>15.87982</v>
      </c>
      <c r="N878" s="5">
        <v>0.79878370221327977</v>
      </c>
      <c r="O878" t="s">
        <v>101</v>
      </c>
      <c r="P878" t="s">
        <v>340</v>
      </c>
      <c r="Q878" t="s">
        <v>24</v>
      </c>
    </row>
    <row r="879" spans="1:18" hidden="1" x14ac:dyDescent="0.25">
      <c r="A879" s="2" t="s">
        <v>201</v>
      </c>
      <c r="B879" s="3" t="str">
        <f t="shared" si="17"/>
        <v>18/2/11</v>
      </c>
      <c r="C879">
        <v>11</v>
      </c>
      <c r="D879">
        <v>2</v>
      </c>
      <c r="E879">
        <v>18</v>
      </c>
      <c r="F879" t="s">
        <v>218</v>
      </c>
      <c r="H879" t="s">
        <v>54</v>
      </c>
      <c r="I879" t="s">
        <v>27</v>
      </c>
      <c r="J879" s="4">
        <f>Spending_raw[[#This Row],[Price, lei]]</f>
        <v>32.299999999999997</v>
      </c>
      <c r="K879">
        <v>0.66200000000000003</v>
      </c>
      <c r="L879">
        <v>32.299999999999997</v>
      </c>
      <c r="M879">
        <v>21.3826</v>
      </c>
      <c r="N879" s="5">
        <v>1.0755835010060362</v>
      </c>
      <c r="O879" t="s">
        <v>90</v>
      </c>
      <c r="P879" t="s">
        <v>340</v>
      </c>
      <c r="Q879" t="s">
        <v>24</v>
      </c>
    </row>
    <row r="880" spans="1:18" hidden="1" x14ac:dyDescent="0.25">
      <c r="A880" s="2" t="s">
        <v>201</v>
      </c>
      <c r="B880" s="3" t="str">
        <f t="shared" si="17"/>
        <v>18/2/11</v>
      </c>
      <c r="C880">
        <v>11</v>
      </c>
      <c r="D880">
        <v>2</v>
      </c>
      <c r="E880">
        <v>18</v>
      </c>
      <c r="F880" t="s">
        <v>78</v>
      </c>
      <c r="H880" t="s">
        <v>78</v>
      </c>
      <c r="I880" t="s">
        <v>79</v>
      </c>
      <c r="J880" s="4">
        <v>18</v>
      </c>
      <c r="K880">
        <v>43.34</v>
      </c>
      <c r="L880">
        <v>18</v>
      </c>
      <c r="M880">
        <v>755.42</v>
      </c>
      <c r="N880" s="5">
        <v>37.998993963782695</v>
      </c>
      <c r="O880" t="s">
        <v>80</v>
      </c>
      <c r="P880" t="s">
        <v>340</v>
      </c>
      <c r="Q880" t="s">
        <v>24</v>
      </c>
    </row>
    <row r="881" spans="1:17" hidden="1" x14ac:dyDescent="0.25">
      <c r="A881" s="2" t="s">
        <v>201</v>
      </c>
      <c r="B881" s="3" t="str">
        <f t="shared" si="17"/>
        <v>18/2/11</v>
      </c>
      <c r="C881">
        <v>11</v>
      </c>
      <c r="D881">
        <v>2</v>
      </c>
      <c r="E881">
        <v>18</v>
      </c>
      <c r="F881" t="s">
        <v>86</v>
      </c>
      <c r="H881" t="s">
        <v>102</v>
      </c>
      <c r="I881" t="s">
        <v>27</v>
      </c>
      <c r="J881" s="4">
        <f>Spending_raw[[#This Row],[Price, lei]]</f>
        <v>18</v>
      </c>
      <c r="K881">
        <v>1</v>
      </c>
      <c r="L881">
        <v>18</v>
      </c>
      <c r="M881">
        <v>18</v>
      </c>
      <c r="N881" s="5">
        <v>0.90543259557344069</v>
      </c>
      <c r="O881" t="s">
        <v>219</v>
      </c>
      <c r="P881" t="s">
        <v>340</v>
      </c>
      <c r="Q881" t="s">
        <v>24</v>
      </c>
    </row>
    <row r="882" spans="1:17" hidden="1" x14ac:dyDescent="0.25">
      <c r="A882" s="2" t="s">
        <v>201</v>
      </c>
      <c r="B882" s="3" t="str">
        <f t="shared" si="17"/>
        <v>18/2/11</v>
      </c>
      <c r="C882">
        <v>11</v>
      </c>
      <c r="D882">
        <v>2</v>
      </c>
      <c r="E882">
        <v>18</v>
      </c>
      <c r="F882" t="s">
        <v>203</v>
      </c>
      <c r="H882" t="s">
        <v>54</v>
      </c>
      <c r="I882" t="s">
        <v>27</v>
      </c>
      <c r="J882" s="4">
        <f>Spending_raw[[#This Row],[Price, lei]]</f>
        <v>8</v>
      </c>
      <c r="K882">
        <v>2.0680000000000001</v>
      </c>
      <c r="L882">
        <v>8</v>
      </c>
      <c r="M882">
        <v>16.544</v>
      </c>
      <c r="N882" s="5">
        <v>0.83219315895372237</v>
      </c>
      <c r="O882" t="s">
        <v>90</v>
      </c>
      <c r="P882" t="s">
        <v>340</v>
      </c>
      <c r="Q882" t="s">
        <v>24</v>
      </c>
    </row>
    <row r="883" spans="1:17" hidden="1" x14ac:dyDescent="0.25">
      <c r="A883" s="2" t="s">
        <v>201</v>
      </c>
      <c r="B883" s="3" t="str">
        <f t="shared" si="17"/>
        <v>18/2/11</v>
      </c>
      <c r="C883">
        <v>11</v>
      </c>
      <c r="D883">
        <v>2</v>
      </c>
      <c r="E883">
        <v>18</v>
      </c>
      <c r="F883" t="s">
        <v>94</v>
      </c>
      <c r="I883" t="s">
        <v>87</v>
      </c>
      <c r="J883" s="4">
        <v>80</v>
      </c>
      <c r="K883">
        <v>1</v>
      </c>
      <c r="L883" s="4">
        <v>80</v>
      </c>
      <c r="M883">
        <v>80</v>
      </c>
      <c r="N883" s="5">
        <v>4.0241448692152924</v>
      </c>
      <c r="O883" t="s">
        <v>39</v>
      </c>
      <c r="Q883" t="s">
        <v>24</v>
      </c>
    </row>
    <row r="884" spans="1:17" hidden="1" x14ac:dyDescent="0.25">
      <c r="A884" s="2" t="s">
        <v>201</v>
      </c>
      <c r="B884" s="3" t="str">
        <f t="shared" si="17"/>
        <v>18/2/11</v>
      </c>
      <c r="C884">
        <v>11</v>
      </c>
      <c r="D884">
        <v>2</v>
      </c>
      <c r="E884">
        <v>18</v>
      </c>
      <c r="F884" t="s">
        <v>220</v>
      </c>
      <c r="H884" t="s">
        <v>54</v>
      </c>
      <c r="I884" t="s">
        <v>27</v>
      </c>
      <c r="J884" s="4">
        <f>Spending_raw[[#This Row],[Price, lei]]</f>
        <v>5.8</v>
      </c>
      <c r="K884">
        <v>2.0739999999999998</v>
      </c>
      <c r="L884">
        <v>5.8</v>
      </c>
      <c r="M884">
        <v>12.029199999999999</v>
      </c>
      <c r="N884" s="5">
        <v>0.60509054325955736</v>
      </c>
      <c r="O884" t="s">
        <v>90</v>
      </c>
      <c r="P884" t="s">
        <v>340</v>
      </c>
      <c r="Q884" t="s">
        <v>24</v>
      </c>
    </row>
    <row r="885" spans="1:17" hidden="1" x14ac:dyDescent="0.25">
      <c r="A885" s="2" t="s">
        <v>201</v>
      </c>
      <c r="B885" s="3" t="str">
        <f t="shared" si="17"/>
        <v>18/2/11</v>
      </c>
      <c r="C885">
        <v>11</v>
      </c>
      <c r="D885">
        <v>2</v>
      </c>
      <c r="E885">
        <v>18</v>
      </c>
      <c r="F885" t="s">
        <v>173</v>
      </c>
      <c r="H885" t="s">
        <v>54</v>
      </c>
      <c r="I885" t="s">
        <v>27</v>
      </c>
      <c r="J885" s="4">
        <f>Spending_raw[[#This Row],[Price, lei]]</f>
        <v>8.6</v>
      </c>
      <c r="K885">
        <v>0.57999999999999996</v>
      </c>
      <c r="L885">
        <v>8.6</v>
      </c>
      <c r="M885">
        <v>4.9880000000000004</v>
      </c>
      <c r="N885" s="5">
        <v>0.25090543259557346</v>
      </c>
      <c r="O885" t="s">
        <v>90</v>
      </c>
      <c r="P885" t="s">
        <v>340</v>
      </c>
      <c r="Q885" t="s">
        <v>24</v>
      </c>
    </row>
    <row r="886" spans="1:17" hidden="1" x14ac:dyDescent="0.25">
      <c r="A886" s="2" t="s">
        <v>201</v>
      </c>
      <c r="B886" s="3" t="str">
        <f t="shared" si="17"/>
        <v>18/2/11</v>
      </c>
      <c r="C886">
        <v>11</v>
      </c>
      <c r="D886">
        <v>2</v>
      </c>
      <c r="E886">
        <v>18</v>
      </c>
      <c r="F886" t="s">
        <v>89</v>
      </c>
      <c r="G886" t="s">
        <v>31</v>
      </c>
      <c r="H886" t="s">
        <v>26</v>
      </c>
      <c r="I886" t="s">
        <v>27</v>
      </c>
      <c r="J886" s="4">
        <f>Spending_raw[[#This Row],[Price, lei]]</f>
        <v>5.98</v>
      </c>
      <c r="K886">
        <v>2</v>
      </c>
      <c r="L886">
        <v>5.98</v>
      </c>
      <c r="M886">
        <v>11.96</v>
      </c>
      <c r="N886" s="5">
        <v>0.60160965794768617</v>
      </c>
      <c r="O886" t="s">
        <v>90</v>
      </c>
      <c r="P886" t="s">
        <v>340</v>
      </c>
      <c r="Q886" t="s">
        <v>24</v>
      </c>
    </row>
    <row r="887" spans="1:17" hidden="1" x14ac:dyDescent="0.25">
      <c r="A887" s="2" t="s">
        <v>201</v>
      </c>
      <c r="B887" s="3" t="str">
        <f t="shared" si="17"/>
        <v>18/2/11</v>
      </c>
      <c r="C887">
        <v>11</v>
      </c>
      <c r="D887">
        <v>2</v>
      </c>
      <c r="E887">
        <v>18</v>
      </c>
      <c r="F887" t="s">
        <v>221</v>
      </c>
      <c r="G887" t="s">
        <v>155</v>
      </c>
      <c r="H887" t="s">
        <v>131</v>
      </c>
      <c r="I887" t="s">
        <v>27</v>
      </c>
      <c r="J887" s="4">
        <f>Spending_raw[[#This Row],[Price, lei]]</f>
        <v>48.07</v>
      </c>
      <c r="K887">
        <v>1</v>
      </c>
      <c r="L887">
        <v>48.07</v>
      </c>
      <c r="M887">
        <v>48.07</v>
      </c>
      <c r="N887" s="5">
        <v>2.4180080482897384</v>
      </c>
      <c r="O887" t="s">
        <v>90</v>
      </c>
      <c r="P887" t="s">
        <v>340</v>
      </c>
      <c r="Q887" t="s">
        <v>24</v>
      </c>
    </row>
    <row r="888" spans="1:17" hidden="1" x14ac:dyDescent="0.25">
      <c r="A888" s="2" t="s">
        <v>201</v>
      </c>
      <c r="B888" s="3" t="str">
        <f t="shared" si="17"/>
        <v>18/2/11</v>
      </c>
      <c r="C888">
        <v>11</v>
      </c>
      <c r="D888">
        <v>2</v>
      </c>
      <c r="E888">
        <v>18</v>
      </c>
      <c r="F888" t="s">
        <v>92</v>
      </c>
      <c r="H888" t="s">
        <v>69</v>
      </c>
      <c r="I888" t="s">
        <v>27</v>
      </c>
      <c r="J888" s="4">
        <v>240.35</v>
      </c>
      <c r="K888">
        <v>0.34</v>
      </c>
      <c r="L888">
        <v>240.35</v>
      </c>
      <c r="M888">
        <v>81.72</v>
      </c>
      <c r="N888" s="5">
        <v>4.1106639839034207</v>
      </c>
      <c r="O888" t="s">
        <v>90</v>
      </c>
      <c r="P888" t="s">
        <v>340</v>
      </c>
      <c r="Q888" t="s">
        <v>24</v>
      </c>
    </row>
    <row r="889" spans="1:17" hidden="1" x14ac:dyDescent="0.25">
      <c r="A889" s="2" t="s">
        <v>201</v>
      </c>
      <c r="B889" s="3" t="str">
        <f t="shared" si="17"/>
        <v>18/2/11</v>
      </c>
      <c r="C889">
        <v>11</v>
      </c>
      <c r="D889">
        <v>2</v>
      </c>
      <c r="E889">
        <v>18</v>
      </c>
      <c r="F889" t="s">
        <v>222</v>
      </c>
      <c r="H889" t="s">
        <v>63</v>
      </c>
      <c r="I889" t="s">
        <v>50</v>
      </c>
      <c r="J889" s="4">
        <f>Spending_raw[[#This Row],[Price, lei]]</f>
        <v>159</v>
      </c>
      <c r="K889">
        <v>1</v>
      </c>
      <c r="L889">
        <v>159</v>
      </c>
      <c r="M889">
        <v>159</v>
      </c>
      <c r="N889" s="5">
        <v>7.9979879275653927</v>
      </c>
      <c r="O889" t="s">
        <v>90</v>
      </c>
      <c r="P889" t="s">
        <v>340</v>
      </c>
      <c r="Q889" t="s">
        <v>24</v>
      </c>
    </row>
    <row r="890" spans="1:17" hidden="1" x14ac:dyDescent="0.25">
      <c r="A890" s="2" t="s">
        <v>201</v>
      </c>
      <c r="B890" s="3" t="str">
        <f t="shared" si="17"/>
        <v>18/2/11</v>
      </c>
      <c r="C890">
        <v>11</v>
      </c>
      <c r="D890">
        <v>2</v>
      </c>
      <c r="E890">
        <v>18</v>
      </c>
      <c r="F890" t="s">
        <v>111</v>
      </c>
      <c r="H890" t="s">
        <v>54</v>
      </c>
      <c r="I890" t="s">
        <v>27</v>
      </c>
      <c r="J890" s="4">
        <f>Spending_raw[[#This Row],[Price, lei]]</f>
        <v>28.5</v>
      </c>
      <c r="K890">
        <v>0.58399999999999996</v>
      </c>
      <c r="L890">
        <v>28.5</v>
      </c>
      <c r="M890">
        <v>16.643999999999998</v>
      </c>
      <c r="N890" s="5">
        <v>0.83722334004024146</v>
      </c>
      <c r="O890" t="s">
        <v>90</v>
      </c>
      <c r="P890" t="s">
        <v>340</v>
      </c>
      <c r="Q890" t="s">
        <v>24</v>
      </c>
    </row>
    <row r="891" spans="1:17" hidden="1" x14ac:dyDescent="0.25">
      <c r="A891" s="2" t="s">
        <v>201</v>
      </c>
      <c r="B891" s="3" t="str">
        <f t="shared" si="17"/>
        <v>18/2/11</v>
      </c>
      <c r="C891">
        <v>11</v>
      </c>
      <c r="D891">
        <v>2</v>
      </c>
      <c r="E891">
        <v>18</v>
      </c>
      <c r="F891" t="s">
        <v>112</v>
      </c>
      <c r="H891" t="s">
        <v>56</v>
      </c>
      <c r="I891" t="s">
        <v>27</v>
      </c>
      <c r="J891" s="4">
        <f>Spending_raw[[#This Row],[Price, lei]]</f>
        <v>24.6</v>
      </c>
      <c r="K891">
        <v>1.32</v>
      </c>
      <c r="L891">
        <v>24.6</v>
      </c>
      <c r="M891">
        <v>32.472000000000001</v>
      </c>
      <c r="N891" s="5">
        <v>1.633400402414487</v>
      </c>
      <c r="O891" t="s">
        <v>90</v>
      </c>
      <c r="P891" t="s">
        <v>340</v>
      </c>
      <c r="Q891" t="s">
        <v>24</v>
      </c>
    </row>
    <row r="892" spans="1:17" hidden="1" x14ac:dyDescent="0.25">
      <c r="A892" s="2" t="s">
        <v>201</v>
      </c>
      <c r="B892" s="3" t="str">
        <f t="shared" si="17"/>
        <v>18/2/11</v>
      </c>
      <c r="C892">
        <v>11</v>
      </c>
      <c r="D892">
        <v>2</v>
      </c>
      <c r="E892">
        <v>18</v>
      </c>
      <c r="F892" t="s">
        <v>157</v>
      </c>
      <c r="H892" t="s">
        <v>65</v>
      </c>
      <c r="I892" t="s">
        <v>27</v>
      </c>
      <c r="J892" s="4">
        <f>Spending_raw[[#This Row],[Price, lei]]</f>
        <v>17</v>
      </c>
      <c r="K892">
        <v>1</v>
      </c>
      <c r="L892">
        <v>17</v>
      </c>
      <c r="M892">
        <v>17</v>
      </c>
      <c r="N892" s="5">
        <v>0.85513078470824955</v>
      </c>
      <c r="O892" t="s">
        <v>90</v>
      </c>
      <c r="P892" t="s">
        <v>340</v>
      </c>
      <c r="Q892" t="s">
        <v>24</v>
      </c>
    </row>
    <row r="893" spans="1:17" hidden="1" x14ac:dyDescent="0.25">
      <c r="A893" s="2" t="s">
        <v>201</v>
      </c>
      <c r="B893" s="3" t="str">
        <f t="shared" si="17"/>
        <v>18/2/11</v>
      </c>
      <c r="C893">
        <v>11</v>
      </c>
      <c r="D893">
        <v>2</v>
      </c>
      <c r="E893">
        <v>18</v>
      </c>
      <c r="F893" t="s">
        <v>157</v>
      </c>
      <c r="H893" t="s">
        <v>65</v>
      </c>
      <c r="I893" t="s">
        <v>27</v>
      </c>
      <c r="J893" s="4">
        <f>Spending_raw[[#This Row],[Price, lei]]</f>
        <v>35.53</v>
      </c>
      <c r="K893">
        <v>1</v>
      </c>
      <c r="L893">
        <v>35.53</v>
      </c>
      <c r="M893">
        <v>35.53</v>
      </c>
      <c r="N893" s="5">
        <v>1.7872233400402415</v>
      </c>
      <c r="O893" t="s">
        <v>90</v>
      </c>
      <c r="P893" t="s">
        <v>340</v>
      </c>
      <c r="Q893" t="s">
        <v>24</v>
      </c>
    </row>
    <row r="894" spans="1:17" hidden="1" x14ac:dyDescent="0.25">
      <c r="A894" s="2" t="s">
        <v>201</v>
      </c>
      <c r="B894" s="3" t="str">
        <f t="shared" si="17"/>
        <v>18/2/11</v>
      </c>
      <c r="C894">
        <v>11</v>
      </c>
      <c r="D894">
        <v>2</v>
      </c>
      <c r="E894">
        <v>18</v>
      </c>
      <c r="F894" t="s">
        <v>157</v>
      </c>
      <c r="H894" t="s">
        <v>65</v>
      </c>
      <c r="I894" t="s">
        <v>27</v>
      </c>
      <c r="J894" s="4">
        <f>Spending_raw[[#This Row],[Price, lei]]</f>
        <v>14.15</v>
      </c>
      <c r="K894">
        <v>1</v>
      </c>
      <c r="L894">
        <v>14.15</v>
      </c>
      <c r="M894">
        <v>14.15</v>
      </c>
      <c r="N894" s="5">
        <v>0.71177062374245481</v>
      </c>
      <c r="O894" t="s">
        <v>90</v>
      </c>
      <c r="P894" t="s">
        <v>340</v>
      </c>
      <c r="Q894" t="s">
        <v>24</v>
      </c>
    </row>
    <row r="895" spans="1:17" hidden="1" x14ac:dyDescent="0.25">
      <c r="A895" s="2" t="s">
        <v>201</v>
      </c>
      <c r="B895" s="3" t="str">
        <f t="shared" si="17"/>
        <v>18/2/11</v>
      </c>
      <c r="C895">
        <v>11</v>
      </c>
      <c r="D895">
        <v>2</v>
      </c>
      <c r="E895">
        <v>18</v>
      </c>
      <c r="F895" t="s">
        <v>223</v>
      </c>
      <c r="G895" t="s">
        <v>224</v>
      </c>
      <c r="H895" t="s">
        <v>26</v>
      </c>
      <c r="I895" t="s">
        <v>27</v>
      </c>
      <c r="J895" s="4">
        <f>Spending_raw[[#This Row],[Price, lei]]</f>
        <v>73.430000000000007</v>
      </c>
      <c r="K895">
        <v>1</v>
      </c>
      <c r="L895">
        <v>73.430000000000007</v>
      </c>
      <c r="M895">
        <v>73.430000000000007</v>
      </c>
      <c r="N895" s="5">
        <v>3.6936619718309864</v>
      </c>
      <c r="O895" t="s">
        <v>90</v>
      </c>
      <c r="P895" t="s">
        <v>340</v>
      </c>
      <c r="Q895" t="s">
        <v>24</v>
      </c>
    </row>
    <row r="896" spans="1:17" hidden="1" x14ac:dyDescent="0.25">
      <c r="A896" s="2" t="s">
        <v>201</v>
      </c>
      <c r="B896" s="3" t="str">
        <f t="shared" si="17"/>
        <v>18/2/11</v>
      </c>
      <c r="C896">
        <v>11</v>
      </c>
      <c r="D896">
        <v>2</v>
      </c>
      <c r="E896">
        <v>18</v>
      </c>
      <c r="F896" t="s">
        <v>206</v>
      </c>
      <c r="H896" t="s">
        <v>56</v>
      </c>
      <c r="I896" t="s">
        <v>27</v>
      </c>
      <c r="J896" s="4">
        <f>Spending_raw[[#This Row],[Price, lei]]</f>
        <v>29.6</v>
      </c>
      <c r="K896">
        <v>0.248</v>
      </c>
      <c r="L896">
        <v>29.6</v>
      </c>
      <c r="M896">
        <v>7.3407999999999998</v>
      </c>
      <c r="N896" s="5">
        <v>0.36925553319919519</v>
      </c>
      <c r="O896" t="s">
        <v>90</v>
      </c>
      <c r="P896" t="s">
        <v>340</v>
      </c>
      <c r="Q896" t="s">
        <v>24</v>
      </c>
    </row>
    <row r="897" spans="1:17" hidden="1" x14ac:dyDescent="0.25">
      <c r="A897" s="2" t="s">
        <v>201</v>
      </c>
      <c r="B897" s="3" t="str">
        <f t="shared" si="17"/>
        <v>18/2/11</v>
      </c>
      <c r="C897">
        <v>11</v>
      </c>
      <c r="D897">
        <v>2</v>
      </c>
      <c r="E897">
        <v>18</v>
      </c>
      <c r="F897" t="s">
        <v>210</v>
      </c>
      <c r="G897" t="s">
        <v>210</v>
      </c>
      <c r="H897" t="s">
        <v>131</v>
      </c>
      <c r="I897" t="s">
        <v>27</v>
      </c>
      <c r="J897" s="4">
        <f>Spending_raw[[#This Row],[Price, lei]]</f>
        <v>322</v>
      </c>
      <c r="K897">
        <v>9.6000000000000002E-2</v>
      </c>
      <c r="L897">
        <v>322</v>
      </c>
      <c r="M897">
        <v>30.911999999999999</v>
      </c>
      <c r="N897" s="5">
        <v>1.5549295774647887</v>
      </c>
      <c r="O897" t="s">
        <v>90</v>
      </c>
      <c r="P897" t="s">
        <v>340</v>
      </c>
      <c r="Q897" t="s">
        <v>24</v>
      </c>
    </row>
    <row r="898" spans="1:17" hidden="1" x14ac:dyDescent="0.25">
      <c r="A898" s="2" t="s">
        <v>201</v>
      </c>
      <c r="B898" s="3" t="str">
        <f t="shared" si="17"/>
        <v>18/2/11</v>
      </c>
      <c r="C898">
        <v>11</v>
      </c>
      <c r="D898">
        <v>2</v>
      </c>
      <c r="E898">
        <v>18</v>
      </c>
      <c r="F898" t="s">
        <v>116</v>
      </c>
      <c r="H898" t="s">
        <v>54</v>
      </c>
      <c r="I898" t="s">
        <v>27</v>
      </c>
      <c r="J898" s="4">
        <f>Spending_raw[[#This Row],[Price, lei]]</f>
        <v>8</v>
      </c>
      <c r="K898">
        <v>2.1160000000000001</v>
      </c>
      <c r="L898">
        <v>8</v>
      </c>
      <c r="M898">
        <v>16.928000000000001</v>
      </c>
      <c r="N898" s="5">
        <v>0.85150905432595581</v>
      </c>
      <c r="O898" t="s">
        <v>90</v>
      </c>
      <c r="P898" t="s">
        <v>340</v>
      </c>
      <c r="Q898" t="s">
        <v>24</v>
      </c>
    </row>
    <row r="899" spans="1:17" hidden="1" x14ac:dyDescent="0.25">
      <c r="A899" s="2" t="s">
        <v>201</v>
      </c>
      <c r="B899" s="3" t="str">
        <f t="shared" si="17"/>
        <v>18/2/11</v>
      </c>
      <c r="C899">
        <v>11</v>
      </c>
      <c r="D899">
        <v>2</v>
      </c>
      <c r="E899">
        <v>18</v>
      </c>
      <c r="F899" t="s">
        <v>40</v>
      </c>
      <c r="H899" t="s">
        <v>40</v>
      </c>
      <c r="I899" t="s">
        <v>27</v>
      </c>
      <c r="J899" s="4">
        <f>Spending_raw[[#This Row],[Price, lei]]</f>
        <v>11.97</v>
      </c>
      <c r="K899">
        <v>1</v>
      </c>
      <c r="L899">
        <v>11.97</v>
      </c>
      <c r="M899">
        <v>11.97</v>
      </c>
      <c r="N899" s="5">
        <v>0.60211267605633811</v>
      </c>
      <c r="O899" t="s">
        <v>90</v>
      </c>
      <c r="P899" t="s">
        <v>340</v>
      </c>
      <c r="Q899" t="s">
        <v>24</v>
      </c>
    </row>
    <row r="900" spans="1:17" hidden="1" x14ac:dyDescent="0.25">
      <c r="A900" s="2" t="s">
        <v>201</v>
      </c>
      <c r="B900" s="3" t="str">
        <f t="shared" si="17"/>
        <v>18/2/11</v>
      </c>
      <c r="C900">
        <v>11</v>
      </c>
      <c r="D900">
        <v>2</v>
      </c>
      <c r="E900">
        <v>18</v>
      </c>
      <c r="F900" t="s">
        <v>94</v>
      </c>
      <c r="I900" t="s">
        <v>87</v>
      </c>
      <c r="J900" s="4">
        <v>42</v>
      </c>
      <c r="K900">
        <v>1</v>
      </c>
      <c r="L900">
        <v>42</v>
      </c>
      <c r="M900">
        <v>42</v>
      </c>
      <c r="N900" s="5">
        <v>2.1126760563380285</v>
      </c>
      <c r="O900" t="s">
        <v>39</v>
      </c>
      <c r="Q900" t="s">
        <v>24</v>
      </c>
    </row>
    <row r="901" spans="1:17" hidden="1" x14ac:dyDescent="0.25">
      <c r="A901" s="2" t="s">
        <v>201</v>
      </c>
      <c r="B901" s="3" t="str">
        <f t="shared" si="17"/>
        <v>18/2/11</v>
      </c>
      <c r="C901">
        <v>11</v>
      </c>
      <c r="D901">
        <v>2</v>
      </c>
      <c r="E901">
        <v>18</v>
      </c>
      <c r="F901" t="s">
        <v>120</v>
      </c>
      <c r="H901" t="s">
        <v>54</v>
      </c>
      <c r="I901" t="s">
        <v>27</v>
      </c>
      <c r="J901" s="4">
        <f>Spending_raw[[#This Row],[Price, lei]]</f>
        <v>25.1</v>
      </c>
      <c r="K901">
        <v>0.25800000000000001</v>
      </c>
      <c r="L901">
        <v>25.1</v>
      </c>
      <c r="M901">
        <v>6.4757999999999996</v>
      </c>
      <c r="N901" s="5">
        <v>0.32574446680080482</v>
      </c>
      <c r="O901" t="s">
        <v>90</v>
      </c>
      <c r="P901" t="s">
        <v>340</v>
      </c>
      <c r="Q901" t="s">
        <v>24</v>
      </c>
    </row>
    <row r="902" spans="1:17" hidden="1" x14ac:dyDescent="0.25">
      <c r="A902" s="2" t="s">
        <v>201</v>
      </c>
      <c r="B902" s="3" t="str">
        <f t="shared" si="17"/>
        <v>18/2/11</v>
      </c>
      <c r="C902">
        <v>11</v>
      </c>
      <c r="D902">
        <v>2</v>
      </c>
      <c r="E902">
        <v>18</v>
      </c>
      <c r="F902" t="s">
        <v>121</v>
      </c>
      <c r="H902" t="s">
        <v>54</v>
      </c>
      <c r="I902" t="s">
        <v>27</v>
      </c>
      <c r="J902" s="4">
        <f>Spending_raw[[#This Row],[Price, lei]]</f>
        <v>15.1</v>
      </c>
      <c r="K902">
        <v>1.54</v>
      </c>
      <c r="L902">
        <v>15.1</v>
      </c>
      <c r="M902">
        <v>23.254000000000001</v>
      </c>
      <c r="N902" s="5">
        <v>1.169718309859155</v>
      </c>
      <c r="O902" t="s">
        <v>90</v>
      </c>
      <c r="P902" t="s">
        <v>340</v>
      </c>
      <c r="Q902" t="s">
        <v>24</v>
      </c>
    </row>
    <row r="903" spans="1:17" hidden="1" x14ac:dyDescent="0.25">
      <c r="A903" s="2" t="s">
        <v>201</v>
      </c>
      <c r="B903" s="3" t="str">
        <f t="shared" si="17"/>
        <v>18/2/11</v>
      </c>
      <c r="C903">
        <v>11</v>
      </c>
      <c r="D903">
        <v>2</v>
      </c>
      <c r="E903">
        <v>18</v>
      </c>
      <c r="F903" t="s">
        <v>124</v>
      </c>
      <c r="H903" t="s">
        <v>54</v>
      </c>
      <c r="I903" t="s">
        <v>27</v>
      </c>
      <c r="J903" s="4">
        <f>Spending_raw[[#This Row],[Price, lei]]</f>
        <v>36.5</v>
      </c>
      <c r="K903">
        <v>0.79200000000000004</v>
      </c>
      <c r="L903">
        <v>36.5</v>
      </c>
      <c r="M903">
        <v>28.908000000000001</v>
      </c>
      <c r="N903" s="5">
        <v>1.4541247484909459</v>
      </c>
      <c r="O903" t="s">
        <v>90</v>
      </c>
      <c r="P903" t="s">
        <v>340</v>
      </c>
      <c r="Q903" t="s">
        <v>24</v>
      </c>
    </row>
    <row r="904" spans="1:17" hidden="1" x14ac:dyDescent="0.25">
      <c r="A904" s="2" t="s">
        <v>201</v>
      </c>
      <c r="B904" s="3" t="str">
        <f t="shared" si="17"/>
        <v>18/2/11</v>
      </c>
      <c r="C904">
        <v>11</v>
      </c>
      <c r="D904">
        <v>2</v>
      </c>
      <c r="E904">
        <v>18</v>
      </c>
      <c r="F904" t="s">
        <v>1205</v>
      </c>
      <c r="H904" t="s">
        <v>54</v>
      </c>
      <c r="I904" t="s">
        <v>27</v>
      </c>
      <c r="J904" s="4">
        <f>Spending_raw[[#This Row],[Price, lei]]</f>
        <v>28</v>
      </c>
      <c r="K904">
        <v>1</v>
      </c>
      <c r="L904">
        <v>28</v>
      </c>
      <c r="M904">
        <v>28</v>
      </c>
      <c r="N904" s="5">
        <v>1.4084507042253522</v>
      </c>
      <c r="O904" t="s">
        <v>90</v>
      </c>
      <c r="P904" t="s">
        <v>340</v>
      </c>
      <c r="Q904" t="s">
        <v>24</v>
      </c>
    </row>
    <row r="905" spans="1:17" hidden="1" x14ac:dyDescent="0.25">
      <c r="A905" s="2" t="s">
        <v>201</v>
      </c>
      <c r="B905" s="3" t="str">
        <f t="shared" si="17"/>
        <v>18/2/11</v>
      </c>
      <c r="C905">
        <v>11</v>
      </c>
      <c r="D905">
        <v>2</v>
      </c>
      <c r="E905">
        <v>18</v>
      </c>
      <c r="F905" t="s">
        <v>75</v>
      </c>
      <c r="H905" t="s">
        <v>65</v>
      </c>
      <c r="I905" t="s">
        <v>27</v>
      </c>
      <c r="J905" s="4">
        <f>Spending_raw[[#This Row],[Price, lei]]</f>
        <v>33.06</v>
      </c>
      <c r="K905">
        <v>1</v>
      </c>
      <c r="L905">
        <v>33.06</v>
      </c>
      <c r="M905">
        <v>33.06</v>
      </c>
      <c r="N905" s="5">
        <v>1.6629778672032196</v>
      </c>
      <c r="O905" t="s">
        <v>90</v>
      </c>
      <c r="P905" t="s">
        <v>340</v>
      </c>
      <c r="Q905" t="s">
        <v>24</v>
      </c>
    </row>
    <row r="906" spans="1:17" hidden="1" x14ac:dyDescent="0.25">
      <c r="A906" s="2" t="s">
        <v>201</v>
      </c>
      <c r="B906" s="3" t="str">
        <f t="shared" si="17"/>
        <v>18/2/11</v>
      </c>
      <c r="C906">
        <v>11</v>
      </c>
      <c r="D906">
        <v>2</v>
      </c>
      <c r="E906">
        <v>18</v>
      </c>
      <c r="F906" t="s">
        <v>75</v>
      </c>
      <c r="H906" t="s">
        <v>65</v>
      </c>
      <c r="I906" t="s">
        <v>27</v>
      </c>
      <c r="J906" s="4">
        <f>Spending_raw[[#This Row],[Price, lei]]</f>
        <v>17.86</v>
      </c>
      <c r="K906">
        <v>1</v>
      </c>
      <c r="L906">
        <v>17.86</v>
      </c>
      <c r="M906">
        <v>17.86</v>
      </c>
      <c r="N906" s="5">
        <v>0.89839034205231394</v>
      </c>
      <c r="O906" t="s">
        <v>90</v>
      </c>
      <c r="P906" t="s">
        <v>340</v>
      </c>
      <c r="Q906" t="s">
        <v>24</v>
      </c>
    </row>
    <row r="907" spans="1:17" hidden="1" x14ac:dyDescent="0.25">
      <c r="A907" s="2" t="s">
        <v>201</v>
      </c>
      <c r="B907" s="3" t="str">
        <f t="shared" si="17"/>
        <v>18/2/11</v>
      </c>
      <c r="C907">
        <v>11</v>
      </c>
      <c r="D907">
        <v>2</v>
      </c>
      <c r="E907">
        <v>18</v>
      </c>
      <c r="F907" t="s">
        <v>75</v>
      </c>
      <c r="H907" t="s">
        <v>65</v>
      </c>
      <c r="I907" t="s">
        <v>27</v>
      </c>
      <c r="J907" s="4">
        <f>Spending_raw[[#This Row],[Price, lei]]</f>
        <v>13.11</v>
      </c>
      <c r="K907">
        <v>1</v>
      </c>
      <c r="L907">
        <v>13.11</v>
      </c>
      <c r="M907">
        <v>13.11</v>
      </c>
      <c r="N907" s="5">
        <v>0.6594567404426559</v>
      </c>
      <c r="O907" t="s">
        <v>90</v>
      </c>
      <c r="P907" t="s">
        <v>340</v>
      </c>
      <c r="Q907" t="s">
        <v>24</v>
      </c>
    </row>
    <row r="908" spans="1:17" hidden="1" x14ac:dyDescent="0.25">
      <c r="A908" s="2" t="s">
        <v>201</v>
      </c>
      <c r="B908" s="3" t="str">
        <f t="shared" ref="B908:B971" si="18">CONCATENATE(E908,"/",D908,"/",C908)</f>
        <v>18/2/11</v>
      </c>
      <c r="C908">
        <v>11</v>
      </c>
      <c r="D908">
        <v>2</v>
      </c>
      <c r="E908">
        <v>18</v>
      </c>
      <c r="F908" t="s">
        <v>75</v>
      </c>
      <c r="H908" t="s">
        <v>65</v>
      </c>
      <c r="I908" t="s">
        <v>27</v>
      </c>
      <c r="J908" s="4">
        <f>Spending_raw[[#This Row],[Price, lei]]</f>
        <v>7.03</v>
      </c>
      <c r="K908">
        <v>1</v>
      </c>
      <c r="L908">
        <v>7.03</v>
      </c>
      <c r="M908">
        <v>7.03</v>
      </c>
      <c r="N908" s="5">
        <v>0.35362173038229378</v>
      </c>
      <c r="O908" t="s">
        <v>90</v>
      </c>
      <c r="P908" t="s">
        <v>340</v>
      </c>
      <c r="Q908" t="s">
        <v>24</v>
      </c>
    </row>
    <row r="909" spans="1:17" hidden="1" x14ac:dyDescent="0.25">
      <c r="A909" s="2" t="s">
        <v>201</v>
      </c>
      <c r="B909" s="3" t="str">
        <f t="shared" si="18"/>
        <v>18/2/11</v>
      </c>
      <c r="C909">
        <v>11</v>
      </c>
      <c r="D909">
        <v>2</v>
      </c>
      <c r="E909">
        <v>18</v>
      </c>
      <c r="F909" t="s">
        <v>125</v>
      </c>
      <c r="H909" t="s">
        <v>54</v>
      </c>
      <c r="I909" t="s">
        <v>27</v>
      </c>
      <c r="J909" s="4">
        <f>Spending_raw[[#This Row],[Price, lei]]</f>
        <v>4.2</v>
      </c>
      <c r="K909">
        <v>0.81399999999999995</v>
      </c>
      <c r="L909">
        <v>4.2</v>
      </c>
      <c r="M909">
        <v>3.4188000000000001</v>
      </c>
      <c r="N909" s="5">
        <v>0.17197183098591551</v>
      </c>
      <c r="O909" t="s">
        <v>90</v>
      </c>
      <c r="P909" t="s">
        <v>340</v>
      </c>
      <c r="Q909" t="s">
        <v>24</v>
      </c>
    </row>
    <row r="910" spans="1:17" hidden="1" x14ac:dyDescent="0.25">
      <c r="A910" s="2" t="s">
        <v>201</v>
      </c>
      <c r="B910" s="3" t="str">
        <f t="shared" si="18"/>
        <v>18/2/11</v>
      </c>
      <c r="C910">
        <v>11</v>
      </c>
      <c r="D910">
        <v>2</v>
      </c>
      <c r="E910">
        <v>18</v>
      </c>
      <c r="F910" t="s">
        <v>225</v>
      </c>
      <c r="H910" t="s">
        <v>69</v>
      </c>
      <c r="I910" t="s">
        <v>27</v>
      </c>
      <c r="J910" s="4">
        <v>284.05</v>
      </c>
      <c r="K910">
        <v>0.436</v>
      </c>
      <c r="L910">
        <v>284.05</v>
      </c>
      <c r="M910">
        <v>123.85</v>
      </c>
      <c r="N910" s="5">
        <v>6.2298792756539232</v>
      </c>
      <c r="O910" t="s">
        <v>90</v>
      </c>
      <c r="P910" t="s">
        <v>340</v>
      </c>
      <c r="Q910" t="s">
        <v>24</v>
      </c>
    </row>
    <row r="911" spans="1:17" hidden="1" x14ac:dyDescent="0.25">
      <c r="A911" s="2" t="s">
        <v>201</v>
      </c>
      <c r="B911" s="3" t="str">
        <f t="shared" si="18"/>
        <v>18/2/11</v>
      </c>
      <c r="C911">
        <v>11</v>
      </c>
      <c r="D911">
        <v>2</v>
      </c>
      <c r="E911">
        <v>18</v>
      </c>
      <c r="F911" t="s">
        <v>226</v>
      </c>
      <c r="H911" t="s">
        <v>44</v>
      </c>
      <c r="I911" t="s">
        <v>27</v>
      </c>
      <c r="J911" s="4">
        <f>Spending_raw[[#This Row],[Price, lei]]</f>
        <v>24.41</v>
      </c>
      <c r="K911">
        <v>1</v>
      </c>
      <c r="L911">
        <v>24.41</v>
      </c>
      <c r="M911">
        <v>24.41</v>
      </c>
      <c r="N911" s="5">
        <v>1.2278672032193159</v>
      </c>
      <c r="O911" t="s">
        <v>90</v>
      </c>
      <c r="P911" t="s">
        <v>340</v>
      </c>
      <c r="Q911" t="s">
        <v>24</v>
      </c>
    </row>
    <row r="912" spans="1:17" hidden="1" x14ac:dyDescent="0.25">
      <c r="A912" s="2" t="s">
        <v>201</v>
      </c>
      <c r="B912" s="3" t="str">
        <f t="shared" si="18"/>
        <v>18/2/12</v>
      </c>
      <c r="C912">
        <v>12</v>
      </c>
      <c r="D912">
        <v>2</v>
      </c>
      <c r="E912">
        <v>18</v>
      </c>
      <c r="F912" t="s">
        <v>89</v>
      </c>
      <c r="G912" t="s">
        <v>31</v>
      </c>
      <c r="H912" t="s">
        <v>26</v>
      </c>
      <c r="I912" t="s">
        <v>27</v>
      </c>
      <c r="J912" s="4">
        <f>Spending_raw[[#This Row],[Price, lei]]</f>
        <v>14.81</v>
      </c>
      <c r="K912">
        <v>3</v>
      </c>
      <c r="L912">
        <v>14.81</v>
      </c>
      <c r="M912">
        <v>44.43</v>
      </c>
      <c r="N912" s="5">
        <v>2.2349094567404428</v>
      </c>
      <c r="O912" t="s">
        <v>1472</v>
      </c>
      <c r="P912" t="s">
        <v>340</v>
      </c>
      <c r="Q912" t="s">
        <v>24</v>
      </c>
    </row>
    <row r="913" spans="1:18" hidden="1" x14ac:dyDescent="0.25">
      <c r="A913" s="2" t="s">
        <v>201</v>
      </c>
      <c r="B913" s="3" t="str">
        <f t="shared" si="18"/>
        <v>18/2/12</v>
      </c>
      <c r="C913">
        <v>12</v>
      </c>
      <c r="D913">
        <v>2</v>
      </c>
      <c r="E913">
        <v>18</v>
      </c>
      <c r="F913" t="s">
        <v>1568</v>
      </c>
      <c r="I913" t="s">
        <v>96</v>
      </c>
      <c r="J913" s="4">
        <v>44.53</v>
      </c>
      <c r="K913">
        <v>1</v>
      </c>
      <c r="L913" s="8">
        <v>739.64329999999995</v>
      </c>
      <c r="M913" s="8">
        <v>740</v>
      </c>
      <c r="N913" s="5">
        <v>37.223340040241453</v>
      </c>
      <c r="O913" t="s">
        <v>97</v>
      </c>
      <c r="P913" t="s">
        <v>651</v>
      </c>
      <c r="Q913" t="s">
        <v>24</v>
      </c>
      <c r="R913" t="s">
        <v>1570</v>
      </c>
    </row>
    <row r="914" spans="1:18" hidden="1" x14ac:dyDescent="0.25">
      <c r="A914" s="2" t="s">
        <v>201</v>
      </c>
      <c r="B914" s="3" t="str">
        <f t="shared" si="18"/>
        <v>18/2/12</v>
      </c>
      <c r="C914">
        <v>12</v>
      </c>
      <c r="D914">
        <v>2</v>
      </c>
      <c r="E914">
        <v>18</v>
      </c>
      <c r="F914" t="s">
        <v>89</v>
      </c>
      <c r="G914" t="s">
        <v>31</v>
      </c>
      <c r="H914" t="s">
        <v>26</v>
      </c>
      <c r="I914" t="s">
        <v>27</v>
      </c>
      <c r="J914" s="4">
        <f>Spending_raw[[#This Row],[Price, lei]]</f>
        <v>7</v>
      </c>
      <c r="K914">
        <v>4</v>
      </c>
      <c r="L914">
        <v>7</v>
      </c>
      <c r="M914">
        <v>28</v>
      </c>
      <c r="N914" s="5">
        <v>1.4084507042253522</v>
      </c>
      <c r="O914" t="s">
        <v>1472</v>
      </c>
      <c r="P914" t="s">
        <v>340</v>
      </c>
      <c r="Q914" t="s">
        <v>24</v>
      </c>
    </row>
    <row r="915" spans="1:18" hidden="1" x14ac:dyDescent="0.25">
      <c r="A915" s="2" t="s">
        <v>201</v>
      </c>
      <c r="B915" s="3" t="str">
        <f t="shared" si="18"/>
        <v>18/2/12</v>
      </c>
      <c r="C915">
        <v>12</v>
      </c>
      <c r="D915">
        <v>2</v>
      </c>
      <c r="E915">
        <v>18</v>
      </c>
      <c r="F915" t="s">
        <v>227</v>
      </c>
      <c r="H915" t="s">
        <v>63</v>
      </c>
      <c r="I915" t="s">
        <v>50</v>
      </c>
      <c r="J915" s="4">
        <v>16.45</v>
      </c>
      <c r="K915">
        <v>1</v>
      </c>
      <c r="L915">
        <v>273.23449999999997</v>
      </c>
      <c r="M915" s="8">
        <v>273.23449999999997</v>
      </c>
      <c r="N915" s="5">
        <v>13.74419014084507</v>
      </c>
      <c r="O915" t="s">
        <v>97</v>
      </c>
      <c r="P915" t="s">
        <v>651</v>
      </c>
      <c r="Q915" t="s">
        <v>24</v>
      </c>
    </row>
    <row r="916" spans="1:18" hidden="1" x14ac:dyDescent="0.25">
      <c r="A916" s="2" t="s">
        <v>201</v>
      </c>
      <c r="B916" s="3" t="str">
        <f t="shared" si="18"/>
        <v>18/2/12</v>
      </c>
      <c r="C916">
        <v>12</v>
      </c>
      <c r="D916">
        <v>2</v>
      </c>
      <c r="E916">
        <v>18</v>
      </c>
      <c r="F916" t="s">
        <v>228</v>
      </c>
      <c r="I916" s="32" t="s">
        <v>82</v>
      </c>
      <c r="J916" s="4">
        <v>19</v>
      </c>
      <c r="K916">
        <v>1</v>
      </c>
      <c r="L916">
        <v>315.58999999999997</v>
      </c>
      <c r="M916" s="8">
        <v>315.58999999999997</v>
      </c>
      <c r="N916" s="5">
        <v>15.874748490945674</v>
      </c>
      <c r="O916" t="s">
        <v>97</v>
      </c>
      <c r="P916" t="s">
        <v>651</v>
      </c>
      <c r="Q916" t="s">
        <v>24</v>
      </c>
    </row>
    <row r="917" spans="1:18" hidden="1" x14ac:dyDescent="0.25">
      <c r="A917" s="2" t="s">
        <v>201</v>
      </c>
      <c r="B917" s="3" t="str">
        <f t="shared" si="18"/>
        <v>18/2/12</v>
      </c>
      <c r="C917">
        <v>12</v>
      </c>
      <c r="D917">
        <v>2</v>
      </c>
      <c r="E917">
        <v>18</v>
      </c>
      <c r="F917" s="7" t="s">
        <v>166</v>
      </c>
      <c r="G917" t="s">
        <v>77</v>
      </c>
      <c r="H917" t="s">
        <v>26</v>
      </c>
      <c r="I917" t="s">
        <v>27</v>
      </c>
      <c r="J917" s="4">
        <f>Spending_raw[[#This Row],[Price, lei]]</f>
        <v>17.72</v>
      </c>
      <c r="K917">
        <v>1</v>
      </c>
      <c r="L917">
        <v>17.72</v>
      </c>
      <c r="M917">
        <v>17.72</v>
      </c>
      <c r="N917" s="5">
        <v>0.89134808853118708</v>
      </c>
      <c r="O917" t="s">
        <v>1472</v>
      </c>
      <c r="P917" t="s">
        <v>340</v>
      </c>
      <c r="Q917" t="s">
        <v>24</v>
      </c>
    </row>
    <row r="918" spans="1:18" hidden="1" x14ac:dyDescent="0.25">
      <c r="A918" s="2" t="s">
        <v>201</v>
      </c>
      <c r="B918" s="3" t="str">
        <f t="shared" si="18"/>
        <v>18/2/14</v>
      </c>
      <c r="C918">
        <v>14</v>
      </c>
      <c r="D918">
        <v>2</v>
      </c>
      <c r="E918">
        <v>18</v>
      </c>
      <c r="F918" t="s">
        <v>89</v>
      </c>
      <c r="G918" t="s">
        <v>31</v>
      </c>
      <c r="H918" t="s">
        <v>26</v>
      </c>
      <c r="I918" t="s">
        <v>27</v>
      </c>
      <c r="J918" s="4">
        <f>Spending_raw[[#This Row],[Price, lei]]</f>
        <v>6.45</v>
      </c>
      <c r="K918">
        <v>2</v>
      </c>
      <c r="L918">
        <v>6.45</v>
      </c>
      <c r="M918">
        <v>12.9</v>
      </c>
      <c r="N918" s="5">
        <v>0.64889336016096588</v>
      </c>
      <c r="O918" t="s">
        <v>100</v>
      </c>
      <c r="P918" t="s">
        <v>340</v>
      </c>
      <c r="Q918" t="s">
        <v>24</v>
      </c>
    </row>
    <row r="919" spans="1:18" hidden="1" x14ac:dyDescent="0.25">
      <c r="A919" s="2" t="s">
        <v>201</v>
      </c>
      <c r="B919" s="3" t="str">
        <f t="shared" si="18"/>
        <v>18/2/14</v>
      </c>
      <c r="C919">
        <v>14</v>
      </c>
      <c r="D919">
        <v>2</v>
      </c>
      <c r="E919">
        <v>18</v>
      </c>
      <c r="F919" t="s">
        <v>229</v>
      </c>
      <c r="H919" t="s">
        <v>35</v>
      </c>
      <c r="I919" t="s">
        <v>27</v>
      </c>
      <c r="J919" s="4">
        <f>Spending_raw[[#This Row],[Price, lei]]</f>
        <v>280.60000000000002</v>
      </c>
      <c r="K919">
        <v>0.22800000000000001</v>
      </c>
      <c r="L919">
        <v>280.60000000000002</v>
      </c>
      <c r="M919">
        <v>63.976799999999997</v>
      </c>
      <c r="N919" s="5">
        <v>3.2181488933601612</v>
      </c>
      <c r="O919" t="s">
        <v>100</v>
      </c>
      <c r="P919" t="s">
        <v>340</v>
      </c>
      <c r="Q919" t="s">
        <v>24</v>
      </c>
    </row>
    <row r="920" spans="1:18" hidden="1" x14ac:dyDescent="0.25">
      <c r="A920" s="2" t="s">
        <v>201</v>
      </c>
      <c r="B920" s="3" t="str">
        <f t="shared" si="18"/>
        <v>18/2/14</v>
      </c>
      <c r="C920">
        <v>14</v>
      </c>
      <c r="D920">
        <v>2</v>
      </c>
      <c r="E920">
        <v>18</v>
      </c>
      <c r="F920" t="s">
        <v>210</v>
      </c>
      <c r="G920" t="s">
        <v>210</v>
      </c>
      <c r="H920" t="s">
        <v>131</v>
      </c>
      <c r="I920" t="s">
        <v>27</v>
      </c>
      <c r="J920" s="4">
        <f>Spending_raw[[#This Row],[Price, lei]]</f>
        <v>272.5</v>
      </c>
      <c r="K920">
        <v>0.2</v>
      </c>
      <c r="L920">
        <v>272.5</v>
      </c>
      <c r="M920">
        <v>54.5</v>
      </c>
      <c r="N920" s="5">
        <v>2.7414486921529178</v>
      </c>
      <c r="O920" t="s">
        <v>100</v>
      </c>
      <c r="P920" t="s">
        <v>340</v>
      </c>
      <c r="Q920" t="s">
        <v>24</v>
      </c>
    </row>
    <row r="921" spans="1:18" hidden="1" x14ac:dyDescent="0.25">
      <c r="A921" s="2" t="s">
        <v>201</v>
      </c>
      <c r="B921" s="3" t="str">
        <f t="shared" si="18"/>
        <v>18/2/14</v>
      </c>
      <c r="C921">
        <v>14</v>
      </c>
      <c r="D921">
        <v>2</v>
      </c>
      <c r="E921">
        <v>18</v>
      </c>
      <c r="F921" t="s">
        <v>40</v>
      </c>
      <c r="H921" t="s">
        <v>40</v>
      </c>
      <c r="I921" t="s">
        <v>27</v>
      </c>
      <c r="J921" s="4">
        <f>Spending_raw[[#This Row],[Price, lei]]</f>
        <v>10</v>
      </c>
      <c r="K921">
        <v>1</v>
      </c>
      <c r="L921">
        <v>10</v>
      </c>
      <c r="M921">
        <v>10</v>
      </c>
      <c r="N921" s="5">
        <v>0.50301810865191154</v>
      </c>
      <c r="O921" t="s">
        <v>100</v>
      </c>
      <c r="P921" t="s">
        <v>340</v>
      </c>
      <c r="Q921" t="s">
        <v>24</v>
      </c>
    </row>
    <row r="922" spans="1:18" hidden="1" x14ac:dyDescent="0.25">
      <c r="A922" s="2" t="s">
        <v>201</v>
      </c>
      <c r="B922" s="3" t="str">
        <f t="shared" si="18"/>
        <v>18/2/15</v>
      </c>
      <c r="C922">
        <v>15</v>
      </c>
      <c r="D922">
        <v>2</v>
      </c>
      <c r="E922">
        <v>18</v>
      </c>
      <c r="F922" t="s">
        <v>89</v>
      </c>
      <c r="G922" t="s">
        <v>31</v>
      </c>
      <c r="H922" t="s">
        <v>26</v>
      </c>
      <c r="I922" t="s">
        <v>27</v>
      </c>
      <c r="J922" s="4">
        <f>Spending_raw[[#This Row],[Price, lei]]</f>
        <v>14.81</v>
      </c>
      <c r="K922">
        <v>2</v>
      </c>
      <c r="L922">
        <v>14.81</v>
      </c>
      <c r="M922">
        <v>29.62</v>
      </c>
      <c r="N922" s="5">
        <v>1.4899396378269618</v>
      </c>
      <c r="O922" t="s">
        <v>1472</v>
      </c>
      <c r="P922" t="s">
        <v>340</v>
      </c>
      <c r="Q922" t="s">
        <v>24</v>
      </c>
    </row>
    <row r="923" spans="1:18" hidden="1" x14ac:dyDescent="0.25">
      <c r="A923" s="2" t="s">
        <v>201</v>
      </c>
      <c r="B923" s="3" t="str">
        <f t="shared" si="18"/>
        <v>18/2/15</v>
      </c>
      <c r="C923">
        <v>15</v>
      </c>
      <c r="D923">
        <v>2</v>
      </c>
      <c r="E923">
        <v>18</v>
      </c>
      <c r="F923" t="s">
        <v>89</v>
      </c>
      <c r="G923" t="s">
        <v>31</v>
      </c>
      <c r="H923" t="s">
        <v>26</v>
      </c>
      <c r="I923" t="s">
        <v>27</v>
      </c>
      <c r="J923" s="4">
        <f>Spending_raw[[#This Row],[Price, lei]]</f>
        <v>12.41</v>
      </c>
      <c r="K923">
        <v>2</v>
      </c>
      <c r="L923">
        <v>12.41</v>
      </c>
      <c r="M923">
        <v>24.82</v>
      </c>
      <c r="N923" s="5">
        <v>1.2484909456740443</v>
      </c>
      <c r="O923" t="s">
        <v>1472</v>
      </c>
      <c r="P923" t="s">
        <v>340</v>
      </c>
      <c r="Q923" t="s">
        <v>24</v>
      </c>
    </row>
    <row r="924" spans="1:18" hidden="1" x14ac:dyDescent="0.25">
      <c r="A924" s="2" t="s">
        <v>201</v>
      </c>
      <c r="B924" s="3" t="str">
        <f t="shared" si="18"/>
        <v>18/2/15</v>
      </c>
      <c r="C924">
        <v>15</v>
      </c>
      <c r="D924">
        <v>2</v>
      </c>
      <c r="E924">
        <v>18</v>
      </c>
      <c r="F924" t="s">
        <v>89</v>
      </c>
      <c r="G924" t="s">
        <v>31</v>
      </c>
      <c r="H924" t="s">
        <v>26</v>
      </c>
      <c r="I924" t="s">
        <v>27</v>
      </c>
      <c r="J924" s="4">
        <f>Spending_raw[[#This Row],[Price, lei]]</f>
        <v>6.06</v>
      </c>
      <c r="K924">
        <v>1</v>
      </c>
      <c r="L924">
        <v>6.06</v>
      </c>
      <c r="M924">
        <v>6.06</v>
      </c>
      <c r="N924" s="5">
        <v>0.30482897384305835</v>
      </c>
      <c r="O924" t="s">
        <v>1472</v>
      </c>
      <c r="P924" t="s">
        <v>340</v>
      </c>
      <c r="Q924" t="s">
        <v>24</v>
      </c>
    </row>
    <row r="925" spans="1:18" hidden="1" x14ac:dyDescent="0.25">
      <c r="A925" s="2" t="s">
        <v>201</v>
      </c>
      <c r="B925" s="3" t="str">
        <f t="shared" si="18"/>
        <v>18/2/15</v>
      </c>
      <c r="C925">
        <v>15</v>
      </c>
      <c r="D925">
        <v>2</v>
      </c>
      <c r="E925">
        <v>18</v>
      </c>
      <c r="F925" t="s">
        <v>89</v>
      </c>
      <c r="G925" t="s">
        <v>31</v>
      </c>
      <c r="H925" t="s">
        <v>26</v>
      </c>
      <c r="I925" t="s">
        <v>27</v>
      </c>
      <c r="J925" s="4">
        <f>Spending_raw[[#This Row],[Price, lei]]</f>
        <v>11.8</v>
      </c>
      <c r="K925">
        <v>1</v>
      </c>
      <c r="L925">
        <v>11.8</v>
      </c>
      <c r="M925">
        <v>11.8</v>
      </c>
      <c r="N925" s="5">
        <v>0.59356136820925565</v>
      </c>
      <c r="O925" t="s">
        <v>1472</v>
      </c>
      <c r="P925" t="s">
        <v>340</v>
      </c>
      <c r="Q925" t="s">
        <v>24</v>
      </c>
    </row>
    <row r="926" spans="1:18" hidden="1" x14ac:dyDescent="0.25">
      <c r="A926" s="2" t="s">
        <v>201</v>
      </c>
      <c r="B926" s="3" t="str">
        <f t="shared" si="18"/>
        <v>18/2/15</v>
      </c>
      <c r="C926">
        <v>15</v>
      </c>
      <c r="D926">
        <v>2</v>
      </c>
      <c r="E926">
        <v>18</v>
      </c>
      <c r="F926" t="s">
        <v>89</v>
      </c>
      <c r="G926" t="s">
        <v>31</v>
      </c>
      <c r="H926" t="s">
        <v>26</v>
      </c>
      <c r="I926" t="s">
        <v>27</v>
      </c>
      <c r="J926" s="4">
        <f>Spending_raw[[#This Row],[Price, lei]]</f>
        <v>7</v>
      </c>
      <c r="K926">
        <v>2</v>
      </c>
      <c r="L926">
        <v>7</v>
      </c>
      <c r="M926">
        <v>14</v>
      </c>
      <c r="N926" s="5">
        <v>0.70422535211267612</v>
      </c>
      <c r="O926" t="s">
        <v>1472</v>
      </c>
      <c r="P926" t="s">
        <v>340</v>
      </c>
      <c r="Q926" t="s">
        <v>24</v>
      </c>
    </row>
    <row r="927" spans="1:18" hidden="1" x14ac:dyDescent="0.25">
      <c r="A927" s="2" t="s">
        <v>201</v>
      </c>
      <c r="B927" s="3" t="str">
        <f t="shared" si="18"/>
        <v>18/2/15</v>
      </c>
      <c r="C927">
        <v>15</v>
      </c>
      <c r="D927">
        <v>2</v>
      </c>
      <c r="E927">
        <v>18</v>
      </c>
      <c r="F927" t="s">
        <v>71</v>
      </c>
      <c r="I927" t="s">
        <v>72</v>
      </c>
      <c r="J927" s="4">
        <v>200</v>
      </c>
      <c r="K927">
        <v>1</v>
      </c>
      <c r="L927">
        <v>200</v>
      </c>
      <c r="M927">
        <v>200</v>
      </c>
      <c r="N927" s="5">
        <v>10.06036217303823</v>
      </c>
      <c r="O927" t="s">
        <v>231</v>
      </c>
      <c r="P927" t="s">
        <v>340</v>
      </c>
      <c r="Q927" t="s">
        <v>24</v>
      </c>
      <c r="R927" t="s">
        <v>230</v>
      </c>
    </row>
    <row r="928" spans="1:18" hidden="1" x14ac:dyDescent="0.25">
      <c r="A928" s="2" t="s">
        <v>201</v>
      </c>
      <c r="B928" s="3" t="str">
        <f t="shared" si="18"/>
        <v>18/2/15</v>
      </c>
      <c r="C928">
        <v>15</v>
      </c>
      <c r="D928">
        <v>2</v>
      </c>
      <c r="E928">
        <v>18</v>
      </c>
      <c r="F928" t="s">
        <v>104</v>
      </c>
      <c r="I928" t="s">
        <v>72</v>
      </c>
      <c r="J928" s="4">
        <f>Spending_raw[[#This Row],[Price, lei]]</f>
        <v>12.63</v>
      </c>
      <c r="K928">
        <v>5</v>
      </c>
      <c r="L928">
        <v>12.63</v>
      </c>
      <c r="M928">
        <v>63.15</v>
      </c>
      <c r="N928" s="5">
        <v>3.1765593561368211</v>
      </c>
      <c r="O928" t="s">
        <v>233</v>
      </c>
      <c r="P928" t="s">
        <v>340</v>
      </c>
      <c r="Q928" t="s">
        <v>24</v>
      </c>
      <c r="R928" t="s">
        <v>232</v>
      </c>
    </row>
    <row r="929" spans="1:17" hidden="1" x14ac:dyDescent="0.25">
      <c r="A929" s="2" t="s">
        <v>201</v>
      </c>
      <c r="B929" s="3" t="str">
        <f t="shared" si="18"/>
        <v>18/2/15</v>
      </c>
      <c r="C929">
        <v>15</v>
      </c>
      <c r="D929">
        <v>2</v>
      </c>
      <c r="E929">
        <v>18</v>
      </c>
      <c r="F929" t="s">
        <v>89</v>
      </c>
      <c r="G929" t="s">
        <v>31</v>
      </c>
      <c r="H929" t="s">
        <v>26</v>
      </c>
      <c r="I929" t="s">
        <v>27</v>
      </c>
      <c r="J929" s="4">
        <f>Spending_raw[[#This Row],[Price, lei]]</f>
        <v>7.47</v>
      </c>
      <c r="K929">
        <v>1</v>
      </c>
      <c r="L929">
        <v>7.47</v>
      </c>
      <c r="M929">
        <v>7.47</v>
      </c>
      <c r="N929" s="5">
        <v>0.37575452716297786</v>
      </c>
      <c r="O929" t="s">
        <v>1472</v>
      </c>
      <c r="P929" t="s">
        <v>340</v>
      </c>
      <c r="Q929" t="s">
        <v>24</v>
      </c>
    </row>
    <row r="930" spans="1:17" hidden="1" x14ac:dyDescent="0.25">
      <c r="A930" s="2" t="s">
        <v>201</v>
      </c>
      <c r="B930" s="3" t="str">
        <f t="shared" si="18"/>
        <v>18/2/15</v>
      </c>
      <c r="C930">
        <v>15</v>
      </c>
      <c r="D930">
        <v>2</v>
      </c>
      <c r="E930">
        <v>18</v>
      </c>
      <c r="F930" t="s">
        <v>1123</v>
      </c>
      <c r="G930" t="s">
        <v>77</v>
      </c>
      <c r="H930" t="s">
        <v>26</v>
      </c>
      <c r="I930" t="s">
        <v>27</v>
      </c>
      <c r="J930" s="4">
        <f>Spending_raw[[#This Row],[Price, lei]]</f>
        <v>34.4</v>
      </c>
      <c r="K930">
        <v>1</v>
      </c>
      <c r="L930">
        <v>34.4</v>
      </c>
      <c r="M930">
        <v>34.4</v>
      </c>
      <c r="N930" s="5">
        <v>1.7303822937625755</v>
      </c>
      <c r="O930" t="s">
        <v>39</v>
      </c>
      <c r="Q930" t="s">
        <v>24</v>
      </c>
    </row>
    <row r="931" spans="1:17" hidden="1" x14ac:dyDescent="0.25">
      <c r="A931" s="2" t="s">
        <v>201</v>
      </c>
      <c r="B931" s="3" t="str">
        <f t="shared" si="18"/>
        <v>18/2/17</v>
      </c>
      <c r="C931">
        <v>17</v>
      </c>
      <c r="D931">
        <v>2</v>
      </c>
      <c r="E931">
        <v>18</v>
      </c>
      <c r="F931" t="s">
        <v>234</v>
      </c>
      <c r="H931" t="s">
        <v>53</v>
      </c>
      <c r="I931" t="s">
        <v>27</v>
      </c>
      <c r="J931" s="4">
        <v>20</v>
      </c>
      <c r="K931">
        <v>2</v>
      </c>
      <c r="L931">
        <v>20</v>
      </c>
      <c r="M931">
        <v>40</v>
      </c>
      <c r="N931" s="5">
        <v>2.0120724346076462</v>
      </c>
      <c r="O931" t="s">
        <v>101</v>
      </c>
      <c r="P931" t="s">
        <v>340</v>
      </c>
      <c r="Q931" t="s">
        <v>24</v>
      </c>
    </row>
    <row r="932" spans="1:17" hidden="1" x14ac:dyDescent="0.25">
      <c r="A932" s="2" t="s">
        <v>201</v>
      </c>
      <c r="B932" s="3" t="str">
        <f t="shared" si="18"/>
        <v>18/2/17</v>
      </c>
      <c r="C932">
        <v>17</v>
      </c>
      <c r="D932">
        <v>2</v>
      </c>
      <c r="E932">
        <v>18</v>
      </c>
      <c r="F932" t="s">
        <v>215</v>
      </c>
      <c r="G932" t="s">
        <v>25</v>
      </c>
      <c r="H932" t="s">
        <v>26</v>
      </c>
      <c r="I932" t="s">
        <v>27</v>
      </c>
      <c r="J932" s="4">
        <f>Spending_raw[[#This Row],[Price, lei]]</f>
        <v>15.2</v>
      </c>
      <c r="K932">
        <v>1</v>
      </c>
      <c r="L932">
        <v>15.2</v>
      </c>
      <c r="M932">
        <v>15.2</v>
      </c>
      <c r="N932" s="5">
        <v>0.76458752515090544</v>
      </c>
      <c r="O932" t="s">
        <v>32</v>
      </c>
      <c r="P932" t="s">
        <v>340</v>
      </c>
      <c r="Q932" t="s">
        <v>24</v>
      </c>
    </row>
    <row r="933" spans="1:17" hidden="1" x14ac:dyDescent="0.25">
      <c r="A933" s="2" t="s">
        <v>201</v>
      </c>
      <c r="B933" s="3" t="str">
        <f t="shared" si="18"/>
        <v>18/2/17</v>
      </c>
      <c r="C933">
        <v>17</v>
      </c>
      <c r="D933">
        <v>2</v>
      </c>
      <c r="E933">
        <v>18</v>
      </c>
      <c r="F933" t="s">
        <v>89</v>
      </c>
      <c r="G933" t="s">
        <v>31</v>
      </c>
      <c r="H933" t="s">
        <v>26</v>
      </c>
      <c r="I933" t="s">
        <v>27</v>
      </c>
      <c r="J933" s="4">
        <f>Spending_raw[[#This Row],[Price, lei]]</f>
        <v>6.3</v>
      </c>
      <c r="K933">
        <v>2</v>
      </c>
      <c r="L933">
        <v>6.3</v>
      </c>
      <c r="M933">
        <v>12.6</v>
      </c>
      <c r="N933" s="5">
        <v>0.63380281690140849</v>
      </c>
      <c r="O933" t="s">
        <v>32</v>
      </c>
      <c r="P933" t="s">
        <v>340</v>
      </c>
      <c r="Q933" t="s">
        <v>24</v>
      </c>
    </row>
    <row r="934" spans="1:17" hidden="1" x14ac:dyDescent="0.25">
      <c r="A934" s="2" t="s">
        <v>201</v>
      </c>
      <c r="B934" s="3" t="str">
        <f t="shared" si="18"/>
        <v>18/2/17</v>
      </c>
      <c r="C934">
        <v>17</v>
      </c>
      <c r="D934">
        <v>2</v>
      </c>
      <c r="E934">
        <v>18</v>
      </c>
      <c r="F934" t="s">
        <v>89</v>
      </c>
      <c r="G934" t="s">
        <v>31</v>
      </c>
      <c r="H934" t="s">
        <v>26</v>
      </c>
      <c r="I934" t="s">
        <v>27</v>
      </c>
      <c r="J934" s="4">
        <f>Spending_raw[[#This Row],[Price, lei]]</f>
        <v>7.4</v>
      </c>
      <c r="K934">
        <v>1</v>
      </c>
      <c r="L934">
        <v>7.4</v>
      </c>
      <c r="M934">
        <v>7.4</v>
      </c>
      <c r="N934" s="5">
        <v>0.37223340040241454</v>
      </c>
      <c r="O934" t="s">
        <v>32</v>
      </c>
      <c r="P934" t="s">
        <v>340</v>
      </c>
      <c r="Q934" t="s">
        <v>24</v>
      </c>
    </row>
    <row r="935" spans="1:17" hidden="1" x14ac:dyDescent="0.25">
      <c r="A935" s="2" t="s">
        <v>201</v>
      </c>
      <c r="B935" s="3" t="str">
        <f t="shared" si="18"/>
        <v>18/2/17</v>
      </c>
      <c r="C935">
        <v>17</v>
      </c>
      <c r="D935">
        <v>2</v>
      </c>
      <c r="E935">
        <v>18</v>
      </c>
      <c r="F935" s="7" t="s">
        <v>166</v>
      </c>
      <c r="G935" t="s">
        <v>77</v>
      </c>
      <c r="H935" t="s">
        <v>26</v>
      </c>
      <c r="I935" t="s">
        <v>27</v>
      </c>
      <c r="J935" s="4">
        <f>Spending_raw[[#This Row],[Price, lei]]</f>
        <v>17.2</v>
      </c>
      <c r="K935">
        <v>1</v>
      </c>
      <c r="L935">
        <v>17.2</v>
      </c>
      <c r="M935">
        <v>17.2</v>
      </c>
      <c r="N935" s="5">
        <v>0.86519114688128773</v>
      </c>
      <c r="O935" t="s">
        <v>32</v>
      </c>
      <c r="P935" t="s">
        <v>340</v>
      </c>
      <c r="Q935" t="s">
        <v>24</v>
      </c>
    </row>
    <row r="936" spans="1:17" hidden="1" x14ac:dyDescent="0.25">
      <c r="A936" s="2" t="s">
        <v>201</v>
      </c>
      <c r="B936" s="3" t="str">
        <f t="shared" si="18"/>
        <v>18/2/18</v>
      </c>
      <c r="C936">
        <v>18</v>
      </c>
      <c r="D936">
        <v>2</v>
      </c>
      <c r="E936">
        <v>18</v>
      </c>
      <c r="F936" t="s">
        <v>89</v>
      </c>
      <c r="G936" t="s">
        <v>31</v>
      </c>
      <c r="H936" t="s">
        <v>26</v>
      </c>
      <c r="I936" t="s">
        <v>27</v>
      </c>
      <c r="J936" s="4">
        <f>Spending_raw[[#This Row],[Price, lei]]</f>
        <v>14.55</v>
      </c>
      <c r="K936">
        <v>3</v>
      </c>
      <c r="L936">
        <v>14.55</v>
      </c>
      <c r="M936">
        <v>43.65</v>
      </c>
      <c r="N936" s="5">
        <v>2.1956740442655938</v>
      </c>
      <c r="O936" t="s">
        <v>90</v>
      </c>
      <c r="P936" t="s">
        <v>340</v>
      </c>
      <c r="Q936" t="s">
        <v>24</v>
      </c>
    </row>
    <row r="937" spans="1:17" hidden="1" x14ac:dyDescent="0.25">
      <c r="A937" s="2" t="s">
        <v>201</v>
      </c>
      <c r="B937" s="3" t="str">
        <f t="shared" si="18"/>
        <v>18/2/18</v>
      </c>
      <c r="C937">
        <v>18</v>
      </c>
      <c r="D937">
        <v>2</v>
      </c>
      <c r="E937">
        <v>18</v>
      </c>
      <c r="F937" t="s">
        <v>89</v>
      </c>
      <c r="G937" t="s">
        <v>31</v>
      </c>
      <c r="H937" t="s">
        <v>26</v>
      </c>
      <c r="I937" t="s">
        <v>27</v>
      </c>
      <c r="J937" s="4">
        <f>Spending_raw[[#This Row],[Price, lei]]</f>
        <v>6.98</v>
      </c>
      <c r="K937">
        <v>2</v>
      </c>
      <c r="L937">
        <v>6.98</v>
      </c>
      <c r="M937">
        <v>13.96</v>
      </c>
      <c r="N937" s="5">
        <v>0.70221327967806846</v>
      </c>
      <c r="O937" t="s">
        <v>90</v>
      </c>
      <c r="P937" t="s">
        <v>340</v>
      </c>
      <c r="Q937" t="s">
        <v>24</v>
      </c>
    </row>
    <row r="938" spans="1:17" hidden="1" x14ac:dyDescent="0.25">
      <c r="A938" s="2" t="s">
        <v>201</v>
      </c>
      <c r="B938" s="3" t="str">
        <f t="shared" si="18"/>
        <v>18/2/18</v>
      </c>
      <c r="C938">
        <v>18</v>
      </c>
      <c r="D938">
        <v>2</v>
      </c>
      <c r="E938">
        <v>18</v>
      </c>
      <c r="F938" t="s">
        <v>86</v>
      </c>
      <c r="H938" t="s">
        <v>102</v>
      </c>
      <c r="I938" t="s">
        <v>27</v>
      </c>
      <c r="J938" s="4">
        <f>Spending_raw[[#This Row],[Price, lei]]</f>
        <v>16.5</v>
      </c>
      <c r="K938">
        <v>2</v>
      </c>
      <c r="L938">
        <v>16.5</v>
      </c>
      <c r="M938">
        <v>33</v>
      </c>
      <c r="N938" s="5">
        <v>1.659959758551308</v>
      </c>
      <c r="O938" t="s">
        <v>235</v>
      </c>
      <c r="P938" t="s">
        <v>340</v>
      </c>
      <c r="Q938" t="s">
        <v>24</v>
      </c>
    </row>
    <row r="939" spans="1:17" hidden="1" x14ac:dyDescent="0.25">
      <c r="A939" s="2" t="s">
        <v>201</v>
      </c>
      <c r="B939" s="3" t="str">
        <f t="shared" si="18"/>
        <v>18/2/18</v>
      </c>
      <c r="C939">
        <v>18</v>
      </c>
      <c r="D939">
        <v>2</v>
      </c>
      <c r="E939">
        <v>18</v>
      </c>
      <c r="F939" t="s">
        <v>89</v>
      </c>
      <c r="G939" t="s">
        <v>31</v>
      </c>
      <c r="H939" t="s">
        <v>26</v>
      </c>
      <c r="I939" t="s">
        <v>27</v>
      </c>
      <c r="J939" s="4">
        <f>Spending_raw[[#This Row],[Price, lei]]</f>
        <v>6.79</v>
      </c>
      <c r="K939">
        <v>1</v>
      </c>
      <c r="L939">
        <v>6.79</v>
      </c>
      <c r="M939">
        <v>6.79</v>
      </c>
      <c r="N939" s="5">
        <v>0.34154929577464793</v>
      </c>
      <c r="O939" t="s">
        <v>90</v>
      </c>
      <c r="P939" t="s">
        <v>340</v>
      </c>
      <c r="Q939" t="s">
        <v>24</v>
      </c>
    </row>
    <row r="940" spans="1:17" hidden="1" x14ac:dyDescent="0.25">
      <c r="A940" s="2" t="s">
        <v>201</v>
      </c>
      <c r="B940" s="3" t="str">
        <f t="shared" si="18"/>
        <v>18/2/18</v>
      </c>
      <c r="C940">
        <v>18</v>
      </c>
      <c r="D940">
        <v>2</v>
      </c>
      <c r="E940">
        <v>18</v>
      </c>
      <c r="F940" t="s">
        <v>222</v>
      </c>
      <c r="H940" t="s">
        <v>63</v>
      </c>
      <c r="I940" t="s">
        <v>50</v>
      </c>
      <c r="J940" s="4">
        <f>Spending_raw[[#This Row],[Price, lei]]</f>
        <v>159</v>
      </c>
      <c r="K940">
        <v>1</v>
      </c>
      <c r="L940">
        <v>159</v>
      </c>
      <c r="M940">
        <v>159</v>
      </c>
      <c r="N940" s="5">
        <v>7.9979879275653927</v>
      </c>
      <c r="O940" t="s">
        <v>90</v>
      </c>
      <c r="P940" t="s">
        <v>340</v>
      </c>
      <c r="Q940" t="s">
        <v>24</v>
      </c>
    </row>
    <row r="941" spans="1:17" hidden="1" x14ac:dyDescent="0.25">
      <c r="A941" s="2" t="s">
        <v>201</v>
      </c>
      <c r="B941" s="3" t="str">
        <f t="shared" si="18"/>
        <v>18/2/18</v>
      </c>
      <c r="C941">
        <v>18</v>
      </c>
      <c r="D941">
        <v>2</v>
      </c>
      <c r="E941">
        <v>18</v>
      </c>
      <c r="F941" t="s">
        <v>1292</v>
      </c>
      <c r="G941" t="s">
        <v>58</v>
      </c>
      <c r="H941" t="s">
        <v>59</v>
      </c>
      <c r="I941" t="s">
        <v>27</v>
      </c>
      <c r="J941" s="4">
        <f>Spending_raw[[#This Row],[Price, lei]]</f>
        <v>108</v>
      </c>
      <c r="K941">
        <v>2</v>
      </c>
      <c r="L941">
        <v>108</v>
      </c>
      <c r="M941">
        <v>216</v>
      </c>
      <c r="N941" s="5">
        <v>10.865191146881289</v>
      </c>
      <c r="O941" t="s">
        <v>236</v>
      </c>
      <c r="P941" t="s">
        <v>340</v>
      </c>
      <c r="Q941" t="s">
        <v>24</v>
      </c>
    </row>
    <row r="942" spans="1:17" hidden="1" x14ac:dyDescent="0.25">
      <c r="A942" s="2" t="s">
        <v>201</v>
      </c>
      <c r="B942" s="3" t="str">
        <f t="shared" si="18"/>
        <v>18/2/18</v>
      </c>
      <c r="C942">
        <v>18</v>
      </c>
      <c r="D942">
        <v>2</v>
      </c>
      <c r="E942">
        <v>18</v>
      </c>
      <c r="F942" t="s">
        <v>40</v>
      </c>
      <c r="H942" t="s">
        <v>40</v>
      </c>
      <c r="I942" t="s">
        <v>27</v>
      </c>
      <c r="J942" s="4">
        <f>Spending_raw[[#This Row],[Price, lei]]</f>
        <v>3.98</v>
      </c>
      <c r="K942">
        <v>1</v>
      </c>
      <c r="L942">
        <v>3.98</v>
      </c>
      <c r="M942">
        <v>3.98</v>
      </c>
      <c r="N942" s="5">
        <v>0.20020120724346077</v>
      </c>
      <c r="O942" t="s">
        <v>90</v>
      </c>
      <c r="P942" t="s">
        <v>340</v>
      </c>
      <c r="Q942" t="s">
        <v>24</v>
      </c>
    </row>
    <row r="943" spans="1:17" hidden="1" x14ac:dyDescent="0.25">
      <c r="A943" s="2" t="s">
        <v>201</v>
      </c>
      <c r="B943" s="3" t="str">
        <f t="shared" si="18"/>
        <v>18/2/18</v>
      </c>
      <c r="C943">
        <v>18</v>
      </c>
      <c r="D943">
        <v>2</v>
      </c>
      <c r="E943">
        <v>18</v>
      </c>
      <c r="F943" s="7" t="s">
        <v>166</v>
      </c>
      <c r="G943" t="s">
        <v>77</v>
      </c>
      <c r="H943" t="s">
        <v>26</v>
      </c>
      <c r="I943" t="s">
        <v>27</v>
      </c>
      <c r="J943" s="4">
        <f>Spending_raw[[#This Row],[Price, lei]]</f>
        <v>17.170000000000002</v>
      </c>
      <c r="K943">
        <v>1</v>
      </c>
      <c r="L943">
        <v>17.170000000000002</v>
      </c>
      <c r="M943">
        <v>17.170000000000002</v>
      </c>
      <c r="N943" s="5">
        <v>0.86368209255533213</v>
      </c>
      <c r="O943" t="s">
        <v>90</v>
      </c>
      <c r="P943" t="s">
        <v>340</v>
      </c>
      <c r="Q943" t="s">
        <v>24</v>
      </c>
    </row>
    <row r="944" spans="1:17" hidden="1" x14ac:dyDescent="0.25">
      <c r="A944" s="2" t="s">
        <v>201</v>
      </c>
      <c r="B944" s="3" t="str">
        <f t="shared" si="18"/>
        <v>18/2/19</v>
      </c>
      <c r="C944">
        <v>19</v>
      </c>
      <c r="D944">
        <v>2</v>
      </c>
      <c r="E944">
        <v>18</v>
      </c>
      <c r="F944" t="s">
        <v>89</v>
      </c>
      <c r="G944" t="s">
        <v>31</v>
      </c>
      <c r="H944" t="s">
        <v>26</v>
      </c>
      <c r="I944" t="s">
        <v>27</v>
      </c>
      <c r="J944" s="4">
        <v>14.69</v>
      </c>
      <c r="K944">
        <v>2</v>
      </c>
      <c r="L944">
        <v>14.69</v>
      </c>
      <c r="M944">
        <v>29.38</v>
      </c>
      <c r="N944" s="5">
        <v>1.4778672032193159</v>
      </c>
      <c r="O944" t="s">
        <v>51</v>
      </c>
      <c r="P944" t="s">
        <v>340</v>
      </c>
      <c r="Q944" t="s">
        <v>24</v>
      </c>
    </row>
    <row r="945" spans="1:17" hidden="1" x14ac:dyDescent="0.25">
      <c r="A945" s="2" t="s">
        <v>201</v>
      </c>
      <c r="B945" s="3" t="str">
        <f t="shared" si="18"/>
        <v>18/2/19</v>
      </c>
      <c r="C945">
        <v>19</v>
      </c>
      <c r="D945">
        <v>2</v>
      </c>
      <c r="E945">
        <v>18</v>
      </c>
      <c r="F945" t="s">
        <v>25</v>
      </c>
      <c r="G945" t="s">
        <v>25</v>
      </c>
      <c r="H945" t="s">
        <v>26</v>
      </c>
      <c r="I945" t="s">
        <v>27</v>
      </c>
      <c r="J945" s="4">
        <f>Spending_raw[[#This Row],[Price, lei]]</f>
        <v>21.9</v>
      </c>
      <c r="K945">
        <v>1</v>
      </c>
      <c r="L945">
        <v>21.9</v>
      </c>
      <c r="M945">
        <v>21.9</v>
      </c>
      <c r="N945" s="5">
        <v>1.1016096579476862</v>
      </c>
      <c r="O945" t="s">
        <v>51</v>
      </c>
      <c r="P945" t="s">
        <v>340</v>
      </c>
      <c r="Q945" t="s">
        <v>24</v>
      </c>
    </row>
    <row r="946" spans="1:17" hidden="1" x14ac:dyDescent="0.25">
      <c r="A946" s="2" t="s">
        <v>201</v>
      </c>
      <c r="B946" s="3" t="str">
        <f t="shared" si="18"/>
        <v>18/2/19</v>
      </c>
      <c r="C946">
        <v>19</v>
      </c>
      <c r="D946">
        <v>2</v>
      </c>
      <c r="E946">
        <v>18</v>
      </c>
      <c r="F946" t="s">
        <v>52</v>
      </c>
      <c r="H946" t="s">
        <v>53</v>
      </c>
      <c r="I946" t="s">
        <v>27</v>
      </c>
      <c r="J946" s="4">
        <v>32.39</v>
      </c>
      <c r="K946">
        <v>6</v>
      </c>
      <c r="L946">
        <v>32.39</v>
      </c>
      <c r="M946">
        <v>194.34</v>
      </c>
      <c r="N946" s="5">
        <v>9.775653923541249</v>
      </c>
      <c r="O946" t="s">
        <v>51</v>
      </c>
      <c r="P946" t="s">
        <v>340</v>
      </c>
      <c r="Q946" t="s">
        <v>24</v>
      </c>
    </row>
    <row r="947" spans="1:17" hidden="1" x14ac:dyDescent="0.25">
      <c r="A947" s="2" t="s">
        <v>201</v>
      </c>
      <c r="B947" s="3" t="str">
        <f t="shared" si="18"/>
        <v>18/2/19</v>
      </c>
      <c r="C947">
        <v>19</v>
      </c>
      <c r="D947">
        <v>2</v>
      </c>
      <c r="E947">
        <v>18</v>
      </c>
      <c r="F947" t="s">
        <v>108</v>
      </c>
      <c r="H947" t="s">
        <v>54</v>
      </c>
      <c r="I947" t="s">
        <v>27</v>
      </c>
      <c r="J947" s="4">
        <f>Spending_raw[[#This Row],[Price, lei]]</f>
        <v>33.9</v>
      </c>
      <c r="K947">
        <v>0.65</v>
      </c>
      <c r="L947">
        <v>33.9</v>
      </c>
      <c r="M947">
        <v>22.035</v>
      </c>
      <c r="N947" s="5">
        <v>1.1084004024144869</v>
      </c>
      <c r="O947" t="s">
        <v>51</v>
      </c>
      <c r="P947" t="s">
        <v>340</v>
      </c>
      <c r="Q947" t="s">
        <v>24</v>
      </c>
    </row>
    <row r="948" spans="1:17" hidden="1" x14ac:dyDescent="0.25">
      <c r="A948" s="2" t="s">
        <v>201</v>
      </c>
      <c r="B948" s="3" t="str">
        <f t="shared" si="18"/>
        <v>18/2/19</v>
      </c>
      <c r="C948">
        <v>19</v>
      </c>
      <c r="D948">
        <v>2</v>
      </c>
      <c r="E948">
        <v>18</v>
      </c>
      <c r="F948" t="s">
        <v>202</v>
      </c>
      <c r="H948" t="s">
        <v>54</v>
      </c>
      <c r="I948" t="s">
        <v>27</v>
      </c>
      <c r="J948" s="4">
        <f>Spending_raw[[#This Row],[Price, lei]]</f>
        <v>109</v>
      </c>
      <c r="K948">
        <v>0.25</v>
      </c>
      <c r="L948">
        <v>109</v>
      </c>
      <c r="M948">
        <v>27.25</v>
      </c>
      <c r="N948" s="5">
        <v>1.3707243460764589</v>
      </c>
      <c r="O948" t="s">
        <v>51</v>
      </c>
      <c r="P948" t="s">
        <v>340</v>
      </c>
      <c r="Q948" t="s">
        <v>24</v>
      </c>
    </row>
    <row r="949" spans="1:17" hidden="1" x14ac:dyDescent="0.25">
      <c r="A949" s="2" t="s">
        <v>201</v>
      </c>
      <c r="B949" s="3" t="str">
        <f t="shared" si="18"/>
        <v>18/2/19</v>
      </c>
      <c r="C949">
        <v>19</v>
      </c>
      <c r="D949">
        <v>2</v>
      </c>
      <c r="E949">
        <v>18</v>
      </c>
      <c r="F949" t="s">
        <v>215</v>
      </c>
      <c r="G949" t="s">
        <v>25</v>
      </c>
      <c r="H949" t="s">
        <v>26</v>
      </c>
      <c r="I949" t="s">
        <v>27</v>
      </c>
      <c r="J949" s="4">
        <f>Spending_raw[[#This Row],[Price, lei]]</f>
        <v>15.6</v>
      </c>
      <c r="K949">
        <v>1</v>
      </c>
      <c r="L949">
        <v>15.6</v>
      </c>
      <c r="M949">
        <v>15.6</v>
      </c>
      <c r="N949" s="5">
        <v>0.78470824949698192</v>
      </c>
      <c r="O949" t="s">
        <v>51</v>
      </c>
      <c r="P949" t="s">
        <v>340</v>
      </c>
      <c r="Q949" t="s">
        <v>24</v>
      </c>
    </row>
    <row r="950" spans="1:17" hidden="1" x14ac:dyDescent="0.25">
      <c r="A950" s="2" t="s">
        <v>201</v>
      </c>
      <c r="B950" s="3" t="str">
        <f t="shared" si="18"/>
        <v>18/2/19</v>
      </c>
      <c r="C950">
        <v>19</v>
      </c>
      <c r="D950">
        <v>2</v>
      </c>
      <c r="E950">
        <v>18</v>
      </c>
      <c r="F950" t="s">
        <v>89</v>
      </c>
      <c r="G950" t="s">
        <v>31</v>
      </c>
      <c r="H950" t="s">
        <v>26</v>
      </c>
      <c r="I950" t="s">
        <v>27</v>
      </c>
      <c r="J950" s="4">
        <v>6.99</v>
      </c>
      <c r="K950">
        <v>2</v>
      </c>
      <c r="L950">
        <v>6.99</v>
      </c>
      <c r="M950">
        <v>13.98</v>
      </c>
      <c r="N950" s="5">
        <v>0.70321931589537234</v>
      </c>
      <c r="O950" t="s">
        <v>51</v>
      </c>
      <c r="P950" t="s">
        <v>340</v>
      </c>
      <c r="Q950" t="s">
        <v>24</v>
      </c>
    </row>
    <row r="951" spans="1:17" hidden="1" x14ac:dyDescent="0.25">
      <c r="A951" s="2" t="s">
        <v>201</v>
      </c>
      <c r="B951" s="3" t="str">
        <f t="shared" si="18"/>
        <v>18/2/19</v>
      </c>
      <c r="C951">
        <v>19</v>
      </c>
      <c r="D951">
        <v>2</v>
      </c>
      <c r="E951">
        <v>18</v>
      </c>
      <c r="F951" t="s">
        <v>237</v>
      </c>
      <c r="H951" t="s">
        <v>49</v>
      </c>
      <c r="I951" t="s">
        <v>50</v>
      </c>
      <c r="J951" s="4">
        <f>Spending_raw[[#This Row],[Price, lei]]</f>
        <v>20.68</v>
      </c>
      <c r="K951">
        <v>1</v>
      </c>
      <c r="L951">
        <v>20.68</v>
      </c>
      <c r="M951">
        <v>20.68</v>
      </c>
      <c r="N951" s="5">
        <v>1.040241448692153</v>
      </c>
      <c r="O951" t="s">
        <v>51</v>
      </c>
      <c r="P951" t="s">
        <v>340</v>
      </c>
      <c r="Q951" t="s">
        <v>24</v>
      </c>
    </row>
    <row r="952" spans="1:17" hidden="1" x14ac:dyDescent="0.25">
      <c r="A952" s="2" t="s">
        <v>201</v>
      </c>
      <c r="B952" s="3" t="str">
        <f t="shared" si="18"/>
        <v>18/2/19</v>
      </c>
      <c r="C952">
        <v>19</v>
      </c>
      <c r="D952">
        <v>2</v>
      </c>
      <c r="E952">
        <v>18</v>
      </c>
      <c r="F952" t="s">
        <v>237</v>
      </c>
      <c r="H952" t="s">
        <v>49</v>
      </c>
      <c r="I952" t="s">
        <v>50</v>
      </c>
      <c r="J952" s="4">
        <f>Spending_raw[[#This Row],[Price, lei]]</f>
        <v>25.61</v>
      </c>
      <c r="K952">
        <v>1</v>
      </c>
      <c r="L952">
        <v>25.61</v>
      </c>
      <c r="M952">
        <v>25.61</v>
      </c>
      <c r="N952" s="5">
        <v>1.2882293762575454</v>
      </c>
      <c r="O952" t="s">
        <v>51</v>
      </c>
      <c r="P952" t="s">
        <v>340</v>
      </c>
      <c r="Q952" t="s">
        <v>24</v>
      </c>
    </row>
    <row r="953" spans="1:17" hidden="1" x14ac:dyDescent="0.25">
      <c r="A953" s="2" t="s">
        <v>201</v>
      </c>
      <c r="B953" s="3" t="str">
        <f t="shared" si="18"/>
        <v>18/2/19</v>
      </c>
      <c r="C953">
        <v>19</v>
      </c>
      <c r="D953">
        <v>2</v>
      </c>
      <c r="E953">
        <v>18</v>
      </c>
      <c r="F953" t="s">
        <v>238</v>
      </c>
      <c r="G953" t="s">
        <v>58</v>
      </c>
      <c r="H953" t="s">
        <v>59</v>
      </c>
      <c r="I953" t="s">
        <v>27</v>
      </c>
      <c r="J953" s="4">
        <v>69.900000000000006</v>
      </c>
      <c r="K953">
        <v>1</v>
      </c>
      <c r="L953">
        <v>69.900000000000006</v>
      </c>
      <c r="M953">
        <v>69.900000000000006</v>
      </c>
      <c r="N953" s="5">
        <v>3.5160965794768617</v>
      </c>
      <c r="O953" t="s">
        <v>51</v>
      </c>
      <c r="P953" t="s">
        <v>340</v>
      </c>
      <c r="Q953" t="s">
        <v>24</v>
      </c>
    </row>
    <row r="954" spans="1:17" hidden="1" x14ac:dyDescent="0.25">
      <c r="A954" s="2" t="s">
        <v>201</v>
      </c>
      <c r="B954" s="3" t="str">
        <f t="shared" si="18"/>
        <v>18/2/19</v>
      </c>
      <c r="C954">
        <v>19</v>
      </c>
      <c r="D954">
        <v>2</v>
      </c>
      <c r="E954">
        <v>18</v>
      </c>
      <c r="F954" t="s">
        <v>161</v>
      </c>
      <c r="H954" t="s">
        <v>65</v>
      </c>
      <c r="I954" t="s">
        <v>27</v>
      </c>
      <c r="J954" s="4">
        <f>Spending_raw[[#This Row],[Price, lei]]</f>
        <v>14.9</v>
      </c>
      <c r="K954">
        <v>1</v>
      </c>
      <c r="L954">
        <v>14.9</v>
      </c>
      <c r="M954">
        <v>14.9</v>
      </c>
      <c r="N954" s="5">
        <v>0.74949698189134817</v>
      </c>
      <c r="O954" t="s">
        <v>51</v>
      </c>
      <c r="P954" t="s">
        <v>340</v>
      </c>
      <c r="Q954" t="s">
        <v>24</v>
      </c>
    </row>
    <row r="955" spans="1:17" hidden="1" x14ac:dyDescent="0.25">
      <c r="A955" s="2" t="s">
        <v>201</v>
      </c>
      <c r="B955" s="3" t="str">
        <f t="shared" si="18"/>
        <v>18/2/19</v>
      </c>
      <c r="C955">
        <v>19</v>
      </c>
      <c r="D955">
        <v>2</v>
      </c>
      <c r="E955">
        <v>18</v>
      </c>
      <c r="F955" t="s">
        <v>1292</v>
      </c>
      <c r="G955" t="s">
        <v>58</v>
      </c>
      <c r="H955" t="s">
        <v>59</v>
      </c>
      <c r="I955" t="s">
        <v>27</v>
      </c>
      <c r="J955" s="4">
        <v>115.9</v>
      </c>
      <c r="K955">
        <v>1</v>
      </c>
      <c r="L955">
        <v>115.9</v>
      </c>
      <c r="M955">
        <v>115.9</v>
      </c>
      <c r="N955" s="5">
        <v>5.8299798792756548</v>
      </c>
      <c r="O955" t="s">
        <v>51</v>
      </c>
      <c r="P955" t="s">
        <v>340</v>
      </c>
      <c r="Q955" t="s">
        <v>24</v>
      </c>
    </row>
    <row r="956" spans="1:17" hidden="1" x14ac:dyDescent="0.25">
      <c r="A956" s="2" t="s">
        <v>201</v>
      </c>
      <c r="B956" s="3" t="str">
        <f t="shared" si="18"/>
        <v>18/2/19</v>
      </c>
      <c r="C956">
        <v>19</v>
      </c>
      <c r="D956">
        <v>2</v>
      </c>
      <c r="E956">
        <v>18</v>
      </c>
      <c r="F956" t="s">
        <v>66</v>
      </c>
      <c r="G956" t="s">
        <v>67</v>
      </c>
      <c r="H956" t="s">
        <v>59</v>
      </c>
      <c r="I956" t="s">
        <v>27</v>
      </c>
      <c r="J956" s="4">
        <v>144.9</v>
      </c>
      <c r="K956">
        <v>3</v>
      </c>
      <c r="L956">
        <v>144.9</v>
      </c>
      <c r="M956">
        <v>434.7</v>
      </c>
      <c r="N956" s="5">
        <v>21.866197183098592</v>
      </c>
      <c r="O956" t="s">
        <v>51</v>
      </c>
      <c r="P956" t="s">
        <v>340</v>
      </c>
      <c r="Q956" t="s">
        <v>24</v>
      </c>
    </row>
    <row r="957" spans="1:17" hidden="1" x14ac:dyDescent="0.25">
      <c r="A957" s="2" t="s">
        <v>201</v>
      </c>
      <c r="B957" s="3" t="str">
        <f t="shared" si="18"/>
        <v>18/2/19</v>
      </c>
      <c r="C957">
        <v>19</v>
      </c>
      <c r="D957">
        <v>2</v>
      </c>
      <c r="E957">
        <v>18</v>
      </c>
      <c r="F957" t="s">
        <v>177</v>
      </c>
      <c r="H957" t="s">
        <v>56</v>
      </c>
      <c r="I957" t="s">
        <v>27</v>
      </c>
      <c r="J957" s="4">
        <f>Spending_raw[[#This Row],[Price, lei]]</f>
        <v>14.49</v>
      </c>
      <c r="K957">
        <v>0.48</v>
      </c>
      <c r="L957">
        <v>14.49</v>
      </c>
      <c r="M957">
        <v>6.9551999999999996</v>
      </c>
      <c r="N957" s="5">
        <v>0.34985915492957748</v>
      </c>
      <c r="O957" t="s">
        <v>51</v>
      </c>
      <c r="P957" t="s">
        <v>340</v>
      </c>
      <c r="Q957" t="s">
        <v>24</v>
      </c>
    </row>
    <row r="958" spans="1:17" hidden="1" x14ac:dyDescent="0.25">
      <c r="A958" s="2" t="s">
        <v>201</v>
      </c>
      <c r="B958" s="3" t="str">
        <f t="shared" si="18"/>
        <v>18/2/19</v>
      </c>
      <c r="C958">
        <v>19</v>
      </c>
      <c r="D958">
        <v>2</v>
      </c>
      <c r="E958">
        <v>18</v>
      </c>
      <c r="F958" t="s">
        <v>177</v>
      </c>
      <c r="H958" t="s">
        <v>56</v>
      </c>
      <c r="I958" t="s">
        <v>27</v>
      </c>
      <c r="J958" s="4">
        <f>Spending_raw[[#This Row],[Price, lei]]</f>
        <v>22.9</v>
      </c>
      <c r="K958">
        <v>0.69</v>
      </c>
      <c r="L958">
        <v>22.9</v>
      </c>
      <c r="M958">
        <v>15.801</v>
      </c>
      <c r="N958" s="5">
        <v>0.7948189134808854</v>
      </c>
      <c r="O958" t="s">
        <v>51</v>
      </c>
      <c r="P958" t="s">
        <v>340</v>
      </c>
      <c r="Q958" t="s">
        <v>24</v>
      </c>
    </row>
    <row r="959" spans="1:17" hidden="1" x14ac:dyDescent="0.25">
      <c r="A959" s="2" t="s">
        <v>201</v>
      </c>
      <c r="B959" s="3" t="str">
        <f t="shared" si="18"/>
        <v>18/2/19</v>
      </c>
      <c r="C959">
        <v>19</v>
      </c>
      <c r="D959">
        <v>2</v>
      </c>
      <c r="E959">
        <v>18</v>
      </c>
      <c r="F959" t="s">
        <v>73</v>
      </c>
      <c r="H959" t="s">
        <v>117</v>
      </c>
      <c r="I959" t="s">
        <v>27</v>
      </c>
      <c r="J959" s="4">
        <v>21.6</v>
      </c>
      <c r="K959">
        <v>1</v>
      </c>
      <c r="L959">
        <v>21.6</v>
      </c>
      <c r="M959">
        <v>21.6</v>
      </c>
      <c r="N959" s="5">
        <v>1.086519114688129</v>
      </c>
      <c r="O959" t="s">
        <v>51</v>
      </c>
      <c r="P959" t="s">
        <v>340</v>
      </c>
      <c r="Q959" t="s">
        <v>24</v>
      </c>
    </row>
    <row r="960" spans="1:17" hidden="1" x14ac:dyDescent="0.25">
      <c r="A960" s="2" t="s">
        <v>201</v>
      </c>
      <c r="B960" s="3" t="str">
        <f t="shared" si="18"/>
        <v>18/2/19</v>
      </c>
      <c r="C960">
        <v>19</v>
      </c>
      <c r="D960">
        <v>2</v>
      </c>
      <c r="E960">
        <v>18</v>
      </c>
      <c r="F960" t="s">
        <v>1692</v>
      </c>
      <c r="H960" t="s">
        <v>49</v>
      </c>
      <c r="I960" t="s">
        <v>50</v>
      </c>
      <c r="J960" s="4">
        <v>18.899999999999999</v>
      </c>
      <c r="K960">
        <v>1</v>
      </c>
      <c r="L960">
        <v>18.899999999999999</v>
      </c>
      <c r="M960">
        <v>18.899999999999999</v>
      </c>
      <c r="N960" s="5">
        <v>0.95070422535211263</v>
      </c>
      <c r="O960" t="s">
        <v>51</v>
      </c>
      <c r="P960" t="s">
        <v>340</v>
      </c>
      <c r="Q960" t="s">
        <v>24</v>
      </c>
    </row>
    <row r="961" spans="1:18" hidden="1" x14ac:dyDescent="0.25">
      <c r="A961" s="2" t="s">
        <v>201</v>
      </c>
      <c r="B961" s="3" t="str">
        <f t="shared" si="18"/>
        <v>18/2/19</v>
      </c>
      <c r="C961">
        <v>19</v>
      </c>
      <c r="D961">
        <v>2</v>
      </c>
      <c r="E961">
        <v>18</v>
      </c>
      <c r="F961" t="s">
        <v>239</v>
      </c>
      <c r="H961" t="s">
        <v>49</v>
      </c>
      <c r="I961" t="s">
        <v>50</v>
      </c>
      <c r="J961" s="4">
        <f>Spending_raw[[#This Row],[Price, lei]]</f>
        <v>22.8</v>
      </c>
      <c r="K961">
        <v>1</v>
      </c>
      <c r="L961">
        <v>22.8</v>
      </c>
      <c r="M961">
        <v>22.8</v>
      </c>
      <c r="N961" s="5">
        <v>1.1468812877263583</v>
      </c>
      <c r="O961" t="s">
        <v>51</v>
      </c>
      <c r="P961" t="s">
        <v>340</v>
      </c>
      <c r="Q961" t="s">
        <v>24</v>
      </c>
    </row>
    <row r="962" spans="1:18" hidden="1" x14ac:dyDescent="0.25">
      <c r="A962" s="2" t="s">
        <v>201</v>
      </c>
      <c r="B962" s="3" t="str">
        <f t="shared" si="18"/>
        <v>18/2/19</v>
      </c>
      <c r="C962">
        <v>19</v>
      </c>
      <c r="D962">
        <v>2</v>
      </c>
      <c r="E962">
        <v>18</v>
      </c>
      <c r="F962" t="s">
        <v>240</v>
      </c>
      <c r="H962" t="s">
        <v>54</v>
      </c>
      <c r="I962" t="s">
        <v>27</v>
      </c>
      <c r="J962" s="4">
        <f>Spending_raw[[#This Row],[Price, lei]]</f>
        <v>57.9</v>
      </c>
      <c r="K962">
        <v>0.28999999999999998</v>
      </c>
      <c r="L962">
        <v>57.9</v>
      </c>
      <c r="M962">
        <v>16.791</v>
      </c>
      <c r="N962" s="5">
        <v>0.8446177062374246</v>
      </c>
      <c r="O962" t="s">
        <v>51</v>
      </c>
      <c r="P962" t="s">
        <v>340</v>
      </c>
      <c r="Q962" t="s">
        <v>24</v>
      </c>
    </row>
    <row r="963" spans="1:18" hidden="1" x14ac:dyDescent="0.25">
      <c r="A963" s="2" t="s">
        <v>201</v>
      </c>
      <c r="B963" s="3" t="str">
        <f t="shared" si="18"/>
        <v>18/2/19</v>
      </c>
      <c r="C963">
        <v>19</v>
      </c>
      <c r="D963">
        <v>2</v>
      </c>
      <c r="E963">
        <v>18</v>
      </c>
      <c r="F963" t="s">
        <v>75</v>
      </c>
      <c r="G963" t="s">
        <v>75</v>
      </c>
      <c r="H963" t="s">
        <v>65</v>
      </c>
      <c r="I963" t="s">
        <v>27</v>
      </c>
      <c r="J963" s="4">
        <f>Spending_raw[[#This Row],[Price, lei]]</f>
        <v>13.99</v>
      </c>
      <c r="K963">
        <v>2</v>
      </c>
      <c r="L963">
        <v>13.99</v>
      </c>
      <c r="M963">
        <v>27.98</v>
      </c>
      <c r="N963" s="5">
        <v>1.4074446680080483</v>
      </c>
      <c r="O963" t="s">
        <v>51</v>
      </c>
      <c r="P963" t="s">
        <v>340</v>
      </c>
      <c r="Q963" t="s">
        <v>24</v>
      </c>
    </row>
    <row r="964" spans="1:18" hidden="1" x14ac:dyDescent="0.25">
      <c r="A964" s="2" t="s">
        <v>201</v>
      </c>
      <c r="B964" s="3" t="str">
        <f t="shared" si="18"/>
        <v>18/2/19</v>
      </c>
      <c r="C964">
        <v>19</v>
      </c>
      <c r="D964">
        <v>2</v>
      </c>
      <c r="E964">
        <v>18</v>
      </c>
      <c r="F964" t="s">
        <v>75</v>
      </c>
      <c r="G964" t="s">
        <v>75</v>
      </c>
      <c r="H964" t="s">
        <v>65</v>
      </c>
      <c r="I964" t="s">
        <v>27</v>
      </c>
      <c r="J964" s="4">
        <f>Spending_raw[[#This Row],[Price, lei]]</f>
        <v>8.15</v>
      </c>
      <c r="K964">
        <v>2</v>
      </c>
      <c r="L964">
        <v>8.15</v>
      </c>
      <c r="M964">
        <v>16.3</v>
      </c>
      <c r="N964" s="5">
        <v>0.81991951710261579</v>
      </c>
      <c r="O964" t="s">
        <v>51</v>
      </c>
      <c r="P964" t="s">
        <v>340</v>
      </c>
      <c r="Q964" t="s">
        <v>24</v>
      </c>
    </row>
    <row r="965" spans="1:18" hidden="1" x14ac:dyDescent="0.25">
      <c r="A965" s="2" t="s">
        <v>201</v>
      </c>
      <c r="B965" s="3" t="str">
        <f t="shared" si="18"/>
        <v>18/2/19</v>
      </c>
      <c r="C965">
        <v>19</v>
      </c>
      <c r="D965">
        <v>2</v>
      </c>
      <c r="E965">
        <v>18</v>
      </c>
      <c r="F965" t="s">
        <v>75</v>
      </c>
      <c r="G965" t="s">
        <v>75</v>
      </c>
      <c r="H965" t="s">
        <v>65</v>
      </c>
      <c r="I965" t="s">
        <v>27</v>
      </c>
      <c r="J965" s="4">
        <f>Spending_raw[[#This Row],[Price, lei]]</f>
        <v>9.9</v>
      </c>
      <c r="K965">
        <v>1</v>
      </c>
      <c r="L965">
        <v>9.9</v>
      </c>
      <c r="M965">
        <v>9.9</v>
      </c>
      <c r="N965" s="5">
        <v>0.4979879275653924</v>
      </c>
      <c r="O965" t="s">
        <v>51</v>
      </c>
      <c r="P965" t="s">
        <v>340</v>
      </c>
      <c r="Q965" t="s">
        <v>24</v>
      </c>
    </row>
    <row r="966" spans="1:18" hidden="1" x14ac:dyDescent="0.25">
      <c r="A966" s="2" t="s">
        <v>201</v>
      </c>
      <c r="B966" s="3" t="str">
        <f t="shared" si="18"/>
        <v>18/2/19</v>
      </c>
      <c r="C966">
        <v>19</v>
      </c>
      <c r="D966">
        <v>2</v>
      </c>
      <c r="E966">
        <v>18</v>
      </c>
      <c r="F966" s="7" t="s">
        <v>166</v>
      </c>
      <c r="G966" t="s">
        <v>77</v>
      </c>
      <c r="H966" t="s">
        <v>26</v>
      </c>
      <c r="I966" t="s">
        <v>27</v>
      </c>
      <c r="J966" s="4">
        <f>Spending_raw[[#This Row],[Price, lei]]</f>
        <v>17.899999999999999</v>
      </c>
      <c r="K966">
        <v>1</v>
      </c>
      <c r="L966">
        <v>17.899999999999999</v>
      </c>
      <c r="M966">
        <v>17.899999999999999</v>
      </c>
      <c r="N966" s="5">
        <v>0.90040241448692149</v>
      </c>
      <c r="O966" t="s">
        <v>51</v>
      </c>
      <c r="P966" t="s">
        <v>340</v>
      </c>
      <c r="Q966" t="s">
        <v>24</v>
      </c>
    </row>
    <row r="967" spans="1:18" hidden="1" x14ac:dyDescent="0.25">
      <c r="A967" s="2" t="s">
        <v>201</v>
      </c>
      <c r="B967" s="3" t="str">
        <f t="shared" si="18"/>
        <v>18/2/19</v>
      </c>
      <c r="C967">
        <v>19</v>
      </c>
      <c r="D967">
        <v>2</v>
      </c>
      <c r="E967">
        <v>18</v>
      </c>
      <c r="F967" t="s">
        <v>44</v>
      </c>
      <c r="H967" t="s">
        <v>128</v>
      </c>
      <c r="I967" t="s">
        <v>27</v>
      </c>
      <c r="J967" s="4">
        <f>Spending_raw[[#This Row],[Price, lei]]</f>
        <v>14.99</v>
      </c>
      <c r="K967">
        <v>2</v>
      </c>
      <c r="L967">
        <v>14.99</v>
      </c>
      <c r="M967">
        <v>29.98</v>
      </c>
      <c r="N967" s="5">
        <v>1.5080482897384306</v>
      </c>
      <c r="O967" t="s">
        <v>51</v>
      </c>
      <c r="P967" t="s">
        <v>340</v>
      </c>
      <c r="Q967" t="s">
        <v>24</v>
      </c>
    </row>
    <row r="968" spans="1:18" hidden="1" x14ac:dyDescent="0.25">
      <c r="A968" s="2" t="s">
        <v>201</v>
      </c>
      <c r="B968" s="3" t="str">
        <f t="shared" si="18"/>
        <v>18/2/19</v>
      </c>
      <c r="C968">
        <v>19</v>
      </c>
      <c r="D968">
        <v>2</v>
      </c>
      <c r="E968">
        <v>18</v>
      </c>
      <c r="F968" t="s">
        <v>44</v>
      </c>
      <c r="H968" t="s">
        <v>44</v>
      </c>
      <c r="I968" t="s">
        <v>27</v>
      </c>
      <c r="J968" s="4">
        <f>Spending_raw[[#This Row],[Price, lei]]</f>
        <v>25.79</v>
      </c>
      <c r="K968">
        <v>1</v>
      </c>
      <c r="L968">
        <v>25.79</v>
      </c>
      <c r="M968">
        <v>25.79</v>
      </c>
      <c r="N968" s="5">
        <v>1.2972837022132797</v>
      </c>
      <c r="O968" t="s">
        <v>51</v>
      </c>
      <c r="P968" t="s">
        <v>340</v>
      </c>
      <c r="Q968" t="s">
        <v>24</v>
      </c>
    </row>
    <row r="969" spans="1:18" hidden="1" x14ac:dyDescent="0.25">
      <c r="A969" s="2" t="s">
        <v>201</v>
      </c>
      <c r="B969" s="3" t="str">
        <f t="shared" si="18"/>
        <v>18/2/20</v>
      </c>
      <c r="C969">
        <v>20</v>
      </c>
      <c r="D969">
        <v>2</v>
      </c>
      <c r="E969">
        <v>18</v>
      </c>
      <c r="F969" t="s">
        <v>1666</v>
      </c>
      <c r="I969" t="s">
        <v>72</v>
      </c>
      <c r="J969" s="4">
        <v>35.1</v>
      </c>
      <c r="K969">
        <v>1</v>
      </c>
      <c r="L969">
        <v>35.1</v>
      </c>
      <c r="M969">
        <v>35.1</v>
      </c>
      <c r="N969" s="5">
        <v>1.7655935613682094</v>
      </c>
      <c r="O969" t="s">
        <v>243</v>
      </c>
      <c r="P969" t="s">
        <v>340</v>
      </c>
      <c r="Q969" t="s">
        <v>24</v>
      </c>
      <c r="R969" t="s">
        <v>242</v>
      </c>
    </row>
    <row r="970" spans="1:18" hidden="1" x14ac:dyDescent="0.25">
      <c r="A970" s="2" t="s">
        <v>201</v>
      </c>
      <c r="B970" s="3" t="str">
        <f t="shared" si="18"/>
        <v>18/2/20</v>
      </c>
      <c r="C970">
        <v>20</v>
      </c>
      <c r="D970">
        <v>2</v>
      </c>
      <c r="E970">
        <v>18</v>
      </c>
      <c r="F970" t="s">
        <v>104</v>
      </c>
      <c r="I970" t="s">
        <v>72</v>
      </c>
      <c r="J970" s="4">
        <v>107.45</v>
      </c>
      <c r="K970">
        <v>1</v>
      </c>
      <c r="L970">
        <v>107.45</v>
      </c>
      <c r="M970">
        <v>107.45</v>
      </c>
      <c r="N970" s="5">
        <v>5.404929577464789</v>
      </c>
      <c r="O970" t="s">
        <v>243</v>
      </c>
      <c r="P970" t="s">
        <v>340</v>
      </c>
      <c r="Q970" t="s">
        <v>24</v>
      </c>
      <c r="R970" t="s">
        <v>244</v>
      </c>
    </row>
    <row r="971" spans="1:18" hidden="1" x14ac:dyDescent="0.25">
      <c r="A971" s="2" t="s">
        <v>201</v>
      </c>
      <c r="B971" s="3" t="str">
        <f t="shared" si="18"/>
        <v>18/2/20</v>
      </c>
      <c r="C971">
        <v>20</v>
      </c>
      <c r="D971">
        <v>2</v>
      </c>
      <c r="E971">
        <v>18</v>
      </c>
      <c r="F971" t="s">
        <v>104</v>
      </c>
      <c r="I971" t="s">
        <v>72</v>
      </c>
      <c r="J971" s="4">
        <v>200.7</v>
      </c>
      <c r="K971">
        <v>0.4</v>
      </c>
      <c r="L971">
        <v>200.7</v>
      </c>
      <c r="M971">
        <v>80.28</v>
      </c>
      <c r="N971" s="5">
        <v>4.0382293762575454</v>
      </c>
      <c r="O971" t="s">
        <v>243</v>
      </c>
      <c r="P971" t="s">
        <v>340</v>
      </c>
      <c r="Q971" t="s">
        <v>24</v>
      </c>
      <c r="R971" t="s">
        <v>245</v>
      </c>
    </row>
    <row r="972" spans="1:18" hidden="1" x14ac:dyDescent="0.25">
      <c r="A972" s="2" t="s">
        <v>201</v>
      </c>
      <c r="B972" s="3" t="str">
        <f t="shared" ref="B972:B1035" si="19">CONCATENATE(E972,"/",D972,"/",C972)</f>
        <v>18/2/22</v>
      </c>
      <c r="C972">
        <v>22</v>
      </c>
      <c r="D972">
        <v>2</v>
      </c>
      <c r="E972">
        <v>18</v>
      </c>
      <c r="F972" t="s">
        <v>246</v>
      </c>
      <c r="I972" t="s">
        <v>72</v>
      </c>
      <c r="J972" s="4">
        <f>Spending_raw[[#This Row],[Price, lei]]</f>
        <v>170</v>
      </c>
      <c r="K972">
        <v>5</v>
      </c>
      <c r="L972">
        <v>170</v>
      </c>
      <c r="M972">
        <v>850</v>
      </c>
      <c r="N972" s="5">
        <v>42.756539235412475</v>
      </c>
      <c r="O972" t="s">
        <v>231</v>
      </c>
      <c r="P972" t="s">
        <v>340</v>
      </c>
      <c r="Q972" t="s">
        <v>24</v>
      </c>
    </row>
    <row r="973" spans="1:18" hidden="1" x14ac:dyDescent="0.25">
      <c r="A973" s="2" t="s">
        <v>201</v>
      </c>
      <c r="B973" s="3" t="str">
        <f t="shared" si="19"/>
        <v>18/2/23</v>
      </c>
      <c r="C973">
        <v>23</v>
      </c>
      <c r="D973">
        <v>2</v>
      </c>
      <c r="E973">
        <v>18</v>
      </c>
      <c r="F973" t="s">
        <v>247</v>
      </c>
      <c r="H973" t="s">
        <v>35</v>
      </c>
      <c r="I973" t="s">
        <v>27</v>
      </c>
      <c r="J973" s="4">
        <v>280.60000000000002</v>
      </c>
      <c r="K973">
        <v>0.23400000000000001</v>
      </c>
      <c r="L973">
        <v>280.60000000000002</v>
      </c>
      <c r="M973">
        <v>65.660399999999996</v>
      </c>
      <c r="N973" s="5">
        <v>3.3028370221327967</v>
      </c>
      <c r="O973" t="s">
        <v>100</v>
      </c>
      <c r="P973" t="s">
        <v>340</v>
      </c>
      <c r="Q973" t="s">
        <v>24</v>
      </c>
    </row>
    <row r="974" spans="1:18" hidden="1" x14ac:dyDescent="0.25">
      <c r="A974" s="2" t="s">
        <v>201</v>
      </c>
      <c r="B974" s="3" t="str">
        <f t="shared" si="19"/>
        <v>18/2/23</v>
      </c>
      <c r="C974">
        <v>23</v>
      </c>
      <c r="D974">
        <v>2</v>
      </c>
      <c r="E974">
        <v>18</v>
      </c>
      <c r="F974" t="s">
        <v>248</v>
      </c>
      <c r="G974" t="s">
        <v>224</v>
      </c>
      <c r="H974" t="s">
        <v>26</v>
      </c>
      <c r="I974" t="s">
        <v>27</v>
      </c>
      <c r="J974" s="4">
        <v>69.400000000000006</v>
      </c>
      <c r="K974">
        <v>1</v>
      </c>
      <c r="L974">
        <v>69.400000000000006</v>
      </c>
      <c r="M974">
        <v>69.400000000000006</v>
      </c>
      <c r="N974" s="5">
        <v>3.4909456740442661</v>
      </c>
      <c r="O974" t="s">
        <v>100</v>
      </c>
      <c r="P974" t="s">
        <v>340</v>
      </c>
      <c r="Q974" t="s">
        <v>24</v>
      </c>
    </row>
    <row r="975" spans="1:18" hidden="1" x14ac:dyDescent="0.25">
      <c r="A975" s="2" t="s">
        <v>201</v>
      </c>
      <c r="B975" s="3" t="str">
        <f t="shared" si="19"/>
        <v>18/2/23</v>
      </c>
      <c r="C975">
        <v>23</v>
      </c>
      <c r="D975">
        <v>2</v>
      </c>
      <c r="E975">
        <v>18</v>
      </c>
      <c r="F975" t="s">
        <v>210</v>
      </c>
      <c r="G975" t="s">
        <v>210</v>
      </c>
      <c r="H975" t="s">
        <v>131</v>
      </c>
      <c r="I975" t="s">
        <v>27</v>
      </c>
      <c r="J975" s="4">
        <v>55</v>
      </c>
      <c r="K975">
        <v>1</v>
      </c>
      <c r="L975">
        <v>55</v>
      </c>
      <c r="M975">
        <v>55</v>
      </c>
      <c r="N975" s="5">
        <v>2.7665995975855133</v>
      </c>
      <c r="O975" t="s">
        <v>100</v>
      </c>
      <c r="P975" t="s">
        <v>340</v>
      </c>
      <c r="Q975" t="s">
        <v>24</v>
      </c>
    </row>
    <row r="976" spans="1:18" hidden="1" x14ac:dyDescent="0.25">
      <c r="A976" s="2" t="s">
        <v>201</v>
      </c>
      <c r="B976" s="3" t="str">
        <f t="shared" si="19"/>
        <v>18/2/23</v>
      </c>
      <c r="C976">
        <v>23</v>
      </c>
      <c r="D976">
        <v>2</v>
      </c>
      <c r="E976">
        <v>18</v>
      </c>
      <c r="F976" t="s">
        <v>73</v>
      </c>
      <c r="H976" t="s">
        <v>73</v>
      </c>
      <c r="I976" t="s">
        <v>27</v>
      </c>
      <c r="J976" s="4">
        <v>26</v>
      </c>
      <c r="K976">
        <v>1</v>
      </c>
      <c r="L976">
        <v>26</v>
      </c>
      <c r="M976">
        <v>26</v>
      </c>
      <c r="N976" s="5">
        <v>1.3078470824949699</v>
      </c>
      <c r="O976" t="s">
        <v>100</v>
      </c>
      <c r="P976" t="s">
        <v>340</v>
      </c>
      <c r="Q976" t="s">
        <v>24</v>
      </c>
    </row>
    <row r="977" spans="1:18" hidden="1" x14ac:dyDescent="0.25">
      <c r="A977" s="2" t="s">
        <v>201</v>
      </c>
      <c r="B977" s="3" t="str">
        <f t="shared" si="19"/>
        <v>18/2/23</v>
      </c>
      <c r="C977">
        <v>23</v>
      </c>
      <c r="D977">
        <v>2</v>
      </c>
      <c r="E977">
        <v>18</v>
      </c>
      <c r="F977" t="s">
        <v>2045</v>
      </c>
      <c r="H977" t="s">
        <v>35</v>
      </c>
      <c r="I977" t="s">
        <v>27</v>
      </c>
      <c r="J977" s="4">
        <v>121.6</v>
      </c>
      <c r="K977">
        <v>0.222</v>
      </c>
      <c r="L977">
        <v>121.6</v>
      </c>
      <c r="M977">
        <v>26.995200000000001</v>
      </c>
      <c r="N977" s="5">
        <v>1.3579074446680082</v>
      </c>
      <c r="O977" t="s">
        <v>100</v>
      </c>
      <c r="P977" t="s">
        <v>340</v>
      </c>
      <c r="Q977" t="s">
        <v>24</v>
      </c>
    </row>
    <row r="978" spans="1:18" hidden="1" x14ac:dyDescent="0.25">
      <c r="A978" s="2" t="s">
        <v>201</v>
      </c>
      <c r="B978" s="3" t="str">
        <f t="shared" si="19"/>
        <v>18/2/23</v>
      </c>
      <c r="C978">
        <v>23</v>
      </c>
      <c r="D978">
        <v>2</v>
      </c>
      <c r="E978">
        <v>18</v>
      </c>
      <c r="F978" t="s">
        <v>40</v>
      </c>
      <c r="H978" t="s">
        <v>40</v>
      </c>
      <c r="I978" t="s">
        <v>27</v>
      </c>
      <c r="J978" s="4">
        <v>10</v>
      </c>
      <c r="K978">
        <v>1</v>
      </c>
      <c r="L978">
        <v>10</v>
      </c>
      <c r="M978">
        <v>10</v>
      </c>
      <c r="N978" s="5">
        <v>0.50301810865191154</v>
      </c>
      <c r="O978" t="s">
        <v>100</v>
      </c>
      <c r="P978" t="s">
        <v>340</v>
      </c>
      <c r="Q978" t="s">
        <v>24</v>
      </c>
    </row>
    <row r="979" spans="1:18" hidden="1" x14ac:dyDescent="0.25">
      <c r="A979" s="9" t="s">
        <v>249</v>
      </c>
      <c r="B979" s="3" t="str">
        <f t="shared" si="19"/>
        <v>18/2/23</v>
      </c>
      <c r="C979" s="10">
        <v>23</v>
      </c>
      <c r="D979" s="10">
        <v>2</v>
      </c>
      <c r="E979" s="10">
        <v>18</v>
      </c>
      <c r="F979" t="s">
        <v>250</v>
      </c>
      <c r="I979" t="s">
        <v>96</v>
      </c>
      <c r="J979" s="4">
        <v>17.82</v>
      </c>
      <c r="K979">
        <v>1</v>
      </c>
      <c r="L979">
        <v>305.25659999999999</v>
      </c>
      <c r="M979">
        <v>305.25659999999999</v>
      </c>
      <c r="N979" s="5">
        <v>15.354959758551308</v>
      </c>
      <c r="O979" t="s">
        <v>39</v>
      </c>
      <c r="Q979" t="s">
        <v>24</v>
      </c>
    </row>
    <row r="980" spans="1:18" hidden="1" x14ac:dyDescent="0.25">
      <c r="A980" s="2" t="s">
        <v>201</v>
      </c>
      <c r="B980" s="3" t="str">
        <f t="shared" si="19"/>
        <v>18/2/24</v>
      </c>
      <c r="C980">
        <v>24</v>
      </c>
      <c r="D980">
        <v>2</v>
      </c>
      <c r="E980">
        <v>18</v>
      </c>
      <c r="F980" t="s">
        <v>53</v>
      </c>
      <c r="H980" t="s">
        <v>53</v>
      </c>
      <c r="I980" t="s">
        <v>27</v>
      </c>
      <c r="J980" s="4">
        <v>10.6</v>
      </c>
      <c r="K980">
        <v>1</v>
      </c>
      <c r="L980">
        <v>10.6</v>
      </c>
      <c r="M980">
        <v>10.6</v>
      </c>
      <c r="N980" s="5">
        <v>0.53319919517102621</v>
      </c>
      <c r="O980" t="s">
        <v>100</v>
      </c>
      <c r="P980" t="s">
        <v>340</v>
      </c>
      <c r="Q980" t="s">
        <v>24</v>
      </c>
    </row>
    <row r="981" spans="1:18" hidden="1" x14ac:dyDescent="0.25">
      <c r="A981" s="2" t="s">
        <v>201</v>
      </c>
      <c r="B981" s="3" t="str">
        <f t="shared" si="19"/>
        <v>18/2/24</v>
      </c>
      <c r="C981">
        <v>24</v>
      </c>
      <c r="D981">
        <v>2</v>
      </c>
      <c r="E981">
        <v>18</v>
      </c>
      <c r="F981" t="s">
        <v>86</v>
      </c>
      <c r="H981" t="s">
        <v>102</v>
      </c>
      <c r="I981" t="s">
        <v>27</v>
      </c>
      <c r="J981" s="4">
        <v>15</v>
      </c>
      <c r="K981">
        <v>1</v>
      </c>
      <c r="L981">
        <v>15</v>
      </c>
      <c r="M981">
        <v>15</v>
      </c>
      <c r="N981" s="5">
        <v>0.75452716297786726</v>
      </c>
      <c r="O981" t="s">
        <v>251</v>
      </c>
      <c r="P981" t="s">
        <v>340</v>
      </c>
      <c r="Q981" t="s">
        <v>24</v>
      </c>
    </row>
    <row r="982" spans="1:18" hidden="1" x14ac:dyDescent="0.25">
      <c r="A982" s="2" t="s">
        <v>201</v>
      </c>
      <c r="B982" s="3" t="str">
        <f t="shared" si="19"/>
        <v>18/2/24</v>
      </c>
      <c r="C982">
        <v>24</v>
      </c>
      <c r="D982">
        <v>2</v>
      </c>
      <c r="E982">
        <v>18</v>
      </c>
      <c r="F982" t="s">
        <v>252</v>
      </c>
      <c r="H982" t="s">
        <v>63</v>
      </c>
      <c r="I982" t="s">
        <v>50</v>
      </c>
      <c r="J982" s="4">
        <v>7</v>
      </c>
      <c r="K982">
        <v>5</v>
      </c>
      <c r="L982">
        <v>7</v>
      </c>
      <c r="M982">
        <v>35</v>
      </c>
      <c r="N982" s="5">
        <v>1.7605633802816902</v>
      </c>
      <c r="O982" t="s">
        <v>39</v>
      </c>
      <c r="P982" t="s">
        <v>340</v>
      </c>
      <c r="Q982" t="s">
        <v>24</v>
      </c>
    </row>
    <row r="983" spans="1:18" hidden="1" x14ac:dyDescent="0.25">
      <c r="A983" s="2" t="s">
        <v>201</v>
      </c>
      <c r="B983" s="3" t="str">
        <f t="shared" si="19"/>
        <v>18/2/24</v>
      </c>
      <c r="C983">
        <v>24</v>
      </c>
      <c r="D983">
        <v>2</v>
      </c>
      <c r="E983">
        <v>18</v>
      </c>
      <c r="F983" t="s">
        <v>221</v>
      </c>
      <c r="G983" t="s">
        <v>155</v>
      </c>
      <c r="H983" t="s">
        <v>131</v>
      </c>
      <c r="I983" t="s">
        <v>27</v>
      </c>
      <c r="J983" s="4">
        <v>49</v>
      </c>
      <c r="K983">
        <v>1</v>
      </c>
      <c r="L983">
        <v>49</v>
      </c>
      <c r="M983">
        <v>49</v>
      </c>
      <c r="N983" s="5">
        <v>2.4647887323943665</v>
      </c>
      <c r="O983" t="s">
        <v>100</v>
      </c>
      <c r="P983" t="s">
        <v>340</v>
      </c>
      <c r="Q983" t="s">
        <v>24</v>
      </c>
    </row>
    <row r="984" spans="1:18" hidden="1" x14ac:dyDescent="0.25">
      <c r="A984" s="2" t="s">
        <v>201</v>
      </c>
      <c r="B984" s="3" t="str">
        <f t="shared" si="19"/>
        <v>18/2/24</v>
      </c>
      <c r="C984">
        <v>24</v>
      </c>
      <c r="D984">
        <v>2</v>
      </c>
      <c r="E984">
        <v>18</v>
      </c>
      <c r="F984" t="s">
        <v>253</v>
      </c>
      <c r="I984" t="s">
        <v>87</v>
      </c>
      <c r="J984" s="4">
        <v>80</v>
      </c>
      <c r="K984">
        <v>1</v>
      </c>
      <c r="L984">
        <v>80</v>
      </c>
      <c r="M984">
        <v>80</v>
      </c>
      <c r="N984" s="5">
        <v>4.0241448692152924</v>
      </c>
      <c r="O984" t="s">
        <v>39</v>
      </c>
      <c r="Q984" t="s">
        <v>24</v>
      </c>
    </row>
    <row r="985" spans="1:18" hidden="1" x14ac:dyDescent="0.25">
      <c r="A985" s="2" t="s">
        <v>201</v>
      </c>
      <c r="B985" s="3" t="str">
        <f t="shared" si="19"/>
        <v>18/2/24</v>
      </c>
      <c r="C985">
        <v>24</v>
      </c>
      <c r="D985">
        <v>2</v>
      </c>
      <c r="E985">
        <v>18</v>
      </c>
      <c r="F985" t="s">
        <v>86</v>
      </c>
      <c r="H985" t="s">
        <v>102</v>
      </c>
      <c r="I985" t="s">
        <v>27</v>
      </c>
      <c r="J985" s="4">
        <v>20</v>
      </c>
      <c r="K985">
        <v>1</v>
      </c>
      <c r="L985">
        <v>20</v>
      </c>
      <c r="M985">
        <v>20</v>
      </c>
      <c r="N985" s="5">
        <v>1.0060362173038231</v>
      </c>
      <c r="O985" t="s">
        <v>251</v>
      </c>
      <c r="P985" t="s">
        <v>340</v>
      </c>
      <c r="Q985" t="s">
        <v>24</v>
      </c>
      <c r="R985" t="s">
        <v>1576</v>
      </c>
    </row>
    <row r="986" spans="1:18" hidden="1" x14ac:dyDescent="0.25">
      <c r="A986" s="2" t="s">
        <v>201</v>
      </c>
      <c r="B986" s="3" t="str">
        <f t="shared" si="19"/>
        <v>18/2/24</v>
      </c>
      <c r="C986">
        <v>24</v>
      </c>
      <c r="D986">
        <v>2</v>
      </c>
      <c r="E986">
        <v>18</v>
      </c>
      <c r="F986" t="s">
        <v>254</v>
      </c>
      <c r="H986" t="s">
        <v>63</v>
      </c>
      <c r="I986" t="s">
        <v>50</v>
      </c>
      <c r="J986" s="4">
        <v>635</v>
      </c>
      <c r="K986">
        <v>1</v>
      </c>
      <c r="L986">
        <v>635</v>
      </c>
      <c r="M986">
        <v>635</v>
      </c>
      <c r="N986" s="5">
        <v>31.941649899396381</v>
      </c>
      <c r="O986" t="s">
        <v>255</v>
      </c>
      <c r="P986" t="s">
        <v>340</v>
      </c>
      <c r="Q986" t="s">
        <v>24</v>
      </c>
    </row>
    <row r="987" spans="1:18" hidden="1" x14ac:dyDescent="0.25">
      <c r="A987" s="2" t="s">
        <v>201</v>
      </c>
      <c r="B987" s="3" t="str">
        <f t="shared" si="19"/>
        <v>18/2/24</v>
      </c>
      <c r="C987">
        <v>24</v>
      </c>
      <c r="D987">
        <v>2</v>
      </c>
      <c r="E987">
        <v>18</v>
      </c>
      <c r="F987" t="s">
        <v>40</v>
      </c>
      <c r="H987" t="s">
        <v>40</v>
      </c>
      <c r="I987" t="s">
        <v>27</v>
      </c>
      <c r="J987" s="4">
        <v>10</v>
      </c>
      <c r="K987">
        <v>1</v>
      </c>
      <c r="L987">
        <v>10</v>
      </c>
      <c r="M987">
        <v>10</v>
      </c>
      <c r="N987" s="5">
        <v>0.50301810865191154</v>
      </c>
      <c r="O987" t="s">
        <v>100</v>
      </c>
      <c r="P987" t="s">
        <v>340</v>
      </c>
      <c r="Q987" t="s">
        <v>24</v>
      </c>
    </row>
    <row r="988" spans="1:18" hidden="1" x14ac:dyDescent="0.25">
      <c r="A988" s="2" t="s">
        <v>201</v>
      </c>
      <c r="B988" s="3" t="str">
        <f t="shared" si="19"/>
        <v>18/2/24</v>
      </c>
      <c r="C988">
        <v>24</v>
      </c>
      <c r="D988">
        <v>2</v>
      </c>
      <c r="E988">
        <v>18</v>
      </c>
      <c r="F988" t="s">
        <v>141</v>
      </c>
      <c r="H988" t="s">
        <v>172</v>
      </c>
      <c r="I988" t="s">
        <v>39</v>
      </c>
      <c r="J988" s="4">
        <v>2</v>
      </c>
      <c r="K988">
        <v>1</v>
      </c>
      <c r="L988">
        <v>2</v>
      </c>
      <c r="M988">
        <v>2</v>
      </c>
      <c r="N988" s="5">
        <v>0.1006036217303823</v>
      </c>
      <c r="O988" t="s">
        <v>39</v>
      </c>
      <c r="Q988" t="s">
        <v>24</v>
      </c>
    </row>
    <row r="989" spans="1:18" hidden="1" x14ac:dyDescent="0.25">
      <c r="A989" s="2" t="s">
        <v>201</v>
      </c>
      <c r="B989" s="3" t="str">
        <f t="shared" si="19"/>
        <v>18/2/24</v>
      </c>
      <c r="C989">
        <v>24</v>
      </c>
      <c r="D989">
        <v>2</v>
      </c>
      <c r="E989">
        <v>18</v>
      </c>
      <c r="F989" t="s">
        <v>176</v>
      </c>
      <c r="H989" t="s">
        <v>176</v>
      </c>
      <c r="I989" t="s">
        <v>105</v>
      </c>
      <c r="J989" s="4">
        <v>210</v>
      </c>
      <c r="K989">
        <v>1</v>
      </c>
      <c r="L989">
        <v>210</v>
      </c>
      <c r="M989">
        <v>210</v>
      </c>
      <c r="N989" s="5">
        <v>10.563380281690142</v>
      </c>
      <c r="O989" t="s">
        <v>39</v>
      </c>
      <c r="Q989" t="s">
        <v>24</v>
      </c>
    </row>
    <row r="990" spans="1:18" hidden="1" x14ac:dyDescent="0.25">
      <c r="A990" s="2" t="s">
        <v>201</v>
      </c>
      <c r="B990" s="3" t="str">
        <f t="shared" si="19"/>
        <v>18/2/24</v>
      </c>
      <c r="C990">
        <v>24</v>
      </c>
      <c r="D990">
        <v>2</v>
      </c>
      <c r="E990">
        <v>18</v>
      </c>
      <c r="F990" t="s">
        <v>168</v>
      </c>
      <c r="H990" t="s">
        <v>168</v>
      </c>
      <c r="I990" t="s">
        <v>105</v>
      </c>
      <c r="J990" s="4">
        <v>223</v>
      </c>
      <c r="K990">
        <v>1</v>
      </c>
      <c r="L990">
        <v>223</v>
      </c>
      <c r="M990">
        <v>223</v>
      </c>
      <c r="N990" s="5">
        <v>11.217303822937627</v>
      </c>
      <c r="O990" t="s">
        <v>39</v>
      </c>
      <c r="Q990" t="s">
        <v>24</v>
      </c>
    </row>
    <row r="991" spans="1:18" hidden="1" x14ac:dyDescent="0.25">
      <c r="A991" s="2" t="s">
        <v>201</v>
      </c>
      <c r="B991" s="3" t="str">
        <f t="shared" si="19"/>
        <v>18/2/24</v>
      </c>
      <c r="C991">
        <v>24</v>
      </c>
      <c r="D991">
        <v>2</v>
      </c>
      <c r="E991">
        <v>18</v>
      </c>
      <c r="F991" t="s">
        <v>169</v>
      </c>
      <c r="H991" t="s">
        <v>170</v>
      </c>
      <c r="I991" t="s">
        <v>105</v>
      </c>
      <c r="J991" s="4">
        <v>210</v>
      </c>
      <c r="K991">
        <v>1</v>
      </c>
      <c r="L991">
        <v>210</v>
      </c>
      <c r="M991">
        <v>210</v>
      </c>
      <c r="N991" s="5">
        <v>10.563380281690142</v>
      </c>
      <c r="O991" t="s">
        <v>39</v>
      </c>
      <c r="Q991" t="s">
        <v>24</v>
      </c>
    </row>
    <row r="992" spans="1:18" hidden="1" x14ac:dyDescent="0.25">
      <c r="A992" s="2" t="s">
        <v>201</v>
      </c>
      <c r="B992" s="3" t="str">
        <f t="shared" si="19"/>
        <v>18/2/24</v>
      </c>
      <c r="C992">
        <v>24</v>
      </c>
      <c r="D992">
        <v>2</v>
      </c>
      <c r="E992">
        <v>18</v>
      </c>
      <c r="F992" t="s">
        <v>179</v>
      </c>
      <c r="H992" t="s">
        <v>179</v>
      </c>
      <c r="I992" t="s">
        <v>105</v>
      </c>
      <c r="J992" s="4">
        <v>722</v>
      </c>
      <c r="K992">
        <v>1</v>
      </c>
      <c r="L992">
        <v>722</v>
      </c>
      <c r="M992">
        <v>722</v>
      </c>
      <c r="N992" s="5">
        <v>36.317907444668009</v>
      </c>
      <c r="O992" t="s">
        <v>39</v>
      </c>
      <c r="Q992" t="s">
        <v>24</v>
      </c>
    </row>
    <row r="993" spans="1:18" hidden="1" x14ac:dyDescent="0.25">
      <c r="A993" s="2" t="s">
        <v>201</v>
      </c>
      <c r="B993" s="3" t="str">
        <f t="shared" si="19"/>
        <v>18/2/26</v>
      </c>
      <c r="C993">
        <v>26</v>
      </c>
      <c r="D993">
        <v>2</v>
      </c>
      <c r="E993">
        <v>18</v>
      </c>
      <c r="F993" t="s">
        <v>102</v>
      </c>
      <c r="H993" t="s">
        <v>102</v>
      </c>
      <c r="I993" t="s">
        <v>27</v>
      </c>
      <c r="J993" s="4">
        <f>Spending_raw[[#This Row],[Price, lei]]</f>
        <v>57.5</v>
      </c>
      <c r="K993">
        <v>4</v>
      </c>
      <c r="L993">
        <v>57.5</v>
      </c>
      <c r="M993">
        <v>230</v>
      </c>
      <c r="N993" s="5">
        <v>11.569416498993965</v>
      </c>
      <c r="O993" t="s">
        <v>39</v>
      </c>
      <c r="Q993" t="s">
        <v>24</v>
      </c>
      <c r="R993" t="s">
        <v>256</v>
      </c>
    </row>
    <row r="994" spans="1:18" hidden="1" x14ac:dyDescent="0.25">
      <c r="A994" s="2" t="s">
        <v>201</v>
      </c>
      <c r="B994" s="3" t="str">
        <f t="shared" si="19"/>
        <v>18/2/26</v>
      </c>
      <c r="C994">
        <v>26</v>
      </c>
      <c r="D994">
        <v>2</v>
      </c>
      <c r="E994">
        <v>18</v>
      </c>
      <c r="F994" t="s">
        <v>257</v>
      </c>
      <c r="G994" t="s">
        <v>155</v>
      </c>
      <c r="H994" t="s">
        <v>131</v>
      </c>
      <c r="I994" t="s">
        <v>27</v>
      </c>
      <c r="J994" s="4">
        <v>37</v>
      </c>
      <c r="K994">
        <v>1</v>
      </c>
      <c r="L994">
        <v>37</v>
      </c>
      <c r="M994">
        <v>37</v>
      </c>
      <c r="N994" s="5">
        <v>1.8611670020120725</v>
      </c>
      <c r="O994" t="s">
        <v>100</v>
      </c>
      <c r="P994" t="s">
        <v>340</v>
      </c>
      <c r="Q994" t="s">
        <v>24</v>
      </c>
    </row>
    <row r="995" spans="1:18" hidden="1" x14ac:dyDescent="0.25">
      <c r="A995" s="2" t="s">
        <v>201</v>
      </c>
      <c r="B995" s="3" t="str">
        <f t="shared" si="19"/>
        <v>18/2/26</v>
      </c>
      <c r="C995">
        <v>26</v>
      </c>
      <c r="D995">
        <v>2</v>
      </c>
      <c r="E995">
        <v>18</v>
      </c>
      <c r="F995" t="s">
        <v>258</v>
      </c>
      <c r="H995" t="s">
        <v>65</v>
      </c>
      <c r="I995" t="s">
        <v>27</v>
      </c>
      <c r="J995" s="4">
        <v>37.5</v>
      </c>
      <c r="K995">
        <v>1</v>
      </c>
      <c r="L995">
        <v>37.5</v>
      </c>
      <c r="M995">
        <v>37.5</v>
      </c>
      <c r="N995" s="5">
        <v>1.8863179074446681</v>
      </c>
      <c r="O995" t="s">
        <v>100</v>
      </c>
      <c r="P995" t="s">
        <v>340</v>
      </c>
      <c r="Q995" t="s">
        <v>24</v>
      </c>
    </row>
    <row r="996" spans="1:18" hidden="1" x14ac:dyDescent="0.25">
      <c r="A996" s="2" t="s">
        <v>201</v>
      </c>
      <c r="B996" s="3" t="str">
        <f t="shared" si="19"/>
        <v>18/2/26</v>
      </c>
      <c r="C996">
        <v>26</v>
      </c>
      <c r="D996">
        <v>2</v>
      </c>
      <c r="E996">
        <v>18</v>
      </c>
      <c r="F996" t="s">
        <v>258</v>
      </c>
      <c r="H996" t="s">
        <v>65</v>
      </c>
      <c r="I996" t="s">
        <v>27</v>
      </c>
      <c r="J996" s="4">
        <v>25</v>
      </c>
      <c r="K996">
        <v>1</v>
      </c>
      <c r="L996">
        <v>25</v>
      </c>
      <c r="M996">
        <v>25</v>
      </c>
      <c r="N996" s="5">
        <v>1.2575452716297788</v>
      </c>
      <c r="O996" t="s">
        <v>100</v>
      </c>
      <c r="P996" t="s">
        <v>340</v>
      </c>
      <c r="Q996" t="s">
        <v>24</v>
      </c>
    </row>
    <row r="997" spans="1:18" hidden="1" x14ac:dyDescent="0.25">
      <c r="A997" s="2" t="s">
        <v>201</v>
      </c>
      <c r="B997" s="3" t="str">
        <f t="shared" si="19"/>
        <v>18/2/26</v>
      </c>
      <c r="C997">
        <v>26</v>
      </c>
      <c r="D997">
        <v>2</v>
      </c>
      <c r="E997">
        <v>18</v>
      </c>
      <c r="F997" t="s">
        <v>259</v>
      </c>
      <c r="H997" t="s">
        <v>69</v>
      </c>
      <c r="I997" t="s">
        <v>27</v>
      </c>
      <c r="J997" s="4">
        <v>71</v>
      </c>
      <c r="K997">
        <v>0.30599999999999999</v>
      </c>
      <c r="L997">
        <v>71</v>
      </c>
      <c r="M997">
        <v>21.73</v>
      </c>
      <c r="N997" s="5">
        <v>1.0930583501006037</v>
      </c>
      <c r="O997" t="s">
        <v>2239</v>
      </c>
      <c r="P997" t="s">
        <v>340</v>
      </c>
      <c r="Q997" t="s">
        <v>24</v>
      </c>
    </row>
    <row r="998" spans="1:18" hidden="1" x14ac:dyDescent="0.25">
      <c r="A998" s="2" t="s">
        <v>201</v>
      </c>
      <c r="B998" s="3" t="str">
        <f t="shared" si="19"/>
        <v>18/2/26</v>
      </c>
      <c r="C998">
        <v>26</v>
      </c>
      <c r="D998">
        <v>2</v>
      </c>
      <c r="E998">
        <v>18</v>
      </c>
      <c r="F998" t="s">
        <v>68</v>
      </c>
      <c r="H998" t="s">
        <v>69</v>
      </c>
      <c r="I998" t="s">
        <v>27</v>
      </c>
      <c r="J998" s="4">
        <v>54</v>
      </c>
      <c r="K998">
        <v>1.1319999999999999</v>
      </c>
      <c r="L998">
        <v>54</v>
      </c>
      <c r="M998">
        <v>61.128</v>
      </c>
      <c r="N998" s="5">
        <v>3.0748490945674045</v>
      </c>
      <c r="O998" t="s">
        <v>2239</v>
      </c>
      <c r="P998" t="s">
        <v>340</v>
      </c>
      <c r="Q998" t="s">
        <v>24</v>
      </c>
    </row>
    <row r="999" spans="1:18" hidden="1" x14ac:dyDescent="0.25">
      <c r="A999" s="2" t="s">
        <v>201</v>
      </c>
      <c r="B999" s="3" t="str">
        <f t="shared" si="19"/>
        <v>18/2/26</v>
      </c>
      <c r="C999">
        <v>26</v>
      </c>
      <c r="D999">
        <v>2</v>
      </c>
      <c r="E999">
        <v>18</v>
      </c>
      <c r="F999" t="s">
        <v>260</v>
      </c>
      <c r="H999" t="s">
        <v>69</v>
      </c>
      <c r="I999" t="s">
        <v>27</v>
      </c>
      <c r="J999" s="4">
        <v>78</v>
      </c>
      <c r="K999">
        <v>0.59599999999999997</v>
      </c>
      <c r="L999">
        <v>78</v>
      </c>
      <c r="M999">
        <v>46.488</v>
      </c>
      <c r="N999" s="5">
        <v>2.338430583501006</v>
      </c>
      <c r="O999" t="s">
        <v>2239</v>
      </c>
      <c r="P999" t="s">
        <v>340</v>
      </c>
      <c r="Q999" t="s">
        <v>24</v>
      </c>
    </row>
    <row r="1000" spans="1:18" hidden="1" x14ac:dyDescent="0.25">
      <c r="A1000" s="2" t="s">
        <v>201</v>
      </c>
      <c r="B1000" s="3" t="str">
        <f t="shared" si="19"/>
        <v>18/2/26</v>
      </c>
      <c r="C1000">
        <v>26</v>
      </c>
      <c r="D1000">
        <v>2</v>
      </c>
      <c r="E1000">
        <v>18</v>
      </c>
      <c r="F1000" t="s">
        <v>40</v>
      </c>
      <c r="H1000" t="s">
        <v>40</v>
      </c>
      <c r="I1000" t="s">
        <v>27</v>
      </c>
      <c r="J1000" s="4">
        <v>10</v>
      </c>
      <c r="K1000">
        <v>1</v>
      </c>
      <c r="L1000">
        <v>10</v>
      </c>
      <c r="M1000">
        <v>10</v>
      </c>
      <c r="N1000" s="5">
        <v>0.50301810865191154</v>
      </c>
      <c r="O1000" t="s">
        <v>100</v>
      </c>
      <c r="P1000" t="s">
        <v>340</v>
      </c>
      <c r="Q1000" t="s">
        <v>24</v>
      </c>
    </row>
    <row r="1001" spans="1:18" hidden="1" x14ac:dyDescent="0.25">
      <c r="A1001" s="2" t="s">
        <v>201</v>
      </c>
      <c r="B1001" s="3" t="str">
        <f t="shared" si="19"/>
        <v>18/2/26</v>
      </c>
      <c r="C1001">
        <v>26</v>
      </c>
      <c r="D1001">
        <v>2</v>
      </c>
      <c r="E1001">
        <v>18</v>
      </c>
      <c r="F1001" t="s">
        <v>261</v>
      </c>
      <c r="H1001" t="s">
        <v>69</v>
      </c>
      <c r="I1001" t="s">
        <v>27</v>
      </c>
      <c r="J1001" s="4">
        <v>210</v>
      </c>
      <c r="K1001">
        <v>0.56799999999999995</v>
      </c>
      <c r="L1001">
        <v>210</v>
      </c>
      <c r="M1001">
        <v>119.28</v>
      </c>
      <c r="N1001" s="5">
        <v>6</v>
      </c>
      <c r="O1001" t="s">
        <v>2239</v>
      </c>
      <c r="P1001" t="s">
        <v>340</v>
      </c>
      <c r="Q1001" t="s">
        <v>24</v>
      </c>
    </row>
    <row r="1002" spans="1:18" hidden="1" x14ac:dyDescent="0.25">
      <c r="A1002" s="2" t="s">
        <v>201</v>
      </c>
      <c r="B1002" s="3" t="str">
        <f t="shared" si="19"/>
        <v>18/2/26</v>
      </c>
      <c r="C1002">
        <v>26</v>
      </c>
      <c r="D1002">
        <v>2</v>
      </c>
      <c r="E1002">
        <v>18</v>
      </c>
      <c r="F1002" t="s">
        <v>262</v>
      </c>
      <c r="H1002" t="s">
        <v>69</v>
      </c>
      <c r="I1002" t="s">
        <v>27</v>
      </c>
      <c r="J1002" s="4">
        <v>270</v>
      </c>
      <c r="K1002">
        <v>0.72</v>
      </c>
      <c r="L1002">
        <v>270</v>
      </c>
      <c r="M1002">
        <v>194.4</v>
      </c>
      <c r="N1002" s="5">
        <v>9.7786720321931604</v>
      </c>
      <c r="O1002" t="s">
        <v>2239</v>
      </c>
      <c r="P1002" t="s">
        <v>340</v>
      </c>
      <c r="Q1002" t="s">
        <v>24</v>
      </c>
    </row>
    <row r="1003" spans="1:18" hidden="1" x14ac:dyDescent="0.25">
      <c r="A1003" s="2" t="s">
        <v>201</v>
      </c>
      <c r="B1003" s="3" t="str">
        <f t="shared" si="19"/>
        <v>18/2/28</v>
      </c>
      <c r="C1003">
        <v>28</v>
      </c>
      <c r="D1003">
        <v>2</v>
      </c>
      <c r="E1003">
        <v>18</v>
      </c>
      <c r="F1003" t="s">
        <v>40</v>
      </c>
      <c r="H1003" t="s">
        <v>40</v>
      </c>
      <c r="I1003" t="s">
        <v>27</v>
      </c>
      <c r="J1003" s="4">
        <v>10</v>
      </c>
      <c r="K1003">
        <v>1</v>
      </c>
      <c r="L1003">
        <v>10</v>
      </c>
      <c r="M1003">
        <v>10</v>
      </c>
      <c r="N1003" s="5">
        <v>0.50301810865191154</v>
      </c>
      <c r="O1003" t="s">
        <v>36</v>
      </c>
      <c r="P1003" t="s">
        <v>340</v>
      </c>
      <c r="Q1003" t="s">
        <v>24</v>
      </c>
    </row>
    <row r="1004" spans="1:18" hidden="1" x14ac:dyDescent="0.25">
      <c r="A1004" s="2" t="s">
        <v>201</v>
      </c>
      <c r="B1004" s="3" t="str">
        <f t="shared" si="19"/>
        <v>18/2/3</v>
      </c>
      <c r="C1004">
        <v>3</v>
      </c>
      <c r="D1004">
        <v>2</v>
      </c>
      <c r="E1004">
        <v>18</v>
      </c>
      <c r="F1004" t="s">
        <v>263</v>
      </c>
      <c r="H1004" t="s">
        <v>65</v>
      </c>
      <c r="I1004" t="s">
        <v>27</v>
      </c>
      <c r="J1004" s="4">
        <f>Spending_raw[[#This Row],[Price, lei]]</f>
        <v>30</v>
      </c>
      <c r="K1004">
        <v>1</v>
      </c>
      <c r="L1004">
        <v>30</v>
      </c>
      <c r="M1004">
        <v>30</v>
      </c>
      <c r="N1004" s="5">
        <v>1.5090543259557345</v>
      </c>
      <c r="O1004" t="s">
        <v>1986</v>
      </c>
      <c r="P1004" t="s">
        <v>340</v>
      </c>
      <c r="Q1004" t="s">
        <v>24</v>
      </c>
    </row>
    <row r="1005" spans="1:18" hidden="1" x14ac:dyDescent="0.25">
      <c r="A1005" s="2" t="s">
        <v>201</v>
      </c>
      <c r="B1005" s="3" t="str">
        <f t="shared" si="19"/>
        <v>18/2/3</v>
      </c>
      <c r="C1005">
        <v>3</v>
      </c>
      <c r="D1005">
        <v>2</v>
      </c>
      <c r="E1005">
        <v>18</v>
      </c>
      <c r="F1005" t="s">
        <v>190</v>
      </c>
      <c r="G1005" t="s">
        <v>155</v>
      </c>
      <c r="H1005" t="s">
        <v>131</v>
      </c>
      <c r="I1005" t="s">
        <v>27</v>
      </c>
      <c r="J1005" s="4">
        <f>Spending_raw[[#This Row],[Price, lei]]</f>
        <v>15</v>
      </c>
      <c r="K1005">
        <v>1</v>
      </c>
      <c r="L1005">
        <v>15</v>
      </c>
      <c r="M1005">
        <v>15</v>
      </c>
      <c r="N1005" s="5">
        <v>0.75452716297786726</v>
      </c>
      <c r="O1005" t="s">
        <v>1986</v>
      </c>
      <c r="P1005" t="s">
        <v>340</v>
      </c>
      <c r="Q1005" t="s">
        <v>24</v>
      </c>
    </row>
    <row r="1006" spans="1:18" hidden="1" x14ac:dyDescent="0.25">
      <c r="A1006" s="2" t="s">
        <v>201</v>
      </c>
      <c r="B1006" s="3" t="str">
        <f t="shared" si="19"/>
        <v>18/2/3</v>
      </c>
      <c r="C1006">
        <v>3</v>
      </c>
      <c r="D1006">
        <v>2</v>
      </c>
      <c r="E1006">
        <v>18</v>
      </c>
      <c r="F1006" t="s">
        <v>264</v>
      </c>
      <c r="G1006" t="s">
        <v>67</v>
      </c>
      <c r="H1006" t="s">
        <v>59</v>
      </c>
      <c r="I1006" t="s">
        <v>27</v>
      </c>
      <c r="J1006" s="4">
        <f>Spending_raw[[#This Row],[Price, lei]]</f>
        <v>200</v>
      </c>
      <c r="K1006">
        <v>1</v>
      </c>
      <c r="L1006">
        <v>200</v>
      </c>
      <c r="M1006">
        <v>200</v>
      </c>
      <c r="N1006" s="5">
        <v>10.06036217303823</v>
      </c>
      <c r="O1006" t="s">
        <v>1986</v>
      </c>
      <c r="P1006" t="s">
        <v>340</v>
      </c>
      <c r="Q1006" t="s">
        <v>24</v>
      </c>
    </row>
    <row r="1007" spans="1:18" hidden="1" x14ac:dyDescent="0.25">
      <c r="A1007" s="2" t="s">
        <v>201</v>
      </c>
      <c r="B1007" s="3" t="str">
        <f t="shared" si="19"/>
        <v>18/2/3</v>
      </c>
      <c r="C1007">
        <v>3</v>
      </c>
      <c r="D1007">
        <v>2</v>
      </c>
      <c r="E1007">
        <v>18</v>
      </c>
      <c r="F1007" t="s">
        <v>191</v>
      </c>
      <c r="G1007" t="s">
        <v>155</v>
      </c>
      <c r="H1007" t="s">
        <v>131</v>
      </c>
      <c r="I1007" t="s">
        <v>27</v>
      </c>
      <c r="J1007" s="4">
        <f>Spending_raw[[#This Row],[Price, lei]]</f>
        <v>20</v>
      </c>
      <c r="K1007">
        <v>1</v>
      </c>
      <c r="L1007">
        <v>20</v>
      </c>
      <c r="M1007">
        <v>20</v>
      </c>
      <c r="N1007" s="5">
        <v>1.0060362173038231</v>
      </c>
      <c r="O1007" t="s">
        <v>1986</v>
      </c>
      <c r="P1007" t="s">
        <v>340</v>
      </c>
      <c r="Q1007" t="s">
        <v>24</v>
      </c>
    </row>
    <row r="1008" spans="1:18" hidden="1" x14ac:dyDescent="0.25">
      <c r="A1008" s="2" t="s">
        <v>201</v>
      </c>
      <c r="B1008" s="3" t="str">
        <f t="shared" si="19"/>
        <v>18/2/3</v>
      </c>
      <c r="C1008">
        <v>3</v>
      </c>
      <c r="D1008">
        <v>2</v>
      </c>
      <c r="E1008">
        <v>18</v>
      </c>
      <c r="F1008" t="s">
        <v>89</v>
      </c>
      <c r="G1008" t="s">
        <v>31</v>
      </c>
      <c r="H1008" t="s">
        <v>26</v>
      </c>
      <c r="I1008" t="s">
        <v>27</v>
      </c>
      <c r="J1008" s="4">
        <f>Spending_raw[[#This Row],[Price, lei]]</f>
        <v>11.7</v>
      </c>
      <c r="K1008">
        <v>1</v>
      </c>
      <c r="L1008">
        <v>11.7</v>
      </c>
      <c r="M1008">
        <v>11.7</v>
      </c>
      <c r="N1008" s="5">
        <v>0.58853118712273644</v>
      </c>
      <c r="O1008" t="s">
        <v>32</v>
      </c>
      <c r="P1008" t="s">
        <v>340</v>
      </c>
      <c r="Q1008" t="s">
        <v>24</v>
      </c>
    </row>
    <row r="1009" spans="1:18" hidden="1" x14ac:dyDescent="0.25">
      <c r="A1009" s="2" t="s">
        <v>201</v>
      </c>
      <c r="B1009" s="3" t="str">
        <f t="shared" si="19"/>
        <v>18/2/3</v>
      </c>
      <c r="C1009">
        <v>3</v>
      </c>
      <c r="D1009">
        <v>2</v>
      </c>
      <c r="E1009">
        <v>18</v>
      </c>
      <c r="F1009" t="s">
        <v>89</v>
      </c>
      <c r="G1009" t="s">
        <v>31</v>
      </c>
      <c r="H1009" t="s">
        <v>26</v>
      </c>
      <c r="I1009" t="s">
        <v>27</v>
      </c>
      <c r="J1009" s="4">
        <f>Spending_raw[[#This Row],[Price, lei]]</f>
        <v>11.4</v>
      </c>
      <c r="K1009">
        <v>1</v>
      </c>
      <c r="L1009">
        <v>11.4</v>
      </c>
      <c r="M1009">
        <v>11.4</v>
      </c>
      <c r="N1009" s="5">
        <v>0.57344064386317917</v>
      </c>
      <c r="O1009" t="s">
        <v>32</v>
      </c>
      <c r="P1009" t="s">
        <v>340</v>
      </c>
      <c r="Q1009" t="s">
        <v>24</v>
      </c>
    </row>
    <row r="1010" spans="1:18" hidden="1" x14ac:dyDescent="0.25">
      <c r="A1010" s="2" t="s">
        <v>201</v>
      </c>
      <c r="B1010" s="3" t="str">
        <f t="shared" si="19"/>
        <v>18/2/3</v>
      </c>
      <c r="C1010">
        <v>3</v>
      </c>
      <c r="D1010">
        <v>2</v>
      </c>
      <c r="E1010">
        <v>18</v>
      </c>
      <c r="F1010" t="s">
        <v>192</v>
      </c>
      <c r="G1010" t="s">
        <v>155</v>
      </c>
      <c r="H1010" t="s">
        <v>131</v>
      </c>
      <c r="I1010" t="s">
        <v>27</v>
      </c>
      <c r="J1010" s="4">
        <f>Spending_raw[[#This Row],[Price, lei]]</f>
        <v>15</v>
      </c>
      <c r="K1010">
        <v>1</v>
      </c>
      <c r="L1010">
        <v>15</v>
      </c>
      <c r="M1010">
        <v>15</v>
      </c>
      <c r="N1010" s="5">
        <v>0.75452716297786726</v>
      </c>
      <c r="O1010" t="s">
        <v>1986</v>
      </c>
      <c r="P1010" t="s">
        <v>340</v>
      </c>
      <c r="Q1010" t="s">
        <v>24</v>
      </c>
    </row>
    <row r="1011" spans="1:18" hidden="1" x14ac:dyDescent="0.25">
      <c r="A1011" s="2" t="s">
        <v>201</v>
      </c>
      <c r="B1011" s="3" t="str">
        <f t="shared" si="19"/>
        <v>18/2/3</v>
      </c>
      <c r="C1011">
        <v>3</v>
      </c>
      <c r="D1011">
        <v>2</v>
      </c>
      <c r="E1011">
        <v>18</v>
      </c>
      <c r="F1011" s="12" t="s">
        <v>265</v>
      </c>
      <c r="H1011" t="s">
        <v>65</v>
      </c>
      <c r="I1011" t="s">
        <v>27</v>
      </c>
      <c r="J1011" s="4">
        <f>Spending_raw[[#This Row],[Price, lei]]</f>
        <v>130</v>
      </c>
      <c r="K1011">
        <v>0.5</v>
      </c>
      <c r="L1011">
        <v>130</v>
      </c>
      <c r="M1011">
        <v>65</v>
      </c>
      <c r="N1011" s="5">
        <v>3.2696177062374248</v>
      </c>
      <c r="O1011" t="s">
        <v>1986</v>
      </c>
      <c r="P1011" t="s">
        <v>340</v>
      </c>
      <c r="Q1011" t="s">
        <v>24</v>
      </c>
    </row>
    <row r="1012" spans="1:18" hidden="1" x14ac:dyDescent="0.25">
      <c r="A1012" s="2" t="s">
        <v>201</v>
      </c>
      <c r="B1012" s="3" t="str">
        <f t="shared" si="19"/>
        <v>18/2/3</v>
      </c>
      <c r="C1012">
        <v>3</v>
      </c>
      <c r="D1012">
        <v>2</v>
      </c>
      <c r="E1012">
        <v>18</v>
      </c>
      <c r="F1012" t="s">
        <v>266</v>
      </c>
      <c r="G1012" t="s">
        <v>155</v>
      </c>
      <c r="H1012" t="s">
        <v>131</v>
      </c>
      <c r="I1012" t="s">
        <v>27</v>
      </c>
      <c r="J1012" s="4">
        <f>Spending_raw[[#This Row],[Price, lei]]</f>
        <v>15</v>
      </c>
      <c r="K1012">
        <v>1</v>
      </c>
      <c r="L1012">
        <v>15</v>
      </c>
      <c r="M1012">
        <v>15</v>
      </c>
      <c r="N1012" s="5">
        <v>0.75452716297786726</v>
      </c>
      <c r="O1012" t="s">
        <v>1986</v>
      </c>
      <c r="P1012" t="s">
        <v>340</v>
      </c>
      <c r="Q1012" t="s">
        <v>24</v>
      </c>
    </row>
    <row r="1013" spans="1:18" hidden="1" x14ac:dyDescent="0.25">
      <c r="A1013" s="2" t="s">
        <v>201</v>
      </c>
      <c r="B1013" s="3" t="str">
        <f t="shared" si="19"/>
        <v>18/2/3</v>
      </c>
      <c r="C1013">
        <v>3</v>
      </c>
      <c r="D1013">
        <v>2</v>
      </c>
      <c r="E1013">
        <v>18</v>
      </c>
      <c r="F1013" t="s">
        <v>267</v>
      </c>
      <c r="G1013" t="s">
        <v>155</v>
      </c>
      <c r="H1013" t="s">
        <v>131</v>
      </c>
      <c r="I1013" t="s">
        <v>27</v>
      </c>
      <c r="J1013" s="4">
        <f>Spending_raw[[#This Row],[Price, lei]]</f>
        <v>15</v>
      </c>
      <c r="K1013">
        <v>1</v>
      </c>
      <c r="L1013">
        <v>15</v>
      </c>
      <c r="M1013">
        <v>15</v>
      </c>
      <c r="N1013" s="5">
        <v>0.75452716297786726</v>
      </c>
      <c r="O1013" t="s">
        <v>1986</v>
      </c>
      <c r="P1013" t="s">
        <v>340</v>
      </c>
      <c r="Q1013" t="s">
        <v>24</v>
      </c>
    </row>
    <row r="1014" spans="1:18" hidden="1" x14ac:dyDescent="0.25">
      <c r="A1014" s="2" t="s">
        <v>201</v>
      </c>
      <c r="B1014" s="3" t="str">
        <f t="shared" si="19"/>
        <v>18/2/3</v>
      </c>
      <c r="C1014">
        <v>3</v>
      </c>
      <c r="D1014">
        <v>2</v>
      </c>
      <c r="E1014">
        <v>18</v>
      </c>
      <c r="F1014" t="s">
        <v>268</v>
      </c>
      <c r="G1014" t="s">
        <v>155</v>
      </c>
      <c r="H1014" t="s">
        <v>131</v>
      </c>
      <c r="I1014" t="s">
        <v>27</v>
      </c>
      <c r="J1014" s="4">
        <f>Spending_raw[[#This Row],[Price, lei]]</f>
        <v>50</v>
      </c>
      <c r="K1014">
        <v>1</v>
      </c>
      <c r="L1014">
        <v>50</v>
      </c>
      <c r="M1014">
        <v>50</v>
      </c>
      <c r="N1014" s="5">
        <v>2.5150905432595576</v>
      </c>
      <c r="O1014" t="s">
        <v>1986</v>
      </c>
      <c r="P1014" t="s">
        <v>340</v>
      </c>
      <c r="Q1014" t="s">
        <v>24</v>
      </c>
    </row>
    <row r="1015" spans="1:18" hidden="1" x14ac:dyDescent="0.25">
      <c r="A1015" s="2" t="s">
        <v>201</v>
      </c>
      <c r="B1015" s="3" t="str">
        <f t="shared" si="19"/>
        <v>18/2/3</v>
      </c>
      <c r="C1015">
        <v>3</v>
      </c>
      <c r="D1015">
        <v>2</v>
      </c>
      <c r="E1015">
        <v>18</v>
      </c>
      <c r="F1015" t="s">
        <v>89</v>
      </c>
      <c r="G1015" t="s">
        <v>31</v>
      </c>
      <c r="H1015" t="s">
        <v>26</v>
      </c>
      <c r="I1015" t="s">
        <v>27</v>
      </c>
      <c r="J1015" s="4">
        <f>Spending_raw[[#This Row],[Price, lei]]</f>
        <v>7.4</v>
      </c>
      <c r="K1015">
        <v>1</v>
      </c>
      <c r="L1015">
        <v>7.4</v>
      </c>
      <c r="M1015">
        <v>7.4</v>
      </c>
      <c r="N1015" s="5">
        <v>0.37223340040241454</v>
      </c>
      <c r="O1015" t="s">
        <v>32</v>
      </c>
      <c r="P1015" t="s">
        <v>340</v>
      </c>
      <c r="Q1015" t="s">
        <v>24</v>
      </c>
    </row>
    <row r="1016" spans="1:18" hidden="1" x14ac:dyDescent="0.25">
      <c r="A1016" s="2" t="s">
        <v>201</v>
      </c>
      <c r="B1016" s="3" t="str">
        <f t="shared" si="19"/>
        <v>18/2/3</v>
      </c>
      <c r="C1016">
        <v>3</v>
      </c>
      <c r="D1016">
        <v>2</v>
      </c>
      <c r="E1016">
        <v>18</v>
      </c>
      <c r="F1016" t="s">
        <v>193</v>
      </c>
      <c r="G1016" t="s">
        <v>155</v>
      </c>
      <c r="H1016" t="s">
        <v>131</v>
      </c>
      <c r="I1016" t="s">
        <v>27</v>
      </c>
      <c r="J1016" s="4">
        <f>Spending_raw[[#This Row],[Price, lei]]</f>
        <v>15</v>
      </c>
      <c r="K1016">
        <v>1</v>
      </c>
      <c r="L1016">
        <v>15</v>
      </c>
      <c r="M1016">
        <v>15</v>
      </c>
      <c r="N1016" s="5">
        <v>0.75452716297786726</v>
      </c>
      <c r="O1016" t="s">
        <v>1986</v>
      </c>
      <c r="P1016" t="s">
        <v>340</v>
      </c>
      <c r="Q1016" t="s">
        <v>24</v>
      </c>
    </row>
    <row r="1017" spans="1:18" hidden="1" x14ac:dyDescent="0.25">
      <c r="A1017" s="2" t="s">
        <v>201</v>
      </c>
      <c r="B1017" s="3" t="str">
        <f t="shared" si="19"/>
        <v>18/2/3</v>
      </c>
      <c r="C1017">
        <v>3</v>
      </c>
      <c r="D1017">
        <v>2</v>
      </c>
      <c r="E1017">
        <v>18</v>
      </c>
      <c r="F1017" t="s">
        <v>269</v>
      </c>
      <c r="H1017" t="s">
        <v>65</v>
      </c>
      <c r="I1017" t="s">
        <v>27</v>
      </c>
      <c r="J1017" s="4">
        <f>Spending_raw[[#This Row],[Price, lei]]</f>
        <v>180</v>
      </c>
      <c r="K1017">
        <v>0.25</v>
      </c>
      <c r="L1017">
        <v>180</v>
      </c>
      <c r="M1017">
        <v>45</v>
      </c>
      <c r="N1017" s="5">
        <v>2.2635814889336019</v>
      </c>
      <c r="O1017" t="s">
        <v>1986</v>
      </c>
      <c r="P1017" t="s">
        <v>340</v>
      </c>
      <c r="Q1017" t="s">
        <v>24</v>
      </c>
    </row>
    <row r="1018" spans="1:18" hidden="1" x14ac:dyDescent="0.25">
      <c r="A1018" s="2" t="s">
        <v>201</v>
      </c>
      <c r="B1018" s="3" t="str">
        <f t="shared" si="19"/>
        <v>18/2/3</v>
      </c>
      <c r="C1018">
        <v>3</v>
      </c>
      <c r="D1018">
        <v>2</v>
      </c>
      <c r="E1018">
        <v>18</v>
      </c>
      <c r="F1018" t="s">
        <v>271</v>
      </c>
      <c r="H1018" t="s">
        <v>65</v>
      </c>
      <c r="I1018" t="s">
        <v>27</v>
      </c>
      <c r="J1018" s="4">
        <f>Spending_raw[[#This Row],[Price, lei]]</f>
        <v>160</v>
      </c>
      <c r="K1018">
        <v>0.25</v>
      </c>
      <c r="L1018">
        <v>160</v>
      </c>
      <c r="M1018">
        <v>40</v>
      </c>
      <c r="N1018" s="5">
        <v>2.0120724346076462</v>
      </c>
      <c r="O1018" t="s">
        <v>1986</v>
      </c>
      <c r="P1018" t="s">
        <v>340</v>
      </c>
      <c r="Q1018" t="s">
        <v>24</v>
      </c>
    </row>
    <row r="1019" spans="1:18" hidden="1" x14ac:dyDescent="0.25">
      <c r="A1019" s="2" t="s">
        <v>201</v>
      </c>
      <c r="B1019" s="3" t="str">
        <f t="shared" si="19"/>
        <v>18/2/3</v>
      </c>
      <c r="C1019">
        <v>3</v>
      </c>
      <c r="D1019">
        <v>2</v>
      </c>
      <c r="E1019">
        <v>18</v>
      </c>
      <c r="F1019" t="s">
        <v>272</v>
      </c>
      <c r="H1019" t="s">
        <v>65</v>
      </c>
      <c r="I1019" t="s">
        <v>27</v>
      </c>
      <c r="J1019" s="4">
        <v>300</v>
      </c>
      <c r="K1019">
        <v>0.5</v>
      </c>
      <c r="L1019">
        <v>300</v>
      </c>
      <c r="M1019">
        <v>150</v>
      </c>
      <c r="N1019" s="5">
        <v>7.5452716297786724</v>
      </c>
      <c r="O1019" t="s">
        <v>1986</v>
      </c>
      <c r="P1019" t="s">
        <v>340</v>
      </c>
      <c r="Q1019" t="s">
        <v>24</v>
      </c>
    </row>
    <row r="1020" spans="1:18" hidden="1" x14ac:dyDescent="0.25">
      <c r="A1020" s="2" t="s">
        <v>201</v>
      </c>
      <c r="B1020" s="3" t="str">
        <f t="shared" si="19"/>
        <v>18/2/3</v>
      </c>
      <c r="C1020">
        <v>3</v>
      </c>
      <c r="D1020">
        <v>2</v>
      </c>
      <c r="E1020">
        <v>18</v>
      </c>
      <c r="F1020" t="s">
        <v>273</v>
      </c>
      <c r="H1020" t="s">
        <v>65</v>
      </c>
      <c r="I1020" t="s">
        <v>27</v>
      </c>
      <c r="J1020" s="4">
        <v>250</v>
      </c>
      <c r="K1020">
        <v>0.4</v>
      </c>
      <c r="L1020">
        <v>250</v>
      </c>
      <c r="M1020">
        <v>100</v>
      </c>
      <c r="N1020" s="5">
        <v>5.0301810865191152</v>
      </c>
      <c r="O1020" t="s">
        <v>1986</v>
      </c>
      <c r="P1020" t="s">
        <v>340</v>
      </c>
      <c r="Q1020" t="s">
        <v>24</v>
      </c>
    </row>
    <row r="1021" spans="1:18" hidden="1" x14ac:dyDescent="0.25">
      <c r="A1021" s="2" t="s">
        <v>201</v>
      </c>
      <c r="B1021" s="3" t="str">
        <f t="shared" si="19"/>
        <v>18/2/3</v>
      </c>
      <c r="C1021">
        <v>3</v>
      </c>
      <c r="D1021">
        <v>2</v>
      </c>
      <c r="E1021">
        <v>18</v>
      </c>
      <c r="F1021" t="s">
        <v>40</v>
      </c>
      <c r="H1021" t="s">
        <v>40</v>
      </c>
      <c r="I1021" t="s">
        <v>27</v>
      </c>
      <c r="J1021" s="4">
        <f>Spending_raw[[#This Row],[Price, lei]]</f>
        <v>7.9</v>
      </c>
      <c r="K1021">
        <v>1</v>
      </c>
      <c r="L1021">
        <v>7.9</v>
      </c>
      <c r="M1021">
        <v>7.9</v>
      </c>
      <c r="N1021" s="5">
        <v>0.39738430583501011</v>
      </c>
      <c r="O1021" t="s">
        <v>274</v>
      </c>
      <c r="P1021" t="s">
        <v>340</v>
      </c>
      <c r="Q1021" t="s">
        <v>24</v>
      </c>
    </row>
    <row r="1022" spans="1:18" hidden="1" x14ac:dyDescent="0.25">
      <c r="A1022" s="2" t="s">
        <v>201</v>
      </c>
      <c r="B1022" s="3" t="str">
        <f t="shared" si="19"/>
        <v>18/2/3</v>
      </c>
      <c r="C1022">
        <v>3</v>
      </c>
      <c r="D1022">
        <v>2</v>
      </c>
      <c r="E1022">
        <v>18</v>
      </c>
      <c r="F1022" t="s">
        <v>194</v>
      </c>
      <c r="G1022" t="s">
        <v>155</v>
      </c>
      <c r="H1022" t="s">
        <v>131</v>
      </c>
      <c r="I1022" t="s">
        <v>27</v>
      </c>
      <c r="J1022" s="4">
        <f>Spending_raw[[#This Row],[Price, lei]]</f>
        <v>15</v>
      </c>
      <c r="K1022">
        <v>1</v>
      </c>
      <c r="L1022">
        <v>15</v>
      </c>
      <c r="M1022">
        <v>15</v>
      </c>
      <c r="N1022" s="5">
        <v>0.75452716297786726</v>
      </c>
      <c r="O1022" t="s">
        <v>1986</v>
      </c>
      <c r="P1022" t="s">
        <v>340</v>
      </c>
      <c r="Q1022" t="s">
        <v>24</v>
      </c>
    </row>
    <row r="1023" spans="1:18" hidden="1" x14ac:dyDescent="0.25">
      <c r="A1023" s="2" t="s">
        <v>201</v>
      </c>
      <c r="B1023" s="3" t="str">
        <f t="shared" si="19"/>
        <v>18/2/3</v>
      </c>
      <c r="C1023">
        <v>3</v>
      </c>
      <c r="D1023">
        <v>2</v>
      </c>
      <c r="E1023">
        <v>18</v>
      </c>
      <c r="F1023" t="s">
        <v>275</v>
      </c>
      <c r="H1023" t="s">
        <v>65</v>
      </c>
      <c r="I1023" t="s">
        <v>27</v>
      </c>
      <c r="J1023" s="4">
        <f>Spending_raw[[#This Row],[Price, lei]]</f>
        <v>15</v>
      </c>
      <c r="K1023">
        <v>2</v>
      </c>
      <c r="L1023">
        <v>15</v>
      </c>
      <c r="M1023">
        <v>30</v>
      </c>
      <c r="N1023" s="5">
        <v>1.5090543259557345</v>
      </c>
      <c r="O1023" t="s">
        <v>1986</v>
      </c>
      <c r="P1023" t="s">
        <v>340</v>
      </c>
      <c r="Q1023" t="s">
        <v>24</v>
      </c>
    </row>
    <row r="1024" spans="1:18" hidden="1" x14ac:dyDescent="0.25">
      <c r="A1024" s="2" t="s">
        <v>201</v>
      </c>
      <c r="B1024" s="3" t="str">
        <f t="shared" si="19"/>
        <v>18/2/3</v>
      </c>
      <c r="C1024" s="13">
        <v>3</v>
      </c>
      <c r="D1024">
        <v>2</v>
      </c>
      <c r="E1024">
        <v>18</v>
      </c>
      <c r="F1024" t="s">
        <v>1618</v>
      </c>
      <c r="H1024" t="s">
        <v>63</v>
      </c>
      <c r="I1024" t="s">
        <v>27</v>
      </c>
      <c r="J1024" s="4">
        <v>20</v>
      </c>
      <c r="K1024">
        <v>2</v>
      </c>
      <c r="L1024">
        <v>20</v>
      </c>
      <c r="M1024">
        <v>40</v>
      </c>
      <c r="N1024" s="5">
        <v>2.0120724346076462</v>
      </c>
      <c r="O1024" t="s">
        <v>1986</v>
      </c>
      <c r="P1024" t="s">
        <v>340</v>
      </c>
      <c r="Q1024" t="s">
        <v>24</v>
      </c>
      <c r="R1024" t="s">
        <v>276</v>
      </c>
    </row>
    <row r="1025" spans="1:18" hidden="1" x14ac:dyDescent="0.25">
      <c r="A1025" s="2" t="s">
        <v>201</v>
      </c>
      <c r="B1025" s="3" t="str">
        <f t="shared" si="19"/>
        <v>18/2/3</v>
      </c>
      <c r="C1025" s="13">
        <v>3</v>
      </c>
      <c r="D1025">
        <v>2</v>
      </c>
      <c r="E1025">
        <v>18</v>
      </c>
      <c r="F1025" t="s">
        <v>1618</v>
      </c>
      <c r="H1025" t="s">
        <v>63</v>
      </c>
      <c r="I1025" t="s">
        <v>27</v>
      </c>
      <c r="J1025" s="4">
        <v>40</v>
      </c>
      <c r="K1025">
        <v>1</v>
      </c>
      <c r="L1025">
        <v>40</v>
      </c>
      <c r="M1025">
        <v>40</v>
      </c>
      <c r="N1025" s="5">
        <v>2.0120724346076462</v>
      </c>
      <c r="O1025" t="s">
        <v>1986</v>
      </c>
      <c r="P1025" t="s">
        <v>340</v>
      </c>
      <c r="Q1025" t="s">
        <v>24</v>
      </c>
      <c r="R1025" t="s">
        <v>277</v>
      </c>
    </row>
    <row r="1026" spans="1:18" hidden="1" x14ac:dyDescent="0.25">
      <c r="A1026" s="2" t="s">
        <v>201</v>
      </c>
      <c r="B1026" s="3" t="str">
        <f t="shared" si="19"/>
        <v>18/2/3</v>
      </c>
      <c r="C1026">
        <v>3</v>
      </c>
      <c r="D1026">
        <v>2</v>
      </c>
      <c r="E1026">
        <v>18</v>
      </c>
      <c r="F1026" s="7" t="s">
        <v>200</v>
      </c>
      <c r="G1026" t="s">
        <v>77</v>
      </c>
      <c r="H1026" t="s">
        <v>26</v>
      </c>
      <c r="I1026" t="s">
        <v>27</v>
      </c>
      <c r="J1026" s="4">
        <f>Spending_raw[[#This Row],[Price, lei]]</f>
        <v>18</v>
      </c>
      <c r="K1026">
        <v>1</v>
      </c>
      <c r="L1026">
        <v>18</v>
      </c>
      <c r="M1026">
        <v>18</v>
      </c>
      <c r="N1026" s="5">
        <v>0.90543259557344069</v>
      </c>
      <c r="O1026" t="s">
        <v>32</v>
      </c>
      <c r="P1026" t="s">
        <v>340</v>
      </c>
      <c r="Q1026" t="s">
        <v>24</v>
      </c>
    </row>
    <row r="1027" spans="1:18" hidden="1" x14ac:dyDescent="0.25">
      <c r="A1027" s="2" t="s">
        <v>201</v>
      </c>
      <c r="B1027" s="3" t="str">
        <f t="shared" si="19"/>
        <v>18/2/3</v>
      </c>
      <c r="C1027">
        <v>3</v>
      </c>
      <c r="D1027">
        <v>2</v>
      </c>
      <c r="E1027">
        <v>18</v>
      </c>
      <c r="F1027" t="s">
        <v>278</v>
      </c>
      <c r="H1027" t="s">
        <v>44</v>
      </c>
      <c r="I1027" t="s">
        <v>27</v>
      </c>
      <c r="J1027" s="4">
        <f>Spending_raw[[#This Row],[Price, lei]]</f>
        <v>65</v>
      </c>
      <c r="K1027">
        <v>1</v>
      </c>
      <c r="L1027">
        <v>65</v>
      </c>
      <c r="M1027">
        <v>65</v>
      </c>
      <c r="N1027" s="5">
        <v>3.2696177062374248</v>
      </c>
      <c r="O1027" t="s">
        <v>1986</v>
      </c>
      <c r="P1027" t="s">
        <v>340</v>
      </c>
      <c r="Q1027" t="s">
        <v>24</v>
      </c>
    </row>
    <row r="1028" spans="1:18" hidden="1" x14ac:dyDescent="0.25">
      <c r="A1028" s="2" t="s">
        <v>201</v>
      </c>
      <c r="B1028" s="3" t="str">
        <f t="shared" si="19"/>
        <v>18/2/3</v>
      </c>
      <c r="C1028">
        <v>3</v>
      </c>
      <c r="D1028">
        <v>2</v>
      </c>
      <c r="E1028">
        <v>18</v>
      </c>
      <c r="F1028" t="s">
        <v>278</v>
      </c>
      <c r="H1028" t="s">
        <v>44</v>
      </c>
      <c r="I1028" t="s">
        <v>27</v>
      </c>
      <c r="J1028" s="4">
        <f>Spending_raw[[#This Row],[Price, lei]]</f>
        <v>55</v>
      </c>
      <c r="K1028">
        <v>1</v>
      </c>
      <c r="L1028">
        <v>55</v>
      </c>
      <c r="M1028">
        <v>55</v>
      </c>
      <c r="N1028" s="5">
        <v>2.7665995975855133</v>
      </c>
      <c r="O1028" t="s">
        <v>1986</v>
      </c>
      <c r="P1028" t="s">
        <v>340</v>
      </c>
      <c r="Q1028" t="s">
        <v>24</v>
      </c>
    </row>
    <row r="1029" spans="1:18" hidden="1" x14ac:dyDescent="0.25">
      <c r="A1029" s="2" t="s">
        <v>201</v>
      </c>
      <c r="B1029" s="3" t="str">
        <f t="shared" si="19"/>
        <v>18/2/3</v>
      </c>
      <c r="C1029" s="13">
        <v>3</v>
      </c>
      <c r="D1029">
        <v>2</v>
      </c>
      <c r="E1029">
        <v>18</v>
      </c>
      <c r="F1029" t="s">
        <v>165</v>
      </c>
      <c r="H1029" t="s">
        <v>63</v>
      </c>
      <c r="I1029" t="s">
        <v>27</v>
      </c>
      <c r="J1029" s="4">
        <v>125</v>
      </c>
      <c r="K1029">
        <v>1</v>
      </c>
      <c r="L1029">
        <v>125</v>
      </c>
      <c r="M1029">
        <v>125</v>
      </c>
      <c r="N1029" s="5">
        <v>6.2877263581488938</v>
      </c>
      <c r="O1029" t="s">
        <v>1986</v>
      </c>
      <c r="P1029" t="s">
        <v>340</v>
      </c>
      <c r="Q1029" t="s">
        <v>24</v>
      </c>
      <c r="R1029" t="s">
        <v>279</v>
      </c>
    </row>
    <row r="1030" spans="1:18" hidden="1" x14ac:dyDescent="0.25">
      <c r="A1030" s="2" t="s">
        <v>201</v>
      </c>
      <c r="B1030" s="3" t="str">
        <f t="shared" si="19"/>
        <v>18/2/3</v>
      </c>
      <c r="C1030" s="13">
        <v>3</v>
      </c>
      <c r="D1030">
        <v>2</v>
      </c>
      <c r="E1030">
        <v>18</v>
      </c>
      <c r="F1030" t="s">
        <v>165</v>
      </c>
      <c r="H1030" t="s">
        <v>63</v>
      </c>
      <c r="I1030" t="s">
        <v>27</v>
      </c>
      <c r="J1030" s="4">
        <v>30</v>
      </c>
      <c r="K1030">
        <v>1</v>
      </c>
      <c r="L1030">
        <v>30</v>
      </c>
      <c r="M1030">
        <v>30</v>
      </c>
      <c r="N1030" s="5">
        <v>1.5090543259557345</v>
      </c>
      <c r="O1030" t="s">
        <v>1986</v>
      </c>
      <c r="P1030" t="s">
        <v>340</v>
      </c>
      <c r="Q1030" t="s">
        <v>24</v>
      </c>
      <c r="R1030" t="s">
        <v>280</v>
      </c>
    </row>
    <row r="1031" spans="1:18" hidden="1" x14ac:dyDescent="0.25">
      <c r="A1031" s="2" t="s">
        <v>201</v>
      </c>
      <c r="B1031" s="3" t="str">
        <f t="shared" si="19"/>
        <v>18/2/3</v>
      </c>
      <c r="C1031">
        <v>3</v>
      </c>
      <c r="D1031">
        <v>2</v>
      </c>
      <c r="E1031">
        <v>18</v>
      </c>
      <c r="F1031" t="s">
        <v>281</v>
      </c>
      <c r="H1031" t="s">
        <v>65</v>
      </c>
      <c r="I1031" t="s">
        <v>27</v>
      </c>
      <c r="J1031" s="4">
        <f>Spending_raw[[#This Row],[Price, lei]]</f>
        <v>150</v>
      </c>
      <c r="K1031">
        <v>0.3</v>
      </c>
      <c r="L1031">
        <v>150</v>
      </c>
      <c r="M1031">
        <v>45</v>
      </c>
      <c r="N1031" s="5">
        <v>2.2635814889336019</v>
      </c>
      <c r="O1031" t="s">
        <v>1986</v>
      </c>
      <c r="P1031" t="s">
        <v>340</v>
      </c>
      <c r="Q1031" t="s">
        <v>24</v>
      </c>
    </row>
    <row r="1032" spans="1:18" hidden="1" x14ac:dyDescent="0.25">
      <c r="A1032" s="2" t="s">
        <v>201</v>
      </c>
      <c r="B1032" s="3" t="str">
        <f t="shared" si="19"/>
        <v>18/2/3</v>
      </c>
      <c r="C1032">
        <v>3</v>
      </c>
      <c r="D1032">
        <v>2</v>
      </c>
      <c r="E1032">
        <v>18</v>
      </c>
      <c r="F1032" t="s">
        <v>196</v>
      </c>
      <c r="G1032" t="s">
        <v>155</v>
      </c>
      <c r="H1032" t="s">
        <v>131</v>
      </c>
      <c r="I1032" t="s">
        <v>27</v>
      </c>
      <c r="J1032" s="4">
        <f>Spending_raw[[#This Row],[Price, lei]]</f>
        <v>15</v>
      </c>
      <c r="K1032">
        <v>1</v>
      </c>
      <c r="L1032">
        <v>15</v>
      </c>
      <c r="M1032">
        <v>15</v>
      </c>
      <c r="N1032" s="5">
        <v>0.75452716297786726</v>
      </c>
      <c r="O1032" t="s">
        <v>1986</v>
      </c>
      <c r="P1032" t="s">
        <v>340</v>
      </c>
      <c r="Q1032" t="s">
        <v>24</v>
      </c>
    </row>
    <row r="1033" spans="1:18" hidden="1" x14ac:dyDescent="0.25">
      <c r="A1033" s="2" t="s">
        <v>201</v>
      </c>
      <c r="B1033" s="3" t="str">
        <f t="shared" si="19"/>
        <v>18/2/4</v>
      </c>
      <c r="C1033">
        <v>4</v>
      </c>
      <c r="D1033">
        <v>2</v>
      </c>
      <c r="E1033">
        <v>18</v>
      </c>
      <c r="F1033" t="s">
        <v>282</v>
      </c>
      <c r="I1033" t="s">
        <v>72</v>
      </c>
      <c r="J1033" s="4">
        <f>Spending_raw[[#This Row],[Price, lei]]</f>
        <v>42.24</v>
      </c>
      <c r="K1033">
        <v>1</v>
      </c>
      <c r="L1033">
        <v>42.24</v>
      </c>
      <c r="M1033">
        <v>42.24</v>
      </c>
      <c r="N1033" s="5">
        <v>2.1247484909456742</v>
      </c>
      <c r="O1033" t="s">
        <v>283</v>
      </c>
      <c r="P1033" t="s">
        <v>340</v>
      </c>
      <c r="Q1033" t="s">
        <v>24</v>
      </c>
      <c r="R1033" t="s">
        <v>282</v>
      </c>
    </row>
    <row r="1034" spans="1:18" hidden="1" x14ac:dyDescent="0.25">
      <c r="A1034" s="2" t="s">
        <v>201</v>
      </c>
      <c r="B1034" s="3" t="str">
        <f t="shared" si="19"/>
        <v>18/2/4</v>
      </c>
      <c r="C1034">
        <v>4</v>
      </c>
      <c r="D1034">
        <v>2</v>
      </c>
      <c r="E1034">
        <v>18</v>
      </c>
      <c r="F1034" t="s">
        <v>89</v>
      </c>
      <c r="G1034" t="s">
        <v>31</v>
      </c>
      <c r="H1034" t="s">
        <v>26</v>
      </c>
      <c r="I1034" t="s">
        <v>27</v>
      </c>
      <c r="J1034" s="4">
        <f>Spending_raw[[#This Row],[Price, lei]]</f>
        <v>11.7</v>
      </c>
      <c r="K1034">
        <v>1</v>
      </c>
      <c r="L1034">
        <v>11.7</v>
      </c>
      <c r="M1034">
        <v>11.7</v>
      </c>
      <c r="N1034" s="5">
        <v>0.58853118712273644</v>
      </c>
      <c r="O1034" t="s">
        <v>32</v>
      </c>
      <c r="P1034" t="s">
        <v>340</v>
      </c>
      <c r="Q1034" t="s">
        <v>24</v>
      </c>
    </row>
    <row r="1035" spans="1:18" hidden="1" x14ac:dyDescent="0.25">
      <c r="A1035" s="2" t="s">
        <v>201</v>
      </c>
      <c r="B1035" s="3" t="str">
        <f t="shared" si="19"/>
        <v>18/2/4</v>
      </c>
      <c r="C1035">
        <v>4</v>
      </c>
      <c r="D1035">
        <v>2</v>
      </c>
      <c r="E1035">
        <v>18</v>
      </c>
      <c r="F1035" t="s">
        <v>89</v>
      </c>
      <c r="G1035" t="s">
        <v>31</v>
      </c>
      <c r="H1035" t="s">
        <v>26</v>
      </c>
      <c r="I1035" t="s">
        <v>27</v>
      </c>
      <c r="J1035" s="4">
        <f>Spending_raw[[#This Row],[Price, lei]]</f>
        <v>12.7</v>
      </c>
      <c r="K1035">
        <v>1</v>
      </c>
      <c r="L1035">
        <v>12.7</v>
      </c>
      <c r="M1035">
        <v>12.7</v>
      </c>
      <c r="N1035" s="5">
        <v>0.63883299798792759</v>
      </c>
      <c r="O1035" t="s">
        <v>32</v>
      </c>
      <c r="P1035" t="s">
        <v>340</v>
      </c>
      <c r="Q1035" t="s">
        <v>24</v>
      </c>
      <c r="R1035" t="s">
        <v>284</v>
      </c>
    </row>
    <row r="1036" spans="1:18" hidden="1" x14ac:dyDescent="0.25">
      <c r="A1036" s="2" t="s">
        <v>201</v>
      </c>
      <c r="B1036" s="3" t="str">
        <f t="shared" ref="B1036:B1099" si="20">CONCATENATE(E1036,"/",D1036,"/",C1036)</f>
        <v>18/2/4</v>
      </c>
      <c r="C1036">
        <v>4</v>
      </c>
      <c r="D1036">
        <v>2</v>
      </c>
      <c r="E1036">
        <v>18</v>
      </c>
      <c r="F1036" t="s">
        <v>104</v>
      </c>
      <c r="I1036" t="s">
        <v>72</v>
      </c>
      <c r="J1036" s="4">
        <f>Spending_raw[[#This Row],[Price, lei]]</f>
        <v>60.43</v>
      </c>
      <c r="K1036">
        <v>1</v>
      </c>
      <c r="L1036">
        <v>60.43</v>
      </c>
      <c r="M1036">
        <v>60.43</v>
      </c>
      <c r="N1036" s="5">
        <v>3.0397384305835011</v>
      </c>
      <c r="O1036" t="s">
        <v>283</v>
      </c>
      <c r="P1036" t="s">
        <v>340</v>
      </c>
      <c r="Q1036" t="s">
        <v>24</v>
      </c>
      <c r="R1036" t="s">
        <v>285</v>
      </c>
    </row>
    <row r="1037" spans="1:18" hidden="1" x14ac:dyDescent="0.25">
      <c r="A1037" s="2" t="s">
        <v>201</v>
      </c>
      <c r="B1037" s="3" t="str">
        <f t="shared" si="20"/>
        <v>18/2/4</v>
      </c>
      <c r="C1037">
        <v>4</v>
      </c>
      <c r="D1037">
        <v>2</v>
      </c>
      <c r="E1037">
        <v>18</v>
      </c>
      <c r="F1037" t="s">
        <v>89</v>
      </c>
      <c r="G1037" t="s">
        <v>31</v>
      </c>
      <c r="H1037" t="s">
        <v>26</v>
      </c>
      <c r="I1037" t="s">
        <v>27</v>
      </c>
      <c r="J1037" s="4">
        <f>Spending_raw[[#This Row],[Price, lei]]</f>
        <v>7.4</v>
      </c>
      <c r="K1037">
        <v>1</v>
      </c>
      <c r="L1037">
        <v>7.4</v>
      </c>
      <c r="M1037">
        <v>7.4</v>
      </c>
      <c r="N1037" s="5">
        <v>0.37223340040241454</v>
      </c>
      <c r="O1037" t="s">
        <v>32</v>
      </c>
      <c r="P1037" t="s">
        <v>340</v>
      </c>
      <c r="Q1037" t="s">
        <v>24</v>
      </c>
    </row>
    <row r="1038" spans="1:18" hidden="1" x14ac:dyDescent="0.25">
      <c r="A1038" s="2" t="s">
        <v>201</v>
      </c>
      <c r="B1038" s="3" t="str">
        <f t="shared" si="20"/>
        <v>18/2/4</v>
      </c>
      <c r="C1038">
        <v>4</v>
      </c>
      <c r="D1038">
        <v>2</v>
      </c>
      <c r="E1038">
        <v>18</v>
      </c>
      <c r="F1038" t="s">
        <v>73</v>
      </c>
      <c r="H1038" t="s">
        <v>73</v>
      </c>
      <c r="I1038" t="s">
        <v>27</v>
      </c>
      <c r="J1038" s="4">
        <v>21</v>
      </c>
      <c r="K1038">
        <v>1</v>
      </c>
      <c r="L1038">
        <v>21</v>
      </c>
      <c r="M1038">
        <v>21</v>
      </c>
      <c r="N1038" s="5">
        <v>1.0563380281690142</v>
      </c>
      <c r="O1038" t="s">
        <v>274</v>
      </c>
      <c r="P1038" t="s">
        <v>340</v>
      </c>
      <c r="Q1038" t="s">
        <v>24</v>
      </c>
    </row>
    <row r="1039" spans="1:18" hidden="1" x14ac:dyDescent="0.25">
      <c r="A1039" s="2" t="s">
        <v>201</v>
      </c>
      <c r="B1039" s="3" t="str">
        <f t="shared" si="20"/>
        <v>18/2/4</v>
      </c>
      <c r="C1039">
        <v>4</v>
      </c>
      <c r="D1039">
        <v>2</v>
      </c>
      <c r="E1039">
        <v>18</v>
      </c>
      <c r="F1039" t="s">
        <v>98</v>
      </c>
      <c r="H1039" t="s">
        <v>26</v>
      </c>
      <c r="I1039" t="s">
        <v>27</v>
      </c>
      <c r="J1039" s="4">
        <v>25.9</v>
      </c>
      <c r="K1039">
        <v>1</v>
      </c>
      <c r="L1039">
        <v>25.9</v>
      </c>
      <c r="M1039">
        <v>25.9</v>
      </c>
      <c r="N1039" s="5">
        <v>1.3028169014084507</v>
      </c>
      <c r="O1039" t="s">
        <v>32</v>
      </c>
      <c r="P1039" t="s">
        <v>340</v>
      </c>
      <c r="Q1039" t="s">
        <v>24</v>
      </c>
      <c r="R1039" t="s">
        <v>1259</v>
      </c>
    </row>
    <row r="1040" spans="1:18" hidden="1" x14ac:dyDescent="0.25">
      <c r="A1040" s="2" t="s">
        <v>201</v>
      </c>
      <c r="B1040" s="3" t="str">
        <f t="shared" si="20"/>
        <v>18/2/6</v>
      </c>
      <c r="C1040">
        <v>6</v>
      </c>
      <c r="D1040">
        <v>2</v>
      </c>
      <c r="E1040">
        <v>18</v>
      </c>
      <c r="F1040" t="s">
        <v>55</v>
      </c>
      <c r="H1040" t="s">
        <v>56</v>
      </c>
      <c r="I1040" t="s">
        <v>27</v>
      </c>
      <c r="J1040" s="4">
        <f>Spending_raw[[#This Row],[Price, lei]]</f>
        <v>37.99</v>
      </c>
      <c r="K1040">
        <v>1.21</v>
      </c>
      <c r="L1040">
        <v>37.99</v>
      </c>
      <c r="M1040">
        <v>45.9679</v>
      </c>
      <c r="N1040" s="5">
        <v>2.3122686116700204</v>
      </c>
      <c r="O1040" t="s">
        <v>101</v>
      </c>
      <c r="P1040" t="s">
        <v>340</v>
      </c>
      <c r="Q1040" t="s">
        <v>24</v>
      </c>
    </row>
    <row r="1041" spans="1:18" hidden="1" x14ac:dyDescent="0.25">
      <c r="A1041" s="2" t="s">
        <v>201</v>
      </c>
      <c r="B1041" s="3" t="str">
        <f t="shared" si="20"/>
        <v>18/2/6</v>
      </c>
      <c r="C1041">
        <v>6</v>
      </c>
      <c r="D1041">
        <v>2</v>
      </c>
      <c r="E1041">
        <v>18</v>
      </c>
      <c r="F1041" t="s">
        <v>89</v>
      </c>
      <c r="G1041" t="s">
        <v>31</v>
      </c>
      <c r="H1041" t="s">
        <v>26</v>
      </c>
      <c r="I1041" t="s">
        <v>27</v>
      </c>
      <c r="J1041" s="4">
        <v>6.75</v>
      </c>
      <c r="K1041">
        <v>2</v>
      </c>
      <c r="L1041">
        <v>6.75</v>
      </c>
      <c r="M1041">
        <v>13.5</v>
      </c>
      <c r="N1041" s="5">
        <v>0.67907444668008055</v>
      </c>
      <c r="O1041" t="s">
        <v>101</v>
      </c>
      <c r="P1041" t="s">
        <v>340</v>
      </c>
      <c r="Q1041" t="s">
        <v>24</v>
      </c>
    </row>
    <row r="1042" spans="1:18" hidden="1" x14ac:dyDescent="0.25">
      <c r="A1042" s="2" t="s">
        <v>201</v>
      </c>
      <c r="B1042" s="3" t="str">
        <f t="shared" si="20"/>
        <v>18/2/6</v>
      </c>
      <c r="C1042">
        <v>6</v>
      </c>
      <c r="D1042">
        <v>2</v>
      </c>
      <c r="E1042">
        <v>18</v>
      </c>
      <c r="F1042" t="s">
        <v>71</v>
      </c>
      <c r="I1042" t="s">
        <v>72</v>
      </c>
      <c r="J1042" s="4">
        <f>Spending_raw[[#This Row],[Price, lei]]</f>
        <v>350</v>
      </c>
      <c r="K1042">
        <v>1</v>
      </c>
      <c r="L1042">
        <v>350</v>
      </c>
      <c r="M1042">
        <v>350</v>
      </c>
      <c r="N1042" s="5">
        <v>17.605633802816904</v>
      </c>
      <c r="O1042" t="s">
        <v>231</v>
      </c>
      <c r="P1042" t="s">
        <v>340</v>
      </c>
      <c r="Q1042" t="s">
        <v>24</v>
      </c>
      <c r="R1042" t="s">
        <v>230</v>
      </c>
    </row>
    <row r="1043" spans="1:18" hidden="1" x14ac:dyDescent="0.25">
      <c r="A1043" s="2" t="s">
        <v>201</v>
      </c>
      <c r="B1043" s="3" t="str">
        <f t="shared" si="20"/>
        <v>18/2/6</v>
      </c>
      <c r="C1043">
        <v>6</v>
      </c>
      <c r="D1043">
        <v>2</v>
      </c>
      <c r="E1043">
        <v>18</v>
      </c>
      <c r="F1043" t="s">
        <v>104</v>
      </c>
      <c r="I1043" t="s">
        <v>72</v>
      </c>
      <c r="J1043" s="4">
        <f>Spending_raw[[#This Row],[Price, lei]]</f>
        <v>310.04000000000002</v>
      </c>
      <c r="K1043">
        <v>1</v>
      </c>
      <c r="L1043">
        <v>310.04000000000002</v>
      </c>
      <c r="M1043">
        <v>310.04000000000002</v>
      </c>
      <c r="N1043" s="5">
        <v>15.595573440643864</v>
      </c>
      <c r="O1043" t="s">
        <v>39</v>
      </c>
      <c r="Q1043" t="s">
        <v>24</v>
      </c>
    </row>
    <row r="1044" spans="1:18" hidden="1" x14ac:dyDescent="0.25">
      <c r="A1044" s="2" t="s">
        <v>201</v>
      </c>
      <c r="B1044" s="3" t="str">
        <f t="shared" si="20"/>
        <v>18/2/6</v>
      </c>
      <c r="C1044">
        <v>6</v>
      </c>
      <c r="D1044">
        <v>2</v>
      </c>
      <c r="E1044">
        <v>18</v>
      </c>
      <c r="F1044" t="s">
        <v>669</v>
      </c>
      <c r="I1044" t="s">
        <v>72</v>
      </c>
      <c r="J1044" s="4">
        <f>Spending_raw[[#This Row],[Price, lei]]</f>
        <v>8.5</v>
      </c>
      <c r="K1044">
        <v>1</v>
      </c>
      <c r="L1044">
        <v>8.5</v>
      </c>
      <c r="M1044">
        <v>8.5</v>
      </c>
      <c r="N1044" s="5">
        <v>0.42756539235412477</v>
      </c>
      <c r="O1044" t="s">
        <v>39</v>
      </c>
      <c r="Q1044" t="s">
        <v>24</v>
      </c>
    </row>
    <row r="1045" spans="1:18" hidden="1" x14ac:dyDescent="0.25">
      <c r="A1045" s="2" t="s">
        <v>201</v>
      </c>
      <c r="B1045" s="3" t="str">
        <f t="shared" si="20"/>
        <v>18/2/6</v>
      </c>
      <c r="C1045">
        <v>6</v>
      </c>
      <c r="D1045">
        <v>2</v>
      </c>
      <c r="E1045">
        <v>18</v>
      </c>
      <c r="F1045" t="s">
        <v>669</v>
      </c>
      <c r="I1045" t="s">
        <v>72</v>
      </c>
      <c r="J1045" s="4">
        <f>Spending_raw[[#This Row],[Price, lei]]</f>
        <v>6.87</v>
      </c>
      <c r="K1045">
        <v>1</v>
      </c>
      <c r="L1045">
        <v>6.87</v>
      </c>
      <c r="M1045">
        <v>6.87</v>
      </c>
      <c r="N1045" s="5">
        <v>0.34557344064386319</v>
      </c>
      <c r="O1045" t="s">
        <v>39</v>
      </c>
      <c r="Q1045" t="s">
        <v>24</v>
      </c>
    </row>
    <row r="1046" spans="1:18" hidden="1" x14ac:dyDescent="0.25">
      <c r="A1046" s="2" t="s">
        <v>201</v>
      </c>
      <c r="B1046" s="3" t="str">
        <f t="shared" si="20"/>
        <v>18/2/7</v>
      </c>
      <c r="C1046">
        <v>7</v>
      </c>
      <c r="D1046">
        <v>2</v>
      </c>
      <c r="E1046">
        <v>18</v>
      </c>
      <c r="F1046" t="s">
        <v>89</v>
      </c>
      <c r="G1046" t="s">
        <v>31</v>
      </c>
      <c r="H1046" t="s">
        <v>26</v>
      </c>
      <c r="I1046" t="s">
        <v>27</v>
      </c>
      <c r="J1046" s="4">
        <f>Spending_raw[[#This Row],[Price, lei]]</f>
        <v>15.75</v>
      </c>
      <c r="K1046">
        <v>2</v>
      </c>
      <c r="L1046">
        <v>15.75</v>
      </c>
      <c r="M1046">
        <v>31.5</v>
      </c>
      <c r="N1046" s="5">
        <v>1.5845070422535212</v>
      </c>
      <c r="O1046" t="s">
        <v>1472</v>
      </c>
      <c r="P1046" t="s">
        <v>340</v>
      </c>
      <c r="Q1046" t="s">
        <v>24</v>
      </c>
    </row>
    <row r="1047" spans="1:18" hidden="1" x14ac:dyDescent="0.25">
      <c r="A1047" s="2" t="s">
        <v>201</v>
      </c>
      <c r="B1047" s="3" t="str">
        <f t="shared" si="20"/>
        <v>18/2/7</v>
      </c>
      <c r="C1047">
        <v>7</v>
      </c>
      <c r="D1047">
        <v>2</v>
      </c>
      <c r="E1047">
        <v>18</v>
      </c>
      <c r="F1047" t="s">
        <v>25</v>
      </c>
      <c r="G1047" t="s">
        <v>25</v>
      </c>
      <c r="H1047" t="s">
        <v>26</v>
      </c>
      <c r="I1047" t="s">
        <v>27</v>
      </c>
      <c r="J1047" s="4">
        <f>Spending_raw[[#This Row],[Price, lei]]</f>
        <v>28.1</v>
      </c>
      <c r="K1047">
        <v>2</v>
      </c>
      <c r="L1047">
        <v>28.1</v>
      </c>
      <c r="M1047">
        <v>56.2</v>
      </c>
      <c r="N1047" s="5">
        <v>2.8269617706237429</v>
      </c>
      <c r="O1047" t="s">
        <v>1472</v>
      </c>
      <c r="P1047" t="s">
        <v>340</v>
      </c>
      <c r="Q1047" t="s">
        <v>24</v>
      </c>
    </row>
    <row r="1048" spans="1:18" hidden="1" x14ac:dyDescent="0.25">
      <c r="A1048" s="2" t="s">
        <v>201</v>
      </c>
      <c r="B1048" s="3" t="str">
        <f t="shared" si="20"/>
        <v>18/2/7</v>
      </c>
      <c r="C1048">
        <v>7</v>
      </c>
      <c r="D1048">
        <v>2</v>
      </c>
      <c r="E1048">
        <v>18</v>
      </c>
      <c r="F1048" t="s">
        <v>286</v>
      </c>
      <c r="G1048" t="s">
        <v>25</v>
      </c>
      <c r="H1048" t="s">
        <v>26</v>
      </c>
      <c r="I1048" t="s">
        <v>27</v>
      </c>
      <c r="J1048" s="4">
        <f>Spending_raw[[#This Row],[Price, lei]]</f>
        <v>27</v>
      </c>
      <c r="K1048">
        <v>1</v>
      </c>
      <c r="L1048">
        <v>27</v>
      </c>
      <c r="M1048">
        <v>27</v>
      </c>
      <c r="N1048" s="5">
        <v>1.3581488933601611</v>
      </c>
      <c r="O1048" t="s">
        <v>1472</v>
      </c>
      <c r="P1048" t="s">
        <v>340</v>
      </c>
      <c r="Q1048" t="s">
        <v>24</v>
      </c>
    </row>
    <row r="1049" spans="1:18" hidden="1" x14ac:dyDescent="0.25">
      <c r="A1049" s="2" t="s">
        <v>201</v>
      </c>
      <c r="B1049" s="3" t="str">
        <f t="shared" si="20"/>
        <v>18/2/7</v>
      </c>
      <c r="C1049">
        <v>7</v>
      </c>
      <c r="D1049">
        <v>2</v>
      </c>
      <c r="E1049">
        <v>18</v>
      </c>
      <c r="F1049" t="s">
        <v>89</v>
      </c>
      <c r="G1049" t="s">
        <v>31</v>
      </c>
      <c r="H1049" t="s">
        <v>26</v>
      </c>
      <c r="I1049" t="s">
        <v>27</v>
      </c>
      <c r="J1049" s="4">
        <f>Spending_raw[[#This Row],[Price, lei]]</f>
        <v>7.45</v>
      </c>
      <c r="K1049">
        <v>4</v>
      </c>
      <c r="L1049">
        <v>7.45</v>
      </c>
      <c r="M1049">
        <v>29.8</v>
      </c>
      <c r="N1049" s="5">
        <v>1.4989939637826963</v>
      </c>
      <c r="O1049" t="s">
        <v>1472</v>
      </c>
      <c r="P1049" t="s">
        <v>340</v>
      </c>
      <c r="Q1049" t="s">
        <v>24</v>
      </c>
    </row>
    <row r="1050" spans="1:18" hidden="1" x14ac:dyDescent="0.25">
      <c r="A1050" s="2" t="s">
        <v>201</v>
      </c>
      <c r="B1050" s="3" t="str">
        <f t="shared" si="20"/>
        <v>18/2/7</v>
      </c>
      <c r="C1050">
        <v>7</v>
      </c>
      <c r="D1050">
        <v>2</v>
      </c>
      <c r="E1050">
        <v>18</v>
      </c>
      <c r="F1050" t="s">
        <v>71</v>
      </c>
      <c r="I1050" t="s">
        <v>72</v>
      </c>
      <c r="J1050" s="4">
        <v>200</v>
      </c>
      <c r="K1050">
        <v>1</v>
      </c>
      <c r="L1050">
        <v>200</v>
      </c>
      <c r="M1050">
        <v>200</v>
      </c>
      <c r="N1050" s="5">
        <v>10.06036217303823</v>
      </c>
      <c r="O1050" t="s">
        <v>39</v>
      </c>
      <c r="P1050" t="s">
        <v>340</v>
      </c>
      <c r="Q1050" t="s">
        <v>24</v>
      </c>
      <c r="R1050" t="s">
        <v>70</v>
      </c>
    </row>
    <row r="1051" spans="1:18" hidden="1" x14ac:dyDescent="0.25">
      <c r="A1051" s="2" t="s">
        <v>201</v>
      </c>
      <c r="B1051" s="3" t="str">
        <f t="shared" si="20"/>
        <v>18/2/7</v>
      </c>
      <c r="C1051">
        <v>7</v>
      </c>
      <c r="D1051">
        <v>2</v>
      </c>
      <c r="E1051">
        <v>18</v>
      </c>
      <c r="F1051" t="s">
        <v>40</v>
      </c>
      <c r="H1051" t="s">
        <v>40</v>
      </c>
      <c r="I1051" t="s">
        <v>27</v>
      </c>
      <c r="J1051" s="4">
        <f>Spending_raw[[#This Row],[Price, lei]]</f>
        <v>6.55</v>
      </c>
      <c r="K1051">
        <v>1</v>
      </c>
      <c r="L1051">
        <v>6.55</v>
      </c>
      <c r="M1051">
        <v>6.55</v>
      </c>
      <c r="N1051" s="5">
        <v>0.32947686116700203</v>
      </c>
      <c r="O1051" t="s">
        <v>1472</v>
      </c>
      <c r="P1051" t="s">
        <v>340</v>
      </c>
      <c r="Q1051" t="s">
        <v>24</v>
      </c>
    </row>
    <row r="1052" spans="1:18" hidden="1" x14ac:dyDescent="0.25">
      <c r="A1052" s="2" t="s">
        <v>201</v>
      </c>
      <c r="B1052" s="3" t="str">
        <f t="shared" si="20"/>
        <v>18/2/7</v>
      </c>
      <c r="C1052">
        <v>7</v>
      </c>
      <c r="D1052">
        <v>2</v>
      </c>
      <c r="E1052">
        <v>18</v>
      </c>
      <c r="F1052" s="7" t="s">
        <v>166</v>
      </c>
      <c r="G1052" t="s">
        <v>77</v>
      </c>
      <c r="H1052" t="s">
        <v>26</v>
      </c>
      <c r="I1052" t="s">
        <v>27</v>
      </c>
      <c r="J1052" s="4">
        <f>Spending_raw[[#This Row],[Price, lei]]</f>
        <v>18.8</v>
      </c>
      <c r="K1052">
        <v>1</v>
      </c>
      <c r="L1052">
        <v>18.8</v>
      </c>
      <c r="M1052">
        <v>18.8</v>
      </c>
      <c r="N1052" s="5">
        <v>0.94567404426559365</v>
      </c>
      <c r="O1052" t="s">
        <v>1472</v>
      </c>
      <c r="P1052" t="s">
        <v>340</v>
      </c>
      <c r="Q1052" t="s">
        <v>24</v>
      </c>
    </row>
    <row r="1053" spans="1:18" hidden="1" x14ac:dyDescent="0.25">
      <c r="A1053" s="2" t="s">
        <v>201</v>
      </c>
      <c r="B1053" s="3" t="str">
        <f t="shared" si="20"/>
        <v>18/2/8</v>
      </c>
      <c r="C1053">
        <v>8</v>
      </c>
      <c r="D1053">
        <v>2</v>
      </c>
      <c r="E1053">
        <v>18</v>
      </c>
      <c r="F1053" t="s">
        <v>234</v>
      </c>
      <c r="H1053" t="s">
        <v>53</v>
      </c>
      <c r="I1053" t="s">
        <v>27</v>
      </c>
      <c r="J1053" s="4">
        <f>Spending_raw[[#This Row],[Price, lei]]</f>
        <v>17.600000000000001</v>
      </c>
      <c r="K1053">
        <v>1</v>
      </c>
      <c r="L1053">
        <v>17.600000000000001</v>
      </c>
      <c r="M1053">
        <v>17.600000000000001</v>
      </c>
      <c r="N1053" s="5">
        <v>0.88531187122736432</v>
      </c>
      <c r="O1053" t="s">
        <v>46</v>
      </c>
      <c r="P1053" t="s">
        <v>340</v>
      </c>
      <c r="Q1053" t="s">
        <v>24</v>
      </c>
    </row>
    <row r="1054" spans="1:18" hidden="1" x14ac:dyDescent="0.25">
      <c r="A1054" s="2" t="s">
        <v>201</v>
      </c>
      <c r="B1054" s="3" t="str">
        <f t="shared" si="20"/>
        <v>18/2/8</v>
      </c>
      <c r="C1054">
        <v>8</v>
      </c>
      <c r="D1054">
        <v>2</v>
      </c>
      <c r="E1054">
        <v>18</v>
      </c>
      <c r="F1054" t="s">
        <v>60</v>
      </c>
      <c r="G1054" t="s">
        <v>31</v>
      </c>
      <c r="H1054" t="s">
        <v>26</v>
      </c>
      <c r="I1054" t="s">
        <v>27</v>
      </c>
      <c r="J1054" s="4">
        <v>6.9</v>
      </c>
      <c r="K1054">
        <v>2</v>
      </c>
      <c r="L1054">
        <v>6.9</v>
      </c>
      <c r="M1054">
        <v>13.8</v>
      </c>
      <c r="N1054" s="5">
        <v>0.69416498993963793</v>
      </c>
      <c r="O1054" t="s">
        <v>46</v>
      </c>
      <c r="P1054" t="s">
        <v>340</v>
      </c>
      <c r="Q1054" t="s">
        <v>24</v>
      </c>
    </row>
    <row r="1055" spans="1:18" hidden="1" x14ac:dyDescent="0.25">
      <c r="A1055" s="2" t="s">
        <v>201</v>
      </c>
      <c r="B1055" s="3" t="str">
        <f t="shared" si="20"/>
        <v>18/2/9</v>
      </c>
      <c r="C1055">
        <v>9</v>
      </c>
      <c r="D1055">
        <v>2</v>
      </c>
      <c r="E1055">
        <v>18</v>
      </c>
      <c r="F1055" t="s">
        <v>55</v>
      </c>
      <c r="H1055" t="s">
        <v>56</v>
      </c>
      <c r="I1055" t="s">
        <v>27</v>
      </c>
      <c r="J1055" s="4">
        <f>Spending_raw[[#This Row],[Price, lei]]</f>
        <v>37.99</v>
      </c>
      <c r="K1055">
        <v>1.264</v>
      </c>
      <c r="L1055">
        <v>37.99</v>
      </c>
      <c r="M1055">
        <v>48.019359999999999</v>
      </c>
      <c r="N1055" s="5">
        <v>2.4154607645875252</v>
      </c>
      <c r="O1055" t="s">
        <v>101</v>
      </c>
      <c r="P1055" t="s">
        <v>340</v>
      </c>
      <c r="Q1055" t="s">
        <v>24</v>
      </c>
    </row>
    <row r="1056" spans="1:18" hidden="1" x14ac:dyDescent="0.25">
      <c r="A1056" s="2" t="s">
        <v>201</v>
      </c>
      <c r="B1056" s="3" t="str">
        <f t="shared" si="20"/>
        <v>18/2/9</v>
      </c>
      <c r="C1056">
        <v>9</v>
      </c>
      <c r="D1056">
        <v>2</v>
      </c>
      <c r="E1056">
        <v>18</v>
      </c>
      <c r="F1056" t="s">
        <v>60</v>
      </c>
      <c r="G1056" t="s">
        <v>31</v>
      </c>
      <c r="H1056" t="s">
        <v>26</v>
      </c>
      <c r="I1056" t="s">
        <v>27</v>
      </c>
      <c r="J1056" s="4">
        <v>6.75</v>
      </c>
      <c r="K1056">
        <v>2</v>
      </c>
      <c r="L1056">
        <v>6.75</v>
      </c>
      <c r="M1056">
        <v>13.5</v>
      </c>
      <c r="N1056" s="5">
        <v>0.67907444668008055</v>
      </c>
      <c r="O1056" t="s">
        <v>101</v>
      </c>
      <c r="P1056" t="s">
        <v>340</v>
      </c>
      <c r="Q1056" t="s">
        <v>24</v>
      </c>
    </row>
    <row r="1057" spans="1:18" hidden="1" x14ac:dyDescent="0.25">
      <c r="A1057" s="2" t="s">
        <v>201</v>
      </c>
      <c r="B1057" s="3" t="str">
        <f t="shared" si="20"/>
        <v>18/2/9</v>
      </c>
      <c r="C1057">
        <v>9</v>
      </c>
      <c r="D1057">
        <v>2</v>
      </c>
      <c r="E1057">
        <v>18</v>
      </c>
      <c r="F1057" t="s">
        <v>146</v>
      </c>
      <c r="H1057" t="s">
        <v>49</v>
      </c>
      <c r="I1057" t="s">
        <v>50</v>
      </c>
      <c r="J1057" s="4">
        <f>Spending_raw[[#This Row],[Price, lei]]</f>
        <v>0.5</v>
      </c>
      <c r="K1057">
        <v>1</v>
      </c>
      <c r="L1057">
        <v>0.5</v>
      </c>
      <c r="M1057">
        <v>0.5</v>
      </c>
      <c r="N1057" s="5">
        <v>2.5150905432595575E-2</v>
      </c>
      <c r="O1057" t="s">
        <v>101</v>
      </c>
      <c r="P1057" t="s">
        <v>340</v>
      </c>
      <c r="Q1057" t="s">
        <v>24</v>
      </c>
    </row>
    <row r="1058" spans="1:18" hidden="1" x14ac:dyDescent="0.25">
      <c r="A1058" s="2" t="s">
        <v>201</v>
      </c>
      <c r="B1058" s="3" t="str">
        <f t="shared" si="20"/>
        <v>18/2/9</v>
      </c>
      <c r="C1058">
        <v>9</v>
      </c>
      <c r="D1058">
        <v>2</v>
      </c>
      <c r="E1058">
        <v>18</v>
      </c>
      <c r="F1058" t="s">
        <v>1562</v>
      </c>
      <c r="I1058" t="s">
        <v>139</v>
      </c>
      <c r="J1058" s="4">
        <v>10</v>
      </c>
      <c r="K1058">
        <v>1</v>
      </c>
      <c r="L1058" s="4">
        <v>166.1</v>
      </c>
      <c r="M1058">
        <v>166.1</v>
      </c>
      <c r="N1058" s="5">
        <v>8.3551307847082494</v>
      </c>
      <c r="O1058" t="s">
        <v>39</v>
      </c>
      <c r="Q1058" t="s">
        <v>24</v>
      </c>
      <c r="R1058" t="s">
        <v>1560</v>
      </c>
    </row>
    <row r="1059" spans="1:18" hidden="1" x14ac:dyDescent="0.25">
      <c r="A1059" s="2" t="s">
        <v>201</v>
      </c>
      <c r="B1059" s="3" t="str">
        <f t="shared" si="20"/>
        <v>18/2/9</v>
      </c>
      <c r="C1059">
        <v>9</v>
      </c>
      <c r="D1059">
        <v>2</v>
      </c>
      <c r="E1059">
        <v>18</v>
      </c>
      <c r="F1059" s="7" t="s">
        <v>166</v>
      </c>
      <c r="G1059" t="s">
        <v>77</v>
      </c>
      <c r="H1059" t="s">
        <v>26</v>
      </c>
      <c r="I1059" t="s">
        <v>27</v>
      </c>
      <c r="J1059" s="4">
        <f>Spending_raw[[#This Row],[Price, lei]]</f>
        <v>19</v>
      </c>
      <c r="K1059">
        <v>1</v>
      </c>
      <c r="L1059">
        <v>19</v>
      </c>
      <c r="M1059">
        <v>19</v>
      </c>
      <c r="N1059" s="5">
        <v>0.95573440643863183</v>
      </c>
      <c r="O1059" t="s">
        <v>101</v>
      </c>
      <c r="P1059" t="s">
        <v>340</v>
      </c>
      <c r="Q1059" t="s">
        <v>24</v>
      </c>
    </row>
    <row r="1060" spans="1:18" hidden="1" x14ac:dyDescent="0.25">
      <c r="A1060" s="2" t="s">
        <v>287</v>
      </c>
      <c r="B1060" s="3" t="str">
        <f t="shared" si="20"/>
        <v>18/3/1</v>
      </c>
      <c r="C1060">
        <v>1</v>
      </c>
      <c r="D1060">
        <v>3</v>
      </c>
      <c r="E1060">
        <v>18</v>
      </c>
      <c r="F1060" t="s">
        <v>1492</v>
      </c>
      <c r="H1060" t="s">
        <v>21</v>
      </c>
      <c r="I1060" t="s">
        <v>22</v>
      </c>
      <c r="J1060" s="4">
        <v>1588.25</v>
      </c>
      <c r="K1060">
        <v>2</v>
      </c>
      <c r="L1060">
        <v>1588.25</v>
      </c>
      <c r="M1060" s="14">
        <v>3176.5</v>
      </c>
      <c r="N1060" s="5">
        <v>159.7837022132797</v>
      </c>
      <c r="O1060" t="s">
        <v>39</v>
      </c>
      <c r="Q1060" t="s">
        <v>24</v>
      </c>
      <c r="R1060" t="s">
        <v>20</v>
      </c>
    </row>
    <row r="1061" spans="1:18" hidden="1" x14ac:dyDescent="0.25">
      <c r="A1061" s="2" t="s">
        <v>287</v>
      </c>
      <c r="B1061" s="3" t="str">
        <f t="shared" si="20"/>
        <v>18/3/1</v>
      </c>
      <c r="C1061">
        <v>1</v>
      </c>
      <c r="D1061">
        <v>3</v>
      </c>
      <c r="E1061">
        <v>18</v>
      </c>
      <c r="F1061" t="s">
        <v>108</v>
      </c>
      <c r="H1061" t="s">
        <v>54</v>
      </c>
      <c r="I1061" t="s">
        <v>27</v>
      </c>
      <c r="J1061" s="4">
        <v>17</v>
      </c>
      <c r="K1061">
        <v>0.49399999999999999</v>
      </c>
      <c r="L1061">
        <v>17</v>
      </c>
      <c r="M1061">
        <v>8.4</v>
      </c>
      <c r="N1061" s="5">
        <v>0.42253521126760568</v>
      </c>
      <c r="O1061" t="s">
        <v>100</v>
      </c>
      <c r="P1061" t="s">
        <v>340</v>
      </c>
      <c r="Q1061" t="s">
        <v>24</v>
      </c>
      <c r="R1061" t="s">
        <v>288</v>
      </c>
    </row>
    <row r="1062" spans="1:18" hidden="1" x14ac:dyDescent="0.25">
      <c r="A1062" s="2" t="s">
        <v>287</v>
      </c>
      <c r="B1062" s="3" t="str">
        <f t="shared" si="20"/>
        <v>18/3/1</v>
      </c>
      <c r="C1062">
        <v>1</v>
      </c>
      <c r="D1062">
        <v>3</v>
      </c>
      <c r="E1062">
        <v>18</v>
      </c>
      <c r="F1062" t="s">
        <v>81</v>
      </c>
      <c r="I1062" t="s">
        <v>39</v>
      </c>
      <c r="J1062" s="4">
        <v>300</v>
      </c>
      <c r="K1062">
        <v>1</v>
      </c>
      <c r="L1062">
        <v>300</v>
      </c>
      <c r="M1062">
        <v>300</v>
      </c>
      <c r="N1062" s="5">
        <v>15.090543259557345</v>
      </c>
      <c r="O1062" t="s">
        <v>39</v>
      </c>
      <c r="Q1062" t="s">
        <v>84</v>
      </c>
      <c r="R1062" t="s">
        <v>289</v>
      </c>
    </row>
    <row r="1063" spans="1:18" hidden="1" x14ac:dyDescent="0.25">
      <c r="A1063" s="2" t="s">
        <v>287</v>
      </c>
      <c r="B1063" s="3" t="str">
        <f t="shared" si="20"/>
        <v>18/3/1</v>
      </c>
      <c r="C1063">
        <v>1</v>
      </c>
      <c r="D1063">
        <v>3</v>
      </c>
      <c r="E1063">
        <v>18</v>
      </c>
      <c r="F1063" t="s">
        <v>290</v>
      </c>
      <c r="G1063" t="s">
        <v>33</v>
      </c>
      <c r="H1063" t="s">
        <v>35</v>
      </c>
      <c r="I1063" t="s">
        <v>27</v>
      </c>
      <c r="J1063" s="4">
        <v>219.6</v>
      </c>
      <c r="K1063">
        <v>0.13600000000000001</v>
      </c>
      <c r="L1063">
        <v>219.6</v>
      </c>
      <c r="M1063">
        <v>29.87</v>
      </c>
      <c r="N1063" s="5">
        <v>1.5025150905432596</v>
      </c>
      <c r="O1063" t="s">
        <v>100</v>
      </c>
      <c r="P1063" t="s">
        <v>340</v>
      </c>
      <c r="Q1063" t="s">
        <v>24</v>
      </c>
    </row>
    <row r="1064" spans="1:18" hidden="1" x14ac:dyDescent="0.25">
      <c r="A1064" s="2" t="s">
        <v>287</v>
      </c>
      <c r="B1064" s="3" t="str">
        <f t="shared" si="20"/>
        <v>18/3/1</v>
      </c>
      <c r="C1064">
        <v>1</v>
      </c>
      <c r="D1064">
        <v>3</v>
      </c>
      <c r="E1064">
        <v>18</v>
      </c>
      <c r="F1064" t="s">
        <v>210</v>
      </c>
      <c r="G1064" t="s">
        <v>210</v>
      </c>
      <c r="H1064" t="s">
        <v>131</v>
      </c>
      <c r="I1064" t="s">
        <v>27</v>
      </c>
      <c r="J1064" s="4">
        <v>54.5</v>
      </c>
      <c r="K1064">
        <v>1</v>
      </c>
      <c r="L1064">
        <v>54.5</v>
      </c>
      <c r="M1064">
        <v>54.5</v>
      </c>
      <c r="N1064" s="5">
        <v>2.7414486921529178</v>
      </c>
      <c r="O1064" t="s">
        <v>100</v>
      </c>
      <c r="P1064" t="s">
        <v>340</v>
      </c>
      <c r="Q1064" t="s">
        <v>24</v>
      </c>
    </row>
    <row r="1065" spans="1:18" hidden="1" x14ac:dyDescent="0.25">
      <c r="A1065" s="2" t="s">
        <v>287</v>
      </c>
      <c r="B1065" s="3" t="str">
        <f t="shared" si="20"/>
        <v>18/3/1</v>
      </c>
      <c r="C1065">
        <v>1</v>
      </c>
      <c r="D1065">
        <v>3</v>
      </c>
      <c r="E1065">
        <v>18</v>
      </c>
      <c r="F1065" t="s">
        <v>73</v>
      </c>
      <c r="H1065" t="s">
        <v>73</v>
      </c>
      <c r="I1065" t="s">
        <v>27</v>
      </c>
      <c r="J1065" s="4">
        <v>25.65</v>
      </c>
      <c r="K1065">
        <v>1</v>
      </c>
      <c r="L1065">
        <v>25.65</v>
      </c>
      <c r="M1065">
        <v>25.65</v>
      </c>
      <c r="N1065" s="5">
        <v>1.290241448692153</v>
      </c>
      <c r="O1065" t="s">
        <v>100</v>
      </c>
      <c r="P1065" t="s">
        <v>340</v>
      </c>
      <c r="Q1065" t="s">
        <v>24</v>
      </c>
    </row>
    <row r="1066" spans="1:18" hidden="1" x14ac:dyDescent="0.25">
      <c r="A1066" s="2" t="s">
        <v>287</v>
      </c>
      <c r="B1066" s="3" t="str">
        <f t="shared" si="20"/>
        <v>18/3/1</v>
      </c>
      <c r="C1066">
        <v>1</v>
      </c>
      <c r="D1066">
        <v>3</v>
      </c>
      <c r="E1066">
        <v>18</v>
      </c>
      <c r="F1066" t="s">
        <v>291</v>
      </c>
      <c r="G1066" t="s">
        <v>33</v>
      </c>
      <c r="H1066" t="s">
        <v>35</v>
      </c>
      <c r="I1066" t="s">
        <v>27</v>
      </c>
      <c r="J1066" s="4">
        <v>139.6</v>
      </c>
      <c r="K1066">
        <v>0.24</v>
      </c>
      <c r="L1066">
        <v>139.6</v>
      </c>
      <c r="M1066">
        <v>33.5</v>
      </c>
      <c r="N1066" s="5">
        <v>1.6851106639839035</v>
      </c>
      <c r="O1066" t="s">
        <v>100</v>
      </c>
      <c r="P1066" t="s">
        <v>340</v>
      </c>
      <c r="Q1066" t="s">
        <v>24</v>
      </c>
    </row>
    <row r="1067" spans="1:18" hidden="1" x14ac:dyDescent="0.25">
      <c r="A1067" s="2" t="s">
        <v>287</v>
      </c>
      <c r="B1067" s="3" t="str">
        <f t="shared" si="20"/>
        <v>18/3/1</v>
      </c>
      <c r="C1067">
        <v>1</v>
      </c>
      <c r="D1067">
        <v>3</v>
      </c>
      <c r="E1067">
        <v>18</v>
      </c>
      <c r="F1067" t="s">
        <v>292</v>
      </c>
      <c r="H1067" t="s">
        <v>40</v>
      </c>
      <c r="I1067" t="s">
        <v>27</v>
      </c>
      <c r="J1067" s="4">
        <v>8.5</v>
      </c>
      <c r="K1067">
        <v>1</v>
      </c>
      <c r="L1067">
        <v>8.5</v>
      </c>
      <c r="M1067">
        <v>8.5</v>
      </c>
      <c r="N1067" s="5">
        <v>0.42756539235412477</v>
      </c>
      <c r="O1067" t="s">
        <v>100</v>
      </c>
      <c r="P1067" t="s">
        <v>340</v>
      </c>
      <c r="Q1067" t="s">
        <v>24</v>
      </c>
    </row>
    <row r="1068" spans="1:18" hidden="1" x14ac:dyDescent="0.25">
      <c r="A1068" s="2" t="s">
        <v>287</v>
      </c>
      <c r="B1068" s="3" t="str">
        <f t="shared" si="20"/>
        <v>18/3/1</v>
      </c>
      <c r="C1068">
        <v>1</v>
      </c>
      <c r="D1068">
        <v>3</v>
      </c>
      <c r="E1068">
        <v>18</v>
      </c>
      <c r="F1068" t="s">
        <v>98</v>
      </c>
      <c r="H1068" t="s">
        <v>26</v>
      </c>
      <c r="I1068" t="s">
        <v>27</v>
      </c>
      <c r="J1068" s="4">
        <v>40</v>
      </c>
      <c r="K1068">
        <v>1</v>
      </c>
      <c r="L1068">
        <v>40</v>
      </c>
      <c r="M1068">
        <v>40</v>
      </c>
      <c r="N1068" s="5">
        <v>2.0120724346076462</v>
      </c>
      <c r="O1068" t="s">
        <v>100</v>
      </c>
      <c r="P1068" t="s">
        <v>340</v>
      </c>
      <c r="Q1068" t="s">
        <v>24</v>
      </c>
      <c r="R1068" t="s">
        <v>213</v>
      </c>
    </row>
    <row r="1069" spans="1:18" hidden="1" x14ac:dyDescent="0.25">
      <c r="A1069" s="2" t="s">
        <v>287</v>
      </c>
      <c r="B1069" s="3" t="str">
        <f t="shared" si="20"/>
        <v>18/3/10</v>
      </c>
      <c r="C1069">
        <v>10</v>
      </c>
      <c r="D1069">
        <v>3</v>
      </c>
      <c r="E1069">
        <v>18</v>
      </c>
      <c r="F1069" t="s">
        <v>155</v>
      </c>
      <c r="G1069" t="s">
        <v>155</v>
      </c>
      <c r="H1069" t="s">
        <v>131</v>
      </c>
      <c r="I1069" t="s">
        <v>27</v>
      </c>
      <c r="J1069" s="4" t="s">
        <v>293</v>
      </c>
      <c r="K1069">
        <v>1</v>
      </c>
      <c r="L1069">
        <v>32.19</v>
      </c>
      <c r="M1069">
        <v>32.19</v>
      </c>
      <c r="N1069" s="5">
        <v>1.6192152917505029</v>
      </c>
      <c r="O1069" t="s">
        <v>147</v>
      </c>
      <c r="P1069" t="s">
        <v>148</v>
      </c>
      <c r="Q1069" t="s">
        <v>24</v>
      </c>
    </row>
    <row r="1070" spans="1:18" hidden="1" x14ac:dyDescent="0.25">
      <c r="A1070" s="2" t="s">
        <v>287</v>
      </c>
      <c r="B1070" s="3" t="str">
        <f t="shared" si="20"/>
        <v>18/3/10</v>
      </c>
      <c r="C1070">
        <v>10</v>
      </c>
      <c r="D1070">
        <v>3</v>
      </c>
      <c r="E1070">
        <v>18</v>
      </c>
      <c r="F1070" t="s">
        <v>156</v>
      </c>
      <c r="H1070" t="s">
        <v>131</v>
      </c>
      <c r="I1070" t="s">
        <v>27</v>
      </c>
      <c r="J1070" s="4">
        <v>30.8</v>
      </c>
      <c r="K1070">
        <v>2</v>
      </c>
      <c r="L1070">
        <v>136.75</v>
      </c>
      <c r="M1070">
        <v>273.5</v>
      </c>
      <c r="N1070" s="5">
        <v>13.757545271629779</v>
      </c>
      <c r="O1070" t="s">
        <v>147</v>
      </c>
      <c r="P1070" t="s">
        <v>148</v>
      </c>
      <c r="Q1070" t="s">
        <v>84</v>
      </c>
    </row>
    <row r="1071" spans="1:18" hidden="1" x14ac:dyDescent="0.25">
      <c r="A1071" s="2" t="s">
        <v>287</v>
      </c>
      <c r="B1071" s="3" t="str">
        <f t="shared" si="20"/>
        <v>18/3/10</v>
      </c>
      <c r="C1071">
        <v>10</v>
      </c>
      <c r="D1071">
        <v>3</v>
      </c>
      <c r="E1071">
        <v>18</v>
      </c>
      <c r="F1071" t="s">
        <v>294</v>
      </c>
      <c r="G1071" t="s">
        <v>155</v>
      </c>
      <c r="H1071" t="s">
        <v>131</v>
      </c>
      <c r="I1071" t="s">
        <v>27</v>
      </c>
      <c r="J1071" s="4" t="s">
        <v>295</v>
      </c>
      <c r="K1071">
        <v>4</v>
      </c>
      <c r="L1071">
        <v>22.2</v>
      </c>
      <c r="M1071">
        <v>88.8</v>
      </c>
      <c r="N1071" s="5">
        <v>4.4668008048289742</v>
      </c>
      <c r="O1071" t="s">
        <v>147</v>
      </c>
      <c r="P1071" t="s">
        <v>148</v>
      </c>
      <c r="Q1071" t="s">
        <v>24</v>
      </c>
    </row>
    <row r="1072" spans="1:18" hidden="1" x14ac:dyDescent="0.25">
      <c r="A1072" s="2" t="s">
        <v>287</v>
      </c>
      <c r="B1072" s="3" t="str">
        <f t="shared" si="20"/>
        <v>18/3/10</v>
      </c>
      <c r="C1072">
        <v>10</v>
      </c>
      <c r="D1072">
        <v>3</v>
      </c>
      <c r="E1072">
        <v>18</v>
      </c>
      <c r="F1072" t="s">
        <v>296</v>
      </c>
      <c r="G1072" t="s">
        <v>155</v>
      </c>
      <c r="H1072" t="s">
        <v>131</v>
      </c>
      <c r="I1072" t="s">
        <v>27</v>
      </c>
      <c r="J1072" s="4" t="s">
        <v>297</v>
      </c>
      <c r="K1072">
        <v>1</v>
      </c>
      <c r="L1072">
        <v>27.31</v>
      </c>
      <c r="M1072">
        <v>27.31</v>
      </c>
      <c r="N1072" s="5">
        <v>1.3737424547283703</v>
      </c>
      <c r="O1072" t="s">
        <v>147</v>
      </c>
      <c r="P1072" t="s">
        <v>148</v>
      </c>
      <c r="Q1072" t="s">
        <v>24</v>
      </c>
    </row>
    <row r="1073" spans="1:18" hidden="1" x14ac:dyDescent="0.25">
      <c r="A1073" s="2" t="s">
        <v>287</v>
      </c>
      <c r="B1073" s="3" t="str">
        <f t="shared" si="20"/>
        <v>18/3/10</v>
      </c>
      <c r="C1073">
        <v>10</v>
      </c>
      <c r="D1073">
        <v>3</v>
      </c>
      <c r="E1073">
        <v>18</v>
      </c>
      <c r="F1073" t="s">
        <v>75</v>
      </c>
      <c r="H1073" t="s">
        <v>65</v>
      </c>
      <c r="I1073" t="s">
        <v>27</v>
      </c>
      <c r="J1073" s="4" t="s">
        <v>298</v>
      </c>
      <c r="K1073">
        <v>3</v>
      </c>
      <c r="L1073">
        <v>25.26</v>
      </c>
      <c r="M1073">
        <v>75.790000000000006</v>
      </c>
      <c r="N1073" s="5">
        <v>3.8123742454728373</v>
      </c>
      <c r="O1073" t="s">
        <v>147</v>
      </c>
      <c r="P1073" t="s">
        <v>148</v>
      </c>
      <c r="Q1073" t="s">
        <v>24</v>
      </c>
    </row>
    <row r="1074" spans="1:18" hidden="1" x14ac:dyDescent="0.25">
      <c r="A1074" s="2" t="s">
        <v>287</v>
      </c>
      <c r="B1074" s="3" t="str">
        <f t="shared" si="20"/>
        <v>18/3/11</v>
      </c>
      <c r="C1074">
        <v>11</v>
      </c>
      <c r="D1074">
        <v>3</v>
      </c>
      <c r="E1074">
        <v>18</v>
      </c>
      <c r="F1074" t="s">
        <v>299</v>
      </c>
      <c r="G1074" t="s">
        <v>39</v>
      </c>
      <c r="H1074" t="s">
        <v>59</v>
      </c>
      <c r="I1074" t="s">
        <v>27</v>
      </c>
      <c r="J1074" s="4" t="s">
        <v>300</v>
      </c>
      <c r="K1074">
        <v>1</v>
      </c>
      <c r="L1074">
        <v>168.68</v>
      </c>
      <c r="M1074">
        <v>168.68</v>
      </c>
      <c r="N1074" s="5">
        <v>8.4849094567404428</v>
      </c>
      <c r="O1074" t="s">
        <v>301</v>
      </c>
      <c r="P1074" t="s">
        <v>148</v>
      </c>
      <c r="Q1074" t="s">
        <v>24</v>
      </c>
    </row>
    <row r="1075" spans="1:18" hidden="1" x14ac:dyDescent="0.25">
      <c r="A1075" s="2" t="s">
        <v>287</v>
      </c>
      <c r="B1075" s="3" t="str">
        <f t="shared" si="20"/>
        <v>18/3/11</v>
      </c>
      <c r="C1075">
        <v>11</v>
      </c>
      <c r="D1075">
        <v>3</v>
      </c>
      <c r="E1075">
        <v>18</v>
      </c>
      <c r="F1075" t="s">
        <v>108</v>
      </c>
      <c r="H1075" t="s">
        <v>54</v>
      </c>
      <c r="I1075" t="s">
        <v>27</v>
      </c>
      <c r="J1075" s="4" t="s">
        <v>302</v>
      </c>
      <c r="K1075">
        <v>0.51200000000000001</v>
      </c>
      <c r="L1075">
        <v>39.92</v>
      </c>
      <c r="M1075">
        <v>20.440000000000001</v>
      </c>
      <c r="N1075" s="5">
        <v>1.0281690140845072</v>
      </c>
      <c r="O1075" t="s">
        <v>301</v>
      </c>
      <c r="P1075" t="s">
        <v>148</v>
      </c>
      <c r="Q1075" t="s">
        <v>24</v>
      </c>
    </row>
    <row r="1076" spans="1:18" hidden="1" x14ac:dyDescent="0.25">
      <c r="A1076" s="2" t="s">
        <v>287</v>
      </c>
      <c r="B1076" s="3" t="str">
        <f t="shared" si="20"/>
        <v>18/3/11</v>
      </c>
      <c r="C1076">
        <v>11</v>
      </c>
      <c r="D1076">
        <v>3</v>
      </c>
      <c r="E1076">
        <v>18</v>
      </c>
      <c r="F1076" t="s">
        <v>78</v>
      </c>
      <c r="G1076" t="s">
        <v>303</v>
      </c>
      <c r="H1076" t="s">
        <v>78</v>
      </c>
      <c r="I1076" t="s">
        <v>79</v>
      </c>
      <c r="J1076" s="4">
        <v>17.170000000000002</v>
      </c>
      <c r="K1076">
        <v>30</v>
      </c>
      <c r="L1076">
        <v>17.170000000000002</v>
      </c>
      <c r="M1076">
        <v>515.1</v>
      </c>
      <c r="N1076" s="5">
        <v>25.910462776659962</v>
      </c>
      <c r="O1076" t="s">
        <v>80</v>
      </c>
      <c r="P1076" t="s">
        <v>340</v>
      </c>
      <c r="Q1076" t="s">
        <v>24</v>
      </c>
    </row>
    <row r="1077" spans="1:18" hidden="1" x14ac:dyDescent="0.25">
      <c r="A1077" s="2" t="s">
        <v>287</v>
      </c>
      <c r="B1077" s="3" t="str">
        <f t="shared" si="20"/>
        <v>18/3/11</v>
      </c>
      <c r="C1077">
        <v>11</v>
      </c>
      <c r="D1077">
        <v>3</v>
      </c>
      <c r="E1077">
        <v>18</v>
      </c>
      <c r="F1077" t="s">
        <v>78</v>
      </c>
      <c r="G1077" t="s">
        <v>304</v>
      </c>
      <c r="H1077" t="s">
        <v>78</v>
      </c>
      <c r="I1077" t="s">
        <v>79</v>
      </c>
      <c r="J1077" s="4">
        <v>17.170000000000002</v>
      </c>
      <c r="K1077">
        <v>49.8</v>
      </c>
      <c r="L1077">
        <v>17.170000000000002</v>
      </c>
      <c r="M1077">
        <v>835.15</v>
      </c>
      <c r="N1077" s="5">
        <v>42.00955734406439</v>
      </c>
      <c r="O1077" t="s">
        <v>80</v>
      </c>
      <c r="P1077" t="s">
        <v>340</v>
      </c>
      <c r="Q1077" t="s">
        <v>24</v>
      </c>
    </row>
    <row r="1078" spans="1:18" hidden="1" x14ac:dyDescent="0.25">
      <c r="A1078" s="2" t="s">
        <v>287</v>
      </c>
      <c r="B1078" s="3" t="str">
        <f t="shared" si="20"/>
        <v>18/3/11</v>
      </c>
      <c r="C1078">
        <v>11</v>
      </c>
      <c r="D1078">
        <v>3</v>
      </c>
      <c r="E1078">
        <v>18</v>
      </c>
      <c r="F1078" t="s">
        <v>305</v>
      </c>
      <c r="H1078" t="s">
        <v>59</v>
      </c>
      <c r="I1078" t="s">
        <v>27</v>
      </c>
      <c r="J1078" s="4">
        <v>6.5</v>
      </c>
      <c r="K1078">
        <v>1</v>
      </c>
      <c r="L1078">
        <v>134.49</v>
      </c>
      <c r="M1078">
        <v>134.49</v>
      </c>
      <c r="N1078" s="5">
        <v>6.7650905432595581</v>
      </c>
      <c r="O1078" t="s">
        <v>306</v>
      </c>
      <c r="P1078" t="s">
        <v>340</v>
      </c>
      <c r="Q1078" t="s">
        <v>84</v>
      </c>
    </row>
    <row r="1079" spans="1:18" hidden="1" x14ac:dyDescent="0.25">
      <c r="A1079" s="2" t="s">
        <v>287</v>
      </c>
      <c r="B1079" s="3" t="str">
        <f t="shared" si="20"/>
        <v>18/3/11</v>
      </c>
      <c r="C1079">
        <v>11</v>
      </c>
      <c r="D1079">
        <v>3</v>
      </c>
      <c r="E1079">
        <v>18</v>
      </c>
      <c r="F1079" t="s">
        <v>307</v>
      </c>
      <c r="G1079" t="s">
        <v>39</v>
      </c>
      <c r="H1079" t="s">
        <v>59</v>
      </c>
      <c r="I1079" t="s">
        <v>27</v>
      </c>
      <c r="J1079" s="4">
        <v>7.5</v>
      </c>
      <c r="K1079">
        <v>1</v>
      </c>
      <c r="L1079">
        <v>155.18</v>
      </c>
      <c r="M1079">
        <v>155.18</v>
      </c>
      <c r="N1079" s="5">
        <v>7.8058350100603633</v>
      </c>
      <c r="O1079" t="s">
        <v>306</v>
      </c>
      <c r="P1079" t="s">
        <v>340</v>
      </c>
      <c r="Q1079" t="s">
        <v>24</v>
      </c>
    </row>
    <row r="1080" spans="1:18" hidden="1" x14ac:dyDescent="0.25">
      <c r="A1080" s="2" t="s">
        <v>287</v>
      </c>
      <c r="B1080" s="3" t="str">
        <f t="shared" si="20"/>
        <v>18/3/11</v>
      </c>
      <c r="C1080">
        <v>11</v>
      </c>
      <c r="D1080">
        <v>3</v>
      </c>
      <c r="E1080">
        <v>18</v>
      </c>
      <c r="F1080" t="s">
        <v>1602</v>
      </c>
      <c r="H1080" t="s">
        <v>308</v>
      </c>
      <c r="I1080" t="s">
        <v>22</v>
      </c>
      <c r="J1080" s="4" t="s">
        <v>309</v>
      </c>
      <c r="K1080">
        <v>1</v>
      </c>
      <c r="L1080">
        <v>754.36</v>
      </c>
      <c r="M1080">
        <v>754.36</v>
      </c>
      <c r="N1080" s="5">
        <v>37.945674044265594</v>
      </c>
      <c r="O1080" t="s">
        <v>310</v>
      </c>
      <c r="P1080" t="s">
        <v>148</v>
      </c>
      <c r="Q1080" t="s">
        <v>24</v>
      </c>
    </row>
    <row r="1081" spans="1:18" hidden="1" x14ac:dyDescent="0.25">
      <c r="A1081" s="2" t="s">
        <v>287</v>
      </c>
      <c r="B1081" s="3" t="str">
        <f t="shared" si="20"/>
        <v>18/3/11</v>
      </c>
      <c r="C1081">
        <v>11</v>
      </c>
      <c r="D1081">
        <v>3</v>
      </c>
      <c r="E1081">
        <v>18</v>
      </c>
      <c r="F1081" t="s">
        <v>109</v>
      </c>
      <c r="H1081" t="s">
        <v>54</v>
      </c>
      <c r="I1081" t="s">
        <v>27</v>
      </c>
      <c r="J1081" s="4" t="s">
        <v>311</v>
      </c>
      <c r="K1081">
        <v>0.72599999999999998</v>
      </c>
      <c r="L1081">
        <v>37.700000000000003</v>
      </c>
      <c r="M1081">
        <v>27.37</v>
      </c>
      <c r="N1081" s="5">
        <v>1.3767605633802817</v>
      </c>
      <c r="O1081" t="s">
        <v>301</v>
      </c>
      <c r="P1081" t="s">
        <v>148</v>
      </c>
      <c r="Q1081" t="s">
        <v>24</v>
      </c>
    </row>
    <row r="1082" spans="1:18" hidden="1" x14ac:dyDescent="0.25">
      <c r="A1082" s="2" t="s">
        <v>287</v>
      </c>
      <c r="B1082" s="3" t="str">
        <f t="shared" si="20"/>
        <v>18/3/11</v>
      </c>
      <c r="C1082">
        <v>11</v>
      </c>
      <c r="D1082">
        <v>3</v>
      </c>
      <c r="E1082">
        <v>18</v>
      </c>
      <c r="F1082" t="s">
        <v>312</v>
      </c>
      <c r="G1082" t="s">
        <v>58</v>
      </c>
      <c r="H1082" t="s">
        <v>59</v>
      </c>
      <c r="I1082" t="s">
        <v>27</v>
      </c>
      <c r="J1082" s="4" t="s">
        <v>313</v>
      </c>
      <c r="K1082">
        <v>1</v>
      </c>
      <c r="L1082">
        <v>55.46</v>
      </c>
      <c r="M1082">
        <v>55.46</v>
      </c>
      <c r="N1082" s="5">
        <v>2.7897384305835011</v>
      </c>
      <c r="O1082" t="s">
        <v>301</v>
      </c>
      <c r="P1082" t="s">
        <v>148</v>
      </c>
      <c r="Q1082" t="s">
        <v>24</v>
      </c>
    </row>
    <row r="1083" spans="1:18" hidden="1" x14ac:dyDescent="0.25">
      <c r="A1083" s="2" t="s">
        <v>287</v>
      </c>
      <c r="B1083" s="3" t="str">
        <f t="shared" si="20"/>
        <v>18/3/11</v>
      </c>
      <c r="C1083">
        <v>11</v>
      </c>
      <c r="D1083">
        <v>3</v>
      </c>
      <c r="E1083">
        <v>18</v>
      </c>
      <c r="F1083" t="s">
        <v>1502</v>
      </c>
      <c r="H1083" t="s">
        <v>49</v>
      </c>
      <c r="I1083" t="s">
        <v>50</v>
      </c>
      <c r="J1083" s="4" t="s">
        <v>314</v>
      </c>
      <c r="K1083">
        <v>1</v>
      </c>
      <c r="L1083">
        <v>79.430000000000007</v>
      </c>
      <c r="M1083">
        <v>79.430000000000007</v>
      </c>
      <c r="N1083" s="5">
        <v>3.9954728370221333</v>
      </c>
      <c r="O1083" t="s">
        <v>301</v>
      </c>
      <c r="P1083" t="s">
        <v>148</v>
      </c>
      <c r="Q1083" t="s">
        <v>24</v>
      </c>
      <c r="R1083" t="s">
        <v>1501</v>
      </c>
    </row>
    <row r="1084" spans="1:18" hidden="1" x14ac:dyDescent="0.25">
      <c r="A1084" s="2" t="s">
        <v>287</v>
      </c>
      <c r="B1084" s="3" t="str">
        <f t="shared" si="20"/>
        <v>18/3/11</v>
      </c>
      <c r="C1084">
        <v>11</v>
      </c>
      <c r="D1084">
        <v>3</v>
      </c>
      <c r="E1084">
        <v>18</v>
      </c>
      <c r="F1084" t="s">
        <v>104</v>
      </c>
      <c r="I1084" t="s">
        <v>72</v>
      </c>
      <c r="J1084" s="4">
        <v>12.63</v>
      </c>
      <c r="K1084">
        <v>7</v>
      </c>
      <c r="L1084">
        <v>12.63</v>
      </c>
      <c r="M1084">
        <v>88.41</v>
      </c>
      <c r="N1084" s="5">
        <v>4.447183098591549</v>
      </c>
      <c r="O1084" t="s">
        <v>233</v>
      </c>
      <c r="P1084" t="s">
        <v>340</v>
      </c>
      <c r="Q1084" t="s">
        <v>24</v>
      </c>
      <c r="R1084" t="s">
        <v>232</v>
      </c>
    </row>
    <row r="1085" spans="1:18" hidden="1" x14ac:dyDescent="0.25">
      <c r="A1085" s="2" t="s">
        <v>287</v>
      </c>
      <c r="B1085" s="3" t="str">
        <f t="shared" si="20"/>
        <v>18/3/11</v>
      </c>
      <c r="C1085">
        <v>11</v>
      </c>
      <c r="D1085">
        <v>3</v>
      </c>
      <c r="E1085">
        <v>18</v>
      </c>
      <c r="F1085" t="s">
        <v>237</v>
      </c>
      <c r="G1085" t="s">
        <v>39</v>
      </c>
      <c r="H1085" t="s">
        <v>49</v>
      </c>
      <c r="I1085" t="s">
        <v>50</v>
      </c>
      <c r="J1085" s="4">
        <v>4.99</v>
      </c>
      <c r="K1085">
        <v>1</v>
      </c>
      <c r="L1085">
        <v>22.16</v>
      </c>
      <c r="M1085">
        <v>22.16</v>
      </c>
      <c r="N1085" s="5">
        <v>1.1146881287726358</v>
      </c>
      <c r="O1085" t="s">
        <v>301</v>
      </c>
      <c r="P1085" t="s">
        <v>148</v>
      </c>
      <c r="Q1085" t="s">
        <v>24</v>
      </c>
    </row>
    <row r="1086" spans="1:18" hidden="1" x14ac:dyDescent="0.25">
      <c r="A1086" s="2" t="s">
        <v>287</v>
      </c>
      <c r="B1086" s="3" t="str">
        <f t="shared" si="20"/>
        <v>18/3/11</v>
      </c>
      <c r="C1086">
        <v>11</v>
      </c>
      <c r="D1086">
        <v>3</v>
      </c>
      <c r="E1086">
        <v>18</v>
      </c>
      <c r="F1086" t="s">
        <v>1603</v>
      </c>
      <c r="H1086" t="s">
        <v>308</v>
      </c>
      <c r="I1086" t="s">
        <v>22</v>
      </c>
      <c r="J1086" s="4" t="s">
        <v>315</v>
      </c>
      <c r="K1086">
        <v>1</v>
      </c>
      <c r="L1086">
        <v>177.16</v>
      </c>
      <c r="M1086">
        <v>177.16</v>
      </c>
      <c r="N1086" s="5">
        <v>8.9114688128772634</v>
      </c>
      <c r="O1086" t="s">
        <v>310</v>
      </c>
      <c r="P1086" t="s">
        <v>148</v>
      </c>
      <c r="Q1086" t="s">
        <v>24</v>
      </c>
    </row>
    <row r="1087" spans="1:18" hidden="1" x14ac:dyDescent="0.25">
      <c r="A1087" s="2" t="s">
        <v>287</v>
      </c>
      <c r="B1087" s="3" t="str">
        <f t="shared" si="20"/>
        <v>18/3/11</v>
      </c>
      <c r="C1087">
        <v>11</v>
      </c>
      <c r="D1087">
        <v>3</v>
      </c>
      <c r="E1087">
        <v>18</v>
      </c>
      <c r="F1087" t="s">
        <v>1526</v>
      </c>
      <c r="G1087" t="s">
        <v>39</v>
      </c>
      <c r="H1087" t="s">
        <v>59</v>
      </c>
      <c r="I1087" t="s">
        <v>27</v>
      </c>
      <c r="J1087" s="4">
        <v>19.5</v>
      </c>
      <c r="K1087">
        <v>1</v>
      </c>
      <c r="L1087">
        <v>403.46</v>
      </c>
      <c r="M1087">
        <v>403.46</v>
      </c>
      <c r="N1087" s="5">
        <v>20.294768611670019</v>
      </c>
      <c r="O1087" t="s">
        <v>306</v>
      </c>
      <c r="P1087" t="s">
        <v>340</v>
      </c>
      <c r="Q1087" t="s">
        <v>24</v>
      </c>
    </row>
    <row r="1088" spans="1:18" hidden="1" x14ac:dyDescent="0.25">
      <c r="A1088" s="2" t="s">
        <v>287</v>
      </c>
      <c r="B1088" s="3" t="str">
        <f t="shared" si="20"/>
        <v>18/3/11</v>
      </c>
      <c r="C1088">
        <v>11</v>
      </c>
      <c r="D1088">
        <v>3</v>
      </c>
      <c r="E1088">
        <v>18</v>
      </c>
      <c r="F1088" t="s">
        <v>316</v>
      </c>
      <c r="H1088" t="s">
        <v>49</v>
      </c>
      <c r="I1088" t="s">
        <v>79</v>
      </c>
      <c r="J1088" s="4">
        <v>9.74</v>
      </c>
      <c r="K1088">
        <v>1</v>
      </c>
      <c r="L1088">
        <v>43.25</v>
      </c>
      <c r="M1088">
        <v>43.25</v>
      </c>
      <c r="N1088" s="5">
        <v>2.1755533199195174</v>
      </c>
      <c r="O1088" t="s">
        <v>301</v>
      </c>
      <c r="P1088" t="s">
        <v>148</v>
      </c>
      <c r="Q1088" t="s">
        <v>24</v>
      </c>
      <c r="R1088" t="s">
        <v>1582</v>
      </c>
    </row>
    <row r="1089" spans="1:18" hidden="1" x14ac:dyDescent="0.25">
      <c r="A1089" s="2" t="s">
        <v>287</v>
      </c>
      <c r="B1089" s="3" t="str">
        <f t="shared" si="20"/>
        <v>18/3/11</v>
      </c>
      <c r="C1089">
        <v>11</v>
      </c>
      <c r="D1089">
        <v>3</v>
      </c>
      <c r="E1089">
        <v>18</v>
      </c>
      <c r="F1089" t="s">
        <v>317</v>
      </c>
      <c r="G1089" t="s">
        <v>155</v>
      </c>
      <c r="H1089" t="s">
        <v>131</v>
      </c>
      <c r="I1089" t="s">
        <v>27</v>
      </c>
      <c r="J1089" s="4">
        <v>11.35</v>
      </c>
      <c r="K1089">
        <v>1</v>
      </c>
      <c r="L1089">
        <v>50.39</v>
      </c>
      <c r="M1089">
        <v>50.39</v>
      </c>
      <c r="N1089" s="5">
        <v>2.5347082494969819</v>
      </c>
      <c r="O1089" t="s">
        <v>301</v>
      </c>
      <c r="P1089" t="s">
        <v>148</v>
      </c>
      <c r="Q1089" t="s">
        <v>24</v>
      </c>
    </row>
    <row r="1090" spans="1:18" hidden="1" x14ac:dyDescent="0.25">
      <c r="A1090" s="2" t="s">
        <v>287</v>
      </c>
      <c r="B1090" s="3" t="str">
        <f t="shared" si="20"/>
        <v>18/3/11</v>
      </c>
      <c r="C1090">
        <v>11</v>
      </c>
      <c r="D1090">
        <v>3</v>
      </c>
      <c r="E1090">
        <v>18</v>
      </c>
      <c r="F1090" t="s">
        <v>146</v>
      </c>
      <c r="H1090" t="s">
        <v>49</v>
      </c>
      <c r="I1090" t="s">
        <v>50</v>
      </c>
      <c r="J1090" s="4">
        <v>0.15</v>
      </c>
      <c r="K1090">
        <v>1</v>
      </c>
      <c r="L1090">
        <v>0.15</v>
      </c>
      <c r="M1090">
        <v>0.15</v>
      </c>
      <c r="N1090" s="5">
        <v>7.545271629778672E-3</v>
      </c>
      <c r="O1090" t="s">
        <v>233</v>
      </c>
      <c r="P1090" t="s">
        <v>340</v>
      </c>
      <c r="Q1090" t="s">
        <v>24</v>
      </c>
    </row>
    <row r="1091" spans="1:18" hidden="1" x14ac:dyDescent="0.25">
      <c r="A1091" s="2" t="s">
        <v>287</v>
      </c>
      <c r="B1091" s="3" t="str">
        <f t="shared" si="20"/>
        <v>18/3/11</v>
      </c>
      <c r="C1091">
        <v>11</v>
      </c>
      <c r="D1091">
        <v>3</v>
      </c>
      <c r="E1091">
        <v>18</v>
      </c>
      <c r="F1091" t="s">
        <v>2187</v>
      </c>
      <c r="G1091" t="s">
        <v>320</v>
      </c>
      <c r="H1091" t="s">
        <v>49</v>
      </c>
      <c r="I1091" t="s">
        <v>50</v>
      </c>
      <c r="J1091" s="4" t="s">
        <v>321</v>
      </c>
      <c r="K1091">
        <v>1</v>
      </c>
      <c r="L1091">
        <v>84.32</v>
      </c>
      <c r="M1091">
        <v>84.32</v>
      </c>
      <c r="N1091" s="5">
        <v>4.2414486921529173</v>
      </c>
      <c r="O1091" t="s">
        <v>301</v>
      </c>
      <c r="P1091" t="s">
        <v>148</v>
      </c>
      <c r="Q1091" t="s">
        <v>24</v>
      </c>
    </row>
    <row r="1092" spans="1:18" hidden="1" x14ac:dyDescent="0.25">
      <c r="A1092" s="2" t="s">
        <v>287</v>
      </c>
      <c r="B1092" s="3" t="str">
        <f t="shared" si="20"/>
        <v>18/3/11</v>
      </c>
      <c r="C1092">
        <v>11</v>
      </c>
      <c r="D1092">
        <v>3</v>
      </c>
      <c r="E1092">
        <v>18</v>
      </c>
      <c r="F1092" t="s">
        <v>1604</v>
      </c>
      <c r="H1092" t="s">
        <v>308</v>
      </c>
      <c r="I1092" t="s">
        <v>22</v>
      </c>
      <c r="J1092" s="4" t="s">
        <v>322</v>
      </c>
      <c r="K1092">
        <v>1</v>
      </c>
      <c r="L1092">
        <v>66.16</v>
      </c>
      <c r="M1092">
        <v>66.16</v>
      </c>
      <c r="N1092" s="5">
        <v>3.3279678068410461</v>
      </c>
      <c r="O1092" t="s">
        <v>310</v>
      </c>
      <c r="P1092" t="s">
        <v>148</v>
      </c>
      <c r="Q1092" t="s">
        <v>24</v>
      </c>
    </row>
    <row r="1093" spans="1:18" hidden="1" x14ac:dyDescent="0.25">
      <c r="A1093" s="2" t="s">
        <v>287</v>
      </c>
      <c r="B1093" s="3" t="str">
        <f t="shared" si="20"/>
        <v>18/3/11</v>
      </c>
      <c r="C1093">
        <v>11</v>
      </c>
      <c r="D1093">
        <v>3</v>
      </c>
      <c r="E1093">
        <v>18</v>
      </c>
      <c r="F1093" t="s">
        <v>296</v>
      </c>
      <c r="G1093" t="s">
        <v>155</v>
      </c>
      <c r="H1093" t="s">
        <v>131</v>
      </c>
      <c r="I1093" t="s">
        <v>27</v>
      </c>
      <c r="J1093" s="4" t="s">
        <v>323</v>
      </c>
      <c r="K1093">
        <v>1</v>
      </c>
      <c r="L1093">
        <v>26.6</v>
      </c>
      <c r="M1093">
        <v>26.6</v>
      </c>
      <c r="N1093" s="5">
        <v>1.3380281690140847</v>
      </c>
      <c r="O1093" t="s">
        <v>301</v>
      </c>
      <c r="P1093" t="s">
        <v>148</v>
      </c>
      <c r="Q1093" t="s">
        <v>24</v>
      </c>
    </row>
    <row r="1094" spans="1:18" hidden="1" x14ac:dyDescent="0.25">
      <c r="A1094" s="2" t="s">
        <v>287</v>
      </c>
      <c r="B1094" s="3" t="str">
        <f t="shared" si="20"/>
        <v>18/3/11</v>
      </c>
      <c r="C1094">
        <v>11</v>
      </c>
      <c r="D1094">
        <v>3</v>
      </c>
      <c r="E1094">
        <v>18</v>
      </c>
      <c r="F1094" t="s">
        <v>296</v>
      </c>
      <c r="G1094" t="s">
        <v>155</v>
      </c>
      <c r="H1094" t="s">
        <v>131</v>
      </c>
      <c r="I1094" t="s">
        <v>27</v>
      </c>
      <c r="J1094" s="4" t="s">
        <v>324</v>
      </c>
      <c r="K1094">
        <v>1</v>
      </c>
      <c r="L1094">
        <v>57.68</v>
      </c>
      <c r="M1094">
        <v>57.68</v>
      </c>
      <c r="N1094" s="5">
        <v>2.9014084507042255</v>
      </c>
      <c r="O1094" t="s">
        <v>301</v>
      </c>
      <c r="P1094" t="s">
        <v>148</v>
      </c>
      <c r="Q1094" t="s">
        <v>24</v>
      </c>
    </row>
    <row r="1095" spans="1:18" hidden="1" x14ac:dyDescent="0.25">
      <c r="A1095" s="2" t="s">
        <v>287</v>
      </c>
      <c r="B1095" s="3" t="str">
        <f t="shared" si="20"/>
        <v>18/3/11</v>
      </c>
      <c r="C1095">
        <v>11</v>
      </c>
      <c r="D1095">
        <v>3</v>
      </c>
      <c r="E1095">
        <v>18</v>
      </c>
      <c r="F1095" t="s">
        <v>124</v>
      </c>
      <c r="H1095" t="s">
        <v>54</v>
      </c>
      <c r="I1095" t="s">
        <v>27</v>
      </c>
      <c r="J1095" s="4" t="s">
        <v>325</v>
      </c>
      <c r="K1095">
        <v>1</v>
      </c>
      <c r="L1095">
        <v>24.38</v>
      </c>
      <c r="M1095">
        <v>24.38</v>
      </c>
      <c r="N1095" s="5">
        <v>1.2263581488933601</v>
      </c>
      <c r="O1095" t="s">
        <v>301</v>
      </c>
      <c r="P1095" t="s">
        <v>148</v>
      </c>
      <c r="Q1095" t="s">
        <v>24</v>
      </c>
    </row>
    <row r="1096" spans="1:18" hidden="1" x14ac:dyDescent="0.25">
      <c r="A1096" s="2" t="s">
        <v>287</v>
      </c>
      <c r="B1096" s="3" t="str">
        <f t="shared" si="20"/>
        <v>18/3/11</v>
      </c>
      <c r="C1096">
        <v>11</v>
      </c>
      <c r="D1096">
        <v>3</v>
      </c>
      <c r="E1096">
        <v>18</v>
      </c>
      <c r="F1096" t="s">
        <v>326</v>
      </c>
      <c r="H1096" t="s">
        <v>54</v>
      </c>
      <c r="I1096" t="s">
        <v>27</v>
      </c>
      <c r="J1096" s="4" t="s">
        <v>327</v>
      </c>
      <c r="K1096">
        <v>1</v>
      </c>
      <c r="L1096">
        <v>15.5</v>
      </c>
      <c r="M1096">
        <v>15.5</v>
      </c>
      <c r="N1096" s="5">
        <v>0.77967806841046283</v>
      </c>
      <c r="O1096" t="s">
        <v>301</v>
      </c>
      <c r="P1096" t="s">
        <v>148</v>
      </c>
      <c r="Q1096" t="s">
        <v>24</v>
      </c>
    </row>
    <row r="1097" spans="1:18" hidden="1" x14ac:dyDescent="0.25">
      <c r="A1097" s="2" t="s">
        <v>287</v>
      </c>
      <c r="B1097" s="3" t="str">
        <f t="shared" si="20"/>
        <v>18/3/11</v>
      </c>
      <c r="C1097">
        <v>11</v>
      </c>
      <c r="D1097">
        <v>3</v>
      </c>
      <c r="E1097">
        <v>18</v>
      </c>
      <c r="F1097" t="s">
        <v>328</v>
      </c>
      <c r="G1097" t="s">
        <v>328</v>
      </c>
      <c r="H1097" t="s">
        <v>49</v>
      </c>
      <c r="I1097" t="s">
        <v>50</v>
      </c>
      <c r="J1097" s="4" t="s">
        <v>329</v>
      </c>
      <c r="K1097">
        <v>4</v>
      </c>
      <c r="L1097">
        <v>12.7</v>
      </c>
      <c r="M1097">
        <v>50.79</v>
      </c>
      <c r="N1097" s="5">
        <v>2.5548289738430583</v>
      </c>
      <c r="O1097" t="s">
        <v>301</v>
      </c>
      <c r="P1097" t="s">
        <v>148</v>
      </c>
      <c r="Q1097" t="s">
        <v>24</v>
      </c>
    </row>
    <row r="1098" spans="1:18" hidden="1" x14ac:dyDescent="0.25">
      <c r="A1098" s="2" t="s">
        <v>287</v>
      </c>
      <c r="B1098" s="3" t="str">
        <f t="shared" si="20"/>
        <v>18/3/11</v>
      </c>
      <c r="C1098">
        <v>11</v>
      </c>
      <c r="D1098">
        <v>3</v>
      </c>
      <c r="E1098">
        <v>18</v>
      </c>
      <c r="F1098" t="s">
        <v>330</v>
      </c>
      <c r="G1098" t="s">
        <v>75</v>
      </c>
      <c r="H1098" t="s">
        <v>65</v>
      </c>
      <c r="I1098" t="s">
        <v>27</v>
      </c>
      <c r="J1098" s="4" t="s">
        <v>331</v>
      </c>
      <c r="K1098">
        <v>1</v>
      </c>
      <c r="L1098">
        <v>44.36</v>
      </c>
      <c r="M1098">
        <v>44.36</v>
      </c>
      <c r="N1098" s="5">
        <v>2.2313883299798793</v>
      </c>
      <c r="O1098" t="s">
        <v>301</v>
      </c>
      <c r="P1098" t="s">
        <v>148</v>
      </c>
      <c r="Q1098" t="s">
        <v>24</v>
      </c>
    </row>
    <row r="1099" spans="1:18" hidden="1" x14ac:dyDescent="0.25">
      <c r="A1099" s="2" t="s">
        <v>287</v>
      </c>
      <c r="B1099" s="3" t="str">
        <f t="shared" si="20"/>
        <v>18/3/11</v>
      </c>
      <c r="C1099">
        <v>11</v>
      </c>
      <c r="D1099">
        <v>3</v>
      </c>
      <c r="E1099">
        <v>18</v>
      </c>
      <c r="F1099" t="s">
        <v>275</v>
      </c>
      <c r="G1099" s="12" t="s">
        <v>332</v>
      </c>
      <c r="H1099" t="s">
        <v>65</v>
      </c>
      <c r="I1099" t="s">
        <v>27</v>
      </c>
      <c r="J1099" s="4" t="s">
        <v>333</v>
      </c>
      <c r="K1099">
        <v>1</v>
      </c>
      <c r="L1099">
        <v>13.28</v>
      </c>
      <c r="M1099">
        <v>13.28</v>
      </c>
      <c r="N1099" s="5">
        <v>0.66800804828973848</v>
      </c>
      <c r="O1099" t="s">
        <v>301</v>
      </c>
      <c r="P1099" t="s">
        <v>148</v>
      </c>
      <c r="Q1099" t="s">
        <v>24</v>
      </c>
    </row>
    <row r="1100" spans="1:18" hidden="1" x14ac:dyDescent="0.25">
      <c r="A1100" s="2" t="s">
        <v>287</v>
      </c>
      <c r="B1100" s="3" t="str">
        <f t="shared" ref="B1100:B1163" si="21">CONCATENATE(E1100,"/",D1100,"/",C1100)</f>
        <v>18/3/11</v>
      </c>
      <c r="C1100">
        <v>11</v>
      </c>
      <c r="D1100">
        <v>3</v>
      </c>
      <c r="E1100">
        <v>18</v>
      </c>
      <c r="F1100" t="s">
        <v>1608</v>
      </c>
      <c r="H1100" t="s">
        <v>308</v>
      </c>
      <c r="I1100" t="s">
        <v>22</v>
      </c>
      <c r="J1100" s="4" t="s">
        <v>334</v>
      </c>
      <c r="K1100">
        <v>1</v>
      </c>
      <c r="L1100">
        <v>43.96</v>
      </c>
      <c r="M1100">
        <v>43.96</v>
      </c>
      <c r="N1100" s="5">
        <v>2.211267605633803</v>
      </c>
      <c r="O1100" t="s">
        <v>310</v>
      </c>
      <c r="P1100" t="s">
        <v>148</v>
      </c>
      <c r="Q1100" t="s">
        <v>24</v>
      </c>
    </row>
    <row r="1101" spans="1:18" hidden="1" x14ac:dyDescent="0.25">
      <c r="A1101" s="2" t="s">
        <v>287</v>
      </c>
      <c r="B1101" s="3" t="str">
        <f t="shared" si="21"/>
        <v>18/3/11</v>
      </c>
      <c r="C1101">
        <v>11</v>
      </c>
      <c r="D1101">
        <v>3</v>
      </c>
      <c r="E1101">
        <v>18</v>
      </c>
      <c r="F1101" t="s">
        <v>335</v>
      </c>
      <c r="H1101" t="s">
        <v>63</v>
      </c>
      <c r="I1101" t="s">
        <v>50</v>
      </c>
      <c r="J1101" s="4" t="s">
        <v>336</v>
      </c>
      <c r="K1101">
        <v>1</v>
      </c>
      <c r="L1101">
        <v>35.08</v>
      </c>
      <c r="M1101">
        <v>35.08</v>
      </c>
      <c r="N1101" s="5">
        <v>1.7645875251509053</v>
      </c>
      <c r="O1101" t="s">
        <v>310</v>
      </c>
      <c r="P1101" t="s">
        <v>148</v>
      </c>
      <c r="Q1101" t="s">
        <v>24</v>
      </c>
    </row>
    <row r="1102" spans="1:18" hidden="1" x14ac:dyDescent="0.25">
      <c r="A1102" s="2" t="s">
        <v>287</v>
      </c>
      <c r="B1102" s="3" t="str">
        <f t="shared" si="21"/>
        <v>18/3/11</v>
      </c>
      <c r="C1102">
        <v>11</v>
      </c>
      <c r="D1102">
        <v>3</v>
      </c>
      <c r="E1102">
        <v>18</v>
      </c>
      <c r="F1102" t="s">
        <v>1605</v>
      </c>
      <c r="H1102" t="s">
        <v>308</v>
      </c>
      <c r="I1102" t="s">
        <v>22</v>
      </c>
      <c r="J1102" s="4" t="s">
        <v>337</v>
      </c>
      <c r="K1102">
        <v>2</v>
      </c>
      <c r="L1102">
        <v>88.36</v>
      </c>
      <c r="M1102">
        <v>176.71</v>
      </c>
      <c r="N1102" s="5">
        <v>8.8888329979879277</v>
      </c>
      <c r="O1102" t="s">
        <v>310</v>
      </c>
      <c r="P1102" t="s">
        <v>148</v>
      </c>
      <c r="Q1102" t="s">
        <v>24</v>
      </c>
    </row>
    <row r="1103" spans="1:18" hidden="1" x14ac:dyDescent="0.25">
      <c r="A1103" s="2" t="s">
        <v>287</v>
      </c>
      <c r="B1103" s="3" t="str">
        <f t="shared" si="21"/>
        <v>18/3/11</v>
      </c>
      <c r="C1103">
        <v>11</v>
      </c>
      <c r="D1103">
        <v>3</v>
      </c>
      <c r="E1103">
        <v>18</v>
      </c>
      <c r="F1103" t="s">
        <v>44</v>
      </c>
      <c r="H1103" t="s">
        <v>44</v>
      </c>
      <c r="I1103" t="s">
        <v>27</v>
      </c>
      <c r="J1103" s="4" t="s">
        <v>338</v>
      </c>
      <c r="K1103">
        <v>1</v>
      </c>
      <c r="L1103">
        <v>33.26</v>
      </c>
      <c r="M1103">
        <v>33.26</v>
      </c>
      <c r="N1103" s="5">
        <v>1.6730382293762576</v>
      </c>
      <c r="O1103" t="s">
        <v>301</v>
      </c>
      <c r="P1103" t="s">
        <v>148</v>
      </c>
      <c r="Q1103" t="s">
        <v>24</v>
      </c>
    </row>
    <row r="1104" spans="1:18" hidden="1" x14ac:dyDescent="0.25">
      <c r="A1104" s="2" t="s">
        <v>287</v>
      </c>
      <c r="B1104" s="3" t="str">
        <f t="shared" si="21"/>
        <v>18/3/12</v>
      </c>
      <c r="C1104">
        <v>12</v>
      </c>
      <c r="D1104">
        <v>3</v>
      </c>
      <c r="E1104">
        <v>18</v>
      </c>
      <c r="F1104" t="s">
        <v>39</v>
      </c>
      <c r="G1104" t="s">
        <v>304</v>
      </c>
      <c r="H1104" t="s">
        <v>39</v>
      </c>
      <c r="I1104" t="s">
        <v>79</v>
      </c>
      <c r="J1104" s="4">
        <v>300</v>
      </c>
      <c r="K1104">
        <v>1</v>
      </c>
      <c r="L1104">
        <v>300</v>
      </c>
      <c r="M1104">
        <v>300</v>
      </c>
      <c r="N1104" s="5">
        <v>15.090543259557345</v>
      </c>
      <c r="O1104" t="s">
        <v>39</v>
      </c>
      <c r="P1104" t="s">
        <v>340</v>
      </c>
      <c r="Q1104" t="s">
        <v>24</v>
      </c>
      <c r="R1104" t="s">
        <v>339</v>
      </c>
    </row>
    <row r="1105" spans="1:18" hidden="1" x14ac:dyDescent="0.25">
      <c r="A1105" s="2" t="s">
        <v>287</v>
      </c>
      <c r="B1105" s="3" t="str">
        <f t="shared" si="21"/>
        <v>18/3/13</v>
      </c>
      <c r="C1105">
        <v>13</v>
      </c>
      <c r="D1105">
        <v>3</v>
      </c>
      <c r="E1105">
        <v>18</v>
      </c>
      <c r="F1105" t="s">
        <v>290</v>
      </c>
      <c r="G1105" t="s">
        <v>33</v>
      </c>
      <c r="H1105" t="s">
        <v>35</v>
      </c>
      <c r="I1105" t="s">
        <v>27</v>
      </c>
      <c r="J1105" s="4">
        <v>219.6</v>
      </c>
      <c r="K1105">
        <v>0.17599999999999999</v>
      </c>
      <c r="L1105">
        <v>219.6</v>
      </c>
      <c r="M1105">
        <v>38.65</v>
      </c>
      <c r="N1105" s="5">
        <v>1.9441649899396378</v>
      </c>
      <c r="O1105" t="s">
        <v>100</v>
      </c>
      <c r="P1105" t="s">
        <v>340</v>
      </c>
      <c r="Q1105" t="s">
        <v>24</v>
      </c>
    </row>
    <row r="1106" spans="1:18" hidden="1" x14ac:dyDescent="0.25">
      <c r="A1106" s="2" t="s">
        <v>287</v>
      </c>
      <c r="B1106" s="3" t="str">
        <f t="shared" si="21"/>
        <v>18/3/13</v>
      </c>
      <c r="C1106">
        <v>13</v>
      </c>
      <c r="D1106">
        <v>3</v>
      </c>
      <c r="E1106">
        <v>18</v>
      </c>
      <c r="F1106" t="s">
        <v>292</v>
      </c>
      <c r="H1106" t="s">
        <v>40</v>
      </c>
      <c r="I1106" t="s">
        <v>27</v>
      </c>
      <c r="J1106" s="4">
        <v>17</v>
      </c>
      <c r="K1106">
        <v>0.5</v>
      </c>
      <c r="L1106">
        <v>17</v>
      </c>
      <c r="M1106">
        <v>8.5</v>
      </c>
      <c r="N1106" s="5">
        <v>0.42756539235412477</v>
      </c>
      <c r="O1106" t="s">
        <v>100</v>
      </c>
      <c r="P1106" t="s">
        <v>340</v>
      </c>
      <c r="Q1106" t="s">
        <v>24</v>
      </c>
    </row>
    <row r="1107" spans="1:18" hidden="1" x14ac:dyDescent="0.25">
      <c r="A1107" s="2" t="s">
        <v>287</v>
      </c>
      <c r="B1107" s="3" t="str">
        <f t="shared" si="21"/>
        <v>18/3/13</v>
      </c>
      <c r="C1107">
        <v>13</v>
      </c>
      <c r="D1107">
        <v>3</v>
      </c>
      <c r="E1107">
        <v>18</v>
      </c>
      <c r="F1107" s="7" t="s">
        <v>166</v>
      </c>
      <c r="G1107" t="s">
        <v>77</v>
      </c>
      <c r="H1107" t="s">
        <v>26</v>
      </c>
      <c r="I1107" t="s">
        <v>27</v>
      </c>
      <c r="J1107" s="4">
        <v>19.600000000000001</v>
      </c>
      <c r="K1107">
        <v>1</v>
      </c>
      <c r="L1107">
        <v>19.600000000000001</v>
      </c>
      <c r="M1107">
        <v>19.600000000000001</v>
      </c>
      <c r="N1107" s="5">
        <v>0.98591549295774661</v>
      </c>
      <c r="O1107" t="s">
        <v>100</v>
      </c>
      <c r="P1107" t="s">
        <v>340</v>
      </c>
      <c r="Q1107" t="s">
        <v>24</v>
      </c>
    </row>
    <row r="1108" spans="1:18" hidden="1" x14ac:dyDescent="0.25">
      <c r="A1108" s="2" t="s">
        <v>287</v>
      </c>
      <c r="B1108" s="3" t="str">
        <f t="shared" si="21"/>
        <v>18/3/14</v>
      </c>
      <c r="C1108">
        <v>14</v>
      </c>
      <c r="D1108">
        <v>3</v>
      </c>
      <c r="E1108">
        <v>18</v>
      </c>
      <c r="F1108" t="s">
        <v>174</v>
      </c>
      <c r="H1108" t="s">
        <v>54</v>
      </c>
      <c r="I1108" t="s">
        <v>27</v>
      </c>
      <c r="J1108" s="4">
        <v>5.45</v>
      </c>
      <c r="K1108">
        <v>1.1679999999999999</v>
      </c>
      <c r="L1108">
        <v>5.45</v>
      </c>
      <c r="M1108">
        <v>6.37</v>
      </c>
      <c r="N1108" s="5">
        <v>0.32042253521126762</v>
      </c>
      <c r="O1108" t="s">
        <v>1472</v>
      </c>
      <c r="P1108" t="s">
        <v>340</v>
      </c>
      <c r="Q1108" t="s">
        <v>24</v>
      </c>
    </row>
    <row r="1109" spans="1:18" hidden="1" x14ac:dyDescent="0.25">
      <c r="A1109" s="2" t="s">
        <v>287</v>
      </c>
      <c r="B1109" s="3" t="str">
        <f t="shared" si="21"/>
        <v>18/3/14</v>
      </c>
      <c r="C1109">
        <v>14</v>
      </c>
      <c r="D1109">
        <v>3</v>
      </c>
      <c r="E1109">
        <v>18</v>
      </c>
      <c r="F1109" s="7" t="s">
        <v>200</v>
      </c>
      <c r="G1109" t="s">
        <v>77</v>
      </c>
      <c r="H1109" t="s">
        <v>26</v>
      </c>
      <c r="I1109" t="s">
        <v>27</v>
      </c>
      <c r="J1109" s="4">
        <v>13.9</v>
      </c>
      <c r="K1109">
        <v>1</v>
      </c>
      <c r="L1109">
        <v>13.9</v>
      </c>
      <c r="M1109">
        <v>13.9</v>
      </c>
      <c r="N1109" s="5">
        <v>0.69919517102615703</v>
      </c>
      <c r="O1109" t="s">
        <v>1472</v>
      </c>
      <c r="P1109" t="s">
        <v>340</v>
      </c>
      <c r="Q1109" t="s">
        <v>24</v>
      </c>
    </row>
    <row r="1110" spans="1:18" hidden="1" x14ac:dyDescent="0.25">
      <c r="A1110" s="2" t="s">
        <v>287</v>
      </c>
      <c r="B1110" s="3" t="str">
        <f t="shared" si="21"/>
        <v>18/3/14</v>
      </c>
      <c r="C1110">
        <v>14</v>
      </c>
      <c r="D1110">
        <v>3</v>
      </c>
      <c r="E1110">
        <v>18</v>
      </c>
      <c r="F1110" t="s">
        <v>141</v>
      </c>
      <c r="H1110" t="s">
        <v>172</v>
      </c>
      <c r="I1110" t="s">
        <v>39</v>
      </c>
      <c r="J1110" s="4">
        <v>2</v>
      </c>
      <c r="K1110">
        <v>1</v>
      </c>
      <c r="L1110">
        <v>2</v>
      </c>
      <c r="M1110">
        <v>2</v>
      </c>
      <c r="N1110" s="5">
        <v>0.1006036217303823</v>
      </c>
      <c r="O1110" t="s">
        <v>39</v>
      </c>
      <c r="Q1110" t="s">
        <v>24</v>
      </c>
    </row>
    <row r="1111" spans="1:18" hidden="1" x14ac:dyDescent="0.25">
      <c r="A1111" s="2" t="s">
        <v>287</v>
      </c>
      <c r="B1111" s="3" t="str">
        <f t="shared" si="21"/>
        <v>18/3/14</v>
      </c>
      <c r="C1111" s="10">
        <v>14</v>
      </c>
      <c r="D1111" s="10">
        <v>3</v>
      </c>
      <c r="E1111" s="10">
        <v>18</v>
      </c>
      <c r="F1111" t="s">
        <v>1565</v>
      </c>
      <c r="I1111" t="s">
        <v>96</v>
      </c>
      <c r="J1111" s="4">
        <v>13.08</v>
      </c>
      <c r="K1111">
        <v>1</v>
      </c>
      <c r="L1111">
        <v>224.06039999999999</v>
      </c>
      <c r="M1111">
        <v>224.06039999999999</v>
      </c>
      <c r="N1111" s="5">
        <v>11.270643863179075</v>
      </c>
      <c r="O1111" t="s">
        <v>39</v>
      </c>
      <c r="Q1111" t="s">
        <v>24</v>
      </c>
      <c r="R1111" t="s">
        <v>1564</v>
      </c>
    </row>
    <row r="1112" spans="1:18" hidden="1" x14ac:dyDescent="0.25">
      <c r="A1112" s="2" t="s">
        <v>287</v>
      </c>
      <c r="B1112" s="3" t="str">
        <f t="shared" si="21"/>
        <v>18/3/15</v>
      </c>
      <c r="C1112">
        <v>15</v>
      </c>
      <c r="D1112">
        <v>3</v>
      </c>
      <c r="E1112">
        <v>18</v>
      </c>
      <c r="F1112" t="s">
        <v>202</v>
      </c>
      <c r="H1112" t="s">
        <v>54</v>
      </c>
      <c r="I1112" t="s">
        <v>27</v>
      </c>
      <c r="J1112" s="4">
        <v>280</v>
      </c>
      <c r="K1112">
        <v>0.2</v>
      </c>
      <c r="L1112">
        <v>280</v>
      </c>
      <c r="M1112">
        <v>56</v>
      </c>
      <c r="N1112" s="5">
        <v>2.8169014084507045</v>
      </c>
      <c r="O1112" t="s">
        <v>100</v>
      </c>
      <c r="P1112" t="s">
        <v>340</v>
      </c>
      <c r="Q1112" t="s">
        <v>84</v>
      </c>
    </row>
    <row r="1113" spans="1:18" hidden="1" x14ac:dyDescent="0.25">
      <c r="A1113" s="2" t="s">
        <v>287</v>
      </c>
      <c r="B1113" s="3" t="str">
        <f t="shared" si="21"/>
        <v>18/3/15</v>
      </c>
      <c r="C1113">
        <v>15</v>
      </c>
      <c r="D1113">
        <v>3</v>
      </c>
      <c r="E1113">
        <v>18</v>
      </c>
      <c r="F1113" t="s">
        <v>341</v>
      </c>
      <c r="G1113" t="s">
        <v>25</v>
      </c>
      <c r="H1113" t="s">
        <v>26</v>
      </c>
      <c r="I1113" t="s">
        <v>27</v>
      </c>
      <c r="J1113" s="4">
        <v>228</v>
      </c>
      <c r="K1113">
        <v>0.186</v>
      </c>
      <c r="L1113">
        <v>228</v>
      </c>
      <c r="M1113">
        <v>42.41</v>
      </c>
      <c r="N1113" s="5">
        <v>2.1332997987927564</v>
      </c>
      <c r="O1113" t="s">
        <v>100</v>
      </c>
      <c r="P1113" t="s">
        <v>340</v>
      </c>
      <c r="Q1113" t="s">
        <v>24</v>
      </c>
    </row>
    <row r="1114" spans="1:18" hidden="1" x14ac:dyDescent="0.25">
      <c r="A1114" s="2" t="s">
        <v>287</v>
      </c>
      <c r="B1114" s="3" t="str">
        <f t="shared" si="21"/>
        <v>18/3/15</v>
      </c>
      <c r="C1114">
        <v>15</v>
      </c>
      <c r="D1114">
        <v>3</v>
      </c>
      <c r="E1114">
        <v>18</v>
      </c>
      <c r="F1114" s="13" t="s">
        <v>2045</v>
      </c>
      <c r="G1114" t="s">
        <v>33</v>
      </c>
      <c r="H1114" t="s">
        <v>35</v>
      </c>
      <c r="I1114" t="s">
        <v>27</v>
      </c>
      <c r="J1114" s="4">
        <v>157.6</v>
      </c>
      <c r="K1114">
        <v>0.20200000000000001</v>
      </c>
      <c r="L1114">
        <v>157.6</v>
      </c>
      <c r="M1114">
        <v>31.84</v>
      </c>
      <c r="N1114" s="5">
        <v>1.6016096579476862</v>
      </c>
      <c r="O1114" t="s">
        <v>100</v>
      </c>
      <c r="P1114" t="s">
        <v>340</v>
      </c>
      <c r="Q1114" t="s">
        <v>24</v>
      </c>
    </row>
    <row r="1115" spans="1:18" hidden="1" x14ac:dyDescent="0.25">
      <c r="A1115" s="2" t="s">
        <v>287</v>
      </c>
      <c r="B1115" s="3" t="str">
        <f t="shared" si="21"/>
        <v>18/3/15</v>
      </c>
      <c r="C1115">
        <v>15</v>
      </c>
      <c r="D1115">
        <v>3</v>
      </c>
      <c r="E1115">
        <v>18</v>
      </c>
      <c r="F1115" t="s">
        <v>99</v>
      </c>
      <c r="H1115" t="s">
        <v>40</v>
      </c>
      <c r="I1115" t="s">
        <v>27</v>
      </c>
      <c r="J1115" s="4">
        <v>10</v>
      </c>
      <c r="K1115">
        <v>1</v>
      </c>
      <c r="L1115">
        <v>10</v>
      </c>
      <c r="M1115">
        <v>10</v>
      </c>
      <c r="N1115" s="5">
        <v>0.50301810865191154</v>
      </c>
      <c r="O1115" t="s">
        <v>100</v>
      </c>
      <c r="P1115" t="s">
        <v>340</v>
      </c>
      <c r="Q1115" t="s">
        <v>24</v>
      </c>
    </row>
    <row r="1116" spans="1:18" hidden="1" x14ac:dyDescent="0.25">
      <c r="A1116" s="2" t="s">
        <v>287</v>
      </c>
      <c r="B1116" s="3" t="str">
        <f t="shared" si="21"/>
        <v>18/3/16</v>
      </c>
      <c r="C1116">
        <v>16</v>
      </c>
      <c r="D1116">
        <v>3</v>
      </c>
      <c r="E1116">
        <v>18</v>
      </c>
      <c r="F1116" t="s">
        <v>342</v>
      </c>
      <c r="H1116" t="s">
        <v>56</v>
      </c>
      <c r="I1116" t="s">
        <v>27</v>
      </c>
      <c r="J1116" s="4">
        <v>37.99</v>
      </c>
      <c r="K1116">
        <v>1.0960000000000001</v>
      </c>
      <c r="L1116">
        <v>37.99</v>
      </c>
      <c r="M1116">
        <v>41.64</v>
      </c>
      <c r="N1116" s="5">
        <v>2.0945674044265594</v>
      </c>
      <c r="O1116" t="s">
        <v>101</v>
      </c>
      <c r="P1116" t="s">
        <v>340</v>
      </c>
      <c r="Q1116" t="s">
        <v>24</v>
      </c>
    </row>
    <row r="1117" spans="1:18" hidden="1" x14ac:dyDescent="0.25">
      <c r="A1117" s="2" t="s">
        <v>287</v>
      </c>
      <c r="B1117" s="3" t="str">
        <f t="shared" si="21"/>
        <v>18/3/16</v>
      </c>
      <c r="C1117">
        <v>16</v>
      </c>
      <c r="D1117">
        <v>3</v>
      </c>
      <c r="E1117">
        <v>18</v>
      </c>
      <c r="F1117" t="s">
        <v>60</v>
      </c>
      <c r="G1117" t="s">
        <v>31</v>
      </c>
      <c r="H1117" t="s">
        <v>26</v>
      </c>
      <c r="I1117" t="s">
        <v>27</v>
      </c>
      <c r="J1117" s="4">
        <v>7</v>
      </c>
      <c r="K1117">
        <v>4</v>
      </c>
      <c r="L1117">
        <v>7</v>
      </c>
      <c r="M1117">
        <v>28</v>
      </c>
      <c r="N1117" s="5">
        <v>1.4084507042253522</v>
      </c>
      <c r="O1117" t="s">
        <v>1472</v>
      </c>
      <c r="P1117" t="s">
        <v>340</v>
      </c>
      <c r="Q1117" t="s">
        <v>24</v>
      </c>
    </row>
    <row r="1118" spans="1:18" hidden="1" x14ac:dyDescent="0.25">
      <c r="A1118" s="2" t="s">
        <v>287</v>
      </c>
      <c r="B1118" s="3" t="str">
        <f t="shared" si="21"/>
        <v>18/3/16</v>
      </c>
      <c r="C1118">
        <v>16</v>
      </c>
      <c r="D1118">
        <v>3</v>
      </c>
      <c r="E1118">
        <v>18</v>
      </c>
      <c r="F1118" t="s">
        <v>343</v>
      </c>
      <c r="H1118" t="s">
        <v>49</v>
      </c>
      <c r="I1118" t="s">
        <v>50</v>
      </c>
      <c r="J1118" s="4">
        <v>630</v>
      </c>
      <c r="K1118">
        <v>1</v>
      </c>
      <c r="L1118">
        <v>620</v>
      </c>
      <c r="M1118">
        <v>620</v>
      </c>
      <c r="N1118" s="5">
        <v>31.187122736418512</v>
      </c>
      <c r="O1118" t="s">
        <v>344</v>
      </c>
      <c r="P1118" t="s">
        <v>340</v>
      </c>
      <c r="Q1118" t="s">
        <v>24</v>
      </c>
    </row>
    <row r="1119" spans="1:18" hidden="1" x14ac:dyDescent="0.25">
      <c r="A1119" s="2" t="s">
        <v>287</v>
      </c>
      <c r="B1119" s="3" t="str">
        <f t="shared" si="21"/>
        <v>18/3/16</v>
      </c>
      <c r="C1119">
        <v>16</v>
      </c>
      <c r="D1119">
        <v>3</v>
      </c>
      <c r="E1119">
        <v>18</v>
      </c>
      <c r="F1119" t="s">
        <v>258</v>
      </c>
      <c r="G1119" t="s">
        <v>39</v>
      </c>
      <c r="H1119" t="s">
        <v>65</v>
      </c>
      <c r="I1119" t="s">
        <v>27</v>
      </c>
      <c r="J1119" s="4">
        <v>37.5</v>
      </c>
      <c r="K1119">
        <v>2</v>
      </c>
      <c r="L1119">
        <v>37.5</v>
      </c>
      <c r="M1119">
        <v>75</v>
      </c>
      <c r="N1119" s="5">
        <v>3.7726358148893362</v>
      </c>
      <c r="O1119" t="s">
        <v>100</v>
      </c>
      <c r="P1119" t="s">
        <v>340</v>
      </c>
      <c r="Q1119" t="s">
        <v>24</v>
      </c>
    </row>
    <row r="1120" spans="1:18" hidden="1" x14ac:dyDescent="0.25">
      <c r="A1120" s="2" t="s">
        <v>287</v>
      </c>
      <c r="B1120" s="3" t="str">
        <f t="shared" si="21"/>
        <v>18/3/16</v>
      </c>
      <c r="C1120">
        <v>16</v>
      </c>
      <c r="D1120">
        <v>3</v>
      </c>
      <c r="E1120">
        <v>18</v>
      </c>
      <c r="F1120" t="s">
        <v>2242</v>
      </c>
      <c r="G1120" t="s">
        <v>345</v>
      </c>
      <c r="H1120" t="s">
        <v>26</v>
      </c>
      <c r="I1120" t="s">
        <v>27</v>
      </c>
      <c r="J1120" s="4">
        <v>6.02</v>
      </c>
      <c r="K1120">
        <v>1</v>
      </c>
      <c r="L1120">
        <v>6.02</v>
      </c>
      <c r="M1120">
        <v>6.02</v>
      </c>
      <c r="N1120" s="5">
        <v>0.30281690140845069</v>
      </c>
      <c r="O1120" t="s">
        <v>1472</v>
      </c>
      <c r="P1120" t="s">
        <v>340</v>
      </c>
      <c r="Q1120" t="s">
        <v>24</v>
      </c>
    </row>
    <row r="1121" spans="1:18" hidden="1" x14ac:dyDescent="0.25">
      <c r="A1121" s="2" t="s">
        <v>287</v>
      </c>
      <c r="B1121" s="3" t="str">
        <f t="shared" si="21"/>
        <v>18/3/16</v>
      </c>
      <c r="C1121">
        <v>16</v>
      </c>
      <c r="D1121">
        <v>3</v>
      </c>
      <c r="E1121">
        <v>18</v>
      </c>
      <c r="F1121" t="s">
        <v>38</v>
      </c>
      <c r="G1121" t="s">
        <v>38</v>
      </c>
      <c r="H1121" t="s">
        <v>39</v>
      </c>
      <c r="I1121" t="s">
        <v>27</v>
      </c>
      <c r="J1121" s="4">
        <v>126</v>
      </c>
      <c r="K1121">
        <v>0.26200000000000001</v>
      </c>
      <c r="L1121">
        <v>126</v>
      </c>
      <c r="M1121">
        <v>33.01</v>
      </c>
      <c r="N1121" s="5">
        <v>1.6604627766599598</v>
      </c>
      <c r="O1121" t="s">
        <v>100</v>
      </c>
      <c r="P1121" t="s">
        <v>340</v>
      </c>
      <c r="Q1121" t="s">
        <v>24</v>
      </c>
    </row>
    <row r="1122" spans="1:18" hidden="1" x14ac:dyDescent="0.25">
      <c r="A1122" s="2" t="s">
        <v>287</v>
      </c>
      <c r="B1122" s="3" t="str">
        <f t="shared" si="21"/>
        <v>18/3/16</v>
      </c>
      <c r="C1122">
        <v>16</v>
      </c>
      <c r="D1122">
        <v>3</v>
      </c>
      <c r="E1122">
        <v>18</v>
      </c>
      <c r="F1122" t="s">
        <v>210</v>
      </c>
      <c r="G1122" t="s">
        <v>210</v>
      </c>
      <c r="H1122" t="s">
        <v>131</v>
      </c>
      <c r="I1122" t="s">
        <v>27</v>
      </c>
      <c r="J1122" s="4">
        <v>54.5</v>
      </c>
      <c r="K1122">
        <v>1</v>
      </c>
      <c r="L1122">
        <v>54.5</v>
      </c>
      <c r="M1122">
        <v>54.5</v>
      </c>
      <c r="N1122" s="5">
        <v>2.7414486921529178</v>
      </c>
      <c r="O1122" t="s">
        <v>100</v>
      </c>
      <c r="P1122" t="s">
        <v>340</v>
      </c>
      <c r="Q1122" t="s">
        <v>24</v>
      </c>
    </row>
    <row r="1123" spans="1:18" hidden="1" x14ac:dyDescent="0.25">
      <c r="A1123" s="2" t="s">
        <v>287</v>
      </c>
      <c r="B1123" s="3" t="str">
        <f t="shared" si="21"/>
        <v>18/3/16</v>
      </c>
      <c r="C1123">
        <v>16</v>
      </c>
      <c r="D1123">
        <v>3</v>
      </c>
      <c r="E1123">
        <v>18</v>
      </c>
      <c r="F1123" t="s">
        <v>73</v>
      </c>
      <c r="H1123" t="s">
        <v>73</v>
      </c>
      <c r="I1123" t="s">
        <v>27</v>
      </c>
      <c r="J1123" s="4">
        <v>20.63</v>
      </c>
      <c r="K1123">
        <v>1</v>
      </c>
      <c r="L1123">
        <v>20.63</v>
      </c>
      <c r="M1123">
        <v>20.63</v>
      </c>
      <c r="N1123" s="5">
        <v>1.0377263581488934</v>
      </c>
      <c r="O1123" t="s">
        <v>1472</v>
      </c>
      <c r="P1123" t="s">
        <v>340</v>
      </c>
      <c r="Q1123" t="s">
        <v>24</v>
      </c>
    </row>
    <row r="1124" spans="1:18" hidden="1" x14ac:dyDescent="0.25">
      <c r="A1124" s="2" t="s">
        <v>287</v>
      </c>
      <c r="B1124" s="3" t="str">
        <f t="shared" si="21"/>
        <v>18/3/16</v>
      </c>
      <c r="C1124">
        <v>16</v>
      </c>
      <c r="D1124">
        <v>3</v>
      </c>
      <c r="E1124">
        <v>18</v>
      </c>
      <c r="F1124" s="7" t="s">
        <v>166</v>
      </c>
      <c r="G1124" t="s">
        <v>77</v>
      </c>
      <c r="H1124" t="s">
        <v>26</v>
      </c>
      <c r="I1124" t="s">
        <v>27</v>
      </c>
      <c r="J1124" s="4">
        <v>17.72</v>
      </c>
      <c r="K1124">
        <v>1</v>
      </c>
      <c r="L1124">
        <v>17.72</v>
      </c>
      <c r="M1124">
        <v>17.72</v>
      </c>
      <c r="N1124" s="5">
        <v>0.89134808853118708</v>
      </c>
      <c r="O1124" t="s">
        <v>1472</v>
      </c>
      <c r="P1124" t="s">
        <v>340</v>
      </c>
      <c r="Q1124" t="s">
        <v>24</v>
      </c>
    </row>
    <row r="1125" spans="1:18" hidden="1" x14ac:dyDescent="0.25">
      <c r="A1125" s="2" t="s">
        <v>287</v>
      </c>
      <c r="B1125" s="3" t="str">
        <f t="shared" si="21"/>
        <v>18/3/17</v>
      </c>
      <c r="C1125">
        <v>17</v>
      </c>
      <c r="D1125">
        <v>3</v>
      </c>
      <c r="E1125">
        <v>18</v>
      </c>
      <c r="F1125" t="s">
        <v>71</v>
      </c>
      <c r="I1125" t="s">
        <v>72</v>
      </c>
      <c r="J1125" s="4">
        <v>190</v>
      </c>
      <c r="K1125">
        <v>1</v>
      </c>
      <c r="L1125">
        <v>190</v>
      </c>
      <c r="M1125">
        <v>190</v>
      </c>
      <c r="N1125" s="5">
        <v>9.557344064386319</v>
      </c>
      <c r="O1125" t="s">
        <v>39</v>
      </c>
      <c r="Q1125" t="s">
        <v>24</v>
      </c>
      <c r="R1125" t="s">
        <v>230</v>
      </c>
    </row>
    <row r="1126" spans="1:18" hidden="1" x14ac:dyDescent="0.25">
      <c r="A1126" s="2" t="s">
        <v>287</v>
      </c>
      <c r="B1126" s="3" t="str">
        <f t="shared" si="21"/>
        <v>18/3/17</v>
      </c>
      <c r="C1126">
        <v>17</v>
      </c>
      <c r="D1126">
        <v>3</v>
      </c>
      <c r="E1126">
        <v>18</v>
      </c>
      <c r="F1126" t="s">
        <v>104</v>
      </c>
      <c r="I1126" t="s">
        <v>72</v>
      </c>
      <c r="J1126" s="4">
        <v>12.63</v>
      </c>
      <c r="K1126">
        <v>5</v>
      </c>
      <c r="L1126">
        <v>12.63</v>
      </c>
      <c r="M1126">
        <v>63.15</v>
      </c>
      <c r="N1126" s="5">
        <v>3.1765593561368211</v>
      </c>
      <c r="O1126" t="s">
        <v>233</v>
      </c>
      <c r="P1126" t="s">
        <v>340</v>
      </c>
      <c r="Q1126" t="s">
        <v>24</v>
      </c>
      <c r="R1126" t="s">
        <v>232</v>
      </c>
    </row>
    <row r="1127" spans="1:18" hidden="1" x14ac:dyDescent="0.25">
      <c r="A1127" s="2" t="s">
        <v>287</v>
      </c>
      <c r="B1127" s="3" t="str">
        <f t="shared" si="21"/>
        <v>18/3/17</v>
      </c>
      <c r="C1127">
        <v>17</v>
      </c>
      <c r="D1127">
        <v>3</v>
      </c>
      <c r="E1127">
        <v>18</v>
      </c>
      <c r="F1127" t="s">
        <v>104</v>
      </c>
      <c r="I1127" t="s">
        <v>72</v>
      </c>
      <c r="J1127" s="4">
        <v>15.1</v>
      </c>
      <c r="K1127">
        <v>1</v>
      </c>
      <c r="L1127">
        <v>15.1</v>
      </c>
      <c r="M1127">
        <v>15.1</v>
      </c>
      <c r="N1127" s="5">
        <v>0.75955734406438635</v>
      </c>
      <c r="O1127" t="s">
        <v>233</v>
      </c>
      <c r="P1127" t="s">
        <v>340</v>
      </c>
      <c r="Q1127" t="s">
        <v>24</v>
      </c>
      <c r="R1127" t="s">
        <v>346</v>
      </c>
    </row>
    <row r="1128" spans="1:18" hidden="1" x14ac:dyDescent="0.25">
      <c r="A1128" s="2" t="s">
        <v>287</v>
      </c>
      <c r="B1128" s="3" t="str">
        <f t="shared" si="21"/>
        <v>18/3/17</v>
      </c>
      <c r="C1128">
        <v>17</v>
      </c>
      <c r="D1128">
        <v>3</v>
      </c>
      <c r="E1128">
        <v>18</v>
      </c>
      <c r="F1128" t="s">
        <v>104</v>
      </c>
      <c r="I1128" t="s">
        <v>72</v>
      </c>
      <c r="J1128" s="4">
        <v>82.86</v>
      </c>
      <c r="K1128">
        <v>1</v>
      </c>
      <c r="L1128">
        <v>82.86</v>
      </c>
      <c r="M1128">
        <v>82.86</v>
      </c>
      <c r="N1128" s="5">
        <v>4.1680080482897388</v>
      </c>
      <c r="O1128" t="s">
        <v>233</v>
      </c>
      <c r="P1128" t="s">
        <v>340</v>
      </c>
      <c r="Q1128" t="s">
        <v>24</v>
      </c>
      <c r="R1128" t="s">
        <v>347</v>
      </c>
    </row>
    <row r="1129" spans="1:18" hidden="1" x14ac:dyDescent="0.25">
      <c r="A1129" s="2" t="s">
        <v>287</v>
      </c>
      <c r="B1129" s="3" t="str">
        <f t="shared" si="21"/>
        <v>18/3/17</v>
      </c>
      <c r="C1129">
        <v>17</v>
      </c>
      <c r="D1129">
        <v>3</v>
      </c>
      <c r="E1129">
        <v>18</v>
      </c>
      <c r="F1129" t="s">
        <v>210</v>
      </c>
      <c r="G1129" t="s">
        <v>210</v>
      </c>
      <c r="H1129" t="s">
        <v>131</v>
      </c>
      <c r="I1129" t="s">
        <v>27</v>
      </c>
      <c r="J1129" s="4">
        <v>54.5</v>
      </c>
      <c r="K1129">
        <v>1</v>
      </c>
      <c r="L1129">
        <v>54.5</v>
      </c>
      <c r="M1129">
        <v>54.5</v>
      </c>
      <c r="N1129" s="5">
        <v>2.7414486921529178</v>
      </c>
      <c r="O1129" t="s">
        <v>100</v>
      </c>
      <c r="P1129" t="s">
        <v>340</v>
      </c>
      <c r="Q1129" t="s">
        <v>24</v>
      </c>
    </row>
    <row r="1130" spans="1:18" hidden="1" x14ac:dyDescent="0.25">
      <c r="A1130" s="2" t="s">
        <v>287</v>
      </c>
      <c r="B1130" s="3" t="str">
        <f t="shared" si="21"/>
        <v>18/3/17</v>
      </c>
      <c r="C1130">
        <v>17</v>
      </c>
      <c r="D1130">
        <v>3</v>
      </c>
      <c r="E1130">
        <v>18</v>
      </c>
      <c r="F1130" t="s">
        <v>146</v>
      </c>
      <c r="H1130" t="s">
        <v>49</v>
      </c>
      <c r="I1130" t="s">
        <v>50</v>
      </c>
      <c r="J1130" s="4">
        <v>0.75</v>
      </c>
      <c r="K1130">
        <v>1</v>
      </c>
      <c r="L1130">
        <v>0.75</v>
      </c>
      <c r="M1130">
        <v>0.75</v>
      </c>
      <c r="N1130" s="5">
        <v>3.7726358148893364E-2</v>
      </c>
      <c r="O1130" t="s">
        <v>100</v>
      </c>
      <c r="P1130" t="s">
        <v>340</v>
      </c>
      <c r="Q1130" t="s">
        <v>24</v>
      </c>
    </row>
    <row r="1131" spans="1:18" hidden="1" x14ac:dyDescent="0.25">
      <c r="A1131" s="2" t="s">
        <v>287</v>
      </c>
      <c r="B1131" s="3" t="str">
        <f t="shared" si="21"/>
        <v>18/3/17</v>
      </c>
      <c r="C1131">
        <v>17</v>
      </c>
      <c r="D1131">
        <v>3</v>
      </c>
      <c r="E1131">
        <v>18</v>
      </c>
      <c r="F1131" t="s">
        <v>146</v>
      </c>
      <c r="H1131" t="s">
        <v>49</v>
      </c>
      <c r="I1131" t="s">
        <v>50</v>
      </c>
      <c r="J1131" s="4">
        <v>0.3</v>
      </c>
      <c r="K1131">
        <v>1</v>
      </c>
      <c r="L1131">
        <v>0.3</v>
      </c>
      <c r="M1131">
        <v>0.3</v>
      </c>
      <c r="N1131" s="5">
        <v>1.5090543259557344E-2</v>
      </c>
      <c r="O1131" t="s">
        <v>233</v>
      </c>
      <c r="P1131" t="s">
        <v>340</v>
      </c>
      <c r="Q1131" t="s">
        <v>24</v>
      </c>
    </row>
    <row r="1132" spans="1:18" hidden="1" x14ac:dyDescent="0.25">
      <c r="A1132" s="2" t="s">
        <v>287</v>
      </c>
      <c r="B1132" s="3" t="str">
        <f t="shared" si="21"/>
        <v>18/3/17</v>
      </c>
      <c r="C1132">
        <v>17</v>
      </c>
      <c r="D1132">
        <v>3</v>
      </c>
      <c r="E1132">
        <v>18</v>
      </c>
      <c r="F1132" t="s">
        <v>99</v>
      </c>
      <c r="H1132" t="s">
        <v>40</v>
      </c>
      <c r="I1132" t="s">
        <v>27</v>
      </c>
      <c r="J1132" s="4">
        <v>10</v>
      </c>
      <c r="K1132">
        <v>1</v>
      </c>
      <c r="L1132">
        <v>10</v>
      </c>
      <c r="M1132">
        <v>10</v>
      </c>
      <c r="N1132" s="5">
        <v>0.50301810865191154</v>
      </c>
      <c r="O1132" t="s">
        <v>100</v>
      </c>
      <c r="P1132" t="s">
        <v>340</v>
      </c>
      <c r="Q1132" t="s">
        <v>24</v>
      </c>
    </row>
    <row r="1133" spans="1:18" hidden="1" x14ac:dyDescent="0.25">
      <c r="A1133" s="2" t="s">
        <v>287</v>
      </c>
      <c r="B1133" s="3" t="str">
        <f t="shared" si="21"/>
        <v>18/3/17</v>
      </c>
      <c r="C1133">
        <v>17</v>
      </c>
      <c r="D1133">
        <v>3</v>
      </c>
      <c r="E1133">
        <v>18</v>
      </c>
      <c r="F1133" t="s">
        <v>226</v>
      </c>
      <c r="H1133" t="s">
        <v>44</v>
      </c>
      <c r="I1133" t="s">
        <v>27</v>
      </c>
      <c r="J1133" s="4">
        <v>27.5</v>
      </c>
      <c r="K1133">
        <v>1</v>
      </c>
      <c r="L1133">
        <v>27.5</v>
      </c>
      <c r="M1133">
        <v>27.5</v>
      </c>
      <c r="N1133" s="5">
        <v>1.3832997987927567</v>
      </c>
      <c r="O1133" t="s">
        <v>100</v>
      </c>
      <c r="P1133" t="s">
        <v>340</v>
      </c>
      <c r="Q1133" t="s">
        <v>24</v>
      </c>
    </row>
    <row r="1134" spans="1:18" hidden="1" x14ac:dyDescent="0.25">
      <c r="A1134" s="2" t="s">
        <v>287</v>
      </c>
      <c r="B1134" s="3" t="str">
        <f t="shared" si="21"/>
        <v>18/3/17</v>
      </c>
      <c r="C1134">
        <v>17</v>
      </c>
      <c r="D1134">
        <v>3</v>
      </c>
      <c r="E1134">
        <v>18</v>
      </c>
      <c r="F1134" t="s">
        <v>104</v>
      </c>
      <c r="I1134" t="s">
        <v>72</v>
      </c>
      <c r="J1134" s="4">
        <v>174.19</v>
      </c>
      <c r="K1134">
        <v>2</v>
      </c>
      <c r="L1134">
        <v>174.19</v>
      </c>
      <c r="M1134">
        <v>348.38</v>
      </c>
      <c r="N1134" s="5">
        <v>17.524144869215291</v>
      </c>
      <c r="O1134" t="s">
        <v>233</v>
      </c>
      <c r="P1134" t="s">
        <v>340</v>
      </c>
      <c r="Q1134" t="s">
        <v>24</v>
      </c>
      <c r="R1134" t="s">
        <v>348</v>
      </c>
    </row>
    <row r="1135" spans="1:18" hidden="1" x14ac:dyDescent="0.25">
      <c r="A1135" s="2" t="s">
        <v>287</v>
      </c>
      <c r="B1135" s="3" t="str">
        <f t="shared" si="21"/>
        <v>18/3/17</v>
      </c>
      <c r="C1135">
        <v>17</v>
      </c>
      <c r="D1135">
        <v>3</v>
      </c>
      <c r="E1135">
        <v>18</v>
      </c>
      <c r="F1135" t="s">
        <v>176</v>
      </c>
      <c r="H1135" t="s">
        <v>176</v>
      </c>
      <c r="I1135" t="s">
        <v>105</v>
      </c>
      <c r="J1135" s="4">
        <v>197</v>
      </c>
      <c r="K1135">
        <v>1</v>
      </c>
      <c r="L1135">
        <v>197</v>
      </c>
      <c r="M1135">
        <v>197</v>
      </c>
      <c r="N1135" s="5">
        <v>9.909456740442657</v>
      </c>
      <c r="O1135" t="s">
        <v>39</v>
      </c>
      <c r="Q1135" t="s">
        <v>24</v>
      </c>
    </row>
    <row r="1136" spans="1:18" hidden="1" x14ac:dyDescent="0.25">
      <c r="A1136" s="2" t="s">
        <v>287</v>
      </c>
      <c r="B1136" s="3" t="str">
        <f t="shared" si="21"/>
        <v>18/3/17</v>
      </c>
      <c r="C1136">
        <v>17</v>
      </c>
      <c r="D1136">
        <v>3</v>
      </c>
      <c r="E1136">
        <v>18</v>
      </c>
      <c r="F1136" t="s">
        <v>168</v>
      </c>
      <c r="H1136" t="s">
        <v>168</v>
      </c>
      <c r="I1136" t="s">
        <v>105</v>
      </c>
      <c r="J1136" s="4">
        <v>212</v>
      </c>
      <c r="K1136">
        <v>1</v>
      </c>
      <c r="L1136">
        <v>212</v>
      </c>
      <c r="M1136">
        <v>212</v>
      </c>
      <c r="N1136" s="5">
        <v>10.663983903420524</v>
      </c>
      <c r="O1136" t="s">
        <v>39</v>
      </c>
      <c r="Q1136" t="s">
        <v>24</v>
      </c>
    </row>
    <row r="1137" spans="1:18" hidden="1" x14ac:dyDescent="0.25">
      <c r="A1137" s="2" t="s">
        <v>287</v>
      </c>
      <c r="B1137" s="3" t="str">
        <f t="shared" si="21"/>
        <v>18/3/17</v>
      </c>
      <c r="C1137">
        <v>17</v>
      </c>
      <c r="D1137">
        <v>3</v>
      </c>
      <c r="E1137">
        <v>18</v>
      </c>
      <c r="F1137" t="s">
        <v>169</v>
      </c>
      <c r="H1137" t="s">
        <v>170</v>
      </c>
      <c r="I1137" t="s">
        <v>105</v>
      </c>
      <c r="J1137" s="4">
        <v>210</v>
      </c>
      <c r="K1137">
        <v>1</v>
      </c>
      <c r="L1137">
        <v>210</v>
      </c>
      <c r="M1137">
        <v>210</v>
      </c>
      <c r="N1137" s="5">
        <v>10.563380281690142</v>
      </c>
      <c r="O1137" t="s">
        <v>39</v>
      </c>
      <c r="Q1137" t="s">
        <v>24</v>
      </c>
    </row>
    <row r="1138" spans="1:18" hidden="1" x14ac:dyDescent="0.25">
      <c r="A1138" s="2" t="s">
        <v>287</v>
      </c>
      <c r="B1138" s="3" t="str">
        <f t="shared" si="21"/>
        <v>18/3/17</v>
      </c>
      <c r="C1138">
        <v>17</v>
      </c>
      <c r="D1138">
        <v>3</v>
      </c>
      <c r="E1138">
        <v>18</v>
      </c>
      <c r="F1138" t="s">
        <v>179</v>
      </c>
      <c r="H1138" t="s">
        <v>179</v>
      </c>
      <c r="I1138" t="s">
        <v>105</v>
      </c>
      <c r="J1138" s="4">
        <v>419</v>
      </c>
      <c r="K1138">
        <v>1</v>
      </c>
      <c r="L1138">
        <v>419</v>
      </c>
      <c r="M1138">
        <v>419</v>
      </c>
      <c r="N1138" s="5">
        <v>21.076458752515091</v>
      </c>
      <c r="O1138" t="s">
        <v>39</v>
      </c>
      <c r="Q1138" t="s">
        <v>24</v>
      </c>
    </row>
    <row r="1139" spans="1:18" hidden="1" x14ac:dyDescent="0.25">
      <c r="A1139" s="2" t="s">
        <v>287</v>
      </c>
      <c r="B1139" s="3" t="str">
        <f t="shared" si="21"/>
        <v>18/3/18</v>
      </c>
      <c r="C1139">
        <v>18</v>
      </c>
      <c r="D1139">
        <v>3</v>
      </c>
      <c r="E1139">
        <v>18</v>
      </c>
      <c r="F1139" t="s">
        <v>108</v>
      </c>
      <c r="H1139" t="s">
        <v>54</v>
      </c>
      <c r="I1139" t="s">
        <v>27</v>
      </c>
      <c r="J1139" s="4">
        <v>51.25</v>
      </c>
      <c r="K1139">
        <v>0.23499999999999999</v>
      </c>
      <c r="L1139">
        <v>51.25</v>
      </c>
      <c r="M1139">
        <v>12.04</v>
      </c>
      <c r="N1139" s="5">
        <v>0.60563380281690138</v>
      </c>
      <c r="O1139" t="s">
        <v>100</v>
      </c>
      <c r="P1139" t="s">
        <v>340</v>
      </c>
      <c r="Q1139" t="s">
        <v>24</v>
      </c>
    </row>
    <row r="1140" spans="1:18" hidden="1" x14ac:dyDescent="0.25">
      <c r="A1140" s="2" t="s">
        <v>287</v>
      </c>
      <c r="B1140" s="3" t="str">
        <f t="shared" si="21"/>
        <v>18/3/18</v>
      </c>
      <c r="C1140">
        <v>18</v>
      </c>
      <c r="D1140">
        <v>3</v>
      </c>
      <c r="E1140">
        <v>18</v>
      </c>
      <c r="F1140" t="s">
        <v>1537</v>
      </c>
      <c r="I1140" t="s">
        <v>139</v>
      </c>
      <c r="J1140" s="4">
        <v>350</v>
      </c>
      <c r="K1140">
        <v>1</v>
      </c>
      <c r="L1140">
        <v>350</v>
      </c>
      <c r="M1140">
        <v>100</v>
      </c>
      <c r="N1140" s="5">
        <v>5.0301810865191152</v>
      </c>
      <c r="O1140" t="s">
        <v>349</v>
      </c>
      <c r="P1140" t="s">
        <v>340</v>
      </c>
      <c r="Q1140" t="s">
        <v>24</v>
      </c>
      <c r="R1140" t="s">
        <v>1535</v>
      </c>
    </row>
    <row r="1141" spans="1:18" hidden="1" x14ac:dyDescent="0.25">
      <c r="A1141" s="2" t="s">
        <v>287</v>
      </c>
      <c r="B1141" s="3" t="str">
        <f t="shared" si="21"/>
        <v>18/3/18</v>
      </c>
      <c r="C1141">
        <v>18</v>
      </c>
      <c r="D1141">
        <v>3</v>
      </c>
      <c r="E1141">
        <v>18</v>
      </c>
      <c r="F1141" t="s">
        <v>1537</v>
      </c>
      <c r="I1141" t="s">
        <v>139</v>
      </c>
      <c r="J1141" s="4">
        <v>283</v>
      </c>
      <c r="K1141">
        <v>1</v>
      </c>
      <c r="L1141">
        <v>283</v>
      </c>
      <c r="M1141">
        <v>33</v>
      </c>
      <c r="N1141" s="5">
        <v>1.659959758551308</v>
      </c>
      <c r="O1141" t="s">
        <v>349</v>
      </c>
      <c r="P1141" t="s">
        <v>340</v>
      </c>
      <c r="Q1141" t="s">
        <v>24</v>
      </c>
      <c r="R1141" t="s">
        <v>1536</v>
      </c>
    </row>
    <row r="1142" spans="1:18" hidden="1" x14ac:dyDescent="0.25">
      <c r="A1142" s="2" t="s">
        <v>287</v>
      </c>
      <c r="B1142" s="3" t="str">
        <f t="shared" si="21"/>
        <v>18/3/18</v>
      </c>
      <c r="C1142">
        <v>18</v>
      </c>
      <c r="D1142">
        <v>3</v>
      </c>
      <c r="E1142">
        <v>18</v>
      </c>
      <c r="F1142" t="s">
        <v>350</v>
      </c>
      <c r="G1142" t="s">
        <v>155</v>
      </c>
      <c r="H1142" t="s">
        <v>131</v>
      </c>
      <c r="I1142" t="s">
        <v>27</v>
      </c>
      <c r="J1142" s="4">
        <v>25</v>
      </c>
      <c r="K1142">
        <v>1</v>
      </c>
      <c r="L1142">
        <v>25</v>
      </c>
      <c r="M1142">
        <v>25</v>
      </c>
      <c r="N1142" s="5">
        <v>1.2575452716297788</v>
      </c>
      <c r="O1142" t="s">
        <v>100</v>
      </c>
      <c r="P1142" t="s">
        <v>340</v>
      </c>
      <c r="Q1142" t="s">
        <v>24</v>
      </c>
    </row>
    <row r="1143" spans="1:18" hidden="1" x14ac:dyDescent="0.25">
      <c r="A1143" s="2" t="s">
        <v>287</v>
      </c>
      <c r="B1143" s="3" t="str">
        <f t="shared" si="21"/>
        <v>18/3/18</v>
      </c>
      <c r="C1143">
        <v>18</v>
      </c>
      <c r="D1143">
        <v>3</v>
      </c>
      <c r="E1143">
        <v>18</v>
      </c>
      <c r="F1143" t="s">
        <v>350</v>
      </c>
      <c r="G1143" t="s">
        <v>155</v>
      </c>
      <c r="H1143" t="s">
        <v>131</v>
      </c>
      <c r="I1143" t="s">
        <v>27</v>
      </c>
      <c r="J1143" s="4">
        <v>54.5</v>
      </c>
      <c r="K1143">
        <v>1</v>
      </c>
      <c r="L1143">
        <v>54.5</v>
      </c>
      <c r="M1143">
        <v>54.5</v>
      </c>
      <c r="N1143" s="5">
        <v>2.7414486921529178</v>
      </c>
      <c r="O1143" t="s">
        <v>100</v>
      </c>
      <c r="P1143" t="s">
        <v>340</v>
      </c>
      <c r="Q1143" t="s">
        <v>24</v>
      </c>
    </row>
    <row r="1144" spans="1:18" hidden="1" x14ac:dyDescent="0.25">
      <c r="A1144" s="2" t="s">
        <v>287</v>
      </c>
      <c r="B1144" s="3" t="str">
        <f t="shared" si="21"/>
        <v>18/3/18</v>
      </c>
      <c r="C1144">
        <v>18</v>
      </c>
      <c r="D1144">
        <v>3</v>
      </c>
      <c r="E1144">
        <v>18</v>
      </c>
      <c r="F1144" t="s">
        <v>350</v>
      </c>
      <c r="G1144" t="s">
        <v>155</v>
      </c>
      <c r="H1144" t="s">
        <v>131</v>
      </c>
      <c r="I1144" t="s">
        <v>27</v>
      </c>
      <c r="J1144" s="4">
        <v>42.15</v>
      </c>
      <c r="K1144">
        <v>1</v>
      </c>
      <c r="L1144">
        <v>42.15</v>
      </c>
      <c r="M1144">
        <v>42.15</v>
      </c>
      <c r="N1144" s="5">
        <v>2.120221327967807</v>
      </c>
      <c r="O1144" t="s">
        <v>100</v>
      </c>
      <c r="P1144" t="s">
        <v>340</v>
      </c>
      <c r="Q1144" t="s">
        <v>24</v>
      </c>
    </row>
    <row r="1145" spans="1:18" hidden="1" x14ac:dyDescent="0.25">
      <c r="A1145" s="2" t="s">
        <v>287</v>
      </c>
      <c r="B1145" s="3" t="str">
        <f t="shared" si="21"/>
        <v>18/3/18</v>
      </c>
      <c r="C1145">
        <v>18</v>
      </c>
      <c r="D1145">
        <v>3</v>
      </c>
      <c r="E1145">
        <v>18</v>
      </c>
      <c r="F1145" t="s">
        <v>210</v>
      </c>
      <c r="G1145" t="s">
        <v>210</v>
      </c>
      <c r="H1145" t="s">
        <v>131</v>
      </c>
      <c r="I1145" t="s">
        <v>27</v>
      </c>
      <c r="J1145" s="4">
        <v>54</v>
      </c>
      <c r="K1145">
        <v>1</v>
      </c>
      <c r="L1145">
        <v>54</v>
      </c>
      <c r="M1145">
        <v>54</v>
      </c>
      <c r="N1145" s="5">
        <v>2.7162977867203222</v>
      </c>
      <c r="O1145" t="s">
        <v>100</v>
      </c>
      <c r="P1145" t="s">
        <v>340</v>
      </c>
      <c r="Q1145" t="s">
        <v>24</v>
      </c>
    </row>
    <row r="1146" spans="1:18" hidden="1" x14ac:dyDescent="0.25">
      <c r="A1146" s="2" t="s">
        <v>287</v>
      </c>
      <c r="B1146" s="3" t="str">
        <f t="shared" si="21"/>
        <v>18/3/18</v>
      </c>
      <c r="C1146">
        <v>18</v>
      </c>
      <c r="D1146">
        <v>3</v>
      </c>
      <c r="E1146">
        <v>18</v>
      </c>
      <c r="F1146" t="s">
        <v>351</v>
      </c>
      <c r="H1146" t="s">
        <v>40</v>
      </c>
      <c r="I1146" t="s">
        <v>27</v>
      </c>
      <c r="J1146" s="4">
        <v>14</v>
      </c>
      <c r="K1146">
        <v>1</v>
      </c>
      <c r="L1146">
        <v>14</v>
      </c>
      <c r="M1146">
        <v>14</v>
      </c>
      <c r="N1146" s="5">
        <v>0.70422535211267612</v>
      </c>
      <c r="O1146" t="s">
        <v>100</v>
      </c>
      <c r="P1146" t="s">
        <v>340</v>
      </c>
      <c r="Q1146" t="s">
        <v>24</v>
      </c>
    </row>
    <row r="1147" spans="1:18" hidden="1" x14ac:dyDescent="0.25">
      <c r="A1147" s="2" t="s">
        <v>287</v>
      </c>
      <c r="B1147" s="3" t="str">
        <f t="shared" si="21"/>
        <v>18/3/19</v>
      </c>
      <c r="C1147">
        <v>19</v>
      </c>
      <c r="D1147">
        <v>3</v>
      </c>
      <c r="E1147">
        <v>18</v>
      </c>
      <c r="F1147" t="s">
        <v>94</v>
      </c>
      <c r="I1147" t="s">
        <v>87</v>
      </c>
      <c r="J1147" s="4">
        <v>120</v>
      </c>
      <c r="K1147">
        <v>1</v>
      </c>
      <c r="L1147">
        <v>120</v>
      </c>
      <c r="M1147">
        <v>120</v>
      </c>
      <c r="N1147" s="5">
        <v>6.0362173038229381</v>
      </c>
      <c r="O1147" t="s">
        <v>39</v>
      </c>
      <c r="Q1147" t="s">
        <v>24</v>
      </c>
    </row>
    <row r="1148" spans="1:18" hidden="1" x14ac:dyDescent="0.25">
      <c r="A1148" s="2" t="s">
        <v>287</v>
      </c>
      <c r="B1148" s="3" t="str">
        <f t="shared" si="21"/>
        <v>18/3/19</v>
      </c>
      <c r="C1148">
        <v>19</v>
      </c>
      <c r="D1148">
        <v>3</v>
      </c>
      <c r="E1148">
        <v>18</v>
      </c>
      <c r="F1148" t="s">
        <v>189</v>
      </c>
      <c r="H1148" t="s">
        <v>172</v>
      </c>
      <c r="I1148" t="s">
        <v>39</v>
      </c>
      <c r="J1148" s="4">
        <v>40</v>
      </c>
      <c r="K1148">
        <v>1</v>
      </c>
      <c r="L1148">
        <v>40</v>
      </c>
      <c r="M1148">
        <v>40</v>
      </c>
      <c r="N1148" s="5">
        <v>2.0120724346076462</v>
      </c>
      <c r="O1148" t="s">
        <v>39</v>
      </c>
      <c r="Q1148" t="s">
        <v>24</v>
      </c>
    </row>
    <row r="1149" spans="1:18" hidden="1" x14ac:dyDescent="0.25">
      <c r="A1149" s="2" t="s">
        <v>287</v>
      </c>
      <c r="B1149" s="3" t="str">
        <f t="shared" si="21"/>
        <v>18/3/19</v>
      </c>
      <c r="C1149">
        <v>19</v>
      </c>
      <c r="D1149">
        <v>3</v>
      </c>
      <c r="E1149">
        <v>18</v>
      </c>
      <c r="F1149" t="s">
        <v>141</v>
      </c>
      <c r="H1149" t="s">
        <v>172</v>
      </c>
      <c r="I1149" t="s">
        <v>39</v>
      </c>
      <c r="J1149" s="4">
        <v>2</v>
      </c>
      <c r="K1149">
        <v>1</v>
      </c>
      <c r="L1149">
        <v>2</v>
      </c>
      <c r="M1149">
        <v>2</v>
      </c>
      <c r="N1149" s="5">
        <v>0.1006036217303823</v>
      </c>
      <c r="O1149" t="s">
        <v>39</v>
      </c>
      <c r="Q1149" t="s">
        <v>24</v>
      </c>
    </row>
    <row r="1150" spans="1:18" hidden="1" x14ac:dyDescent="0.25">
      <c r="A1150" s="2" t="s">
        <v>287</v>
      </c>
      <c r="B1150" s="3" t="str">
        <f t="shared" si="21"/>
        <v>18/3/2</v>
      </c>
      <c r="C1150">
        <v>2</v>
      </c>
      <c r="D1150">
        <v>3</v>
      </c>
      <c r="E1150">
        <v>18</v>
      </c>
      <c r="F1150" t="s">
        <v>210</v>
      </c>
      <c r="G1150" t="s">
        <v>210</v>
      </c>
      <c r="H1150" t="s">
        <v>131</v>
      </c>
      <c r="I1150" t="s">
        <v>27</v>
      </c>
      <c r="J1150" s="4">
        <v>54.5</v>
      </c>
      <c r="K1150">
        <v>1</v>
      </c>
      <c r="L1150">
        <v>54.5</v>
      </c>
      <c r="M1150">
        <v>54.5</v>
      </c>
      <c r="N1150" s="5">
        <v>2.7414486921529178</v>
      </c>
      <c r="O1150" t="s">
        <v>100</v>
      </c>
      <c r="P1150" t="s">
        <v>340</v>
      </c>
      <c r="Q1150" t="s">
        <v>24</v>
      </c>
    </row>
    <row r="1151" spans="1:18" hidden="1" x14ac:dyDescent="0.25">
      <c r="A1151" s="2" t="s">
        <v>287</v>
      </c>
      <c r="B1151" s="3" t="str">
        <f t="shared" si="21"/>
        <v>18/3/20</v>
      </c>
      <c r="C1151">
        <v>20</v>
      </c>
      <c r="D1151">
        <v>3</v>
      </c>
      <c r="E1151">
        <v>18</v>
      </c>
      <c r="F1151" t="s">
        <v>352</v>
      </c>
      <c r="H1151" t="s">
        <v>63</v>
      </c>
      <c r="I1151" t="s">
        <v>50</v>
      </c>
      <c r="J1151" s="4">
        <v>450</v>
      </c>
      <c r="K1151">
        <v>1</v>
      </c>
      <c r="L1151">
        <v>450</v>
      </c>
      <c r="M1151">
        <v>450</v>
      </c>
      <c r="N1151" s="5">
        <v>22.635814889336018</v>
      </c>
      <c r="O1151" t="s">
        <v>39</v>
      </c>
      <c r="P1151" t="s">
        <v>340</v>
      </c>
      <c r="Q1151" t="s">
        <v>24</v>
      </c>
    </row>
    <row r="1152" spans="1:18" hidden="1" x14ac:dyDescent="0.25">
      <c r="A1152" s="2" t="s">
        <v>287</v>
      </c>
      <c r="B1152" s="3" t="str">
        <f t="shared" si="21"/>
        <v>18/3/20</v>
      </c>
      <c r="C1152">
        <v>20</v>
      </c>
      <c r="D1152">
        <v>3</v>
      </c>
      <c r="E1152">
        <v>18</v>
      </c>
      <c r="F1152" t="s">
        <v>71</v>
      </c>
      <c r="I1152" t="s">
        <v>72</v>
      </c>
      <c r="J1152" s="4">
        <v>200</v>
      </c>
      <c r="K1152">
        <v>1</v>
      </c>
      <c r="L1152">
        <v>200</v>
      </c>
      <c r="M1152">
        <v>200</v>
      </c>
      <c r="N1152" s="5">
        <v>10.06036217303823</v>
      </c>
      <c r="O1152" t="s">
        <v>39</v>
      </c>
      <c r="P1152" t="s">
        <v>340</v>
      </c>
      <c r="Q1152" t="s">
        <v>24</v>
      </c>
      <c r="R1152" t="s">
        <v>70</v>
      </c>
    </row>
    <row r="1153" spans="1:18" hidden="1" x14ac:dyDescent="0.25">
      <c r="A1153" s="2" t="s">
        <v>287</v>
      </c>
      <c r="B1153" s="3" t="str">
        <f t="shared" si="21"/>
        <v>18/3/20</v>
      </c>
      <c r="C1153">
        <v>20</v>
      </c>
      <c r="D1153">
        <v>3</v>
      </c>
      <c r="E1153">
        <v>18</v>
      </c>
      <c r="F1153" t="s">
        <v>389</v>
      </c>
      <c r="H1153" t="s">
        <v>21</v>
      </c>
      <c r="I1153" t="s">
        <v>22</v>
      </c>
      <c r="J1153" s="4">
        <v>4</v>
      </c>
      <c r="K1153">
        <v>2</v>
      </c>
      <c r="L1153">
        <v>4</v>
      </c>
      <c r="M1153">
        <v>8</v>
      </c>
      <c r="N1153" s="5">
        <v>0.4024144869215292</v>
      </c>
      <c r="O1153" t="s">
        <v>354</v>
      </c>
      <c r="P1153" t="s">
        <v>340</v>
      </c>
      <c r="Q1153" t="s">
        <v>24</v>
      </c>
      <c r="R1153" t="s">
        <v>353</v>
      </c>
    </row>
    <row r="1154" spans="1:18" hidden="1" x14ac:dyDescent="0.25">
      <c r="A1154" s="2" t="s">
        <v>287</v>
      </c>
      <c r="B1154" s="3" t="str">
        <f t="shared" si="21"/>
        <v>18/3/20</v>
      </c>
      <c r="C1154">
        <v>20</v>
      </c>
      <c r="D1154">
        <v>3</v>
      </c>
      <c r="E1154">
        <v>18</v>
      </c>
      <c r="F1154" t="s">
        <v>141</v>
      </c>
      <c r="H1154" t="s">
        <v>172</v>
      </c>
      <c r="I1154" t="s">
        <v>39</v>
      </c>
      <c r="J1154" s="4">
        <v>5</v>
      </c>
      <c r="K1154">
        <v>1</v>
      </c>
      <c r="L1154">
        <v>5</v>
      </c>
      <c r="M1154">
        <v>5</v>
      </c>
      <c r="N1154" s="5">
        <v>0.25150905432595577</v>
      </c>
      <c r="O1154" t="s">
        <v>39</v>
      </c>
      <c r="Q1154" t="s">
        <v>24</v>
      </c>
    </row>
    <row r="1155" spans="1:18" hidden="1" x14ac:dyDescent="0.25">
      <c r="A1155" s="2" t="s">
        <v>287</v>
      </c>
      <c r="B1155" s="3" t="str">
        <f t="shared" si="21"/>
        <v>18/3/21</v>
      </c>
      <c r="C1155">
        <v>21</v>
      </c>
      <c r="D1155">
        <v>3</v>
      </c>
      <c r="E1155">
        <v>18</v>
      </c>
      <c r="F1155" t="s">
        <v>108</v>
      </c>
      <c r="H1155" t="s">
        <v>54</v>
      </c>
      <c r="I1155" t="s">
        <v>27</v>
      </c>
      <c r="J1155" s="4">
        <v>45.99</v>
      </c>
      <c r="K1155">
        <v>0.35</v>
      </c>
      <c r="L1155">
        <v>45.99</v>
      </c>
      <c r="M1155">
        <v>16.100000000000001</v>
      </c>
      <c r="N1155" s="5">
        <v>0.80985915492957761</v>
      </c>
      <c r="O1155" s="6" t="s">
        <v>28</v>
      </c>
      <c r="P1155" t="s">
        <v>340</v>
      </c>
      <c r="Q1155" t="s">
        <v>24</v>
      </c>
    </row>
    <row r="1156" spans="1:18" hidden="1" x14ac:dyDescent="0.25">
      <c r="A1156" s="2" t="s">
        <v>287</v>
      </c>
      <c r="B1156" s="3" t="str">
        <f t="shared" si="21"/>
        <v>18/3/21</v>
      </c>
      <c r="C1156">
        <v>21</v>
      </c>
      <c r="D1156">
        <v>3</v>
      </c>
      <c r="E1156">
        <v>18</v>
      </c>
      <c r="F1156" t="s">
        <v>202</v>
      </c>
      <c r="H1156" t="s">
        <v>54</v>
      </c>
      <c r="I1156" t="s">
        <v>27</v>
      </c>
      <c r="J1156" s="4">
        <v>99</v>
      </c>
      <c r="K1156">
        <v>0.23799999999999999</v>
      </c>
      <c r="L1156">
        <v>99</v>
      </c>
      <c r="M1156">
        <v>23.56</v>
      </c>
      <c r="N1156" s="5">
        <v>1.1851106639839035</v>
      </c>
      <c r="O1156" s="6" t="s">
        <v>28</v>
      </c>
      <c r="P1156" t="s">
        <v>340</v>
      </c>
      <c r="Q1156" t="s">
        <v>24</v>
      </c>
    </row>
    <row r="1157" spans="1:18" hidden="1" x14ac:dyDescent="0.25">
      <c r="A1157" s="2" t="s">
        <v>287</v>
      </c>
      <c r="B1157" s="3" t="str">
        <f t="shared" si="21"/>
        <v>18/3/21</v>
      </c>
      <c r="C1157">
        <v>21</v>
      </c>
      <c r="D1157">
        <v>3</v>
      </c>
      <c r="E1157">
        <v>18</v>
      </c>
      <c r="F1157" t="s">
        <v>342</v>
      </c>
      <c r="H1157" t="s">
        <v>56</v>
      </c>
      <c r="I1157" t="s">
        <v>27</v>
      </c>
      <c r="J1157" s="4">
        <v>37.99</v>
      </c>
      <c r="K1157">
        <v>0.83399999999999996</v>
      </c>
      <c r="L1157">
        <v>37.99</v>
      </c>
      <c r="M1157">
        <v>31.68</v>
      </c>
      <c r="N1157" s="5">
        <v>1.5935613682092555</v>
      </c>
      <c r="O1157" t="s">
        <v>101</v>
      </c>
      <c r="P1157" t="s">
        <v>340</v>
      </c>
      <c r="Q1157" t="s">
        <v>24</v>
      </c>
    </row>
    <row r="1158" spans="1:18" hidden="1" x14ac:dyDescent="0.25">
      <c r="A1158" s="2" t="s">
        <v>287</v>
      </c>
      <c r="B1158" s="3" t="str">
        <f t="shared" si="21"/>
        <v>18/3/21</v>
      </c>
      <c r="C1158">
        <v>21</v>
      </c>
      <c r="D1158">
        <v>3</v>
      </c>
      <c r="E1158">
        <v>18</v>
      </c>
      <c r="F1158" t="s">
        <v>109</v>
      </c>
      <c r="H1158" t="s">
        <v>54</v>
      </c>
      <c r="I1158" t="s">
        <v>27</v>
      </c>
      <c r="J1158" s="4">
        <v>24.99</v>
      </c>
      <c r="K1158">
        <v>0.27800000000000002</v>
      </c>
      <c r="L1158">
        <v>24.99</v>
      </c>
      <c r="M1158">
        <v>6.95</v>
      </c>
      <c r="N1158" s="5">
        <v>0.34959758551307851</v>
      </c>
      <c r="O1158" s="6" t="s">
        <v>28</v>
      </c>
      <c r="P1158" t="s">
        <v>340</v>
      </c>
      <c r="Q1158" t="s">
        <v>24</v>
      </c>
    </row>
    <row r="1159" spans="1:18" hidden="1" x14ac:dyDescent="0.25">
      <c r="A1159" s="2" t="s">
        <v>287</v>
      </c>
      <c r="B1159" s="3" t="str">
        <f t="shared" si="21"/>
        <v>18/3/21</v>
      </c>
      <c r="C1159">
        <v>21</v>
      </c>
      <c r="D1159">
        <v>3</v>
      </c>
      <c r="E1159">
        <v>18</v>
      </c>
      <c r="F1159" t="s">
        <v>173</v>
      </c>
      <c r="G1159" t="s">
        <v>174</v>
      </c>
      <c r="H1159" t="s">
        <v>54</v>
      </c>
      <c r="I1159" t="s">
        <v>27</v>
      </c>
      <c r="J1159" s="4">
        <v>9.99</v>
      </c>
      <c r="K1159">
        <v>0.46</v>
      </c>
      <c r="L1159">
        <v>9.99</v>
      </c>
      <c r="M1159">
        <v>4.5999999999999996</v>
      </c>
      <c r="N1159" s="5">
        <v>0.23138832997987926</v>
      </c>
      <c r="O1159" s="6" t="s">
        <v>28</v>
      </c>
      <c r="P1159" t="s">
        <v>340</v>
      </c>
      <c r="Q1159" t="s">
        <v>24</v>
      </c>
    </row>
    <row r="1160" spans="1:18" hidden="1" x14ac:dyDescent="0.25">
      <c r="A1160" s="2" t="s">
        <v>287</v>
      </c>
      <c r="B1160" s="3" t="str">
        <f t="shared" si="21"/>
        <v>18/3/21</v>
      </c>
      <c r="C1160">
        <v>21</v>
      </c>
      <c r="D1160">
        <v>3</v>
      </c>
      <c r="E1160">
        <v>18</v>
      </c>
      <c r="F1160" t="s">
        <v>74</v>
      </c>
      <c r="H1160" t="s">
        <v>56</v>
      </c>
      <c r="I1160" t="s">
        <v>27</v>
      </c>
      <c r="J1160" s="4">
        <v>44.99</v>
      </c>
      <c r="K1160">
        <v>1.3460000000000001</v>
      </c>
      <c r="L1160">
        <v>44.99</v>
      </c>
      <c r="M1160">
        <v>60.56</v>
      </c>
      <c r="N1160" s="5">
        <v>3.046277665995976</v>
      </c>
      <c r="O1160" s="6" t="s">
        <v>28</v>
      </c>
      <c r="P1160" t="s">
        <v>340</v>
      </c>
      <c r="Q1160" t="s">
        <v>24</v>
      </c>
    </row>
    <row r="1161" spans="1:18" hidden="1" x14ac:dyDescent="0.25">
      <c r="A1161" s="2" t="s">
        <v>287</v>
      </c>
      <c r="B1161" s="3" t="str">
        <f t="shared" si="21"/>
        <v>18/3/21</v>
      </c>
      <c r="C1161">
        <v>21</v>
      </c>
      <c r="D1161">
        <v>3</v>
      </c>
      <c r="E1161">
        <v>18</v>
      </c>
      <c r="F1161" t="s">
        <v>211</v>
      </c>
      <c r="H1161" t="s">
        <v>56</v>
      </c>
      <c r="I1161" t="s">
        <v>27</v>
      </c>
      <c r="J1161" s="4">
        <v>29.99</v>
      </c>
      <c r="K1161">
        <v>0.72599999999999998</v>
      </c>
      <c r="L1161">
        <v>29.99</v>
      </c>
      <c r="M1161">
        <v>21.77</v>
      </c>
      <c r="N1161" s="5">
        <v>1.0950704225352113</v>
      </c>
      <c r="O1161" s="6" t="s">
        <v>28</v>
      </c>
      <c r="P1161" t="s">
        <v>340</v>
      </c>
      <c r="Q1161" t="s">
        <v>24</v>
      </c>
    </row>
    <row r="1162" spans="1:18" hidden="1" x14ac:dyDescent="0.25">
      <c r="A1162" s="2" t="s">
        <v>287</v>
      </c>
      <c r="B1162" s="3" t="str">
        <f t="shared" si="21"/>
        <v>18/3/22</v>
      </c>
      <c r="C1162">
        <v>22</v>
      </c>
      <c r="D1162">
        <v>3</v>
      </c>
      <c r="E1162">
        <v>18</v>
      </c>
      <c r="F1162" t="s">
        <v>202</v>
      </c>
      <c r="H1162" t="s">
        <v>54</v>
      </c>
      <c r="I1162" t="s">
        <v>27</v>
      </c>
      <c r="J1162" s="4">
        <v>99.99</v>
      </c>
      <c r="K1162">
        <v>0.92400000000000004</v>
      </c>
      <c r="L1162">
        <v>99.99</v>
      </c>
      <c r="M1162">
        <v>92.39</v>
      </c>
      <c r="N1162" s="5">
        <v>4.6473843058350104</v>
      </c>
      <c r="O1162" t="s">
        <v>28</v>
      </c>
      <c r="P1162" t="s">
        <v>340</v>
      </c>
      <c r="Q1162" t="s">
        <v>24</v>
      </c>
    </row>
    <row r="1163" spans="1:18" hidden="1" x14ac:dyDescent="0.25">
      <c r="A1163" s="2" t="s">
        <v>287</v>
      </c>
      <c r="B1163" s="3" t="str">
        <f t="shared" si="21"/>
        <v>18/3/22</v>
      </c>
      <c r="C1163">
        <v>22</v>
      </c>
      <c r="D1163">
        <v>3</v>
      </c>
      <c r="E1163">
        <v>18</v>
      </c>
      <c r="F1163" t="s">
        <v>109</v>
      </c>
      <c r="H1163" t="s">
        <v>54</v>
      </c>
      <c r="I1163" t="s">
        <v>27</v>
      </c>
      <c r="J1163" s="4">
        <v>25.99</v>
      </c>
      <c r="K1163">
        <v>0.23599999999999999</v>
      </c>
      <c r="L1163">
        <v>25.99</v>
      </c>
      <c r="M1163">
        <v>6.13</v>
      </c>
      <c r="N1163" s="5">
        <v>0.30835010060362172</v>
      </c>
      <c r="O1163" t="s">
        <v>28</v>
      </c>
      <c r="P1163" t="s">
        <v>340</v>
      </c>
      <c r="Q1163" t="s">
        <v>24</v>
      </c>
    </row>
    <row r="1164" spans="1:18" hidden="1" x14ac:dyDescent="0.25">
      <c r="A1164" s="2" t="s">
        <v>287</v>
      </c>
      <c r="B1164" s="3" t="str">
        <f t="shared" ref="B1164:B1227" si="22">CONCATENATE(E1164,"/",D1164,"/",C1164)</f>
        <v>18/3/22</v>
      </c>
      <c r="C1164">
        <v>22</v>
      </c>
      <c r="D1164">
        <v>3</v>
      </c>
      <c r="E1164">
        <v>18</v>
      </c>
      <c r="F1164" t="s">
        <v>112</v>
      </c>
      <c r="H1164" t="s">
        <v>56</v>
      </c>
      <c r="I1164" t="s">
        <v>27</v>
      </c>
      <c r="J1164" s="4">
        <v>19.989999999999998</v>
      </c>
      <c r="K1164">
        <v>0.71799999999999997</v>
      </c>
      <c r="L1164">
        <v>19.989999999999998</v>
      </c>
      <c r="M1164">
        <v>14.35</v>
      </c>
      <c r="N1164" s="5">
        <v>0.721830985915493</v>
      </c>
      <c r="O1164" t="s">
        <v>28</v>
      </c>
      <c r="P1164" t="s">
        <v>340</v>
      </c>
      <c r="Q1164" t="s">
        <v>24</v>
      </c>
    </row>
    <row r="1165" spans="1:18" hidden="1" x14ac:dyDescent="0.25">
      <c r="A1165" s="2" t="s">
        <v>287</v>
      </c>
      <c r="B1165" s="3" t="str">
        <f t="shared" si="22"/>
        <v>18/3/22</v>
      </c>
      <c r="C1165">
        <v>22</v>
      </c>
      <c r="D1165">
        <v>3</v>
      </c>
      <c r="E1165">
        <v>18</v>
      </c>
      <c r="F1165" t="s">
        <v>37</v>
      </c>
      <c r="G1165" t="s">
        <v>31</v>
      </c>
      <c r="H1165" t="s">
        <v>26</v>
      </c>
      <c r="I1165" t="s">
        <v>27</v>
      </c>
      <c r="J1165" s="4">
        <v>7.65</v>
      </c>
      <c r="K1165">
        <v>1</v>
      </c>
      <c r="L1165">
        <v>7.65</v>
      </c>
      <c r="M1165">
        <v>7.65</v>
      </c>
      <c r="N1165" s="5">
        <v>0.38480885311871232</v>
      </c>
      <c r="O1165" t="s">
        <v>28</v>
      </c>
      <c r="P1165" t="s">
        <v>340</v>
      </c>
      <c r="Q1165" t="s">
        <v>24</v>
      </c>
    </row>
    <row r="1166" spans="1:18" hidden="1" x14ac:dyDescent="0.25">
      <c r="A1166" s="2" t="s">
        <v>287</v>
      </c>
      <c r="B1166" s="3" t="str">
        <f t="shared" si="22"/>
        <v>18/3/22</v>
      </c>
      <c r="C1166">
        <v>22</v>
      </c>
      <c r="D1166">
        <v>3</v>
      </c>
      <c r="E1166">
        <v>18</v>
      </c>
      <c r="F1166" t="s">
        <v>211</v>
      </c>
      <c r="H1166" t="s">
        <v>56</v>
      </c>
      <c r="I1166" t="s">
        <v>27</v>
      </c>
      <c r="J1166" s="4">
        <v>29.99</v>
      </c>
      <c r="K1166">
        <v>0.62</v>
      </c>
      <c r="L1166">
        <v>29.99</v>
      </c>
      <c r="M1166">
        <v>18.59</v>
      </c>
      <c r="N1166" s="5">
        <v>0.93511066398390341</v>
      </c>
      <c r="O1166" t="s">
        <v>28</v>
      </c>
      <c r="P1166" t="s">
        <v>340</v>
      </c>
      <c r="Q1166" t="s">
        <v>24</v>
      </c>
    </row>
    <row r="1167" spans="1:18" hidden="1" x14ac:dyDescent="0.25">
      <c r="A1167" s="2" t="s">
        <v>287</v>
      </c>
      <c r="B1167" s="3" t="str">
        <f t="shared" si="22"/>
        <v>18/3/22</v>
      </c>
      <c r="C1167">
        <v>22</v>
      </c>
      <c r="D1167">
        <v>3</v>
      </c>
      <c r="E1167">
        <v>18</v>
      </c>
      <c r="F1167" t="s">
        <v>124</v>
      </c>
      <c r="H1167" t="s">
        <v>54</v>
      </c>
      <c r="I1167" t="s">
        <v>27</v>
      </c>
      <c r="J1167" s="4">
        <v>39.99</v>
      </c>
      <c r="K1167">
        <v>0.222</v>
      </c>
      <c r="L1167">
        <v>39.99</v>
      </c>
      <c r="M1167">
        <v>8.8800000000000008</v>
      </c>
      <c r="N1167" s="5">
        <v>0.44668008048289742</v>
      </c>
      <c r="O1167" t="s">
        <v>28</v>
      </c>
      <c r="P1167" t="s">
        <v>340</v>
      </c>
      <c r="Q1167" t="s">
        <v>24</v>
      </c>
    </row>
    <row r="1168" spans="1:18" hidden="1" x14ac:dyDescent="0.25">
      <c r="A1168" s="2" t="s">
        <v>287</v>
      </c>
      <c r="B1168" s="3" t="str">
        <f t="shared" si="22"/>
        <v>18/3/23</v>
      </c>
      <c r="C1168">
        <v>23</v>
      </c>
      <c r="D1168">
        <v>3</v>
      </c>
      <c r="E1168">
        <v>18</v>
      </c>
      <c r="F1168" t="s">
        <v>174</v>
      </c>
      <c r="H1168" t="s">
        <v>54</v>
      </c>
      <c r="I1168" t="s">
        <v>27</v>
      </c>
      <c r="J1168" s="4">
        <v>6.99</v>
      </c>
      <c r="K1168">
        <v>0.88400000000000001</v>
      </c>
      <c r="L1168">
        <v>6.99</v>
      </c>
      <c r="M1168">
        <v>6.18</v>
      </c>
      <c r="N1168" s="5">
        <v>0.31086519114688127</v>
      </c>
      <c r="O1168" t="s">
        <v>101</v>
      </c>
      <c r="P1168" t="s">
        <v>340</v>
      </c>
      <c r="Q1168" t="s">
        <v>24</v>
      </c>
    </row>
    <row r="1169" spans="1:18" hidden="1" x14ac:dyDescent="0.25">
      <c r="A1169" s="2" t="s">
        <v>287</v>
      </c>
      <c r="B1169" s="3" t="str">
        <f t="shared" si="22"/>
        <v>18/3/23</v>
      </c>
      <c r="C1169">
        <v>23</v>
      </c>
      <c r="D1169">
        <v>3</v>
      </c>
      <c r="E1169">
        <v>18</v>
      </c>
      <c r="F1169" t="s">
        <v>112</v>
      </c>
      <c r="H1169" t="s">
        <v>56</v>
      </c>
      <c r="I1169" t="s">
        <v>27</v>
      </c>
      <c r="J1169" s="4">
        <v>29.99</v>
      </c>
      <c r="K1169">
        <v>0.84599999999999997</v>
      </c>
      <c r="L1169">
        <v>29.99</v>
      </c>
      <c r="M1169">
        <v>25.37</v>
      </c>
      <c r="N1169" s="5">
        <v>1.2761569416498995</v>
      </c>
      <c r="O1169" t="s">
        <v>101</v>
      </c>
      <c r="P1169" t="s">
        <v>340</v>
      </c>
      <c r="Q1169" t="s">
        <v>24</v>
      </c>
    </row>
    <row r="1170" spans="1:18" hidden="1" x14ac:dyDescent="0.25">
      <c r="A1170" s="2" t="s">
        <v>287</v>
      </c>
      <c r="B1170" s="3" t="str">
        <f t="shared" si="22"/>
        <v>18/3/23</v>
      </c>
      <c r="C1170">
        <v>23</v>
      </c>
      <c r="D1170">
        <v>3</v>
      </c>
      <c r="E1170">
        <v>18</v>
      </c>
      <c r="F1170" t="s">
        <v>207</v>
      </c>
      <c r="H1170" t="s">
        <v>56</v>
      </c>
      <c r="I1170" t="s">
        <v>27</v>
      </c>
      <c r="J1170" s="4">
        <v>39.99</v>
      </c>
      <c r="K1170">
        <v>0.624</v>
      </c>
      <c r="L1170">
        <v>39.99</v>
      </c>
      <c r="M1170">
        <v>24.95</v>
      </c>
      <c r="N1170" s="5">
        <v>1.2550301810865192</v>
      </c>
      <c r="O1170" t="s">
        <v>101</v>
      </c>
      <c r="P1170" t="s">
        <v>340</v>
      </c>
      <c r="Q1170" t="s">
        <v>24</v>
      </c>
    </row>
    <row r="1171" spans="1:18" hidden="1" x14ac:dyDescent="0.25">
      <c r="A1171" s="2" t="s">
        <v>287</v>
      </c>
      <c r="B1171" s="3" t="str">
        <f t="shared" si="22"/>
        <v>18/3/23</v>
      </c>
      <c r="C1171">
        <v>23</v>
      </c>
      <c r="D1171">
        <v>3</v>
      </c>
      <c r="E1171">
        <v>18</v>
      </c>
      <c r="F1171" t="s">
        <v>146</v>
      </c>
      <c r="H1171" t="s">
        <v>49</v>
      </c>
      <c r="I1171" t="s">
        <v>50</v>
      </c>
      <c r="J1171" s="4">
        <v>0.5</v>
      </c>
      <c r="K1171">
        <v>1</v>
      </c>
      <c r="L1171">
        <v>0.5</v>
      </c>
      <c r="M1171">
        <v>0.5</v>
      </c>
      <c r="N1171" s="5">
        <v>2.5150905432595575E-2</v>
      </c>
      <c r="O1171" t="s">
        <v>101</v>
      </c>
      <c r="P1171" t="s">
        <v>340</v>
      </c>
      <c r="Q1171" t="s">
        <v>24</v>
      </c>
    </row>
    <row r="1172" spans="1:18" hidden="1" x14ac:dyDescent="0.25">
      <c r="A1172" s="2" t="s">
        <v>287</v>
      </c>
      <c r="B1172" s="3" t="str">
        <f t="shared" si="22"/>
        <v>18/3/23</v>
      </c>
      <c r="C1172">
        <v>23</v>
      </c>
      <c r="D1172">
        <v>3</v>
      </c>
      <c r="E1172">
        <v>18</v>
      </c>
      <c r="F1172" t="s">
        <v>119</v>
      </c>
      <c r="H1172" t="s">
        <v>56</v>
      </c>
      <c r="I1172" t="s">
        <v>27</v>
      </c>
      <c r="J1172" s="4">
        <v>28.99</v>
      </c>
      <c r="K1172">
        <v>0.95</v>
      </c>
      <c r="L1172">
        <v>28.99</v>
      </c>
      <c r="M1172">
        <v>27.54</v>
      </c>
      <c r="N1172" s="5">
        <v>1.3853118712273642</v>
      </c>
      <c r="O1172" t="s">
        <v>101</v>
      </c>
      <c r="P1172" t="s">
        <v>340</v>
      </c>
      <c r="Q1172" t="s">
        <v>24</v>
      </c>
    </row>
    <row r="1173" spans="1:18" hidden="1" x14ac:dyDescent="0.25">
      <c r="A1173" s="2" t="s">
        <v>287</v>
      </c>
      <c r="B1173" s="3" t="str">
        <f t="shared" si="22"/>
        <v>18/3/23</v>
      </c>
      <c r="C1173">
        <v>23</v>
      </c>
      <c r="D1173">
        <v>3</v>
      </c>
      <c r="E1173">
        <v>18</v>
      </c>
      <c r="F1173" t="s">
        <v>124</v>
      </c>
      <c r="H1173" t="s">
        <v>54</v>
      </c>
      <c r="I1173" t="s">
        <v>27</v>
      </c>
      <c r="J1173" s="4">
        <v>45.99</v>
      </c>
      <c r="K1173">
        <v>0.19</v>
      </c>
      <c r="L1173">
        <v>45.99</v>
      </c>
      <c r="M1173">
        <v>8.74</v>
      </c>
      <c r="N1173" s="5">
        <v>0.43963782696177067</v>
      </c>
      <c r="O1173" t="s">
        <v>101</v>
      </c>
      <c r="P1173" t="s">
        <v>340</v>
      </c>
      <c r="Q1173" t="s">
        <v>24</v>
      </c>
    </row>
    <row r="1174" spans="1:18" hidden="1" x14ac:dyDescent="0.25">
      <c r="A1174" s="2" t="s">
        <v>287</v>
      </c>
      <c r="B1174" s="3" t="str">
        <f t="shared" si="22"/>
        <v>18/3/23</v>
      </c>
      <c r="C1174">
        <v>23</v>
      </c>
      <c r="D1174">
        <v>3</v>
      </c>
      <c r="E1174">
        <v>18</v>
      </c>
      <c r="F1174" t="s">
        <v>75</v>
      </c>
      <c r="H1174" t="s">
        <v>65</v>
      </c>
      <c r="I1174" t="s">
        <v>27</v>
      </c>
      <c r="J1174" s="4">
        <v>10</v>
      </c>
      <c r="K1174">
        <v>2</v>
      </c>
      <c r="L1174">
        <v>10</v>
      </c>
      <c r="M1174">
        <v>20</v>
      </c>
      <c r="N1174" s="5">
        <v>1.0060362173038231</v>
      </c>
      <c r="O1174" t="s">
        <v>101</v>
      </c>
      <c r="P1174" t="s">
        <v>340</v>
      </c>
      <c r="Q1174" t="s">
        <v>24</v>
      </c>
    </row>
    <row r="1175" spans="1:18" hidden="1" x14ac:dyDescent="0.25">
      <c r="A1175" s="2" t="s">
        <v>287</v>
      </c>
      <c r="B1175" s="3" t="str">
        <f t="shared" si="22"/>
        <v>18/3/23</v>
      </c>
      <c r="C1175">
        <v>23</v>
      </c>
      <c r="D1175">
        <v>3</v>
      </c>
      <c r="E1175">
        <v>18</v>
      </c>
      <c r="F1175" t="s">
        <v>141</v>
      </c>
      <c r="H1175" t="s">
        <v>172</v>
      </c>
      <c r="I1175" t="s">
        <v>39</v>
      </c>
      <c r="J1175" s="4">
        <v>2</v>
      </c>
      <c r="K1175">
        <v>4</v>
      </c>
      <c r="L1175">
        <v>2</v>
      </c>
      <c r="M1175">
        <v>8</v>
      </c>
      <c r="N1175" s="5">
        <v>0.4024144869215292</v>
      </c>
      <c r="O1175" t="s">
        <v>39</v>
      </c>
      <c r="P1175" t="s">
        <v>340</v>
      </c>
      <c r="Q1175" t="s">
        <v>24</v>
      </c>
    </row>
    <row r="1176" spans="1:18" hidden="1" x14ac:dyDescent="0.25">
      <c r="A1176" s="2" t="s">
        <v>287</v>
      </c>
      <c r="B1176" s="3" t="str">
        <f t="shared" si="22"/>
        <v>18/3/24</v>
      </c>
      <c r="C1176">
        <v>24</v>
      </c>
      <c r="D1176">
        <v>3</v>
      </c>
      <c r="E1176">
        <v>18</v>
      </c>
      <c r="F1176" t="s">
        <v>106</v>
      </c>
      <c r="H1176" t="s">
        <v>56</v>
      </c>
      <c r="I1176" t="s">
        <v>27</v>
      </c>
      <c r="J1176" s="4">
        <v>28.5</v>
      </c>
      <c r="K1176">
        <v>2.5939999999999999</v>
      </c>
      <c r="L1176">
        <v>28.5</v>
      </c>
      <c r="M1176">
        <v>73.930000000000007</v>
      </c>
      <c r="N1176" s="5">
        <v>3.718812877263582</v>
      </c>
      <c r="O1176" t="s">
        <v>90</v>
      </c>
      <c r="P1176" t="s">
        <v>340</v>
      </c>
      <c r="Q1176" t="s">
        <v>24</v>
      </c>
    </row>
    <row r="1177" spans="1:18" hidden="1" x14ac:dyDescent="0.25">
      <c r="A1177" s="2" t="s">
        <v>287</v>
      </c>
      <c r="B1177" s="3" t="str">
        <f t="shared" si="22"/>
        <v>18/3/24</v>
      </c>
      <c r="C1177">
        <v>24</v>
      </c>
      <c r="D1177">
        <v>3</v>
      </c>
      <c r="E1177">
        <v>18</v>
      </c>
      <c r="F1177" t="s">
        <v>108</v>
      </c>
      <c r="H1177" t="s">
        <v>54</v>
      </c>
      <c r="I1177" t="s">
        <v>27</v>
      </c>
      <c r="J1177" s="4">
        <v>43.4</v>
      </c>
      <c r="K1177">
        <v>0.314</v>
      </c>
      <c r="L1177">
        <v>43.4</v>
      </c>
      <c r="M1177">
        <v>13.63</v>
      </c>
      <c r="N1177" s="5">
        <v>0.68561368209255535</v>
      </c>
      <c r="O1177" t="s">
        <v>90</v>
      </c>
      <c r="P1177" t="s">
        <v>340</v>
      </c>
      <c r="Q1177" t="s">
        <v>24</v>
      </c>
    </row>
    <row r="1178" spans="1:18" hidden="1" x14ac:dyDescent="0.25">
      <c r="A1178" s="2" t="s">
        <v>287</v>
      </c>
      <c r="B1178" s="3" t="str">
        <f t="shared" si="22"/>
        <v>18/3/24</v>
      </c>
      <c r="C1178">
        <v>24</v>
      </c>
      <c r="D1178">
        <v>3</v>
      </c>
      <c r="E1178">
        <v>18</v>
      </c>
      <c r="F1178" t="s">
        <v>202</v>
      </c>
      <c r="H1178" t="s">
        <v>54</v>
      </c>
      <c r="I1178" t="s">
        <v>27</v>
      </c>
      <c r="J1178" s="4">
        <v>83.9</v>
      </c>
      <c r="K1178">
        <v>0.624</v>
      </c>
      <c r="L1178">
        <v>83.9</v>
      </c>
      <c r="M1178">
        <v>52.35</v>
      </c>
      <c r="N1178" s="5">
        <v>2.6332997987927569</v>
      </c>
      <c r="O1178" t="s">
        <v>90</v>
      </c>
      <c r="P1178" t="s">
        <v>340</v>
      </c>
      <c r="Q1178" t="s">
        <v>24</v>
      </c>
    </row>
    <row r="1179" spans="1:18" hidden="1" x14ac:dyDescent="0.25">
      <c r="A1179" s="2" t="s">
        <v>287</v>
      </c>
      <c r="B1179" s="3" t="str">
        <f t="shared" si="22"/>
        <v>18/3/24</v>
      </c>
      <c r="C1179">
        <v>24</v>
      </c>
      <c r="D1179">
        <v>3</v>
      </c>
      <c r="E1179">
        <v>18</v>
      </c>
      <c r="F1179" t="s">
        <v>55</v>
      </c>
      <c r="H1179" t="s">
        <v>56</v>
      </c>
      <c r="I1179" t="s">
        <v>27</v>
      </c>
      <c r="J1179" s="4">
        <v>30.8</v>
      </c>
      <c r="K1179">
        <v>0.78</v>
      </c>
      <c r="L1179">
        <v>30.8</v>
      </c>
      <c r="M1179">
        <v>24.02</v>
      </c>
      <c r="N1179" s="5">
        <v>1.2082494969818913</v>
      </c>
      <c r="O1179" t="s">
        <v>90</v>
      </c>
      <c r="P1179" t="s">
        <v>340</v>
      </c>
      <c r="Q1179" t="s">
        <v>24</v>
      </c>
    </row>
    <row r="1180" spans="1:18" hidden="1" x14ac:dyDescent="0.25">
      <c r="A1180" s="2" t="s">
        <v>287</v>
      </c>
      <c r="B1180" s="3" t="str">
        <f t="shared" si="22"/>
        <v>18/3/24</v>
      </c>
      <c r="C1180">
        <v>24</v>
      </c>
      <c r="D1180">
        <v>3</v>
      </c>
      <c r="E1180">
        <v>18</v>
      </c>
      <c r="F1180" t="s">
        <v>355</v>
      </c>
      <c r="G1180" t="s">
        <v>174</v>
      </c>
      <c r="H1180" t="s">
        <v>54</v>
      </c>
      <c r="I1180" t="s">
        <v>27</v>
      </c>
      <c r="J1180" s="4">
        <v>82.1</v>
      </c>
      <c r="K1180">
        <v>0.214</v>
      </c>
      <c r="L1180">
        <v>82.1</v>
      </c>
      <c r="M1180">
        <v>17.57</v>
      </c>
      <c r="N1180" s="5">
        <v>0.88380281690140849</v>
      </c>
      <c r="O1180" t="s">
        <v>90</v>
      </c>
      <c r="P1180" t="s">
        <v>340</v>
      </c>
      <c r="Q1180" t="s">
        <v>24</v>
      </c>
    </row>
    <row r="1181" spans="1:18" hidden="1" x14ac:dyDescent="0.25">
      <c r="A1181" s="2" t="s">
        <v>287</v>
      </c>
      <c r="B1181" s="3" t="str">
        <f t="shared" si="22"/>
        <v>18/3/24</v>
      </c>
      <c r="C1181">
        <v>24</v>
      </c>
      <c r="D1181">
        <v>3</v>
      </c>
      <c r="E1181">
        <v>18</v>
      </c>
      <c r="F1181" t="s">
        <v>71</v>
      </c>
      <c r="I1181" t="s">
        <v>72</v>
      </c>
      <c r="J1181" s="4">
        <v>190</v>
      </c>
      <c r="K1181">
        <v>1</v>
      </c>
      <c r="L1181">
        <v>190</v>
      </c>
      <c r="M1181">
        <v>190</v>
      </c>
      <c r="N1181" s="5">
        <v>9.557344064386319</v>
      </c>
      <c r="O1181" t="s">
        <v>39</v>
      </c>
      <c r="Q1181" t="s">
        <v>24</v>
      </c>
      <c r="R1181" t="s">
        <v>230</v>
      </c>
    </row>
    <row r="1182" spans="1:18" hidden="1" x14ac:dyDescent="0.25">
      <c r="A1182" s="2" t="s">
        <v>287</v>
      </c>
      <c r="B1182" s="3" t="str">
        <f t="shared" si="22"/>
        <v>18/3/24</v>
      </c>
      <c r="C1182">
        <v>24</v>
      </c>
      <c r="D1182">
        <v>3</v>
      </c>
      <c r="E1182">
        <v>18</v>
      </c>
      <c r="F1182" t="s">
        <v>104</v>
      </c>
      <c r="I1182" t="s">
        <v>72</v>
      </c>
      <c r="J1182" s="4">
        <v>12.64</v>
      </c>
      <c r="K1182">
        <v>6</v>
      </c>
      <c r="L1182">
        <v>12.64</v>
      </c>
      <c r="M1182">
        <v>75.84</v>
      </c>
      <c r="N1182" s="5">
        <v>3.8148893360160971</v>
      </c>
      <c r="O1182" t="s">
        <v>233</v>
      </c>
      <c r="P1182" t="s">
        <v>340</v>
      </c>
      <c r="Q1182" t="s">
        <v>24</v>
      </c>
      <c r="R1182" t="s">
        <v>232</v>
      </c>
    </row>
    <row r="1183" spans="1:18" hidden="1" x14ac:dyDescent="0.25">
      <c r="A1183" s="2" t="s">
        <v>287</v>
      </c>
      <c r="B1183" s="3" t="str">
        <f t="shared" si="22"/>
        <v>18/3/24</v>
      </c>
      <c r="C1183">
        <v>24</v>
      </c>
      <c r="D1183">
        <v>3</v>
      </c>
      <c r="E1183">
        <v>18</v>
      </c>
      <c r="F1183" t="s">
        <v>104</v>
      </c>
      <c r="I1183" t="s">
        <v>72</v>
      </c>
      <c r="J1183" s="4">
        <v>15.3</v>
      </c>
      <c r="K1183">
        <v>1</v>
      </c>
      <c r="L1183">
        <v>15.3</v>
      </c>
      <c r="M1183">
        <v>15.3</v>
      </c>
      <c r="N1183" s="5">
        <v>0.76961770623742465</v>
      </c>
      <c r="O1183" t="s">
        <v>233</v>
      </c>
      <c r="P1183" t="s">
        <v>340</v>
      </c>
      <c r="Q1183" t="s">
        <v>24</v>
      </c>
      <c r="R1183" t="s">
        <v>346</v>
      </c>
    </row>
    <row r="1184" spans="1:18" hidden="1" x14ac:dyDescent="0.25">
      <c r="A1184" s="2" t="s">
        <v>287</v>
      </c>
      <c r="B1184" s="3" t="str">
        <f t="shared" si="22"/>
        <v>18/3/24</v>
      </c>
      <c r="C1184">
        <v>24</v>
      </c>
      <c r="D1184">
        <v>3</v>
      </c>
      <c r="E1184">
        <v>18</v>
      </c>
      <c r="F1184" t="s">
        <v>204</v>
      </c>
      <c r="H1184" t="s">
        <v>54</v>
      </c>
      <c r="I1184" t="s">
        <v>27</v>
      </c>
      <c r="J1184" s="4">
        <v>51</v>
      </c>
      <c r="K1184">
        <v>0.106</v>
      </c>
      <c r="L1184">
        <v>51</v>
      </c>
      <c r="M1184">
        <v>5.41</v>
      </c>
      <c r="N1184" s="5">
        <v>0.27213279678068414</v>
      </c>
      <c r="O1184" t="s">
        <v>90</v>
      </c>
      <c r="P1184" t="s">
        <v>340</v>
      </c>
      <c r="Q1184" t="s">
        <v>24</v>
      </c>
    </row>
    <row r="1185" spans="1:18" hidden="1" x14ac:dyDescent="0.25">
      <c r="A1185" s="2" t="s">
        <v>287</v>
      </c>
      <c r="B1185" s="3" t="str">
        <f t="shared" si="22"/>
        <v>18/3/24</v>
      </c>
      <c r="C1185">
        <v>24</v>
      </c>
      <c r="D1185">
        <v>3</v>
      </c>
      <c r="E1185">
        <v>18</v>
      </c>
      <c r="F1185" t="s">
        <v>112</v>
      </c>
      <c r="H1185" t="s">
        <v>56</v>
      </c>
      <c r="I1185" t="s">
        <v>27</v>
      </c>
      <c r="J1185" s="4">
        <v>30.2</v>
      </c>
      <c r="K1185">
        <v>1.1399999999999999</v>
      </c>
      <c r="L1185">
        <v>30.2</v>
      </c>
      <c r="M1185">
        <v>34.43</v>
      </c>
      <c r="N1185" s="5">
        <v>1.7318913480885312</v>
      </c>
      <c r="O1185" t="s">
        <v>90</v>
      </c>
      <c r="P1185" t="s">
        <v>340</v>
      </c>
      <c r="Q1185" t="s">
        <v>24</v>
      </c>
    </row>
    <row r="1186" spans="1:18" hidden="1" x14ac:dyDescent="0.25">
      <c r="A1186" s="2" t="s">
        <v>287</v>
      </c>
      <c r="B1186" s="3" t="str">
        <f t="shared" si="22"/>
        <v>18/3/24</v>
      </c>
      <c r="C1186">
        <v>24</v>
      </c>
      <c r="D1186">
        <v>3</v>
      </c>
      <c r="E1186">
        <v>18</v>
      </c>
      <c r="F1186" t="s">
        <v>356</v>
      </c>
      <c r="G1186" t="s">
        <v>39</v>
      </c>
      <c r="H1186" t="s">
        <v>65</v>
      </c>
      <c r="I1186" t="s">
        <v>27</v>
      </c>
      <c r="J1186" s="4">
        <v>10.77</v>
      </c>
      <c r="K1186">
        <v>1</v>
      </c>
      <c r="L1186">
        <v>10.77</v>
      </c>
      <c r="M1186">
        <v>10.77</v>
      </c>
      <c r="N1186" s="5">
        <v>0.54175050301810868</v>
      </c>
      <c r="O1186" t="s">
        <v>90</v>
      </c>
      <c r="P1186" t="s">
        <v>340</v>
      </c>
      <c r="Q1186" t="s">
        <v>24</v>
      </c>
    </row>
    <row r="1187" spans="1:18" hidden="1" x14ac:dyDescent="0.25">
      <c r="A1187" s="2" t="s">
        <v>287</v>
      </c>
      <c r="B1187" s="3" t="str">
        <f t="shared" si="22"/>
        <v>18/3/24</v>
      </c>
      <c r="C1187">
        <v>24</v>
      </c>
      <c r="D1187">
        <v>3</v>
      </c>
      <c r="E1187">
        <v>18</v>
      </c>
      <c r="F1187" t="s">
        <v>328</v>
      </c>
      <c r="G1187" t="s">
        <v>328</v>
      </c>
      <c r="H1187" t="s">
        <v>49</v>
      </c>
      <c r="I1187" t="s">
        <v>50</v>
      </c>
      <c r="J1187" s="4">
        <v>153</v>
      </c>
      <c r="K1187">
        <v>1</v>
      </c>
      <c r="L1187">
        <v>153</v>
      </c>
      <c r="M1187">
        <v>153</v>
      </c>
      <c r="N1187" s="5">
        <v>7.6961770623742458</v>
      </c>
      <c r="O1187" t="s">
        <v>243</v>
      </c>
      <c r="P1187" t="s">
        <v>340</v>
      </c>
      <c r="Q1187" t="s">
        <v>24</v>
      </c>
    </row>
    <row r="1188" spans="1:18" hidden="1" x14ac:dyDescent="0.25">
      <c r="A1188" s="2" t="s">
        <v>287</v>
      </c>
      <c r="B1188" s="3" t="str">
        <f t="shared" si="22"/>
        <v>18/3/24</v>
      </c>
      <c r="C1188">
        <v>24</v>
      </c>
      <c r="D1188">
        <v>3</v>
      </c>
      <c r="E1188">
        <v>18</v>
      </c>
      <c r="F1188" t="s">
        <v>2242</v>
      </c>
      <c r="G1188" t="s">
        <v>345</v>
      </c>
      <c r="H1188" t="s">
        <v>26</v>
      </c>
      <c r="I1188" t="s">
        <v>27</v>
      </c>
      <c r="J1188" s="4">
        <v>5.92</v>
      </c>
      <c r="K1188">
        <v>1</v>
      </c>
      <c r="L1188">
        <v>5.92</v>
      </c>
      <c r="M1188" s="16">
        <v>5.92</v>
      </c>
      <c r="N1188" s="5">
        <v>0.2977867203219316</v>
      </c>
      <c r="O1188" t="s">
        <v>90</v>
      </c>
      <c r="P1188" t="s">
        <v>340</v>
      </c>
      <c r="Q1188" t="s">
        <v>24</v>
      </c>
    </row>
    <row r="1189" spans="1:18" hidden="1" x14ac:dyDescent="0.25">
      <c r="A1189" s="2" t="s">
        <v>287</v>
      </c>
      <c r="B1189" s="3" t="str">
        <f t="shared" si="22"/>
        <v>18/3/24</v>
      </c>
      <c r="C1189">
        <v>24</v>
      </c>
      <c r="D1189">
        <v>3</v>
      </c>
      <c r="E1189">
        <v>18</v>
      </c>
      <c r="F1189" t="s">
        <v>2045</v>
      </c>
      <c r="G1189" t="s">
        <v>33</v>
      </c>
      <c r="H1189" t="s">
        <v>35</v>
      </c>
      <c r="I1189" t="s">
        <v>27</v>
      </c>
      <c r="J1189" s="4">
        <v>143.6</v>
      </c>
      <c r="K1189">
        <v>0.2</v>
      </c>
      <c r="L1189">
        <v>143.6</v>
      </c>
      <c r="M1189">
        <v>28.72</v>
      </c>
      <c r="N1189" s="5">
        <v>1.4446680080482897</v>
      </c>
      <c r="O1189" t="s">
        <v>100</v>
      </c>
      <c r="P1189" t="s">
        <v>340</v>
      </c>
      <c r="Q1189" t="s">
        <v>24</v>
      </c>
    </row>
    <row r="1190" spans="1:18" hidden="1" x14ac:dyDescent="0.25">
      <c r="A1190" s="2" t="s">
        <v>287</v>
      </c>
      <c r="B1190" s="3" t="str">
        <f t="shared" si="22"/>
        <v>18/3/24</v>
      </c>
      <c r="C1190">
        <v>24</v>
      </c>
      <c r="D1190">
        <v>3</v>
      </c>
      <c r="E1190">
        <v>18</v>
      </c>
      <c r="F1190" t="s">
        <v>357</v>
      </c>
      <c r="H1190" t="s">
        <v>40</v>
      </c>
      <c r="I1190" t="s">
        <v>27</v>
      </c>
      <c r="J1190" s="4">
        <v>6.3</v>
      </c>
      <c r="K1190">
        <v>1</v>
      </c>
      <c r="L1190">
        <v>6.3</v>
      </c>
      <c r="M1190">
        <v>6.3</v>
      </c>
      <c r="N1190" s="5">
        <v>0.31690140845070425</v>
      </c>
      <c r="O1190" t="s">
        <v>90</v>
      </c>
      <c r="P1190" t="s">
        <v>340</v>
      </c>
      <c r="Q1190" t="s">
        <v>24</v>
      </c>
    </row>
    <row r="1191" spans="1:18" hidden="1" x14ac:dyDescent="0.25">
      <c r="A1191" s="2" t="s">
        <v>287</v>
      </c>
      <c r="B1191" s="3" t="str">
        <f t="shared" si="22"/>
        <v>18/3/24</v>
      </c>
      <c r="C1191">
        <v>24</v>
      </c>
      <c r="D1191">
        <v>3</v>
      </c>
      <c r="E1191">
        <v>18</v>
      </c>
      <c r="F1191" t="s">
        <v>74</v>
      </c>
      <c r="H1191" t="s">
        <v>56</v>
      </c>
      <c r="I1191" t="s">
        <v>27</v>
      </c>
      <c r="J1191" s="4">
        <v>51.9</v>
      </c>
      <c r="K1191">
        <v>1.0900000000000001</v>
      </c>
      <c r="L1191">
        <v>51.9</v>
      </c>
      <c r="M1191">
        <v>56.57</v>
      </c>
      <c r="N1191" s="5">
        <v>2.8455734406438635</v>
      </c>
      <c r="O1191" t="s">
        <v>90</v>
      </c>
      <c r="P1191" t="s">
        <v>340</v>
      </c>
      <c r="Q1191" t="s">
        <v>24</v>
      </c>
    </row>
    <row r="1192" spans="1:18" hidden="1" x14ac:dyDescent="0.25">
      <c r="A1192" s="2" t="s">
        <v>287</v>
      </c>
      <c r="B1192" s="3" t="str">
        <f t="shared" si="22"/>
        <v>18/3/24</v>
      </c>
      <c r="C1192">
        <v>24</v>
      </c>
      <c r="D1192">
        <v>3</v>
      </c>
      <c r="E1192">
        <v>18</v>
      </c>
      <c r="F1192" t="s">
        <v>358</v>
      </c>
      <c r="H1192" t="s">
        <v>63</v>
      </c>
      <c r="I1192" t="s">
        <v>50</v>
      </c>
      <c r="J1192" s="4">
        <v>220</v>
      </c>
      <c r="K1192">
        <v>1</v>
      </c>
      <c r="L1192">
        <v>220</v>
      </c>
      <c r="M1192">
        <v>220</v>
      </c>
      <c r="N1192" s="5">
        <v>11.066398390342053</v>
      </c>
      <c r="O1192" t="s">
        <v>39</v>
      </c>
      <c r="P1192" t="s">
        <v>340</v>
      </c>
      <c r="Q1192" t="s">
        <v>24</v>
      </c>
    </row>
    <row r="1193" spans="1:18" hidden="1" x14ac:dyDescent="0.25">
      <c r="A1193" s="2" t="s">
        <v>287</v>
      </c>
      <c r="B1193" s="3" t="str">
        <f t="shared" si="22"/>
        <v>18/3/24</v>
      </c>
      <c r="C1193">
        <v>24</v>
      </c>
      <c r="D1193">
        <v>3</v>
      </c>
      <c r="E1193">
        <v>18</v>
      </c>
      <c r="F1193" t="s">
        <v>358</v>
      </c>
      <c r="H1193" t="s">
        <v>63</v>
      </c>
      <c r="I1193" t="s">
        <v>50</v>
      </c>
      <c r="J1193" s="4">
        <v>30</v>
      </c>
      <c r="K1193">
        <v>1</v>
      </c>
      <c r="L1193">
        <v>30</v>
      </c>
      <c r="M1193">
        <v>30</v>
      </c>
      <c r="N1193" s="5">
        <v>1.5090543259557345</v>
      </c>
      <c r="O1193" t="s">
        <v>359</v>
      </c>
      <c r="P1193" t="s">
        <v>340</v>
      </c>
      <c r="Q1193" t="s">
        <v>24</v>
      </c>
    </row>
    <row r="1194" spans="1:18" hidden="1" x14ac:dyDescent="0.25">
      <c r="A1194" s="2" t="s">
        <v>287</v>
      </c>
      <c r="B1194" s="3" t="str">
        <f t="shared" si="22"/>
        <v>18/3/24</v>
      </c>
      <c r="C1194">
        <v>24</v>
      </c>
      <c r="D1194">
        <v>3</v>
      </c>
      <c r="E1194">
        <v>18</v>
      </c>
      <c r="F1194" t="s">
        <v>358</v>
      </c>
      <c r="H1194" t="s">
        <v>63</v>
      </c>
      <c r="I1194" t="s">
        <v>50</v>
      </c>
      <c r="J1194" s="4">
        <v>40</v>
      </c>
      <c r="K1194">
        <v>1</v>
      </c>
      <c r="L1194">
        <v>40</v>
      </c>
      <c r="M1194">
        <v>40</v>
      </c>
      <c r="N1194" s="5">
        <v>2.0120724346076462</v>
      </c>
      <c r="O1194" t="s">
        <v>360</v>
      </c>
      <c r="P1194" t="s">
        <v>340</v>
      </c>
      <c r="Q1194" t="s">
        <v>24</v>
      </c>
    </row>
    <row r="1195" spans="1:18" hidden="1" x14ac:dyDescent="0.25">
      <c r="A1195" s="2" t="s">
        <v>287</v>
      </c>
      <c r="B1195" s="3" t="str">
        <f t="shared" si="22"/>
        <v>18/3/24</v>
      </c>
      <c r="C1195">
        <v>24</v>
      </c>
      <c r="D1195">
        <v>3</v>
      </c>
      <c r="E1195">
        <v>18</v>
      </c>
      <c r="F1195" t="s">
        <v>124</v>
      </c>
      <c r="H1195" t="s">
        <v>54</v>
      </c>
      <c r="I1195" t="s">
        <v>27</v>
      </c>
      <c r="J1195" s="4">
        <v>39.9</v>
      </c>
      <c r="K1195">
        <v>0.81</v>
      </c>
      <c r="L1195">
        <v>39.9</v>
      </c>
      <c r="M1195">
        <v>32.32</v>
      </c>
      <c r="N1195" s="5">
        <v>1.6257545271629779</v>
      </c>
      <c r="O1195" t="s">
        <v>90</v>
      </c>
      <c r="P1195" t="s">
        <v>340</v>
      </c>
      <c r="Q1195" t="s">
        <v>24</v>
      </c>
    </row>
    <row r="1196" spans="1:18" hidden="1" x14ac:dyDescent="0.25">
      <c r="A1196" s="2" t="s">
        <v>287</v>
      </c>
      <c r="B1196" s="3" t="str">
        <f t="shared" si="22"/>
        <v>18/3/24</v>
      </c>
      <c r="C1196">
        <v>24</v>
      </c>
      <c r="D1196">
        <v>3</v>
      </c>
      <c r="E1196">
        <v>18</v>
      </c>
      <c r="F1196" t="s">
        <v>361</v>
      </c>
      <c r="H1196" t="s">
        <v>54</v>
      </c>
      <c r="I1196" t="s">
        <v>27</v>
      </c>
      <c r="J1196" s="4">
        <v>37.299999999999997</v>
      </c>
      <c r="K1196">
        <v>1</v>
      </c>
      <c r="L1196">
        <v>37.299999999999997</v>
      </c>
      <c r="M1196">
        <v>37.299999999999997</v>
      </c>
      <c r="N1196" s="5">
        <v>1.8762575452716297</v>
      </c>
      <c r="O1196" t="s">
        <v>90</v>
      </c>
      <c r="P1196" t="s">
        <v>340</v>
      </c>
      <c r="Q1196" t="s">
        <v>24</v>
      </c>
    </row>
    <row r="1197" spans="1:18" hidden="1" x14ac:dyDescent="0.25">
      <c r="A1197" s="2" t="s">
        <v>287</v>
      </c>
      <c r="B1197" s="3" t="str">
        <f t="shared" si="22"/>
        <v>18/3/24</v>
      </c>
      <c r="C1197">
        <v>24</v>
      </c>
      <c r="D1197">
        <v>3</v>
      </c>
      <c r="E1197">
        <v>18</v>
      </c>
      <c r="F1197" t="s">
        <v>212</v>
      </c>
      <c r="H1197" t="s">
        <v>54</v>
      </c>
      <c r="I1197" t="s">
        <v>27</v>
      </c>
      <c r="J1197" s="4">
        <v>29.9</v>
      </c>
      <c r="K1197">
        <v>1</v>
      </c>
      <c r="L1197">
        <v>29.9</v>
      </c>
      <c r="M1197">
        <v>29.9</v>
      </c>
      <c r="N1197" s="5">
        <v>1.5040241448692153</v>
      </c>
      <c r="O1197" t="s">
        <v>90</v>
      </c>
      <c r="P1197" t="s">
        <v>340</v>
      </c>
      <c r="Q1197" t="s">
        <v>24</v>
      </c>
    </row>
    <row r="1198" spans="1:18" hidden="1" x14ac:dyDescent="0.25">
      <c r="A1198" s="2" t="s">
        <v>287</v>
      </c>
      <c r="B1198" s="3" t="str">
        <f t="shared" si="22"/>
        <v>18/3/24</v>
      </c>
      <c r="C1198">
        <v>24</v>
      </c>
      <c r="D1198">
        <v>3</v>
      </c>
      <c r="E1198">
        <v>18</v>
      </c>
      <c r="F1198" t="s">
        <v>362</v>
      </c>
      <c r="H1198" t="s">
        <v>44</v>
      </c>
      <c r="I1198" t="s">
        <v>27</v>
      </c>
      <c r="J1198" s="4">
        <v>24.93</v>
      </c>
      <c r="K1198">
        <v>1</v>
      </c>
      <c r="L1198">
        <v>24.93</v>
      </c>
      <c r="M1198">
        <v>24.93</v>
      </c>
      <c r="N1198" s="5">
        <v>1.2540241448692153</v>
      </c>
      <c r="O1198" t="s">
        <v>90</v>
      </c>
      <c r="P1198" t="s">
        <v>340</v>
      </c>
      <c r="Q1198" t="s">
        <v>24</v>
      </c>
    </row>
    <row r="1199" spans="1:18" hidden="1" x14ac:dyDescent="0.25">
      <c r="A1199" s="2" t="s">
        <v>287</v>
      </c>
      <c r="B1199" s="3" t="str">
        <f t="shared" si="22"/>
        <v>18/3/24</v>
      </c>
      <c r="C1199">
        <v>24</v>
      </c>
      <c r="D1199">
        <v>3</v>
      </c>
      <c r="E1199">
        <v>18</v>
      </c>
      <c r="F1199" t="s">
        <v>98</v>
      </c>
      <c r="H1199" t="s">
        <v>26</v>
      </c>
      <c r="I1199" t="s">
        <v>27</v>
      </c>
      <c r="J1199" s="4">
        <v>35.4</v>
      </c>
      <c r="K1199">
        <v>1</v>
      </c>
      <c r="L1199">
        <v>35.4</v>
      </c>
      <c r="M1199">
        <v>35.4</v>
      </c>
      <c r="N1199" s="5">
        <v>1.7806841046277666</v>
      </c>
      <c r="O1199" t="s">
        <v>90</v>
      </c>
      <c r="P1199" t="s">
        <v>340</v>
      </c>
      <c r="Q1199" t="s">
        <v>24</v>
      </c>
      <c r="R1199" t="s">
        <v>1260</v>
      </c>
    </row>
    <row r="1200" spans="1:18" hidden="1" x14ac:dyDescent="0.25">
      <c r="A1200" s="2" t="s">
        <v>287</v>
      </c>
      <c r="B1200" s="3" t="str">
        <f t="shared" si="22"/>
        <v>18/3/24</v>
      </c>
      <c r="C1200">
        <v>24</v>
      </c>
      <c r="D1200">
        <v>3</v>
      </c>
      <c r="E1200">
        <v>18</v>
      </c>
      <c r="F1200" t="s">
        <v>104</v>
      </c>
      <c r="I1200" t="s">
        <v>72</v>
      </c>
      <c r="J1200" s="4">
        <v>174.19</v>
      </c>
      <c r="K1200">
        <v>1</v>
      </c>
      <c r="L1200">
        <v>174.19</v>
      </c>
      <c r="M1200">
        <v>174.19</v>
      </c>
      <c r="N1200" s="5">
        <v>8.7620724346076457</v>
      </c>
      <c r="O1200" t="s">
        <v>233</v>
      </c>
      <c r="P1200" t="s">
        <v>340</v>
      </c>
      <c r="Q1200" t="s">
        <v>24</v>
      </c>
      <c r="R1200" t="s">
        <v>348</v>
      </c>
    </row>
    <row r="1201" spans="1:18" hidden="1" x14ac:dyDescent="0.25">
      <c r="A1201" s="2" t="s">
        <v>287</v>
      </c>
      <c r="B1201" s="3" t="str">
        <f t="shared" si="22"/>
        <v>18/3/25</v>
      </c>
      <c r="C1201" s="13">
        <v>25</v>
      </c>
      <c r="D1201">
        <v>3</v>
      </c>
      <c r="E1201">
        <v>18</v>
      </c>
      <c r="F1201" t="s">
        <v>862</v>
      </c>
      <c r="H1201" t="s">
        <v>63</v>
      </c>
      <c r="I1201" t="s">
        <v>27</v>
      </c>
      <c r="J1201" s="4">
        <v>65</v>
      </c>
      <c r="K1201">
        <v>1</v>
      </c>
      <c r="L1201">
        <v>65</v>
      </c>
      <c r="M1201">
        <v>65</v>
      </c>
      <c r="N1201" s="5">
        <v>3.2696177062374248</v>
      </c>
      <c r="O1201" t="s">
        <v>365</v>
      </c>
      <c r="P1201" t="s">
        <v>340</v>
      </c>
      <c r="Q1201" t="s">
        <v>24</v>
      </c>
      <c r="R1201" t="s">
        <v>363</v>
      </c>
    </row>
    <row r="1202" spans="1:18" hidden="1" x14ac:dyDescent="0.25">
      <c r="A1202" s="2" t="s">
        <v>287</v>
      </c>
      <c r="B1202" s="3" t="str">
        <f t="shared" si="22"/>
        <v>18/3/25</v>
      </c>
      <c r="C1202">
        <v>25</v>
      </c>
      <c r="D1202">
        <v>3</v>
      </c>
      <c r="E1202">
        <v>18</v>
      </c>
      <c r="F1202" t="s">
        <v>358</v>
      </c>
      <c r="H1202" t="s">
        <v>63</v>
      </c>
      <c r="I1202" t="s">
        <v>50</v>
      </c>
      <c r="J1202" s="4">
        <v>65</v>
      </c>
      <c r="K1202">
        <v>1</v>
      </c>
      <c r="L1202">
        <v>65</v>
      </c>
      <c r="M1202">
        <v>65</v>
      </c>
      <c r="N1202" s="5">
        <v>3.2696177062374248</v>
      </c>
      <c r="O1202" t="s">
        <v>360</v>
      </c>
      <c r="P1202" t="s">
        <v>340</v>
      </c>
      <c r="Q1202" t="s">
        <v>24</v>
      </c>
    </row>
    <row r="1203" spans="1:18" hidden="1" x14ac:dyDescent="0.25">
      <c r="A1203" s="2" t="s">
        <v>287</v>
      </c>
      <c r="B1203" s="3" t="str">
        <f t="shared" si="22"/>
        <v>18/3/25</v>
      </c>
      <c r="C1203">
        <v>25</v>
      </c>
      <c r="D1203">
        <v>3</v>
      </c>
      <c r="E1203">
        <v>18</v>
      </c>
      <c r="F1203" t="s">
        <v>1234</v>
      </c>
      <c r="H1203" t="s">
        <v>69</v>
      </c>
      <c r="I1203" t="s">
        <v>27</v>
      </c>
      <c r="J1203" s="4">
        <v>64.650000000000006</v>
      </c>
      <c r="K1203">
        <v>1</v>
      </c>
      <c r="L1203">
        <v>64.650000000000006</v>
      </c>
      <c r="M1203">
        <v>64.650000000000006</v>
      </c>
      <c r="N1203" s="5">
        <v>3.2520120724346082</v>
      </c>
      <c r="O1203" t="s">
        <v>365</v>
      </c>
      <c r="P1203" t="s">
        <v>340</v>
      </c>
      <c r="Q1203" t="s">
        <v>24</v>
      </c>
    </row>
    <row r="1204" spans="1:18" hidden="1" x14ac:dyDescent="0.25">
      <c r="A1204" s="2" t="s">
        <v>287</v>
      </c>
      <c r="B1204" s="3" t="str">
        <f t="shared" si="22"/>
        <v>18/3/25</v>
      </c>
      <c r="C1204">
        <v>25</v>
      </c>
      <c r="D1204">
        <v>3</v>
      </c>
      <c r="E1204">
        <v>18</v>
      </c>
      <c r="F1204" t="s">
        <v>366</v>
      </c>
      <c r="H1204" t="s">
        <v>44</v>
      </c>
      <c r="I1204" t="s">
        <v>27</v>
      </c>
      <c r="J1204" s="4">
        <v>70</v>
      </c>
      <c r="K1204">
        <v>1</v>
      </c>
      <c r="L1204">
        <v>70</v>
      </c>
      <c r="M1204">
        <v>70</v>
      </c>
      <c r="N1204" s="5">
        <v>3.5211267605633805</v>
      </c>
      <c r="O1204" t="s">
        <v>365</v>
      </c>
      <c r="P1204" t="s">
        <v>340</v>
      </c>
      <c r="Q1204" t="s">
        <v>24</v>
      </c>
    </row>
    <row r="1205" spans="1:18" hidden="1" x14ac:dyDescent="0.25">
      <c r="A1205" s="2" t="s">
        <v>287</v>
      </c>
      <c r="B1205" s="3" t="str">
        <f t="shared" si="22"/>
        <v>18/3/25</v>
      </c>
      <c r="C1205" s="13">
        <v>25</v>
      </c>
      <c r="D1205">
        <v>3</v>
      </c>
      <c r="E1205">
        <v>18</v>
      </c>
      <c r="F1205" t="s">
        <v>165</v>
      </c>
      <c r="H1205" t="s">
        <v>63</v>
      </c>
      <c r="I1205" t="s">
        <v>27</v>
      </c>
      <c r="J1205" s="4">
        <v>70</v>
      </c>
      <c r="K1205">
        <v>1</v>
      </c>
      <c r="L1205">
        <v>70</v>
      </c>
      <c r="M1205">
        <v>70</v>
      </c>
      <c r="N1205" s="5">
        <v>3.5211267605633805</v>
      </c>
      <c r="O1205" t="s">
        <v>365</v>
      </c>
      <c r="P1205" t="s">
        <v>340</v>
      </c>
      <c r="Q1205" t="s">
        <v>24</v>
      </c>
      <c r="R1205" t="s">
        <v>367</v>
      </c>
    </row>
    <row r="1206" spans="1:18" hidden="1" x14ac:dyDescent="0.25">
      <c r="A1206" s="2" t="s">
        <v>287</v>
      </c>
      <c r="B1206" s="3" t="str">
        <f t="shared" si="22"/>
        <v>18/3/26</v>
      </c>
      <c r="C1206">
        <v>26</v>
      </c>
      <c r="D1206">
        <v>3</v>
      </c>
      <c r="E1206">
        <v>18</v>
      </c>
      <c r="F1206" t="s">
        <v>342</v>
      </c>
      <c r="H1206" t="s">
        <v>56</v>
      </c>
      <c r="I1206" t="s">
        <v>27</v>
      </c>
      <c r="J1206" s="4">
        <v>37.99</v>
      </c>
      <c r="K1206">
        <v>1.3979999999999999</v>
      </c>
      <c r="L1206">
        <v>37.99</v>
      </c>
      <c r="M1206">
        <v>53.11</v>
      </c>
      <c r="N1206" s="5">
        <v>2.6715291750503019</v>
      </c>
      <c r="O1206" t="s">
        <v>101</v>
      </c>
      <c r="P1206" t="s">
        <v>340</v>
      </c>
      <c r="Q1206" t="s">
        <v>24</v>
      </c>
    </row>
    <row r="1207" spans="1:18" hidden="1" x14ac:dyDescent="0.25">
      <c r="A1207" s="2" t="s">
        <v>287</v>
      </c>
      <c r="B1207" s="3" t="str">
        <f t="shared" si="22"/>
        <v>18/3/26</v>
      </c>
      <c r="C1207">
        <v>26</v>
      </c>
      <c r="D1207">
        <v>3</v>
      </c>
      <c r="E1207">
        <v>18</v>
      </c>
      <c r="F1207" t="s">
        <v>368</v>
      </c>
      <c r="H1207" t="s">
        <v>56</v>
      </c>
      <c r="I1207" t="s">
        <v>27</v>
      </c>
      <c r="J1207" s="4">
        <v>70</v>
      </c>
      <c r="K1207">
        <v>0.27400000000000002</v>
      </c>
      <c r="L1207">
        <v>70</v>
      </c>
      <c r="M1207">
        <v>19.18</v>
      </c>
      <c r="N1207" s="5">
        <v>0.96478873239436624</v>
      </c>
      <c r="O1207" t="s">
        <v>101</v>
      </c>
      <c r="P1207" t="s">
        <v>340</v>
      </c>
      <c r="Q1207" t="s">
        <v>24</v>
      </c>
    </row>
    <row r="1208" spans="1:18" hidden="1" x14ac:dyDescent="0.25">
      <c r="A1208" s="2" t="s">
        <v>287</v>
      </c>
      <c r="B1208" s="3" t="str">
        <f t="shared" si="22"/>
        <v>18/3/27</v>
      </c>
      <c r="C1208">
        <v>27</v>
      </c>
      <c r="D1208">
        <v>3</v>
      </c>
      <c r="E1208">
        <v>18</v>
      </c>
      <c r="F1208" t="s">
        <v>369</v>
      </c>
      <c r="G1208" t="s">
        <v>210</v>
      </c>
      <c r="H1208" t="s">
        <v>131</v>
      </c>
      <c r="I1208" t="s">
        <v>27</v>
      </c>
      <c r="J1208" s="4">
        <v>54.5</v>
      </c>
      <c r="K1208">
        <v>1</v>
      </c>
      <c r="L1208">
        <v>54.5</v>
      </c>
      <c r="M1208">
        <v>54.5</v>
      </c>
      <c r="N1208" s="5">
        <v>2.7414486921529178</v>
      </c>
      <c r="O1208" t="s">
        <v>36</v>
      </c>
      <c r="P1208" t="s">
        <v>340</v>
      </c>
      <c r="Q1208" t="s">
        <v>24</v>
      </c>
    </row>
    <row r="1209" spans="1:18" hidden="1" x14ac:dyDescent="0.25">
      <c r="A1209" s="2" t="s">
        <v>287</v>
      </c>
      <c r="B1209" s="3" t="str">
        <f t="shared" si="22"/>
        <v>18/3/27</v>
      </c>
      <c r="C1209">
        <v>27</v>
      </c>
      <c r="D1209">
        <v>3</v>
      </c>
      <c r="E1209">
        <v>18</v>
      </c>
      <c r="F1209" t="s">
        <v>258</v>
      </c>
      <c r="G1209" t="s">
        <v>39</v>
      </c>
      <c r="H1209" t="s">
        <v>65</v>
      </c>
      <c r="I1209" t="s">
        <v>27</v>
      </c>
      <c r="J1209" s="4">
        <v>37.5</v>
      </c>
      <c r="K1209">
        <v>1</v>
      </c>
      <c r="L1209">
        <v>37.5</v>
      </c>
      <c r="M1209">
        <v>37.5</v>
      </c>
      <c r="N1209" s="5">
        <v>1.8863179074446681</v>
      </c>
      <c r="O1209" t="s">
        <v>36</v>
      </c>
      <c r="P1209" t="s">
        <v>340</v>
      </c>
      <c r="Q1209" t="s">
        <v>24</v>
      </c>
    </row>
    <row r="1210" spans="1:18" hidden="1" x14ac:dyDescent="0.25">
      <c r="A1210" s="2" t="s">
        <v>287</v>
      </c>
      <c r="B1210" s="3" t="str">
        <f t="shared" si="22"/>
        <v>18/3/27</v>
      </c>
      <c r="C1210">
        <v>27</v>
      </c>
      <c r="D1210">
        <v>3</v>
      </c>
      <c r="E1210">
        <v>18</v>
      </c>
      <c r="F1210" t="s">
        <v>202</v>
      </c>
      <c r="H1210" t="s">
        <v>54</v>
      </c>
      <c r="I1210" t="s">
        <v>27</v>
      </c>
      <c r="J1210" s="4">
        <v>99.99</v>
      </c>
      <c r="K1210">
        <v>0.432</v>
      </c>
      <c r="L1210">
        <v>99.99</v>
      </c>
      <c r="M1210">
        <v>43.2</v>
      </c>
      <c r="N1210" s="5">
        <v>2.173038229376258</v>
      </c>
      <c r="O1210" t="s">
        <v>28</v>
      </c>
      <c r="P1210" t="s">
        <v>340</v>
      </c>
      <c r="Q1210" t="s">
        <v>24</v>
      </c>
    </row>
    <row r="1211" spans="1:18" hidden="1" x14ac:dyDescent="0.25">
      <c r="A1211" s="2" t="s">
        <v>287</v>
      </c>
      <c r="B1211" s="3" t="str">
        <f t="shared" si="22"/>
        <v>18/3/27</v>
      </c>
      <c r="C1211">
        <v>27</v>
      </c>
      <c r="D1211">
        <v>3</v>
      </c>
      <c r="E1211">
        <v>18</v>
      </c>
      <c r="F1211" t="s">
        <v>341</v>
      </c>
      <c r="G1211" t="s">
        <v>25</v>
      </c>
      <c r="H1211" t="s">
        <v>26</v>
      </c>
      <c r="I1211" t="s">
        <v>27</v>
      </c>
      <c r="J1211" s="4">
        <v>224</v>
      </c>
      <c r="K1211">
        <v>0.122</v>
      </c>
      <c r="L1211">
        <v>224</v>
      </c>
      <c r="M1211">
        <v>27.33</v>
      </c>
      <c r="N1211" s="5">
        <v>1.374748490945674</v>
      </c>
      <c r="O1211" t="s">
        <v>28</v>
      </c>
      <c r="P1211" t="s">
        <v>340</v>
      </c>
      <c r="Q1211" t="s">
        <v>24</v>
      </c>
    </row>
    <row r="1212" spans="1:18" hidden="1" x14ac:dyDescent="0.25">
      <c r="A1212" s="2" t="s">
        <v>287</v>
      </c>
      <c r="B1212" s="3" t="str">
        <f t="shared" si="22"/>
        <v>18/3/27</v>
      </c>
      <c r="C1212">
        <v>27</v>
      </c>
      <c r="D1212">
        <v>3</v>
      </c>
      <c r="E1212">
        <v>18</v>
      </c>
      <c r="F1212" t="s">
        <v>112</v>
      </c>
      <c r="H1212" t="s">
        <v>56</v>
      </c>
      <c r="I1212" t="s">
        <v>27</v>
      </c>
      <c r="J1212" s="4">
        <v>19.989999999999998</v>
      </c>
      <c r="K1212">
        <v>0.91800000000000004</v>
      </c>
      <c r="L1212">
        <v>19.989999999999998</v>
      </c>
      <c r="M1212">
        <v>18.350000000000001</v>
      </c>
      <c r="N1212" s="5">
        <v>0.92303822937625768</v>
      </c>
      <c r="O1212" t="s">
        <v>28</v>
      </c>
      <c r="P1212" t="s">
        <v>340</v>
      </c>
      <c r="Q1212" t="s">
        <v>24</v>
      </c>
    </row>
    <row r="1213" spans="1:18" hidden="1" x14ac:dyDescent="0.25">
      <c r="A1213" s="2" t="s">
        <v>287</v>
      </c>
      <c r="B1213" s="3" t="str">
        <f t="shared" si="22"/>
        <v>18/3/27</v>
      </c>
      <c r="C1213">
        <v>27</v>
      </c>
      <c r="D1213">
        <v>3</v>
      </c>
      <c r="E1213">
        <v>18</v>
      </c>
      <c r="F1213" t="s">
        <v>37</v>
      </c>
      <c r="G1213" t="s">
        <v>31</v>
      </c>
      <c r="H1213" t="s">
        <v>26</v>
      </c>
      <c r="I1213" t="s">
        <v>27</v>
      </c>
      <c r="J1213" s="4">
        <v>7.65</v>
      </c>
      <c r="K1213">
        <v>1</v>
      </c>
      <c r="L1213">
        <v>7.65</v>
      </c>
      <c r="M1213">
        <v>7.65</v>
      </c>
      <c r="N1213" s="5">
        <v>0.38480885311871232</v>
      </c>
      <c r="O1213" s="6" t="s">
        <v>28</v>
      </c>
      <c r="P1213" t="s">
        <v>340</v>
      </c>
      <c r="Q1213" t="s">
        <v>24</v>
      </c>
    </row>
    <row r="1214" spans="1:18" hidden="1" x14ac:dyDescent="0.25">
      <c r="A1214" s="2" t="s">
        <v>287</v>
      </c>
      <c r="B1214" s="3" t="str">
        <f t="shared" si="22"/>
        <v>18/3/28</v>
      </c>
      <c r="C1214">
        <v>28</v>
      </c>
      <c r="D1214">
        <v>3</v>
      </c>
      <c r="E1214">
        <v>18</v>
      </c>
      <c r="F1214" t="s">
        <v>141</v>
      </c>
      <c r="H1214" t="s">
        <v>172</v>
      </c>
      <c r="I1214" s="32" t="s">
        <v>39</v>
      </c>
      <c r="J1214" s="4">
        <v>3</v>
      </c>
      <c r="K1214">
        <v>2</v>
      </c>
      <c r="L1214">
        <v>3</v>
      </c>
      <c r="M1214">
        <v>6</v>
      </c>
      <c r="N1214" s="5">
        <v>0.30181086519114692</v>
      </c>
      <c r="O1214" t="s">
        <v>39</v>
      </c>
      <c r="Q1214" t="s">
        <v>24</v>
      </c>
    </row>
    <row r="1215" spans="1:18" hidden="1" x14ac:dyDescent="0.25">
      <c r="A1215" s="2" t="s">
        <v>287</v>
      </c>
      <c r="B1215" s="3" t="str">
        <f t="shared" si="22"/>
        <v>18/3/28</v>
      </c>
      <c r="C1215">
        <v>28</v>
      </c>
      <c r="D1215">
        <v>3</v>
      </c>
      <c r="E1215">
        <v>18</v>
      </c>
      <c r="F1215" t="s">
        <v>141</v>
      </c>
      <c r="H1215" t="s">
        <v>172</v>
      </c>
      <c r="I1215" t="s">
        <v>39</v>
      </c>
      <c r="J1215" s="4">
        <v>2</v>
      </c>
      <c r="K1215">
        <v>4</v>
      </c>
      <c r="L1215">
        <v>2</v>
      </c>
      <c r="M1215">
        <v>8</v>
      </c>
      <c r="N1215" s="5">
        <v>0.4024144869215292</v>
      </c>
      <c r="O1215" t="s">
        <v>39</v>
      </c>
      <c r="Q1215" t="s">
        <v>24</v>
      </c>
    </row>
    <row r="1216" spans="1:18" hidden="1" x14ac:dyDescent="0.25">
      <c r="A1216" s="2" t="s">
        <v>287</v>
      </c>
      <c r="B1216" s="3" t="str">
        <f t="shared" si="22"/>
        <v>18/3/28</v>
      </c>
      <c r="C1216">
        <v>28</v>
      </c>
      <c r="D1216">
        <v>3</v>
      </c>
      <c r="E1216">
        <v>18</v>
      </c>
      <c r="F1216" t="s">
        <v>370</v>
      </c>
      <c r="H1216" t="s">
        <v>56</v>
      </c>
      <c r="I1216" t="s">
        <v>27</v>
      </c>
      <c r="J1216" s="4">
        <v>70</v>
      </c>
      <c r="K1216">
        <v>0.32800000000000001</v>
      </c>
      <c r="L1216">
        <v>70</v>
      </c>
      <c r="M1216">
        <v>22.96</v>
      </c>
      <c r="N1216" s="5">
        <v>1.1549295774647887</v>
      </c>
      <c r="O1216" t="s">
        <v>101</v>
      </c>
      <c r="P1216" t="s">
        <v>340</v>
      </c>
      <c r="Q1216" t="s">
        <v>24</v>
      </c>
    </row>
    <row r="1217" spans="1:18" hidden="1" x14ac:dyDescent="0.25">
      <c r="A1217" s="2" t="s">
        <v>287</v>
      </c>
      <c r="B1217" s="3" t="str">
        <f t="shared" si="22"/>
        <v>18/3/28</v>
      </c>
      <c r="C1217">
        <v>28</v>
      </c>
      <c r="D1217">
        <v>3</v>
      </c>
      <c r="E1217">
        <v>18</v>
      </c>
      <c r="F1217" t="s">
        <v>108</v>
      </c>
      <c r="H1217" t="s">
        <v>54</v>
      </c>
      <c r="I1217" t="s">
        <v>27</v>
      </c>
      <c r="J1217" s="4">
        <v>55</v>
      </c>
      <c r="K1217">
        <v>0.248</v>
      </c>
      <c r="L1217">
        <v>55</v>
      </c>
      <c r="M1217">
        <v>13.64</v>
      </c>
      <c r="N1217" s="5">
        <v>0.6861167002012073</v>
      </c>
      <c r="O1217" t="s">
        <v>39</v>
      </c>
      <c r="Q1217" t="s">
        <v>24</v>
      </c>
    </row>
    <row r="1218" spans="1:18" hidden="1" x14ac:dyDescent="0.25">
      <c r="A1218" s="2" t="s">
        <v>287</v>
      </c>
      <c r="B1218" s="3" t="str">
        <f t="shared" si="22"/>
        <v>18/3/28</v>
      </c>
      <c r="C1218">
        <v>28</v>
      </c>
      <c r="D1218">
        <v>3</v>
      </c>
      <c r="E1218">
        <v>18</v>
      </c>
      <c r="F1218" t="s">
        <v>124</v>
      </c>
      <c r="H1218" t="s">
        <v>54</v>
      </c>
      <c r="I1218" t="s">
        <v>27</v>
      </c>
      <c r="J1218" s="4">
        <v>45.99</v>
      </c>
      <c r="K1218">
        <v>0.24</v>
      </c>
      <c r="L1218">
        <v>45.99</v>
      </c>
      <c r="M1218">
        <v>11.04</v>
      </c>
      <c r="N1218" s="5">
        <v>0.55533199195171024</v>
      </c>
      <c r="O1218" t="s">
        <v>39</v>
      </c>
      <c r="Q1218" t="s">
        <v>24</v>
      </c>
    </row>
    <row r="1219" spans="1:18" hidden="1" x14ac:dyDescent="0.25">
      <c r="A1219" s="2" t="s">
        <v>287</v>
      </c>
      <c r="B1219" s="3" t="str">
        <f t="shared" si="22"/>
        <v>18/3/28</v>
      </c>
      <c r="C1219">
        <v>28</v>
      </c>
      <c r="D1219">
        <v>3</v>
      </c>
      <c r="E1219">
        <v>18</v>
      </c>
      <c r="F1219" t="s">
        <v>371</v>
      </c>
      <c r="H1219" t="s">
        <v>63</v>
      </c>
      <c r="I1219" t="s">
        <v>50</v>
      </c>
      <c r="J1219" s="4">
        <v>170</v>
      </c>
      <c r="K1219">
        <v>1</v>
      </c>
      <c r="L1219">
        <v>170</v>
      </c>
      <c r="M1219">
        <v>170</v>
      </c>
      <c r="N1219" s="5">
        <v>8.5513078470824961</v>
      </c>
      <c r="O1219" t="s">
        <v>1472</v>
      </c>
      <c r="P1219" t="s">
        <v>340</v>
      </c>
      <c r="Q1219" t="s">
        <v>24</v>
      </c>
    </row>
    <row r="1220" spans="1:18" hidden="1" x14ac:dyDescent="0.25">
      <c r="A1220" s="2" t="s">
        <v>287</v>
      </c>
      <c r="B1220" s="3" t="str">
        <f t="shared" si="22"/>
        <v>18/3/3</v>
      </c>
      <c r="C1220">
        <v>3</v>
      </c>
      <c r="D1220">
        <v>3</v>
      </c>
      <c r="E1220">
        <v>18</v>
      </c>
      <c r="F1220" t="s">
        <v>55</v>
      </c>
      <c r="H1220" t="s">
        <v>56</v>
      </c>
      <c r="I1220" t="s">
        <v>27</v>
      </c>
      <c r="J1220" s="4">
        <v>37.99</v>
      </c>
      <c r="K1220">
        <v>1.052</v>
      </c>
      <c r="L1220">
        <v>37.99</v>
      </c>
      <c r="M1220">
        <v>39.97</v>
      </c>
      <c r="N1220" s="5">
        <v>2.01056338028169</v>
      </c>
      <c r="O1220" t="s">
        <v>101</v>
      </c>
      <c r="P1220" t="s">
        <v>340</v>
      </c>
      <c r="Q1220" t="s">
        <v>24</v>
      </c>
    </row>
    <row r="1221" spans="1:18" hidden="1" x14ac:dyDescent="0.25">
      <c r="A1221" s="2" t="s">
        <v>287</v>
      </c>
      <c r="B1221" s="3" t="str">
        <f t="shared" si="22"/>
        <v>18/3/3</v>
      </c>
      <c r="C1221">
        <v>3</v>
      </c>
      <c r="D1221">
        <v>3</v>
      </c>
      <c r="E1221">
        <v>18</v>
      </c>
      <c r="F1221" t="s">
        <v>372</v>
      </c>
      <c r="G1221" t="s">
        <v>373</v>
      </c>
      <c r="H1221" t="s">
        <v>65</v>
      </c>
      <c r="I1221" t="s">
        <v>27</v>
      </c>
      <c r="J1221" s="4">
        <v>8.5</v>
      </c>
      <c r="K1221">
        <v>2</v>
      </c>
      <c r="L1221">
        <v>8.5</v>
      </c>
      <c r="M1221">
        <v>17</v>
      </c>
      <c r="N1221" s="5">
        <v>0.85513078470824955</v>
      </c>
      <c r="O1221" t="s">
        <v>101</v>
      </c>
      <c r="P1221" t="s">
        <v>340</v>
      </c>
      <c r="Q1221" t="s">
        <v>24</v>
      </c>
    </row>
    <row r="1222" spans="1:18" hidden="1" x14ac:dyDescent="0.25">
      <c r="A1222" s="2" t="s">
        <v>287</v>
      </c>
      <c r="B1222" s="3" t="str">
        <f t="shared" si="22"/>
        <v>18/3/3</v>
      </c>
      <c r="C1222">
        <v>3</v>
      </c>
      <c r="D1222">
        <v>3</v>
      </c>
      <c r="E1222">
        <v>18</v>
      </c>
      <c r="F1222" t="s">
        <v>75</v>
      </c>
      <c r="H1222" t="s">
        <v>65</v>
      </c>
      <c r="I1222" t="s">
        <v>27</v>
      </c>
      <c r="J1222" s="4">
        <v>8.75</v>
      </c>
      <c r="K1222">
        <v>1</v>
      </c>
      <c r="L1222">
        <v>8.75</v>
      </c>
      <c r="M1222">
        <v>8.75</v>
      </c>
      <c r="N1222" s="5">
        <v>0.44014084507042256</v>
      </c>
      <c r="O1222" t="s">
        <v>101</v>
      </c>
      <c r="P1222" t="s">
        <v>340</v>
      </c>
      <c r="Q1222" t="s">
        <v>24</v>
      </c>
    </row>
    <row r="1223" spans="1:18" hidden="1" x14ac:dyDescent="0.25">
      <c r="A1223" s="2" t="s">
        <v>287</v>
      </c>
      <c r="B1223" s="3" t="str">
        <f t="shared" si="22"/>
        <v>18/3/3</v>
      </c>
      <c r="C1223">
        <v>3</v>
      </c>
      <c r="D1223">
        <v>3</v>
      </c>
      <c r="E1223">
        <v>18</v>
      </c>
      <c r="F1223" t="s">
        <v>75</v>
      </c>
      <c r="H1223" t="s">
        <v>65</v>
      </c>
      <c r="I1223" t="s">
        <v>27</v>
      </c>
      <c r="J1223" s="4">
        <v>17.5</v>
      </c>
      <c r="K1223">
        <v>1</v>
      </c>
      <c r="L1223">
        <v>17.5</v>
      </c>
      <c r="M1223">
        <v>17.5</v>
      </c>
      <c r="N1223" s="5">
        <v>0.88028169014084512</v>
      </c>
      <c r="O1223" t="s">
        <v>101</v>
      </c>
      <c r="P1223" t="s">
        <v>340</v>
      </c>
      <c r="Q1223" t="s">
        <v>24</v>
      </c>
    </row>
    <row r="1224" spans="1:18" hidden="1" x14ac:dyDescent="0.25">
      <c r="A1224" s="2" t="s">
        <v>287</v>
      </c>
      <c r="B1224" s="3" t="str">
        <f t="shared" si="22"/>
        <v>18/3/30</v>
      </c>
      <c r="C1224">
        <v>30</v>
      </c>
      <c r="D1224">
        <v>3</v>
      </c>
      <c r="E1224">
        <v>18</v>
      </c>
      <c r="F1224" t="s">
        <v>2080</v>
      </c>
      <c r="G1224" t="s">
        <v>1147</v>
      </c>
      <c r="H1224" t="s">
        <v>21</v>
      </c>
      <c r="I1224" t="s">
        <v>22</v>
      </c>
      <c r="J1224" s="4">
        <v>300</v>
      </c>
      <c r="K1224">
        <v>1</v>
      </c>
      <c r="L1224">
        <v>300</v>
      </c>
      <c r="M1224">
        <v>300</v>
      </c>
      <c r="N1224" s="5">
        <v>15.090543259557345</v>
      </c>
      <c r="O1224" t="s">
        <v>39</v>
      </c>
      <c r="Q1224" t="s">
        <v>24</v>
      </c>
    </row>
    <row r="1225" spans="1:18" hidden="1" x14ac:dyDescent="0.25">
      <c r="A1225" s="2" t="s">
        <v>287</v>
      </c>
      <c r="B1225" s="3" t="str">
        <f t="shared" si="22"/>
        <v>18/3/30</v>
      </c>
      <c r="C1225">
        <v>30</v>
      </c>
      <c r="D1225">
        <v>3</v>
      </c>
      <c r="E1225">
        <v>18</v>
      </c>
      <c r="F1225" t="s">
        <v>374</v>
      </c>
      <c r="I1225" t="s">
        <v>82</v>
      </c>
      <c r="J1225" s="4">
        <v>1</v>
      </c>
      <c r="K1225">
        <v>5</v>
      </c>
      <c r="L1225" s="8">
        <v>1</v>
      </c>
      <c r="M1225" s="8">
        <v>5</v>
      </c>
      <c r="N1225" s="5">
        <v>0.25150905432595577</v>
      </c>
      <c r="O1225" t="s">
        <v>359</v>
      </c>
      <c r="P1225" t="s">
        <v>340</v>
      </c>
      <c r="Q1225" t="s">
        <v>24</v>
      </c>
    </row>
    <row r="1226" spans="1:18" hidden="1" x14ac:dyDescent="0.25">
      <c r="A1226" s="2" t="s">
        <v>287</v>
      </c>
      <c r="B1226" s="3" t="str">
        <f t="shared" si="22"/>
        <v>18/3/30</v>
      </c>
      <c r="C1226">
        <v>30</v>
      </c>
      <c r="D1226">
        <v>3</v>
      </c>
      <c r="E1226">
        <v>18</v>
      </c>
      <c r="F1226" t="s">
        <v>374</v>
      </c>
      <c r="I1226" t="s">
        <v>82</v>
      </c>
      <c r="J1226" s="4">
        <v>5</v>
      </c>
      <c r="K1226">
        <v>1</v>
      </c>
      <c r="L1226" s="8">
        <v>5</v>
      </c>
      <c r="M1226" s="8">
        <v>5</v>
      </c>
      <c r="N1226" s="5">
        <v>0.25150905432595577</v>
      </c>
      <c r="O1226" t="s">
        <v>359</v>
      </c>
      <c r="P1226" t="s">
        <v>340</v>
      </c>
      <c r="Q1226" t="s">
        <v>24</v>
      </c>
    </row>
    <row r="1227" spans="1:18" hidden="1" x14ac:dyDescent="0.25">
      <c r="A1227" s="2" t="s">
        <v>287</v>
      </c>
      <c r="B1227" s="3" t="str">
        <f t="shared" si="22"/>
        <v>18/3/30</v>
      </c>
      <c r="C1227">
        <v>30</v>
      </c>
      <c r="D1227">
        <v>3</v>
      </c>
      <c r="E1227">
        <v>18</v>
      </c>
      <c r="F1227" t="s">
        <v>1567</v>
      </c>
      <c r="I1227" t="s">
        <v>96</v>
      </c>
      <c r="J1227" s="4">
        <v>344</v>
      </c>
      <c r="K1227">
        <v>1</v>
      </c>
      <c r="L1227" s="14">
        <v>5710.4</v>
      </c>
      <c r="M1227">
        <v>5710.4</v>
      </c>
      <c r="N1227" s="5">
        <v>287.2434607645875</v>
      </c>
      <c r="O1227" t="s">
        <v>97</v>
      </c>
      <c r="P1227" t="s">
        <v>651</v>
      </c>
      <c r="Q1227" t="s">
        <v>24</v>
      </c>
      <c r="R1227" t="s">
        <v>1566</v>
      </c>
    </row>
    <row r="1228" spans="1:18" hidden="1" x14ac:dyDescent="0.25">
      <c r="A1228" s="2" t="s">
        <v>287</v>
      </c>
      <c r="B1228" s="3" t="str">
        <f t="shared" ref="B1228:B1272" si="23">CONCATENATE(E1228,"/",D1228,"/",C1228)</f>
        <v>18/3/30</v>
      </c>
      <c r="C1228">
        <v>30</v>
      </c>
      <c r="D1228">
        <v>3</v>
      </c>
      <c r="E1228">
        <v>18</v>
      </c>
      <c r="F1228" t="s">
        <v>53</v>
      </c>
      <c r="H1228" t="s">
        <v>53</v>
      </c>
      <c r="I1228" t="s">
        <v>27</v>
      </c>
      <c r="J1228" s="4">
        <v>17.600000000000001</v>
      </c>
      <c r="K1228">
        <v>1</v>
      </c>
      <c r="L1228">
        <v>17.600000000000001</v>
      </c>
      <c r="M1228">
        <v>17.600000000000001</v>
      </c>
      <c r="N1228" s="5">
        <v>0.88531187122736432</v>
      </c>
      <c r="O1228" t="s">
        <v>46</v>
      </c>
      <c r="P1228" t="s">
        <v>340</v>
      </c>
      <c r="Q1228" t="s">
        <v>84</v>
      </c>
    </row>
    <row r="1229" spans="1:18" hidden="1" x14ac:dyDescent="0.25">
      <c r="A1229" s="2" t="s">
        <v>287</v>
      </c>
      <c r="B1229" s="3" t="str">
        <f t="shared" si="23"/>
        <v>18/3/30</v>
      </c>
      <c r="C1229">
        <v>30</v>
      </c>
      <c r="D1229">
        <v>3</v>
      </c>
      <c r="E1229">
        <v>18</v>
      </c>
      <c r="F1229" t="s">
        <v>73</v>
      </c>
      <c r="H1229" t="s">
        <v>73</v>
      </c>
      <c r="I1229" t="s">
        <v>27</v>
      </c>
      <c r="J1229" s="4">
        <v>25.65</v>
      </c>
      <c r="K1229">
        <v>1</v>
      </c>
      <c r="L1229">
        <v>25.65</v>
      </c>
      <c r="M1229">
        <v>25.65</v>
      </c>
      <c r="N1229" s="5">
        <v>1.290241448692153</v>
      </c>
      <c r="O1229" t="s">
        <v>100</v>
      </c>
      <c r="P1229" t="s">
        <v>340</v>
      </c>
      <c r="Q1229" t="s">
        <v>24</v>
      </c>
    </row>
    <row r="1230" spans="1:18" hidden="1" x14ac:dyDescent="0.25">
      <c r="A1230" s="2" t="s">
        <v>287</v>
      </c>
      <c r="B1230" s="3" t="str">
        <f t="shared" si="23"/>
        <v>18/3/30</v>
      </c>
      <c r="C1230">
        <v>30</v>
      </c>
      <c r="D1230">
        <v>3</v>
      </c>
      <c r="E1230">
        <v>18</v>
      </c>
      <c r="F1230" t="s">
        <v>81</v>
      </c>
      <c r="I1230" t="s">
        <v>39</v>
      </c>
      <c r="J1230" s="4">
        <v>150</v>
      </c>
      <c r="K1230">
        <v>1</v>
      </c>
      <c r="L1230">
        <v>150</v>
      </c>
      <c r="M1230" s="8">
        <v>150</v>
      </c>
      <c r="N1230" s="5">
        <v>7.5452716297786724</v>
      </c>
      <c r="O1230" t="s">
        <v>376</v>
      </c>
      <c r="P1230" t="s">
        <v>340</v>
      </c>
      <c r="Q1230" t="s">
        <v>84</v>
      </c>
      <c r="R1230" t="s">
        <v>375</v>
      </c>
    </row>
    <row r="1231" spans="1:18" hidden="1" x14ac:dyDescent="0.25">
      <c r="A1231" s="2" t="s">
        <v>287</v>
      </c>
      <c r="B1231" s="3" t="str">
        <f t="shared" si="23"/>
        <v>18/3/30</v>
      </c>
      <c r="C1231">
        <v>30</v>
      </c>
      <c r="D1231">
        <v>3</v>
      </c>
      <c r="E1231">
        <v>18</v>
      </c>
      <c r="F1231" t="s">
        <v>328</v>
      </c>
      <c r="G1231" t="s">
        <v>328</v>
      </c>
      <c r="H1231" t="s">
        <v>49</v>
      </c>
      <c r="I1231" t="s">
        <v>50</v>
      </c>
      <c r="J1231" s="4">
        <v>75</v>
      </c>
      <c r="K1231">
        <v>2</v>
      </c>
      <c r="L1231">
        <v>75</v>
      </c>
      <c r="M1231" s="8">
        <v>150</v>
      </c>
      <c r="N1231" s="5">
        <v>7.5452716297786724</v>
      </c>
      <c r="O1231" t="s">
        <v>39</v>
      </c>
      <c r="P1231" t="s">
        <v>340</v>
      </c>
      <c r="Q1231" t="s">
        <v>84</v>
      </c>
    </row>
    <row r="1232" spans="1:18" hidden="1" x14ac:dyDescent="0.25">
      <c r="A1232" s="2" t="s">
        <v>287</v>
      </c>
      <c r="B1232" s="3" t="str">
        <f t="shared" si="23"/>
        <v>18/3/31</v>
      </c>
      <c r="C1232">
        <v>31</v>
      </c>
      <c r="D1232">
        <v>3</v>
      </c>
      <c r="E1232">
        <v>18</v>
      </c>
      <c r="F1232" t="s">
        <v>358</v>
      </c>
      <c r="H1232" t="s">
        <v>63</v>
      </c>
      <c r="I1232" t="s">
        <v>50</v>
      </c>
      <c r="J1232" s="4">
        <v>40</v>
      </c>
      <c r="K1232">
        <v>1</v>
      </c>
      <c r="L1232">
        <v>40</v>
      </c>
      <c r="M1232">
        <v>40</v>
      </c>
      <c r="N1232" s="5">
        <v>2.0120724346076462</v>
      </c>
      <c r="O1232" t="s">
        <v>39</v>
      </c>
      <c r="P1232" t="s">
        <v>340</v>
      </c>
      <c r="Q1232" t="s">
        <v>24</v>
      </c>
    </row>
    <row r="1233" spans="1:18" hidden="1" x14ac:dyDescent="0.25">
      <c r="A1233" s="2" t="s">
        <v>287</v>
      </c>
      <c r="B1233" s="3" t="str">
        <f t="shared" si="23"/>
        <v>18/3/31</v>
      </c>
      <c r="C1233">
        <v>31</v>
      </c>
      <c r="D1233">
        <v>3</v>
      </c>
      <c r="E1233">
        <v>18</v>
      </c>
      <c r="F1233" t="s">
        <v>124</v>
      </c>
      <c r="H1233" t="s">
        <v>54</v>
      </c>
      <c r="I1233" t="s">
        <v>27</v>
      </c>
      <c r="J1233" s="4">
        <v>45.99</v>
      </c>
      <c r="K1233">
        <v>0.13800000000000001</v>
      </c>
      <c r="L1233">
        <v>45.99</v>
      </c>
      <c r="M1233">
        <v>6.35</v>
      </c>
      <c r="N1233" s="5">
        <v>0.31941649899396379</v>
      </c>
      <c r="O1233" t="s">
        <v>101</v>
      </c>
      <c r="P1233" t="s">
        <v>340</v>
      </c>
      <c r="Q1233" t="s">
        <v>24</v>
      </c>
    </row>
    <row r="1234" spans="1:18" hidden="1" x14ac:dyDescent="0.25">
      <c r="A1234" s="2" t="s">
        <v>287</v>
      </c>
      <c r="B1234" s="3" t="str">
        <f t="shared" si="23"/>
        <v>18/3/31</v>
      </c>
      <c r="C1234">
        <v>31</v>
      </c>
      <c r="D1234">
        <v>3</v>
      </c>
      <c r="E1234">
        <v>18</v>
      </c>
      <c r="F1234" t="s">
        <v>55</v>
      </c>
      <c r="H1234" t="s">
        <v>56</v>
      </c>
      <c r="I1234" t="s">
        <v>27</v>
      </c>
      <c r="J1234" s="4">
        <v>37.99</v>
      </c>
      <c r="K1234">
        <v>1.046</v>
      </c>
      <c r="L1234">
        <v>37.99</v>
      </c>
      <c r="M1234">
        <v>39.74</v>
      </c>
      <c r="N1234" s="5">
        <v>1.9989939637826963</v>
      </c>
      <c r="O1234" t="s">
        <v>101</v>
      </c>
      <c r="P1234" t="s">
        <v>340</v>
      </c>
      <c r="Q1234" t="s">
        <v>24</v>
      </c>
    </row>
    <row r="1235" spans="1:18" hidden="1" x14ac:dyDescent="0.25">
      <c r="A1235" s="2" t="s">
        <v>287</v>
      </c>
      <c r="B1235" s="3" t="str">
        <f t="shared" si="23"/>
        <v>18/3/31</v>
      </c>
      <c r="C1235">
        <v>31</v>
      </c>
      <c r="D1235">
        <v>3</v>
      </c>
      <c r="E1235">
        <v>18</v>
      </c>
      <c r="F1235" t="s">
        <v>75</v>
      </c>
      <c r="H1235" t="s">
        <v>65</v>
      </c>
      <c r="I1235" t="s">
        <v>27</v>
      </c>
      <c r="J1235" s="4">
        <v>10</v>
      </c>
      <c r="K1235">
        <v>2</v>
      </c>
      <c r="L1235">
        <v>10</v>
      </c>
      <c r="M1235">
        <v>20</v>
      </c>
      <c r="N1235" s="5">
        <v>1.0060362173038231</v>
      </c>
      <c r="O1235" t="s">
        <v>101</v>
      </c>
      <c r="P1235" t="s">
        <v>340</v>
      </c>
      <c r="Q1235" t="s">
        <v>24</v>
      </c>
    </row>
    <row r="1236" spans="1:18" hidden="1" x14ac:dyDescent="0.25">
      <c r="A1236" s="2" t="s">
        <v>287</v>
      </c>
      <c r="B1236" s="3" t="str">
        <f t="shared" si="23"/>
        <v>18/3/31</v>
      </c>
      <c r="C1236">
        <v>31</v>
      </c>
      <c r="D1236">
        <v>3</v>
      </c>
      <c r="E1236">
        <v>18</v>
      </c>
      <c r="F1236" t="s">
        <v>173</v>
      </c>
      <c r="G1236" t="s">
        <v>174</v>
      </c>
      <c r="H1236" t="s">
        <v>54</v>
      </c>
      <c r="I1236" t="s">
        <v>27</v>
      </c>
      <c r="J1236" s="4">
        <v>6.99</v>
      </c>
      <c r="K1236">
        <v>1.008</v>
      </c>
      <c r="L1236">
        <v>6.99</v>
      </c>
      <c r="M1236">
        <v>7.05</v>
      </c>
      <c r="N1236" s="5">
        <v>0.3546277665995976</v>
      </c>
      <c r="O1236" t="s">
        <v>101</v>
      </c>
      <c r="P1236" t="s">
        <v>340</v>
      </c>
      <c r="Q1236" t="s">
        <v>24</v>
      </c>
    </row>
    <row r="1237" spans="1:18" hidden="1" x14ac:dyDescent="0.25">
      <c r="A1237" s="2" t="s">
        <v>287</v>
      </c>
      <c r="B1237" s="3" t="str">
        <f t="shared" si="23"/>
        <v>18/3/31</v>
      </c>
      <c r="C1237">
        <v>31</v>
      </c>
      <c r="D1237">
        <v>3</v>
      </c>
      <c r="E1237">
        <v>18</v>
      </c>
      <c r="F1237" t="s">
        <v>2242</v>
      </c>
      <c r="G1237" t="s">
        <v>345</v>
      </c>
      <c r="H1237" t="s">
        <v>26</v>
      </c>
      <c r="I1237" t="s">
        <v>27</v>
      </c>
      <c r="J1237" s="4">
        <v>6.5</v>
      </c>
      <c r="K1237">
        <v>1</v>
      </c>
      <c r="L1237">
        <v>6.5</v>
      </c>
      <c r="M1237">
        <v>6.5</v>
      </c>
      <c r="N1237" s="5">
        <v>0.32696177062374249</v>
      </c>
      <c r="O1237" t="s">
        <v>101</v>
      </c>
      <c r="P1237" t="s">
        <v>340</v>
      </c>
      <c r="Q1237" t="s">
        <v>24</v>
      </c>
    </row>
    <row r="1238" spans="1:18" hidden="1" x14ac:dyDescent="0.25">
      <c r="A1238" s="2" t="s">
        <v>287</v>
      </c>
      <c r="B1238" s="3" t="str">
        <f t="shared" si="23"/>
        <v>18/3/31</v>
      </c>
      <c r="C1238">
        <v>31</v>
      </c>
      <c r="D1238">
        <v>3</v>
      </c>
      <c r="E1238">
        <v>18</v>
      </c>
      <c r="F1238" t="s">
        <v>377</v>
      </c>
      <c r="G1238" t="s">
        <v>155</v>
      </c>
      <c r="H1238" t="s">
        <v>131</v>
      </c>
      <c r="I1238" t="s">
        <v>27</v>
      </c>
      <c r="J1238" s="4">
        <v>80</v>
      </c>
      <c r="K1238">
        <v>1</v>
      </c>
      <c r="L1238">
        <v>80</v>
      </c>
      <c r="M1238">
        <v>80</v>
      </c>
      <c r="N1238" s="5">
        <v>4.0241448692152924</v>
      </c>
      <c r="O1238" t="s">
        <v>100</v>
      </c>
      <c r="P1238" t="s">
        <v>340</v>
      </c>
      <c r="Q1238" t="s">
        <v>24</v>
      </c>
    </row>
    <row r="1239" spans="1:18" hidden="1" x14ac:dyDescent="0.25">
      <c r="A1239" s="2" t="s">
        <v>287</v>
      </c>
      <c r="B1239" s="3" t="str">
        <f t="shared" si="23"/>
        <v>18/3/31</v>
      </c>
      <c r="C1239">
        <v>31</v>
      </c>
      <c r="D1239">
        <v>3</v>
      </c>
      <c r="E1239">
        <v>18</v>
      </c>
      <c r="F1239" t="s">
        <v>369</v>
      </c>
      <c r="G1239" t="s">
        <v>210</v>
      </c>
      <c r="H1239" t="s">
        <v>131</v>
      </c>
      <c r="I1239" t="s">
        <v>27</v>
      </c>
      <c r="J1239" s="4">
        <v>54.5</v>
      </c>
      <c r="K1239">
        <v>1</v>
      </c>
      <c r="L1239">
        <v>54.5</v>
      </c>
      <c r="M1239">
        <v>54.5</v>
      </c>
      <c r="N1239" s="5">
        <v>2.7414486921529178</v>
      </c>
      <c r="O1239" t="s">
        <v>100</v>
      </c>
      <c r="P1239" t="s">
        <v>340</v>
      </c>
      <c r="Q1239" t="s">
        <v>24</v>
      </c>
    </row>
    <row r="1240" spans="1:18" hidden="1" x14ac:dyDescent="0.25">
      <c r="A1240" s="2" t="s">
        <v>287</v>
      </c>
      <c r="B1240" s="3" t="str">
        <f t="shared" si="23"/>
        <v>18/3/31</v>
      </c>
      <c r="C1240">
        <v>31</v>
      </c>
      <c r="D1240">
        <v>3</v>
      </c>
      <c r="E1240">
        <v>18</v>
      </c>
      <c r="F1240" t="s">
        <v>102</v>
      </c>
      <c r="H1240" t="s">
        <v>102</v>
      </c>
      <c r="I1240" t="s">
        <v>27</v>
      </c>
      <c r="J1240" s="4">
        <v>28</v>
      </c>
      <c r="K1240">
        <v>1</v>
      </c>
      <c r="L1240">
        <v>28</v>
      </c>
      <c r="M1240" s="32">
        <v>28</v>
      </c>
      <c r="N1240" s="5">
        <v>1.4084507042253522</v>
      </c>
      <c r="O1240" t="s">
        <v>378</v>
      </c>
      <c r="P1240" t="s">
        <v>340</v>
      </c>
      <c r="Q1240" t="s">
        <v>84</v>
      </c>
    </row>
    <row r="1241" spans="1:18" hidden="1" x14ac:dyDescent="0.25">
      <c r="A1241" s="2" t="s">
        <v>287</v>
      </c>
      <c r="B1241" s="3" t="str">
        <f t="shared" si="23"/>
        <v>18/3/31</v>
      </c>
      <c r="C1241">
        <v>31</v>
      </c>
      <c r="D1241">
        <v>3</v>
      </c>
      <c r="E1241">
        <v>18</v>
      </c>
      <c r="F1241" t="s">
        <v>379</v>
      </c>
      <c r="H1241" t="s">
        <v>53</v>
      </c>
      <c r="I1241" t="s">
        <v>27</v>
      </c>
      <c r="J1241" s="4">
        <v>8.3000000000000007</v>
      </c>
      <c r="K1241">
        <v>2</v>
      </c>
      <c r="L1241">
        <v>8.3000000000000007</v>
      </c>
      <c r="M1241">
        <v>16.600000000000001</v>
      </c>
      <c r="N1241" s="5">
        <v>0.83501006036217318</v>
      </c>
      <c r="O1241" t="s">
        <v>380</v>
      </c>
      <c r="P1241" t="s">
        <v>340</v>
      </c>
      <c r="Q1241" t="s">
        <v>24</v>
      </c>
    </row>
    <row r="1242" spans="1:18" hidden="1" x14ac:dyDescent="0.25">
      <c r="A1242" s="2" t="s">
        <v>287</v>
      </c>
      <c r="B1242" s="3" t="str">
        <f t="shared" si="23"/>
        <v>18/3/31</v>
      </c>
      <c r="C1242">
        <v>31</v>
      </c>
      <c r="D1242">
        <v>3</v>
      </c>
      <c r="E1242">
        <v>18</v>
      </c>
      <c r="F1242" t="s">
        <v>44</v>
      </c>
      <c r="H1242" t="s">
        <v>44</v>
      </c>
      <c r="I1242" t="s">
        <v>27</v>
      </c>
      <c r="J1242" s="4">
        <v>19.350000000000001</v>
      </c>
      <c r="K1242">
        <v>1</v>
      </c>
      <c r="L1242">
        <v>19.350000000000001</v>
      </c>
      <c r="M1242">
        <v>19.350000000000001</v>
      </c>
      <c r="N1242" s="5">
        <v>0.97334004024144882</v>
      </c>
      <c r="O1242" t="s">
        <v>380</v>
      </c>
      <c r="P1242" t="s">
        <v>340</v>
      </c>
      <c r="Q1242" t="s">
        <v>24</v>
      </c>
    </row>
    <row r="1243" spans="1:18" hidden="1" x14ac:dyDescent="0.25">
      <c r="A1243" s="2" t="s">
        <v>287</v>
      </c>
      <c r="B1243" s="3" t="str">
        <f t="shared" si="23"/>
        <v>18/3/31</v>
      </c>
      <c r="C1243">
        <v>31</v>
      </c>
      <c r="D1243">
        <v>3</v>
      </c>
      <c r="E1243">
        <v>18</v>
      </c>
      <c r="F1243" t="s">
        <v>435</v>
      </c>
      <c r="H1243" t="s">
        <v>308</v>
      </c>
      <c r="I1243" t="s">
        <v>22</v>
      </c>
      <c r="J1243" s="4">
        <v>325</v>
      </c>
      <c r="K1243">
        <v>1</v>
      </c>
      <c r="L1243">
        <v>325</v>
      </c>
      <c r="M1243">
        <v>325</v>
      </c>
      <c r="N1243" s="5">
        <v>16.348088531187123</v>
      </c>
      <c r="O1243" t="s">
        <v>382</v>
      </c>
      <c r="P1243" t="s">
        <v>340</v>
      </c>
      <c r="Q1243" t="s">
        <v>24</v>
      </c>
      <c r="R1243" t="s">
        <v>381</v>
      </c>
    </row>
    <row r="1244" spans="1:18" hidden="1" x14ac:dyDescent="0.25">
      <c r="A1244" s="2" t="s">
        <v>287</v>
      </c>
      <c r="B1244" s="3" t="str">
        <f t="shared" si="23"/>
        <v>18/3/31</v>
      </c>
      <c r="C1244">
        <v>31</v>
      </c>
      <c r="D1244">
        <v>3</v>
      </c>
      <c r="E1244">
        <v>18</v>
      </c>
      <c r="F1244" t="s">
        <v>99</v>
      </c>
      <c r="H1244" t="s">
        <v>40</v>
      </c>
      <c r="I1244" t="s">
        <v>27</v>
      </c>
      <c r="J1244" s="4">
        <v>10</v>
      </c>
      <c r="K1244">
        <v>1</v>
      </c>
      <c r="L1244">
        <v>10</v>
      </c>
      <c r="M1244">
        <v>10</v>
      </c>
      <c r="N1244" s="5">
        <v>0.50301810865191154</v>
      </c>
      <c r="O1244" t="s">
        <v>100</v>
      </c>
      <c r="P1244" t="s">
        <v>340</v>
      </c>
      <c r="Q1244" t="s">
        <v>24</v>
      </c>
    </row>
    <row r="1245" spans="1:18" hidden="1" x14ac:dyDescent="0.25">
      <c r="A1245" s="2" t="s">
        <v>287</v>
      </c>
      <c r="B1245" s="3" t="str">
        <f t="shared" si="23"/>
        <v>18/3/31</v>
      </c>
      <c r="C1245">
        <v>31</v>
      </c>
      <c r="D1245">
        <v>3</v>
      </c>
      <c r="E1245">
        <v>18</v>
      </c>
      <c r="F1245" t="s">
        <v>108</v>
      </c>
      <c r="H1245" t="s">
        <v>54</v>
      </c>
      <c r="I1245" t="s">
        <v>27</v>
      </c>
      <c r="J1245" s="4">
        <v>60</v>
      </c>
      <c r="K1245">
        <v>0.16500000000000001</v>
      </c>
      <c r="L1245">
        <v>60</v>
      </c>
      <c r="M1245">
        <v>9.9</v>
      </c>
      <c r="N1245" s="5">
        <v>0.4979879275653924</v>
      </c>
      <c r="O1245" t="s">
        <v>100</v>
      </c>
      <c r="P1245" t="s">
        <v>340</v>
      </c>
      <c r="Q1245" t="s">
        <v>24</v>
      </c>
    </row>
    <row r="1246" spans="1:18" hidden="1" x14ac:dyDescent="0.25">
      <c r="A1246" s="2" t="s">
        <v>287</v>
      </c>
      <c r="B1246" s="3" t="str">
        <f t="shared" si="23"/>
        <v>18/3/31</v>
      </c>
      <c r="C1246">
        <v>31</v>
      </c>
      <c r="D1246">
        <v>3</v>
      </c>
      <c r="E1246">
        <v>18</v>
      </c>
      <c r="F1246" t="s">
        <v>155</v>
      </c>
      <c r="G1246" t="s">
        <v>155</v>
      </c>
      <c r="H1246" t="s">
        <v>131</v>
      </c>
      <c r="I1246" t="s">
        <v>27</v>
      </c>
      <c r="J1246" s="4">
        <v>25</v>
      </c>
      <c r="K1246">
        <v>2</v>
      </c>
      <c r="L1246">
        <v>25</v>
      </c>
      <c r="M1246">
        <v>50</v>
      </c>
      <c r="N1246" s="5">
        <v>2.5150905432595576</v>
      </c>
      <c r="O1246" t="s">
        <v>100</v>
      </c>
      <c r="P1246" t="s">
        <v>340</v>
      </c>
      <c r="Q1246" t="s">
        <v>24</v>
      </c>
    </row>
    <row r="1247" spans="1:18" hidden="1" x14ac:dyDescent="0.25">
      <c r="A1247" s="2" t="s">
        <v>287</v>
      </c>
      <c r="B1247" s="3" t="str">
        <f t="shared" si="23"/>
        <v>18/3/31</v>
      </c>
      <c r="C1247">
        <v>31</v>
      </c>
      <c r="D1247">
        <v>3</v>
      </c>
      <c r="E1247">
        <v>18</v>
      </c>
      <c r="F1247" t="s">
        <v>155</v>
      </c>
      <c r="G1247" t="s">
        <v>155</v>
      </c>
      <c r="H1247" t="s">
        <v>131</v>
      </c>
      <c r="I1247" t="s">
        <v>27</v>
      </c>
      <c r="J1247" s="4">
        <v>42.15</v>
      </c>
      <c r="K1247">
        <v>1</v>
      </c>
      <c r="L1247">
        <v>42.15</v>
      </c>
      <c r="M1247">
        <v>42.15</v>
      </c>
      <c r="N1247" s="5">
        <v>2.120221327967807</v>
      </c>
      <c r="O1247" t="s">
        <v>100</v>
      </c>
      <c r="P1247" t="s">
        <v>340</v>
      </c>
      <c r="Q1247" t="s">
        <v>24</v>
      </c>
    </row>
    <row r="1248" spans="1:18" hidden="1" x14ac:dyDescent="0.25">
      <c r="A1248" s="2" t="s">
        <v>287</v>
      </c>
      <c r="B1248" s="3" t="str">
        <f t="shared" si="23"/>
        <v>18/3/4</v>
      </c>
      <c r="C1248">
        <v>4</v>
      </c>
      <c r="D1248">
        <v>3</v>
      </c>
      <c r="E1248">
        <v>18</v>
      </c>
      <c r="F1248" t="s">
        <v>86</v>
      </c>
      <c r="H1248" t="s">
        <v>102</v>
      </c>
      <c r="I1248" t="s">
        <v>27</v>
      </c>
      <c r="J1248" s="4">
        <v>15</v>
      </c>
      <c r="K1248">
        <v>1</v>
      </c>
      <c r="L1248">
        <v>15</v>
      </c>
      <c r="M1248">
        <v>15</v>
      </c>
      <c r="N1248" s="5">
        <v>0.75452716297786726</v>
      </c>
      <c r="O1248" t="s">
        <v>251</v>
      </c>
      <c r="P1248" t="s">
        <v>340</v>
      </c>
      <c r="Q1248" t="s">
        <v>24</v>
      </c>
    </row>
    <row r="1249" spans="1:18" hidden="1" x14ac:dyDescent="0.25">
      <c r="A1249" s="2" t="s">
        <v>287</v>
      </c>
      <c r="B1249" s="3" t="str">
        <f t="shared" si="23"/>
        <v>18/3/4</v>
      </c>
      <c r="C1249">
        <v>4</v>
      </c>
      <c r="D1249">
        <v>3</v>
      </c>
      <c r="E1249">
        <v>18</v>
      </c>
      <c r="F1249" t="s">
        <v>383</v>
      </c>
      <c r="G1249" t="s">
        <v>39</v>
      </c>
      <c r="H1249" t="s">
        <v>63</v>
      </c>
      <c r="I1249" t="s">
        <v>50</v>
      </c>
      <c r="J1249" s="4">
        <v>180</v>
      </c>
      <c r="K1249">
        <v>1</v>
      </c>
      <c r="L1249">
        <v>180</v>
      </c>
      <c r="M1249">
        <v>180</v>
      </c>
      <c r="N1249" s="5">
        <v>9.0543259557344076</v>
      </c>
      <c r="O1249" t="s">
        <v>39</v>
      </c>
      <c r="P1249" t="s">
        <v>340</v>
      </c>
      <c r="Q1249" t="s">
        <v>24</v>
      </c>
    </row>
    <row r="1250" spans="1:18" hidden="1" x14ac:dyDescent="0.25">
      <c r="A1250" s="2" t="s">
        <v>287</v>
      </c>
      <c r="B1250" s="3" t="str">
        <f t="shared" si="23"/>
        <v>18/3/4</v>
      </c>
      <c r="C1250">
        <v>4</v>
      </c>
      <c r="D1250">
        <v>3</v>
      </c>
      <c r="E1250">
        <v>18</v>
      </c>
      <c r="F1250" t="s">
        <v>112</v>
      </c>
      <c r="H1250" t="s">
        <v>56</v>
      </c>
      <c r="I1250" t="s">
        <v>27</v>
      </c>
      <c r="J1250" s="4">
        <v>29.99</v>
      </c>
      <c r="K1250">
        <v>0.47599999999999998</v>
      </c>
      <c r="L1250">
        <v>29.99</v>
      </c>
      <c r="M1250">
        <v>14.28</v>
      </c>
      <c r="N1250" s="5">
        <v>0.71830985915492962</v>
      </c>
      <c r="O1250" t="s">
        <v>101</v>
      </c>
      <c r="P1250" t="s">
        <v>340</v>
      </c>
      <c r="Q1250" t="s">
        <v>24</v>
      </c>
    </row>
    <row r="1251" spans="1:18" hidden="1" x14ac:dyDescent="0.25">
      <c r="A1251" s="2" t="s">
        <v>287</v>
      </c>
      <c r="B1251" s="3" t="str">
        <f t="shared" si="23"/>
        <v>18/3/4</v>
      </c>
      <c r="C1251">
        <v>4</v>
      </c>
      <c r="D1251">
        <v>3</v>
      </c>
      <c r="E1251">
        <v>18</v>
      </c>
      <c r="F1251" t="s">
        <v>368</v>
      </c>
      <c r="H1251" t="s">
        <v>56</v>
      </c>
      <c r="I1251" t="s">
        <v>27</v>
      </c>
      <c r="J1251" s="4">
        <v>65</v>
      </c>
      <c r="K1251">
        <v>0.41</v>
      </c>
      <c r="L1251">
        <v>65</v>
      </c>
      <c r="M1251">
        <v>26.65</v>
      </c>
      <c r="N1251" s="5">
        <v>1.3405432595573441</v>
      </c>
      <c r="O1251" t="s">
        <v>101</v>
      </c>
      <c r="P1251" t="s">
        <v>340</v>
      </c>
      <c r="Q1251" t="s">
        <v>24</v>
      </c>
    </row>
    <row r="1252" spans="1:18" hidden="1" x14ac:dyDescent="0.25">
      <c r="A1252" s="2" t="s">
        <v>287</v>
      </c>
      <c r="B1252" s="3" t="str">
        <f t="shared" si="23"/>
        <v>18/3/4</v>
      </c>
      <c r="C1252">
        <v>4</v>
      </c>
      <c r="D1252">
        <v>3</v>
      </c>
      <c r="E1252">
        <v>18</v>
      </c>
      <c r="F1252" t="s">
        <v>86</v>
      </c>
      <c r="H1252" t="s">
        <v>102</v>
      </c>
      <c r="I1252" t="s">
        <v>27</v>
      </c>
      <c r="J1252" s="4">
        <v>28</v>
      </c>
      <c r="K1252">
        <v>1</v>
      </c>
      <c r="L1252">
        <v>28</v>
      </c>
      <c r="M1252">
        <v>28</v>
      </c>
      <c r="N1252" s="5">
        <v>1.4084507042253522</v>
      </c>
      <c r="O1252" t="s">
        <v>251</v>
      </c>
      <c r="P1252" t="s">
        <v>340</v>
      </c>
      <c r="Q1252" t="s">
        <v>24</v>
      </c>
      <c r="R1252" t="s">
        <v>1576</v>
      </c>
    </row>
    <row r="1253" spans="1:18" hidden="1" x14ac:dyDescent="0.25">
      <c r="A1253" s="2" t="s">
        <v>287</v>
      </c>
      <c r="B1253" s="3" t="str">
        <f t="shared" si="23"/>
        <v>18/3/4</v>
      </c>
      <c r="C1253">
        <v>4</v>
      </c>
      <c r="D1253">
        <v>3</v>
      </c>
      <c r="E1253">
        <v>18</v>
      </c>
      <c r="F1253" t="s">
        <v>384</v>
      </c>
      <c r="G1253" t="s">
        <v>75</v>
      </c>
      <c r="H1253" t="s">
        <v>65</v>
      </c>
      <c r="I1253" t="s">
        <v>27</v>
      </c>
      <c r="J1253" s="4">
        <v>15</v>
      </c>
      <c r="K1253">
        <v>1</v>
      </c>
      <c r="L1253">
        <v>15</v>
      </c>
      <c r="M1253">
        <v>15</v>
      </c>
      <c r="N1253" s="5">
        <v>0.75452716297786726</v>
      </c>
      <c r="O1253" t="s">
        <v>101</v>
      </c>
      <c r="P1253" t="s">
        <v>340</v>
      </c>
      <c r="Q1253" t="s">
        <v>24</v>
      </c>
    </row>
    <row r="1254" spans="1:18" hidden="1" x14ac:dyDescent="0.25">
      <c r="A1254" s="2" t="s">
        <v>287</v>
      </c>
      <c r="B1254" s="3" t="str">
        <f t="shared" si="23"/>
        <v>18/3/4</v>
      </c>
      <c r="C1254">
        <v>4</v>
      </c>
      <c r="D1254">
        <v>3</v>
      </c>
      <c r="E1254">
        <v>18</v>
      </c>
      <c r="F1254" t="s">
        <v>75</v>
      </c>
      <c r="H1254" t="s">
        <v>65</v>
      </c>
      <c r="I1254" t="s">
        <v>27</v>
      </c>
      <c r="J1254" s="4">
        <v>17.5</v>
      </c>
      <c r="K1254">
        <v>2</v>
      </c>
      <c r="L1254">
        <v>17.5</v>
      </c>
      <c r="M1254">
        <v>35</v>
      </c>
      <c r="N1254" s="5">
        <v>1.7605633802816902</v>
      </c>
      <c r="O1254" t="s">
        <v>101</v>
      </c>
      <c r="P1254" t="s">
        <v>340</v>
      </c>
      <c r="Q1254" t="s">
        <v>24</v>
      </c>
    </row>
    <row r="1255" spans="1:18" hidden="1" x14ac:dyDescent="0.25">
      <c r="A1255" s="2" t="s">
        <v>287</v>
      </c>
      <c r="B1255" s="3" t="str">
        <f t="shared" si="23"/>
        <v>18/3/7</v>
      </c>
      <c r="C1255">
        <v>7</v>
      </c>
      <c r="D1255">
        <v>3</v>
      </c>
      <c r="E1255">
        <v>18</v>
      </c>
      <c r="F1255" t="s">
        <v>25</v>
      </c>
      <c r="G1255" t="s">
        <v>25</v>
      </c>
      <c r="H1255" t="s">
        <v>26</v>
      </c>
      <c r="I1255" t="s">
        <v>27</v>
      </c>
      <c r="J1255">
        <v>21.9</v>
      </c>
      <c r="K1255">
        <v>4</v>
      </c>
      <c r="L1255">
        <v>21.9</v>
      </c>
      <c r="M1255">
        <v>87.6</v>
      </c>
      <c r="N1255" s="5">
        <v>4.4064386317907447</v>
      </c>
      <c r="O1255" t="s">
        <v>51</v>
      </c>
      <c r="P1255" t="s">
        <v>340</v>
      </c>
      <c r="Q1255" t="s">
        <v>24</v>
      </c>
    </row>
    <row r="1256" spans="1:18" hidden="1" x14ac:dyDescent="0.25">
      <c r="A1256" s="2" t="s">
        <v>287</v>
      </c>
      <c r="B1256" s="3" t="str">
        <f t="shared" si="23"/>
        <v>18/3/7</v>
      </c>
      <c r="C1256">
        <v>7</v>
      </c>
      <c r="D1256">
        <v>3</v>
      </c>
      <c r="E1256">
        <v>18</v>
      </c>
      <c r="F1256" t="s">
        <v>386</v>
      </c>
      <c r="H1256" t="s">
        <v>53</v>
      </c>
      <c r="I1256" t="s">
        <v>27</v>
      </c>
      <c r="J1256">
        <v>9.5</v>
      </c>
      <c r="K1256">
        <v>3</v>
      </c>
      <c r="L1256">
        <v>9.5</v>
      </c>
      <c r="M1256">
        <v>28.5</v>
      </c>
      <c r="N1256" s="5">
        <v>1.4336016096579478</v>
      </c>
      <c r="O1256" t="s">
        <v>51</v>
      </c>
      <c r="P1256" t="s">
        <v>340</v>
      </c>
      <c r="Q1256" t="s">
        <v>24</v>
      </c>
    </row>
    <row r="1257" spans="1:18" hidden="1" x14ac:dyDescent="0.25">
      <c r="A1257" s="2" t="s">
        <v>287</v>
      </c>
      <c r="B1257" s="3" t="str">
        <f t="shared" si="23"/>
        <v>18/3/7</v>
      </c>
      <c r="C1257">
        <v>7</v>
      </c>
      <c r="D1257">
        <v>3</v>
      </c>
      <c r="E1257">
        <v>18</v>
      </c>
      <c r="F1257" t="s">
        <v>52</v>
      </c>
      <c r="H1257" t="s">
        <v>53</v>
      </c>
      <c r="I1257" t="s">
        <v>27</v>
      </c>
      <c r="J1257">
        <v>32.39</v>
      </c>
      <c r="K1257">
        <v>2</v>
      </c>
      <c r="L1257">
        <v>32.39</v>
      </c>
      <c r="M1257">
        <v>64.78</v>
      </c>
      <c r="N1257" s="5">
        <v>3.2585513078470827</v>
      </c>
      <c r="O1257" t="s">
        <v>51</v>
      </c>
      <c r="P1257" t="s">
        <v>340</v>
      </c>
      <c r="Q1257" t="s">
        <v>24</v>
      </c>
    </row>
    <row r="1258" spans="1:18" hidden="1" x14ac:dyDescent="0.25">
      <c r="A1258" s="2" t="s">
        <v>287</v>
      </c>
      <c r="B1258" s="3" t="str">
        <f t="shared" si="23"/>
        <v>18/3/7</v>
      </c>
      <c r="C1258">
        <v>7</v>
      </c>
      <c r="D1258">
        <v>3</v>
      </c>
      <c r="E1258">
        <v>18</v>
      </c>
      <c r="F1258" t="s">
        <v>71</v>
      </c>
      <c r="I1258" t="s">
        <v>72</v>
      </c>
      <c r="J1258">
        <v>330</v>
      </c>
      <c r="K1258">
        <v>1</v>
      </c>
      <c r="L1258">
        <v>330</v>
      </c>
      <c r="M1258">
        <v>330</v>
      </c>
      <c r="N1258" s="5">
        <v>16.599597585513081</v>
      </c>
      <c r="O1258" t="s">
        <v>231</v>
      </c>
      <c r="P1258" t="s">
        <v>340</v>
      </c>
      <c r="Q1258" t="s">
        <v>24</v>
      </c>
      <c r="R1258" t="s">
        <v>230</v>
      </c>
    </row>
    <row r="1259" spans="1:18" hidden="1" x14ac:dyDescent="0.25">
      <c r="A1259" s="2" t="s">
        <v>287</v>
      </c>
      <c r="B1259" s="3" t="str">
        <f t="shared" si="23"/>
        <v>18/3/7</v>
      </c>
      <c r="C1259">
        <v>7</v>
      </c>
      <c r="D1259">
        <v>3</v>
      </c>
      <c r="E1259">
        <v>18</v>
      </c>
      <c r="F1259" t="s">
        <v>92</v>
      </c>
      <c r="H1259" t="s">
        <v>69</v>
      </c>
      <c r="I1259" t="s">
        <v>27</v>
      </c>
      <c r="J1259">
        <v>229.9</v>
      </c>
      <c r="K1259">
        <v>0.37</v>
      </c>
      <c r="L1259">
        <v>229.9</v>
      </c>
      <c r="M1259">
        <v>85.06</v>
      </c>
      <c r="N1259" s="5">
        <v>4.2786720321931595</v>
      </c>
      <c r="O1259" t="s">
        <v>51</v>
      </c>
      <c r="P1259" t="s">
        <v>340</v>
      </c>
      <c r="Q1259" t="s">
        <v>24</v>
      </c>
    </row>
    <row r="1260" spans="1:18" hidden="1" x14ac:dyDescent="0.25">
      <c r="A1260" s="2" t="s">
        <v>287</v>
      </c>
      <c r="B1260" s="3" t="str">
        <f t="shared" si="23"/>
        <v>18/3/7</v>
      </c>
      <c r="C1260">
        <v>7</v>
      </c>
      <c r="D1260">
        <v>3</v>
      </c>
      <c r="E1260">
        <v>18</v>
      </c>
      <c r="F1260" t="s">
        <v>1389</v>
      </c>
      <c r="H1260" t="s">
        <v>49</v>
      </c>
      <c r="I1260" t="s">
        <v>50</v>
      </c>
      <c r="J1260" s="4">
        <v>56.9</v>
      </c>
      <c r="K1260">
        <v>1</v>
      </c>
      <c r="L1260">
        <v>56.9</v>
      </c>
      <c r="M1260">
        <v>56.9</v>
      </c>
      <c r="N1260" s="5">
        <v>2.8621730382293764</v>
      </c>
      <c r="O1260" t="s">
        <v>51</v>
      </c>
      <c r="P1260" t="s">
        <v>340</v>
      </c>
      <c r="Q1260" t="s">
        <v>24</v>
      </c>
    </row>
    <row r="1261" spans="1:18" hidden="1" x14ac:dyDescent="0.25">
      <c r="A1261" s="2" t="s">
        <v>287</v>
      </c>
      <c r="B1261" s="3" t="str">
        <f t="shared" si="23"/>
        <v>18/3/7</v>
      </c>
      <c r="C1261">
        <v>7</v>
      </c>
      <c r="D1261">
        <v>3</v>
      </c>
      <c r="E1261">
        <v>18</v>
      </c>
      <c r="F1261" t="s">
        <v>1389</v>
      </c>
      <c r="H1261" t="s">
        <v>49</v>
      </c>
      <c r="I1261" t="s">
        <v>50</v>
      </c>
      <c r="J1261" s="4">
        <v>56.9</v>
      </c>
      <c r="K1261">
        <v>1</v>
      </c>
      <c r="L1261">
        <v>56.9</v>
      </c>
      <c r="M1261">
        <v>56.9</v>
      </c>
      <c r="N1261" s="5">
        <v>2.8621730382293764</v>
      </c>
      <c r="O1261" t="s">
        <v>51</v>
      </c>
      <c r="P1261" t="s">
        <v>340</v>
      </c>
      <c r="Q1261" t="s">
        <v>24</v>
      </c>
    </row>
    <row r="1262" spans="1:18" hidden="1" x14ac:dyDescent="0.25">
      <c r="A1262" s="2" t="s">
        <v>287</v>
      </c>
      <c r="B1262" s="3" t="str">
        <f t="shared" si="23"/>
        <v>18/3/7</v>
      </c>
      <c r="C1262">
        <v>7</v>
      </c>
      <c r="D1262">
        <v>3</v>
      </c>
      <c r="E1262">
        <v>18</v>
      </c>
      <c r="F1262" t="s">
        <v>1292</v>
      </c>
      <c r="G1262" t="s">
        <v>58</v>
      </c>
      <c r="H1262" t="s">
        <v>59</v>
      </c>
      <c r="I1262" t="s">
        <v>27</v>
      </c>
      <c r="J1262" s="4">
        <v>109</v>
      </c>
      <c r="K1262">
        <v>2</v>
      </c>
      <c r="L1262">
        <v>109</v>
      </c>
      <c r="M1262">
        <v>218</v>
      </c>
      <c r="N1262" s="5">
        <v>10.965794768611671</v>
      </c>
      <c r="O1262" t="s">
        <v>51</v>
      </c>
      <c r="P1262" t="s">
        <v>340</v>
      </c>
      <c r="Q1262" t="s">
        <v>24</v>
      </c>
    </row>
    <row r="1263" spans="1:18" hidden="1" x14ac:dyDescent="0.25">
      <c r="A1263" s="2" t="s">
        <v>287</v>
      </c>
      <c r="B1263" s="3" t="str">
        <f t="shared" si="23"/>
        <v>18/3/7</v>
      </c>
      <c r="C1263">
        <v>7</v>
      </c>
      <c r="D1263">
        <v>3</v>
      </c>
      <c r="E1263">
        <v>18</v>
      </c>
      <c r="F1263" t="s">
        <v>66</v>
      </c>
      <c r="G1263" t="s">
        <v>67</v>
      </c>
      <c r="H1263" t="s">
        <v>59</v>
      </c>
      <c r="I1263" t="s">
        <v>27</v>
      </c>
      <c r="J1263" s="4">
        <v>160.55000000000001</v>
      </c>
      <c r="K1263">
        <v>3</v>
      </c>
      <c r="L1263">
        <v>160.55000000000001</v>
      </c>
      <c r="M1263">
        <v>481.65</v>
      </c>
      <c r="N1263" s="5">
        <v>24.227867203219315</v>
      </c>
      <c r="O1263" t="s">
        <v>51</v>
      </c>
      <c r="P1263" t="s">
        <v>340</v>
      </c>
      <c r="Q1263" t="s">
        <v>24</v>
      </c>
    </row>
    <row r="1264" spans="1:18" hidden="1" x14ac:dyDescent="0.25">
      <c r="A1264" s="2" t="s">
        <v>287</v>
      </c>
      <c r="B1264" s="3" t="str">
        <f t="shared" si="23"/>
        <v>18/3/7</v>
      </c>
      <c r="C1264">
        <v>7</v>
      </c>
      <c r="D1264">
        <v>3</v>
      </c>
      <c r="E1264">
        <v>18</v>
      </c>
      <c r="F1264" t="s">
        <v>73</v>
      </c>
      <c r="H1264" t="s">
        <v>73</v>
      </c>
      <c r="I1264" t="s">
        <v>27</v>
      </c>
      <c r="J1264" s="4">
        <v>20.88</v>
      </c>
      <c r="K1264">
        <v>1</v>
      </c>
      <c r="L1264">
        <v>20.88</v>
      </c>
      <c r="M1264">
        <v>20.88</v>
      </c>
      <c r="N1264" s="5">
        <v>1.0503018108651911</v>
      </c>
      <c r="O1264" t="s">
        <v>51</v>
      </c>
      <c r="P1264" t="s">
        <v>340</v>
      </c>
      <c r="Q1264" t="s">
        <v>24</v>
      </c>
    </row>
    <row r="1265" spans="1:18" hidden="1" x14ac:dyDescent="0.25">
      <c r="A1265" s="2" t="s">
        <v>287</v>
      </c>
      <c r="B1265" s="3" t="str">
        <f t="shared" si="23"/>
        <v>18/3/7</v>
      </c>
      <c r="C1265">
        <v>7</v>
      </c>
      <c r="D1265">
        <v>3</v>
      </c>
      <c r="E1265">
        <v>18</v>
      </c>
      <c r="F1265" t="s">
        <v>124</v>
      </c>
      <c r="H1265" t="s">
        <v>54</v>
      </c>
      <c r="I1265" t="s">
        <v>27</v>
      </c>
      <c r="J1265" s="4">
        <v>31.9</v>
      </c>
      <c r="K1265">
        <v>1</v>
      </c>
      <c r="L1265">
        <v>31.9</v>
      </c>
      <c r="M1265">
        <v>31.9</v>
      </c>
      <c r="N1265" s="5">
        <v>1.6046277665995976</v>
      </c>
      <c r="O1265" t="s">
        <v>51</v>
      </c>
      <c r="P1265" t="s">
        <v>340</v>
      </c>
      <c r="Q1265" t="s">
        <v>24</v>
      </c>
    </row>
    <row r="1266" spans="1:18" hidden="1" x14ac:dyDescent="0.25">
      <c r="A1266" s="2" t="s">
        <v>287</v>
      </c>
      <c r="B1266" s="3" t="str">
        <f t="shared" si="23"/>
        <v>18/3/7</v>
      </c>
      <c r="C1266">
        <v>7</v>
      </c>
      <c r="D1266">
        <v>3</v>
      </c>
      <c r="E1266">
        <v>18</v>
      </c>
      <c r="F1266" t="s">
        <v>1607</v>
      </c>
      <c r="H1266" t="s">
        <v>308</v>
      </c>
      <c r="I1266" t="s">
        <v>22</v>
      </c>
      <c r="J1266" s="4">
        <v>1352</v>
      </c>
      <c r="K1266">
        <v>1</v>
      </c>
      <c r="L1266">
        <v>1352</v>
      </c>
      <c r="M1266" s="14">
        <v>1352</v>
      </c>
      <c r="N1266" s="5">
        <v>68.00804828973844</v>
      </c>
      <c r="O1266" t="s">
        <v>382</v>
      </c>
      <c r="P1266" t="s">
        <v>340</v>
      </c>
      <c r="Q1266" t="s">
        <v>24</v>
      </c>
    </row>
    <row r="1267" spans="1:18" hidden="1" x14ac:dyDescent="0.25">
      <c r="A1267" s="2" t="s">
        <v>287</v>
      </c>
      <c r="B1267" s="3" t="str">
        <f t="shared" si="23"/>
        <v>18/3/7</v>
      </c>
      <c r="C1267">
        <v>7</v>
      </c>
      <c r="D1267">
        <v>3</v>
      </c>
      <c r="E1267">
        <v>18</v>
      </c>
      <c r="F1267" t="s">
        <v>140</v>
      </c>
      <c r="G1267" t="s">
        <v>140</v>
      </c>
      <c r="H1267" t="s">
        <v>49</v>
      </c>
      <c r="I1267" t="s">
        <v>50</v>
      </c>
      <c r="J1267" s="4">
        <v>25.49</v>
      </c>
      <c r="K1267">
        <v>1</v>
      </c>
      <c r="L1267">
        <v>25.49</v>
      </c>
      <c r="M1267">
        <v>25.49</v>
      </c>
      <c r="N1267" s="5">
        <v>1.2821931589537223</v>
      </c>
      <c r="O1267" t="s">
        <v>51</v>
      </c>
      <c r="P1267" t="s">
        <v>340</v>
      </c>
      <c r="Q1267" t="s">
        <v>24</v>
      </c>
    </row>
    <row r="1268" spans="1:18" hidden="1" x14ac:dyDescent="0.25">
      <c r="A1268" s="2" t="s">
        <v>287</v>
      </c>
      <c r="B1268" s="3" t="str">
        <f t="shared" si="23"/>
        <v>18/3/7</v>
      </c>
      <c r="C1268">
        <v>7</v>
      </c>
      <c r="D1268">
        <v>3</v>
      </c>
      <c r="E1268">
        <v>18</v>
      </c>
      <c r="F1268" t="s">
        <v>75</v>
      </c>
      <c r="H1268" t="s">
        <v>65</v>
      </c>
      <c r="I1268" t="s">
        <v>27</v>
      </c>
      <c r="J1268" s="4">
        <v>13.99</v>
      </c>
      <c r="K1268">
        <v>2</v>
      </c>
      <c r="L1268">
        <v>13.99</v>
      </c>
      <c r="M1268">
        <v>27.98</v>
      </c>
      <c r="N1268" s="5">
        <v>1.4074446680080483</v>
      </c>
      <c r="O1268" t="s">
        <v>51</v>
      </c>
      <c r="P1268" t="s">
        <v>340</v>
      </c>
      <c r="Q1268" t="s">
        <v>24</v>
      </c>
    </row>
    <row r="1269" spans="1:18" hidden="1" x14ac:dyDescent="0.25">
      <c r="A1269" s="2" t="s">
        <v>287</v>
      </c>
      <c r="B1269" s="3" t="str">
        <f t="shared" si="23"/>
        <v>18/3/7</v>
      </c>
      <c r="C1269">
        <v>7</v>
      </c>
      <c r="D1269">
        <v>3</v>
      </c>
      <c r="E1269">
        <v>18</v>
      </c>
      <c r="F1269" t="s">
        <v>75</v>
      </c>
      <c r="H1269" t="s">
        <v>65</v>
      </c>
      <c r="I1269" t="s">
        <v>27</v>
      </c>
      <c r="J1269" s="4">
        <v>9.9</v>
      </c>
      <c r="K1269">
        <v>3</v>
      </c>
      <c r="L1269">
        <v>9.9</v>
      </c>
      <c r="M1269">
        <v>29.7</v>
      </c>
      <c r="N1269" s="5">
        <v>1.4939637826961771</v>
      </c>
      <c r="O1269" t="s">
        <v>51</v>
      </c>
      <c r="P1269" t="s">
        <v>340</v>
      </c>
      <c r="Q1269" t="s">
        <v>24</v>
      </c>
    </row>
    <row r="1270" spans="1:18" hidden="1" x14ac:dyDescent="0.25">
      <c r="A1270" s="2" t="s">
        <v>287</v>
      </c>
      <c r="B1270" s="3" t="str">
        <f t="shared" si="23"/>
        <v>18/3/7</v>
      </c>
      <c r="C1270">
        <v>7</v>
      </c>
      <c r="D1270">
        <v>3</v>
      </c>
      <c r="E1270">
        <v>18</v>
      </c>
      <c r="F1270" t="s">
        <v>75</v>
      </c>
      <c r="H1270" t="s">
        <v>65</v>
      </c>
      <c r="I1270" t="s">
        <v>27</v>
      </c>
      <c r="J1270" s="4">
        <v>8.15</v>
      </c>
      <c r="K1270">
        <v>2</v>
      </c>
      <c r="L1270">
        <v>8.15</v>
      </c>
      <c r="M1270">
        <v>16.3</v>
      </c>
      <c r="N1270" s="5">
        <v>0.81991951710261579</v>
      </c>
      <c r="O1270" t="s">
        <v>51</v>
      </c>
      <c r="P1270" t="s">
        <v>340</v>
      </c>
      <c r="Q1270" t="s">
        <v>24</v>
      </c>
    </row>
    <row r="1271" spans="1:18" hidden="1" x14ac:dyDescent="0.25">
      <c r="A1271" s="2" t="s">
        <v>287</v>
      </c>
      <c r="B1271" s="3" t="str">
        <f t="shared" si="23"/>
        <v>18/3/7</v>
      </c>
      <c r="C1271">
        <v>7</v>
      </c>
      <c r="D1271">
        <v>3</v>
      </c>
      <c r="E1271">
        <v>18</v>
      </c>
      <c r="F1271" t="s">
        <v>226</v>
      </c>
      <c r="H1271" t="s">
        <v>44</v>
      </c>
      <c r="I1271" t="s">
        <v>27</v>
      </c>
      <c r="J1271" s="4">
        <v>25.79</v>
      </c>
      <c r="K1271">
        <v>1</v>
      </c>
      <c r="L1271">
        <v>25.79</v>
      </c>
      <c r="M1271">
        <v>25.79</v>
      </c>
      <c r="N1271" s="5">
        <v>1.2972837022132797</v>
      </c>
      <c r="O1271" t="s">
        <v>51</v>
      </c>
      <c r="P1271" t="s">
        <v>340</v>
      </c>
      <c r="Q1271" t="s">
        <v>24</v>
      </c>
    </row>
    <row r="1272" spans="1:18" hidden="1" x14ac:dyDescent="0.25">
      <c r="A1272" s="2" t="s">
        <v>287</v>
      </c>
      <c r="B1272" s="3" t="str">
        <f t="shared" si="23"/>
        <v>18/3/7</v>
      </c>
      <c r="C1272">
        <v>7</v>
      </c>
      <c r="D1272">
        <v>3</v>
      </c>
      <c r="E1272">
        <v>18</v>
      </c>
      <c r="F1272" t="s">
        <v>387</v>
      </c>
      <c r="H1272" t="s">
        <v>44</v>
      </c>
      <c r="I1272" t="s">
        <v>27</v>
      </c>
      <c r="J1272" s="4">
        <v>14.99</v>
      </c>
      <c r="K1272">
        <v>3</v>
      </c>
      <c r="L1272">
        <v>14.99</v>
      </c>
      <c r="M1272">
        <v>44.97</v>
      </c>
      <c r="N1272" s="5">
        <v>2.2620724346076457</v>
      </c>
      <c r="O1272" t="s">
        <v>51</v>
      </c>
      <c r="P1272" t="s">
        <v>340</v>
      </c>
      <c r="Q1272" t="s">
        <v>24</v>
      </c>
    </row>
    <row r="1273" spans="1:18" hidden="1" x14ac:dyDescent="0.25">
      <c r="A1273" s="2" t="s">
        <v>287</v>
      </c>
      <c r="B1273" s="3" t="s">
        <v>2207</v>
      </c>
      <c r="C1273" s="10">
        <v>7</v>
      </c>
      <c r="D1273" s="10">
        <v>3</v>
      </c>
      <c r="E1273" s="10">
        <v>18</v>
      </c>
      <c r="F1273" t="s">
        <v>2206</v>
      </c>
      <c r="G1273" t="s">
        <v>889</v>
      </c>
      <c r="H1273" t="s">
        <v>308</v>
      </c>
      <c r="I1273" t="s">
        <v>22</v>
      </c>
      <c r="J1273" s="4">
        <v>1352</v>
      </c>
      <c r="K1273">
        <v>1</v>
      </c>
      <c r="L1273">
        <v>1352</v>
      </c>
      <c r="M1273">
        <v>1352</v>
      </c>
      <c r="N1273" s="5">
        <v>68.5250886974151</v>
      </c>
      <c r="O1273" t="s">
        <v>382</v>
      </c>
      <c r="P1273" t="s">
        <v>340</v>
      </c>
      <c r="Q1273" s="10" t="s">
        <v>24</v>
      </c>
      <c r="R1273" t="s">
        <v>2202</v>
      </c>
    </row>
    <row r="1274" spans="1:18" hidden="1" x14ac:dyDescent="0.25">
      <c r="A1274" s="2" t="s">
        <v>287</v>
      </c>
      <c r="B1274" s="3" t="str">
        <f t="shared" ref="B1274:B1282" si="24">CONCATENATE(E1274,"/",D1274,"/",C1274)</f>
        <v>18/3/9</v>
      </c>
      <c r="C1274">
        <v>9</v>
      </c>
      <c r="D1274">
        <v>3</v>
      </c>
      <c r="E1274">
        <v>18</v>
      </c>
      <c r="F1274" t="s">
        <v>388</v>
      </c>
      <c r="H1274" t="s">
        <v>49</v>
      </c>
      <c r="I1274" t="s">
        <v>50</v>
      </c>
      <c r="J1274">
        <v>13.9</v>
      </c>
      <c r="K1274">
        <v>1</v>
      </c>
      <c r="L1274">
        <v>61.72</v>
      </c>
      <c r="M1274">
        <v>61.72</v>
      </c>
      <c r="N1274" s="5">
        <v>3.1046277665995978</v>
      </c>
      <c r="O1274" t="s">
        <v>147</v>
      </c>
      <c r="P1274" t="s">
        <v>148</v>
      </c>
      <c r="Q1274" t="s">
        <v>24</v>
      </c>
      <c r="R1274" t="s">
        <v>1513</v>
      </c>
    </row>
    <row r="1275" spans="1:18" hidden="1" x14ac:dyDescent="0.25">
      <c r="A1275" s="2" t="s">
        <v>391</v>
      </c>
      <c r="B1275" s="3" t="str">
        <f t="shared" si="24"/>
        <v>18/4/1</v>
      </c>
      <c r="C1275">
        <v>1</v>
      </c>
      <c r="D1275">
        <v>4</v>
      </c>
      <c r="E1275">
        <v>18</v>
      </c>
      <c r="F1275" t="s">
        <v>81</v>
      </c>
      <c r="I1275" t="s">
        <v>39</v>
      </c>
      <c r="J1275">
        <v>1600</v>
      </c>
      <c r="K1275">
        <v>1</v>
      </c>
      <c r="L1275" s="14">
        <v>1600</v>
      </c>
      <c r="M1275" s="14">
        <v>1600</v>
      </c>
      <c r="N1275" s="5">
        <v>80.482897384305844</v>
      </c>
      <c r="O1275" t="s">
        <v>39</v>
      </c>
      <c r="Q1275" t="s">
        <v>84</v>
      </c>
      <c r="R1275" t="s">
        <v>392</v>
      </c>
    </row>
    <row r="1276" spans="1:18" hidden="1" x14ac:dyDescent="0.25">
      <c r="A1276" s="2" t="s">
        <v>391</v>
      </c>
      <c r="B1276" s="3" t="str">
        <f t="shared" si="24"/>
        <v>18/4/10</v>
      </c>
      <c r="C1276">
        <v>10</v>
      </c>
      <c r="D1276">
        <v>4</v>
      </c>
      <c r="E1276">
        <v>18</v>
      </c>
      <c r="F1276" t="s">
        <v>641</v>
      </c>
      <c r="H1276" t="s">
        <v>53</v>
      </c>
      <c r="I1276" t="s">
        <v>27</v>
      </c>
      <c r="J1276">
        <v>16</v>
      </c>
      <c r="K1276">
        <v>1</v>
      </c>
      <c r="L1276">
        <v>16</v>
      </c>
      <c r="M1276">
        <v>16</v>
      </c>
      <c r="N1276" s="5">
        <v>0.8048289738430584</v>
      </c>
      <c r="O1276" t="s">
        <v>39</v>
      </c>
      <c r="Q1276" t="s">
        <v>24</v>
      </c>
    </row>
    <row r="1277" spans="1:18" hidden="1" x14ac:dyDescent="0.25">
      <c r="A1277" s="2" t="s">
        <v>391</v>
      </c>
      <c r="B1277" s="3" t="str">
        <f t="shared" si="24"/>
        <v>18/4/10</v>
      </c>
      <c r="C1277">
        <v>10</v>
      </c>
      <c r="D1277">
        <v>4</v>
      </c>
      <c r="E1277">
        <v>18</v>
      </c>
      <c r="F1277" t="s">
        <v>393</v>
      </c>
      <c r="H1277" t="s">
        <v>49</v>
      </c>
      <c r="I1277" t="s">
        <v>50</v>
      </c>
      <c r="J1277" s="8">
        <v>194</v>
      </c>
      <c r="K1277" s="8">
        <v>1</v>
      </c>
      <c r="L1277">
        <v>194</v>
      </c>
      <c r="M1277">
        <v>194</v>
      </c>
      <c r="N1277" s="5">
        <v>9.7585513078470836</v>
      </c>
      <c r="O1277" t="s">
        <v>394</v>
      </c>
      <c r="P1277" t="s">
        <v>651</v>
      </c>
      <c r="Q1277" t="s">
        <v>24</v>
      </c>
    </row>
    <row r="1278" spans="1:18" hidden="1" x14ac:dyDescent="0.25">
      <c r="A1278" s="2" t="s">
        <v>391</v>
      </c>
      <c r="B1278" s="3" t="str">
        <f t="shared" si="24"/>
        <v>18/4/10</v>
      </c>
      <c r="C1278">
        <v>10</v>
      </c>
      <c r="D1278">
        <v>4</v>
      </c>
      <c r="E1278">
        <v>18</v>
      </c>
      <c r="F1278" t="s">
        <v>1538</v>
      </c>
      <c r="H1278" t="s">
        <v>49</v>
      </c>
      <c r="I1278" t="s">
        <v>22</v>
      </c>
      <c r="J1278" s="8">
        <v>165</v>
      </c>
      <c r="K1278" s="8">
        <v>1</v>
      </c>
      <c r="L1278">
        <v>165</v>
      </c>
      <c r="M1278">
        <v>165</v>
      </c>
      <c r="N1278" s="5">
        <v>8.2997987927565404</v>
      </c>
      <c r="O1278" t="s">
        <v>394</v>
      </c>
      <c r="P1278" t="s">
        <v>651</v>
      </c>
      <c r="Q1278" t="s">
        <v>24</v>
      </c>
      <c r="R1278" t="s">
        <v>1598</v>
      </c>
    </row>
    <row r="1279" spans="1:18" hidden="1" x14ac:dyDescent="0.25">
      <c r="A1279" s="2" t="s">
        <v>391</v>
      </c>
      <c r="B1279" s="3" t="str">
        <f t="shared" si="24"/>
        <v>18/4/10</v>
      </c>
      <c r="C1279">
        <v>10</v>
      </c>
      <c r="D1279">
        <v>4</v>
      </c>
      <c r="E1279">
        <v>18</v>
      </c>
      <c r="F1279" t="s">
        <v>1538</v>
      </c>
      <c r="H1279" t="s">
        <v>49</v>
      </c>
      <c r="I1279" t="s">
        <v>22</v>
      </c>
      <c r="J1279" s="8">
        <v>140</v>
      </c>
      <c r="K1279" s="8">
        <v>1</v>
      </c>
      <c r="L1279">
        <v>140</v>
      </c>
      <c r="M1279">
        <v>140</v>
      </c>
      <c r="N1279" s="5">
        <v>7.042253521126761</v>
      </c>
      <c r="O1279" t="s">
        <v>394</v>
      </c>
      <c r="P1279" t="s">
        <v>651</v>
      </c>
      <c r="Q1279" t="s">
        <v>24</v>
      </c>
      <c r="R1279" t="s">
        <v>395</v>
      </c>
    </row>
    <row r="1280" spans="1:18" hidden="1" x14ac:dyDescent="0.25">
      <c r="A1280" s="2" t="s">
        <v>391</v>
      </c>
      <c r="B1280" s="3" t="str">
        <f t="shared" si="24"/>
        <v>18/4/10</v>
      </c>
      <c r="C1280">
        <v>10</v>
      </c>
      <c r="D1280">
        <v>4</v>
      </c>
      <c r="E1280">
        <v>18</v>
      </c>
      <c r="F1280" t="s">
        <v>389</v>
      </c>
      <c r="H1280" t="s">
        <v>21</v>
      </c>
      <c r="I1280" t="s">
        <v>22</v>
      </c>
      <c r="J1280">
        <v>4</v>
      </c>
      <c r="K1280">
        <v>2</v>
      </c>
      <c r="L1280">
        <v>4</v>
      </c>
      <c r="M1280">
        <v>8</v>
      </c>
      <c r="N1280" s="5">
        <v>0.4024144869215292</v>
      </c>
      <c r="O1280" t="s">
        <v>354</v>
      </c>
      <c r="P1280" t="s">
        <v>340</v>
      </c>
      <c r="Q1280" t="s">
        <v>24</v>
      </c>
      <c r="R1280" t="s">
        <v>353</v>
      </c>
    </row>
    <row r="1281" spans="1:18" hidden="1" x14ac:dyDescent="0.25">
      <c r="A1281" s="2" t="s">
        <v>391</v>
      </c>
      <c r="B1281" s="3" t="str">
        <f t="shared" si="24"/>
        <v>18/4/10</v>
      </c>
      <c r="C1281">
        <v>10</v>
      </c>
      <c r="D1281">
        <v>4</v>
      </c>
      <c r="E1281">
        <v>18</v>
      </c>
      <c r="F1281" t="s">
        <v>108</v>
      </c>
      <c r="H1281" t="s">
        <v>54</v>
      </c>
      <c r="I1281" t="s">
        <v>27</v>
      </c>
      <c r="J1281">
        <v>49.99</v>
      </c>
      <c r="K1281">
        <v>0.39600000000000002</v>
      </c>
      <c r="L1281">
        <v>49.99</v>
      </c>
      <c r="M1281">
        <v>19.8</v>
      </c>
      <c r="N1281" s="5">
        <v>0.99597585513078479</v>
      </c>
      <c r="O1281" s="6" t="s">
        <v>28</v>
      </c>
      <c r="P1281" t="s">
        <v>340</v>
      </c>
      <c r="Q1281" t="s">
        <v>24</v>
      </c>
    </row>
    <row r="1282" spans="1:18" hidden="1" x14ac:dyDescent="0.25">
      <c r="A1282" s="2" t="s">
        <v>391</v>
      </c>
      <c r="B1282" s="3" t="str">
        <f t="shared" si="24"/>
        <v>18/4/10</v>
      </c>
      <c r="C1282">
        <v>10</v>
      </c>
      <c r="D1282">
        <v>4</v>
      </c>
      <c r="E1282">
        <v>18</v>
      </c>
      <c r="F1282" t="s">
        <v>77</v>
      </c>
      <c r="G1282" t="s">
        <v>77</v>
      </c>
      <c r="H1282" t="s">
        <v>26</v>
      </c>
      <c r="I1282" t="s">
        <v>27</v>
      </c>
      <c r="J1282">
        <v>18</v>
      </c>
      <c r="K1282">
        <v>1</v>
      </c>
      <c r="L1282">
        <v>18</v>
      </c>
      <c r="M1282">
        <v>18</v>
      </c>
      <c r="N1282" s="5">
        <v>0.90543259557344069</v>
      </c>
      <c r="O1282" s="6" t="s">
        <v>28</v>
      </c>
      <c r="P1282" t="s">
        <v>340</v>
      </c>
      <c r="Q1282" t="s">
        <v>24</v>
      </c>
    </row>
    <row r="1283" spans="1:18" hidden="1" x14ac:dyDescent="0.25">
      <c r="A1283" s="36" t="str">
        <f t="shared" ref="A1283:A1301" si="25">IF(D1283=1,"Jan-18",IF(D1283=2,"Feb-18",IF(D1283=3,"Mar-18",IF(D1283=4,"Apr-18",IF(D1283=5,"May-18",IF(D1283=6,"Jun-18",(IF(D1283=7,"Jul-18",IF(D1283=8,"Aug-18",IF(D1283=9,"Sep-18",IF(D1283=10,"Oct-18",IF(D1283=11,"Nov-18",IF(D1283=12,"Dec-18","...")))))))))))))</f>
        <v>Apr-18</v>
      </c>
      <c r="B1283" s="3" t="s">
        <v>1300</v>
      </c>
      <c r="C1283" s="10">
        <v>10</v>
      </c>
      <c r="D1283" s="10">
        <v>4</v>
      </c>
      <c r="E1283" s="10">
        <v>18</v>
      </c>
      <c r="F1283" t="s">
        <v>1502</v>
      </c>
      <c r="G1283" t="s">
        <v>889</v>
      </c>
      <c r="H1283" t="s">
        <v>49</v>
      </c>
      <c r="I1283" t="s">
        <v>50</v>
      </c>
      <c r="J1283" s="4">
        <v>19.899999999999999</v>
      </c>
      <c r="K1283">
        <v>1</v>
      </c>
      <c r="L1283">
        <v>19.899999999999999</v>
      </c>
      <c r="M1283">
        <v>19.899999999999999</v>
      </c>
      <c r="N1283" s="5">
        <v>1.0073115860517434</v>
      </c>
      <c r="O1283" t="s">
        <v>51</v>
      </c>
      <c r="P1283" t="s">
        <v>340</v>
      </c>
      <c r="Q1283" s="10" t="s">
        <v>1102</v>
      </c>
      <c r="R1283" t="s">
        <v>1525</v>
      </c>
    </row>
    <row r="1284" spans="1:18" hidden="1" x14ac:dyDescent="0.25">
      <c r="A1284" s="36" t="str">
        <f t="shared" si="25"/>
        <v>Apr-18</v>
      </c>
      <c r="B1284" s="3" t="s">
        <v>1300</v>
      </c>
      <c r="C1284" s="10">
        <v>10</v>
      </c>
      <c r="D1284" s="10">
        <v>4</v>
      </c>
      <c r="E1284" s="10">
        <v>18</v>
      </c>
      <c r="F1284" t="s">
        <v>744</v>
      </c>
      <c r="G1284" t="s">
        <v>889</v>
      </c>
      <c r="H1284" t="s">
        <v>54</v>
      </c>
      <c r="I1284" t="s">
        <v>27</v>
      </c>
      <c r="J1284" s="4">
        <v>11.49</v>
      </c>
      <c r="K1284">
        <v>1</v>
      </c>
      <c r="L1284">
        <v>11.49</v>
      </c>
      <c r="M1284">
        <v>11.49</v>
      </c>
      <c r="N1284" s="5">
        <v>0.58160854893138358</v>
      </c>
      <c r="O1284" t="s">
        <v>51</v>
      </c>
      <c r="P1284" t="s">
        <v>340</v>
      </c>
      <c r="Q1284" s="10" t="s">
        <v>1102</v>
      </c>
    </row>
    <row r="1285" spans="1:18" hidden="1" x14ac:dyDescent="0.25">
      <c r="A1285" s="36" t="str">
        <f t="shared" si="25"/>
        <v>Apr-18</v>
      </c>
      <c r="B1285" s="3" t="s">
        <v>1300</v>
      </c>
      <c r="C1285" s="10">
        <v>10</v>
      </c>
      <c r="D1285" s="10">
        <v>4</v>
      </c>
      <c r="E1285" s="10">
        <v>18</v>
      </c>
      <c r="F1285" t="s">
        <v>61</v>
      </c>
      <c r="H1285" t="s">
        <v>62</v>
      </c>
      <c r="I1285" t="s">
        <v>27</v>
      </c>
      <c r="J1285" s="4">
        <v>10.28</v>
      </c>
      <c r="K1285">
        <v>1</v>
      </c>
      <c r="L1285">
        <v>10.28</v>
      </c>
      <c r="M1285">
        <v>10.28</v>
      </c>
      <c r="N1285" s="5">
        <v>0.52035995500562426</v>
      </c>
      <c r="O1285" t="s">
        <v>51</v>
      </c>
      <c r="P1285" t="s">
        <v>340</v>
      </c>
      <c r="Q1285" s="10" t="s">
        <v>1102</v>
      </c>
    </row>
    <row r="1286" spans="1:18" hidden="1" x14ac:dyDescent="0.25">
      <c r="A1286" s="36" t="str">
        <f t="shared" si="25"/>
        <v>Apr-18</v>
      </c>
      <c r="B1286" s="3" t="s">
        <v>1300</v>
      </c>
      <c r="C1286" s="10">
        <v>10</v>
      </c>
      <c r="D1286" s="10">
        <v>4</v>
      </c>
      <c r="E1286" s="10">
        <v>18</v>
      </c>
      <c r="F1286" t="s">
        <v>1021</v>
      </c>
      <c r="G1286" t="s">
        <v>889</v>
      </c>
      <c r="H1286" t="s">
        <v>54</v>
      </c>
      <c r="I1286" t="s">
        <v>27</v>
      </c>
      <c r="J1286" s="4">
        <v>23.49</v>
      </c>
      <c r="K1286">
        <v>1.0720000000000001</v>
      </c>
      <c r="L1286">
        <v>23.49</v>
      </c>
      <c r="M1286">
        <v>25.181280000000001</v>
      </c>
      <c r="N1286" s="5">
        <v>1.2746429696287964</v>
      </c>
      <c r="O1286" t="s">
        <v>51</v>
      </c>
      <c r="P1286" t="s">
        <v>340</v>
      </c>
      <c r="Q1286" s="10" t="s">
        <v>1102</v>
      </c>
    </row>
    <row r="1287" spans="1:18" hidden="1" x14ac:dyDescent="0.25">
      <c r="A1287" s="36" t="str">
        <f t="shared" si="25"/>
        <v>Apr-18</v>
      </c>
      <c r="B1287" s="3" t="s">
        <v>1300</v>
      </c>
      <c r="C1287" s="10">
        <v>10</v>
      </c>
      <c r="D1287" s="10">
        <v>4</v>
      </c>
      <c r="E1287" s="10">
        <v>18</v>
      </c>
      <c r="F1287" t="s">
        <v>38</v>
      </c>
      <c r="G1287" t="s">
        <v>889</v>
      </c>
      <c r="H1287" t="s">
        <v>39</v>
      </c>
      <c r="I1287" t="s">
        <v>27</v>
      </c>
      <c r="J1287" s="4">
        <v>25.9</v>
      </c>
      <c r="K1287">
        <v>2</v>
      </c>
      <c r="L1287">
        <v>25.9</v>
      </c>
      <c r="M1287">
        <v>51.8</v>
      </c>
      <c r="N1287" s="5">
        <v>2.622047244094488</v>
      </c>
      <c r="O1287" t="s">
        <v>51</v>
      </c>
      <c r="P1287" t="s">
        <v>340</v>
      </c>
      <c r="Q1287" s="10" t="s">
        <v>1102</v>
      </c>
      <c r="R1287" t="s">
        <v>402</v>
      </c>
    </row>
    <row r="1288" spans="1:18" hidden="1" x14ac:dyDescent="0.25">
      <c r="A1288" s="36" t="str">
        <f t="shared" si="25"/>
        <v>Apr-18</v>
      </c>
      <c r="B1288" s="3" t="s">
        <v>1300</v>
      </c>
      <c r="C1288" s="10">
        <v>10</v>
      </c>
      <c r="D1288" s="10">
        <v>4</v>
      </c>
      <c r="E1288" s="10">
        <v>18</v>
      </c>
      <c r="F1288" t="s">
        <v>109</v>
      </c>
      <c r="G1288" t="s">
        <v>889</v>
      </c>
      <c r="H1288" t="s">
        <v>54</v>
      </c>
      <c r="I1288" t="s">
        <v>27</v>
      </c>
      <c r="J1288" s="4">
        <v>27</v>
      </c>
      <c r="K1288">
        <v>0.29599999999999999</v>
      </c>
      <c r="L1288">
        <v>27</v>
      </c>
      <c r="M1288">
        <v>7.992</v>
      </c>
      <c r="N1288" s="5">
        <v>0.40454443194600676</v>
      </c>
      <c r="O1288" t="s">
        <v>51</v>
      </c>
      <c r="P1288" t="s">
        <v>340</v>
      </c>
      <c r="Q1288" s="10" t="s">
        <v>1102</v>
      </c>
    </row>
    <row r="1289" spans="1:18" hidden="1" x14ac:dyDescent="0.25">
      <c r="A1289" s="36" t="str">
        <f t="shared" si="25"/>
        <v>Apr-18</v>
      </c>
      <c r="B1289" s="3" t="s">
        <v>1300</v>
      </c>
      <c r="C1289" s="10">
        <v>10</v>
      </c>
      <c r="D1289" s="10">
        <v>4</v>
      </c>
      <c r="E1289" s="10">
        <v>18</v>
      </c>
      <c r="F1289" t="s">
        <v>122</v>
      </c>
      <c r="G1289" t="s">
        <v>889</v>
      </c>
      <c r="H1289" t="s">
        <v>54</v>
      </c>
      <c r="I1289" t="s">
        <v>27</v>
      </c>
      <c r="J1289" s="4">
        <v>45.8</v>
      </c>
      <c r="K1289">
        <v>0.5</v>
      </c>
      <c r="L1289">
        <v>45.8</v>
      </c>
      <c r="M1289">
        <v>22.9</v>
      </c>
      <c r="N1289" s="5">
        <v>1.1591676040494936</v>
      </c>
      <c r="O1289" t="s">
        <v>51</v>
      </c>
      <c r="P1289" t="s">
        <v>340</v>
      </c>
      <c r="Q1289" s="10" t="s">
        <v>1102</v>
      </c>
    </row>
    <row r="1290" spans="1:18" hidden="1" x14ac:dyDescent="0.25">
      <c r="A1290" s="36" t="str">
        <f t="shared" si="25"/>
        <v>Apr-18</v>
      </c>
      <c r="B1290" s="3" t="s">
        <v>1300</v>
      </c>
      <c r="C1290" s="10">
        <v>10</v>
      </c>
      <c r="D1290" s="10">
        <v>4</v>
      </c>
      <c r="E1290" s="10">
        <v>18</v>
      </c>
      <c r="F1290" t="s">
        <v>202</v>
      </c>
      <c r="G1290" t="s">
        <v>889</v>
      </c>
      <c r="H1290" t="s">
        <v>54</v>
      </c>
      <c r="I1290" t="s">
        <v>27</v>
      </c>
      <c r="J1290" s="4">
        <v>79.900000000000006</v>
      </c>
      <c r="K1290">
        <v>0.26</v>
      </c>
      <c r="L1290">
        <v>79.900000000000006</v>
      </c>
      <c r="M1290">
        <v>20.774000000000001</v>
      </c>
      <c r="N1290" s="5">
        <v>1.0515523059617549</v>
      </c>
      <c r="O1290" t="s">
        <v>51</v>
      </c>
      <c r="P1290" t="s">
        <v>340</v>
      </c>
      <c r="Q1290" s="10" t="s">
        <v>1102</v>
      </c>
    </row>
    <row r="1291" spans="1:18" hidden="1" x14ac:dyDescent="0.25">
      <c r="A1291" s="36" t="str">
        <f t="shared" si="25"/>
        <v>Apr-18</v>
      </c>
      <c r="B1291" s="3" t="s">
        <v>1300</v>
      </c>
      <c r="C1291" s="10">
        <v>10</v>
      </c>
      <c r="D1291" s="10">
        <v>4</v>
      </c>
      <c r="E1291" s="10">
        <v>18</v>
      </c>
      <c r="F1291" t="s">
        <v>1294</v>
      </c>
      <c r="G1291" t="s">
        <v>889</v>
      </c>
      <c r="H1291" t="s">
        <v>131</v>
      </c>
      <c r="I1291" t="s">
        <v>27</v>
      </c>
      <c r="J1291" s="4">
        <v>9.9</v>
      </c>
      <c r="K1291">
        <v>2</v>
      </c>
      <c r="L1291">
        <v>9.9</v>
      </c>
      <c r="M1291">
        <v>19.8</v>
      </c>
      <c r="N1291" s="5">
        <v>1.0022497187851518</v>
      </c>
      <c r="O1291" t="s">
        <v>51</v>
      </c>
      <c r="P1291" t="s">
        <v>340</v>
      </c>
      <c r="Q1291" s="10" t="s">
        <v>1102</v>
      </c>
    </row>
    <row r="1292" spans="1:18" hidden="1" x14ac:dyDescent="0.25">
      <c r="A1292" s="36" t="str">
        <f t="shared" si="25"/>
        <v>Apr-18</v>
      </c>
      <c r="B1292" s="3" t="s">
        <v>1300</v>
      </c>
      <c r="C1292" s="10">
        <v>10</v>
      </c>
      <c r="D1292" s="10">
        <v>4</v>
      </c>
      <c r="E1292" s="10">
        <v>18</v>
      </c>
      <c r="F1292" t="s">
        <v>1288</v>
      </c>
      <c r="G1292" t="s">
        <v>889</v>
      </c>
      <c r="H1292" t="s">
        <v>65</v>
      </c>
      <c r="I1292" t="s">
        <v>27</v>
      </c>
      <c r="J1292" s="4">
        <v>6.79</v>
      </c>
      <c r="K1292">
        <v>16</v>
      </c>
      <c r="L1292">
        <v>6.79</v>
      </c>
      <c r="M1292">
        <v>108.64</v>
      </c>
      <c r="N1292" s="5">
        <v>5.4992125984251965</v>
      </c>
      <c r="O1292" t="s">
        <v>51</v>
      </c>
      <c r="P1292" t="s">
        <v>340</v>
      </c>
      <c r="Q1292" s="10" t="s">
        <v>1102</v>
      </c>
    </row>
    <row r="1293" spans="1:18" hidden="1" x14ac:dyDescent="0.25">
      <c r="A1293" s="36" t="str">
        <f t="shared" si="25"/>
        <v>Apr-18</v>
      </c>
      <c r="B1293" s="3" t="s">
        <v>1300</v>
      </c>
      <c r="C1293" s="10">
        <v>10</v>
      </c>
      <c r="D1293" s="10">
        <v>4</v>
      </c>
      <c r="E1293" s="10">
        <v>18</v>
      </c>
      <c r="F1293" t="s">
        <v>1295</v>
      </c>
      <c r="G1293" t="s">
        <v>889</v>
      </c>
      <c r="H1293" t="s">
        <v>65</v>
      </c>
      <c r="I1293" t="s">
        <v>27</v>
      </c>
      <c r="J1293" s="4">
        <v>3.49</v>
      </c>
      <c r="K1293">
        <v>7</v>
      </c>
      <c r="L1293">
        <v>3.49</v>
      </c>
      <c r="M1293">
        <v>23.169999999999998</v>
      </c>
      <c r="N1293" s="5">
        <v>1.1728346456692913</v>
      </c>
      <c r="O1293" t="s">
        <v>51</v>
      </c>
      <c r="P1293" t="s">
        <v>340</v>
      </c>
      <c r="Q1293" s="10" t="s">
        <v>1102</v>
      </c>
    </row>
    <row r="1294" spans="1:18" hidden="1" x14ac:dyDescent="0.25">
      <c r="A1294" s="36" t="str">
        <f t="shared" si="25"/>
        <v>Apr-18</v>
      </c>
      <c r="B1294" s="3" t="s">
        <v>1300</v>
      </c>
      <c r="C1294" s="10">
        <v>10</v>
      </c>
      <c r="D1294" s="10">
        <v>4</v>
      </c>
      <c r="E1294" s="10">
        <v>18</v>
      </c>
      <c r="F1294" t="s">
        <v>1296</v>
      </c>
      <c r="G1294" t="s">
        <v>889</v>
      </c>
      <c r="H1294" t="s">
        <v>59</v>
      </c>
      <c r="I1294" t="s">
        <v>27</v>
      </c>
      <c r="J1294" s="4">
        <v>79.900000000000006</v>
      </c>
      <c r="K1294">
        <v>1</v>
      </c>
      <c r="L1294">
        <v>79.900000000000006</v>
      </c>
      <c r="M1294">
        <v>67.910000000000011</v>
      </c>
      <c r="N1294" s="5">
        <v>3.4375140607424077</v>
      </c>
      <c r="O1294" t="s">
        <v>51</v>
      </c>
      <c r="P1294" t="s">
        <v>340</v>
      </c>
      <c r="Q1294" s="10" t="s">
        <v>1102</v>
      </c>
    </row>
    <row r="1295" spans="1:18" hidden="1" x14ac:dyDescent="0.25">
      <c r="A1295" s="36" t="str">
        <f t="shared" si="25"/>
        <v>Apr-18</v>
      </c>
      <c r="B1295" s="3" t="s">
        <v>1300</v>
      </c>
      <c r="C1295" s="10">
        <v>10</v>
      </c>
      <c r="D1295" s="10">
        <v>4</v>
      </c>
      <c r="E1295" s="10">
        <v>18</v>
      </c>
      <c r="F1295" t="s">
        <v>1297</v>
      </c>
      <c r="G1295" t="s">
        <v>889</v>
      </c>
      <c r="H1295" t="s">
        <v>59</v>
      </c>
      <c r="I1295" t="s">
        <v>27</v>
      </c>
      <c r="J1295" s="4">
        <v>68.989999999999995</v>
      </c>
      <c r="K1295">
        <v>2</v>
      </c>
      <c r="L1295">
        <v>68.989999999999995</v>
      </c>
      <c r="M1295">
        <v>117.28999999999999</v>
      </c>
      <c r="N1295" s="5">
        <v>5.9370641169853764</v>
      </c>
      <c r="O1295" t="s">
        <v>51</v>
      </c>
      <c r="P1295" t="s">
        <v>340</v>
      </c>
      <c r="Q1295" s="10" t="s">
        <v>1102</v>
      </c>
    </row>
    <row r="1296" spans="1:18" hidden="1" x14ac:dyDescent="0.25">
      <c r="A1296" s="36" t="str">
        <f t="shared" si="25"/>
        <v>Apr-18</v>
      </c>
      <c r="B1296" s="3" t="s">
        <v>1300</v>
      </c>
      <c r="C1296" s="10">
        <v>10</v>
      </c>
      <c r="D1296" s="10">
        <v>4</v>
      </c>
      <c r="E1296" s="10">
        <v>18</v>
      </c>
      <c r="F1296" t="s">
        <v>1292</v>
      </c>
      <c r="G1296" t="s">
        <v>889</v>
      </c>
      <c r="H1296" t="s">
        <v>59</v>
      </c>
      <c r="I1296" t="s">
        <v>27</v>
      </c>
      <c r="J1296" s="4">
        <v>112.9</v>
      </c>
      <c r="K1296">
        <v>1</v>
      </c>
      <c r="L1296">
        <v>112.9</v>
      </c>
      <c r="M1296">
        <v>96</v>
      </c>
      <c r="N1296" s="5">
        <v>4.859392575928009</v>
      </c>
      <c r="O1296" t="s">
        <v>51</v>
      </c>
      <c r="P1296" t="s">
        <v>340</v>
      </c>
      <c r="Q1296" s="10" t="s">
        <v>1102</v>
      </c>
    </row>
    <row r="1297" spans="1:18" hidden="1" x14ac:dyDescent="0.25">
      <c r="A1297" s="36" t="str">
        <f t="shared" si="25"/>
        <v>Apr-18</v>
      </c>
      <c r="B1297" s="3" t="s">
        <v>1300</v>
      </c>
      <c r="C1297" s="10">
        <v>10</v>
      </c>
      <c r="D1297" s="10">
        <v>4</v>
      </c>
      <c r="E1297" s="10">
        <v>18</v>
      </c>
      <c r="F1297" t="s">
        <v>44</v>
      </c>
      <c r="G1297" t="s">
        <v>889</v>
      </c>
      <c r="H1297" t="s">
        <v>44</v>
      </c>
      <c r="I1297" t="s">
        <v>27</v>
      </c>
      <c r="J1297" s="4">
        <v>14.99</v>
      </c>
      <c r="K1297">
        <v>4</v>
      </c>
      <c r="L1297">
        <v>14.99</v>
      </c>
      <c r="M1297">
        <v>59.96</v>
      </c>
      <c r="N1297" s="5">
        <v>3.0350956130483691</v>
      </c>
      <c r="O1297" t="s">
        <v>51</v>
      </c>
      <c r="P1297" t="s">
        <v>340</v>
      </c>
      <c r="Q1297" s="10" t="s">
        <v>1102</v>
      </c>
    </row>
    <row r="1298" spans="1:18" hidden="1" x14ac:dyDescent="0.25">
      <c r="A1298" s="36" t="str">
        <f t="shared" si="25"/>
        <v>Apr-18</v>
      </c>
      <c r="B1298" s="3" t="s">
        <v>1300</v>
      </c>
      <c r="C1298" s="10">
        <v>10</v>
      </c>
      <c r="D1298" s="10">
        <v>4</v>
      </c>
      <c r="E1298" s="10">
        <v>18</v>
      </c>
      <c r="F1298" t="s">
        <v>44</v>
      </c>
      <c r="G1298" t="s">
        <v>889</v>
      </c>
      <c r="H1298" t="s">
        <v>44</v>
      </c>
      <c r="I1298" t="s">
        <v>27</v>
      </c>
      <c r="J1298" s="4">
        <v>11.9</v>
      </c>
      <c r="K1298">
        <v>2</v>
      </c>
      <c r="L1298">
        <v>11.9</v>
      </c>
      <c r="M1298">
        <v>23.8</v>
      </c>
      <c r="N1298" s="5">
        <v>1.204724409448819</v>
      </c>
      <c r="O1298" t="s">
        <v>51</v>
      </c>
      <c r="P1298" t="s">
        <v>340</v>
      </c>
      <c r="Q1298" s="10" t="s">
        <v>1102</v>
      </c>
    </row>
    <row r="1299" spans="1:18" hidden="1" x14ac:dyDescent="0.25">
      <c r="A1299" s="36" t="str">
        <f t="shared" si="25"/>
        <v>Apr-18</v>
      </c>
      <c r="B1299" s="3" t="s">
        <v>1300</v>
      </c>
      <c r="C1299" s="10">
        <v>10</v>
      </c>
      <c r="D1299" s="10">
        <v>4</v>
      </c>
      <c r="E1299" s="10">
        <v>18</v>
      </c>
      <c r="F1299" t="s">
        <v>66</v>
      </c>
      <c r="G1299" t="s">
        <v>67</v>
      </c>
      <c r="H1299" t="s">
        <v>59</v>
      </c>
      <c r="I1299" t="s">
        <v>27</v>
      </c>
      <c r="J1299" s="4">
        <v>169</v>
      </c>
      <c r="K1299">
        <v>2</v>
      </c>
      <c r="L1299">
        <v>169</v>
      </c>
      <c r="M1299">
        <v>321.10000000000002</v>
      </c>
      <c r="N1299" s="5">
        <v>16.253655793025871</v>
      </c>
      <c r="O1299" t="s">
        <v>51</v>
      </c>
      <c r="P1299" t="s">
        <v>340</v>
      </c>
      <c r="Q1299" s="10" t="s">
        <v>1102</v>
      </c>
    </row>
    <row r="1300" spans="1:18" hidden="1" x14ac:dyDescent="0.25">
      <c r="A1300" s="36" t="str">
        <f t="shared" si="25"/>
        <v>Apr-18</v>
      </c>
      <c r="B1300" s="3" t="s">
        <v>1300</v>
      </c>
      <c r="C1300" s="10">
        <v>10</v>
      </c>
      <c r="D1300" s="10">
        <v>4</v>
      </c>
      <c r="E1300" s="10">
        <v>18</v>
      </c>
      <c r="F1300" t="s">
        <v>701</v>
      </c>
      <c r="G1300" t="s">
        <v>889</v>
      </c>
      <c r="H1300" t="s">
        <v>49</v>
      </c>
      <c r="I1300" t="s">
        <v>50</v>
      </c>
      <c r="J1300" s="4">
        <v>74.900000000000006</v>
      </c>
      <c r="K1300">
        <v>1</v>
      </c>
      <c r="L1300">
        <v>74.900000000000006</v>
      </c>
      <c r="M1300">
        <v>74.900000000000006</v>
      </c>
      <c r="N1300" s="5">
        <v>3.7913385826771653</v>
      </c>
      <c r="O1300" t="s">
        <v>51</v>
      </c>
      <c r="P1300" t="s">
        <v>340</v>
      </c>
      <c r="Q1300" s="10" t="s">
        <v>1102</v>
      </c>
    </row>
    <row r="1301" spans="1:18" hidden="1" x14ac:dyDescent="0.25">
      <c r="A1301" s="36" t="str">
        <f t="shared" si="25"/>
        <v>Apr-18</v>
      </c>
      <c r="B1301" s="3" t="s">
        <v>1300</v>
      </c>
      <c r="C1301" s="10">
        <v>10</v>
      </c>
      <c r="D1301" s="10">
        <v>4</v>
      </c>
      <c r="E1301" s="10">
        <v>18</v>
      </c>
      <c r="F1301" t="s">
        <v>958</v>
      </c>
      <c r="G1301" t="s">
        <v>889</v>
      </c>
      <c r="H1301" t="s">
        <v>53</v>
      </c>
      <c r="I1301" t="s">
        <v>27</v>
      </c>
      <c r="J1301" s="4">
        <v>29.9</v>
      </c>
      <c r="K1301">
        <v>4</v>
      </c>
      <c r="L1301">
        <v>29.9</v>
      </c>
      <c r="M1301">
        <v>113.6</v>
      </c>
      <c r="N1301" s="5">
        <v>5.750281214848143</v>
      </c>
      <c r="O1301" t="s">
        <v>51</v>
      </c>
      <c r="P1301" t="s">
        <v>340</v>
      </c>
      <c r="Q1301" s="10" t="s">
        <v>1102</v>
      </c>
    </row>
    <row r="1302" spans="1:18" hidden="1" x14ac:dyDescent="0.25">
      <c r="A1302" s="2" t="s">
        <v>391</v>
      </c>
      <c r="B1302" s="3" t="str">
        <f t="shared" ref="B1302:B1365" si="26">CONCATENATE(E1302,"/",D1302,"/",C1302)</f>
        <v>18/4/11</v>
      </c>
      <c r="C1302">
        <v>11</v>
      </c>
      <c r="D1302">
        <v>4</v>
      </c>
      <c r="E1302">
        <v>18</v>
      </c>
      <c r="F1302" t="s">
        <v>1597</v>
      </c>
      <c r="I1302" t="s">
        <v>39</v>
      </c>
      <c r="J1302">
        <v>385</v>
      </c>
      <c r="K1302">
        <v>1</v>
      </c>
      <c r="L1302">
        <v>385</v>
      </c>
      <c r="M1302">
        <v>385</v>
      </c>
      <c r="N1302" s="5">
        <v>19.366197183098592</v>
      </c>
      <c r="O1302" t="s">
        <v>39</v>
      </c>
      <c r="P1302" t="s">
        <v>340</v>
      </c>
      <c r="Q1302" t="s">
        <v>84</v>
      </c>
      <c r="R1302" t="s">
        <v>1957</v>
      </c>
    </row>
    <row r="1303" spans="1:18" hidden="1" x14ac:dyDescent="0.25">
      <c r="A1303" s="2" t="s">
        <v>391</v>
      </c>
      <c r="B1303" s="3" t="str">
        <f t="shared" si="26"/>
        <v>18/4/11</v>
      </c>
      <c r="C1303">
        <v>11</v>
      </c>
      <c r="D1303">
        <v>4</v>
      </c>
      <c r="E1303">
        <v>18</v>
      </c>
      <c r="F1303" t="s">
        <v>81</v>
      </c>
      <c r="I1303" t="s">
        <v>39</v>
      </c>
      <c r="J1303" s="14">
        <v>2000</v>
      </c>
      <c r="K1303" s="14">
        <v>1</v>
      </c>
      <c r="L1303" s="14">
        <v>2000</v>
      </c>
      <c r="M1303" s="14">
        <v>2000</v>
      </c>
      <c r="N1303" s="5">
        <v>100.6036217303823</v>
      </c>
      <c r="O1303" t="s">
        <v>39</v>
      </c>
      <c r="Q1303" t="s">
        <v>84</v>
      </c>
      <c r="R1303" t="s">
        <v>396</v>
      </c>
    </row>
    <row r="1304" spans="1:18" hidden="1" x14ac:dyDescent="0.25">
      <c r="A1304" s="2" t="s">
        <v>391</v>
      </c>
      <c r="B1304" s="3" t="str">
        <f t="shared" si="26"/>
        <v>18/4/12</v>
      </c>
      <c r="C1304">
        <v>12</v>
      </c>
      <c r="D1304">
        <v>4</v>
      </c>
      <c r="E1304">
        <v>18</v>
      </c>
      <c r="F1304" t="s">
        <v>99</v>
      </c>
      <c r="H1304" t="s">
        <v>40</v>
      </c>
      <c r="I1304" t="s">
        <v>27</v>
      </c>
      <c r="J1304">
        <v>10</v>
      </c>
      <c r="K1304">
        <v>1</v>
      </c>
      <c r="L1304">
        <v>10</v>
      </c>
      <c r="M1304">
        <v>10</v>
      </c>
      <c r="N1304" s="5">
        <v>0.50301810865191154</v>
      </c>
      <c r="O1304" t="s">
        <v>100</v>
      </c>
      <c r="P1304" t="s">
        <v>340</v>
      </c>
      <c r="Q1304" t="s">
        <v>24</v>
      </c>
    </row>
    <row r="1305" spans="1:18" hidden="1" x14ac:dyDescent="0.25">
      <c r="A1305" s="2" t="s">
        <v>391</v>
      </c>
      <c r="B1305" s="3" t="str">
        <f t="shared" si="26"/>
        <v>18/4/12</v>
      </c>
      <c r="C1305">
        <v>12</v>
      </c>
      <c r="D1305">
        <v>4</v>
      </c>
      <c r="E1305">
        <v>18</v>
      </c>
      <c r="F1305" s="7" t="s">
        <v>166</v>
      </c>
      <c r="G1305" t="s">
        <v>77</v>
      </c>
      <c r="H1305" t="s">
        <v>26</v>
      </c>
      <c r="I1305" t="s">
        <v>27</v>
      </c>
      <c r="J1305">
        <v>19.600000000000001</v>
      </c>
      <c r="K1305">
        <v>1</v>
      </c>
      <c r="L1305">
        <v>19.600000000000001</v>
      </c>
      <c r="M1305">
        <v>19.600000000000001</v>
      </c>
      <c r="N1305" s="5">
        <v>0.98591549295774661</v>
      </c>
      <c r="O1305" t="s">
        <v>100</v>
      </c>
      <c r="P1305" t="s">
        <v>340</v>
      </c>
      <c r="Q1305" t="s">
        <v>24</v>
      </c>
    </row>
    <row r="1306" spans="1:18" hidden="1" x14ac:dyDescent="0.25">
      <c r="A1306" s="2" t="s">
        <v>391</v>
      </c>
      <c r="B1306" s="3" t="str">
        <f t="shared" si="26"/>
        <v>18/4/12</v>
      </c>
      <c r="C1306">
        <v>12</v>
      </c>
      <c r="D1306">
        <v>4</v>
      </c>
      <c r="E1306">
        <v>18</v>
      </c>
      <c r="F1306" t="s">
        <v>258</v>
      </c>
      <c r="H1306" t="s">
        <v>39</v>
      </c>
      <c r="I1306" t="s">
        <v>27</v>
      </c>
      <c r="J1306">
        <v>37.5</v>
      </c>
      <c r="K1306">
        <v>1</v>
      </c>
      <c r="L1306">
        <v>37.5</v>
      </c>
      <c r="M1306">
        <v>37.5</v>
      </c>
      <c r="N1306" s="5">
        <v>1.8863179074446681</v>
      </c>
      <c r="O1306" t="s">
        <v>100</v>
      </c>
      <c r="P1306" t="s">
        <v>340</v>
      </c>
      <c r="Q1306" t="s">
        <v>24</v>
      </c>
    </row>
    <row r="1307" spans="1:18" hidden="1" x14ac:dyDescent="0.25">
      <c r="A1307" s="2" t="s">
        <v>391</v>
      </c>
      <c r="B1307" s="3" t="str">
        <f t="shared" si="26"/>
        <v>18/4/12</v>
      </c>
      <c r="C1307">
        <v>12</v>
      </c>
      <c r="D1307">
        <v>4</v>
      </c>
      <c r="E1307">
        <v>18</v>
      </c>
      <c r="F1307" t="s">
        <v>1358</v>
      </c>
      <c r="G1307" t="s">
        <v>155</v>
      </c>
      <c r="H1307" t="s">
        <v>131</v>
      </c>
      <c r="I1307" t="s">
        <v>27</v>
      </c>
      <c r="J1307">
        <v>75</v>
      </c>
      <c r="K1307">
        <v>1</v>
      </c>
      <c r="L1307">
        <v>75</v>
      </c>
      <c r="M1307">
        <v>75</v>
      </c>
      <c r="N1307" s="5">
        <v>3.7726358148893362</v>
      </c>
      <c r="O1307" t="s">
        <v>100</v>
      </c>
      <c r="P1307" t="s">
        <v>340</v>
      </c>
      <c r="Q1307" t="s">
        <v>24</v>
      </c>
    </row>
    <row r="1308" spans="1:18" hidden="1" x14ac:dyDescent="0.25">
      <c r="A1308" s="2" t="s">
        <v>391</v>
      </c>
      <c r="B1308" s="3" t="str">
        <f t="shared" si="26"/>
        <v>18/4/12</v>
      </c>
      <c r="C1308">
        <v>12</v>
      </c>
      <c r="D1308">
        <v>4</v>
      </c>
      <c r="E1308">
        <v>18</v>
      </c>
      <c r="F1308" t="s">
        <v>922</v>
      </c>
      <c r="G1308" t="s">
        <v>155</v>
      </c>
      <c r="H1308" t="s">
        <v>131</v>
      </c>
      <c r="I1308" t="s">
        <v>27</v>
      </c>
      <c r="J1308">
        <v>67.5</v>
      </c>
      <c r="K1308">
        <v>1</v>
      </c>
      <c r="L1308">
        <v>67.5</v>
      </c>
      <c r="M1308">
        <v>67.5</v>
      </c>
      <c r="N1308" s="5">
        <v>3.3953722334004026</v>
      </c>
      <c r="O1308" t="s">
        <v>100</v>
      </c>
      <c r="P1308" t="s">
        <v>340</v>
      </c>
      <c r="Q1308" t="s">
        <v>24</v>
      </c>
    </row>
    <row r="1309" spans="1:18" hidden="1" x14ac:dyDescent="0.25">
      <c r="A1309" s="2" t="s">
        <v>391</v>
      </c>
      <c r="B1309" s="3" t="str">
        <f t="shared" si="26"/>
        <v>18/4/13</v>
      </c>
      <c r="C1309">
        <v>13</v>
      </c>
      <c r="D1309">
        <v>4</v>
      </c>
      <c r="E1309">
        <v>18</v>
      </c>
      <c r="F1309" t="s">
        <v>2045</v>
      </c>
      <c r="H1309" t="s">
        <v>33</v>
      </c>
      <c r="I1309" t="s">
        <v>27</v>
      </c>
      <c r="J1309">
        <v>143.6</v>
      </c>
      <c r="K1309">
        <v>0.155</v>
      </c>
      <c r="L1309">
        <v>143.6</v>
      </c>
      <c r="M1309">
        <v>22.26</v>
      </c>
      <c r="N1309" s="5">
        <v>1.119718309859155</v>
      </c>
      <c r="O1309" t="s">
        <v>36</v>
      </c>
      <c r="P1309" t="s">
        <v>340</v>
      </c>
      <c r="Q1309" t="s">
        <v>24</v>
      </c>
    </row>
    <row r="1310" spans="1:18" hidden="1" x14ac:dyDescent="0.25">
      <c r="A1310" s="2" t="s">
        <v>391</v>
      </c>
      <c r="B1310" s="3" t="str">
        <f t="shared" si="26"/>
        <v>18/4/13</v>
      </c>
      <c r="C1310">
        <v>13</v>
      </c>
      <c r="D1310">
        <v>4</v>
      </c>
      <c r="E1310">
        <v>18</v>
      </c>
      <c r="F1310" t="s">
        <v>399</v>
      </c>
      <c r="H1310" t="s">
        <v>59</v>
      </c>
      <c r="I1310" t="s">
        <v>27</v>
      </c>
      <c r="J1310">
        <v>128.99</v>
      </c>
      <c r="K1310">
        <v>1</v>
      </c>
      <c r="L1310">
        <v>128.99</v>
      </c>
      <c r="M1310">
        <v>128.99</v>
      </c>
      <c r="N1310" s="5">
        <v>6.4884305835010068</v>
      </c>
      <c r="O1310" t="s">
        <v>51</v>
      </c>
      <c r="P1310" t="s">
        <v>340</v>
      </c>
      <c r="Q1310" t="s">
        <v>24</v>
      </c>
    </row>
    <row r="1311" spans="1:18" hidden="1" x14ac:dyDescent="0.25">
      <c r="A1311" s="2" t="s">
        <v>391</v>
      </c>
      <c r="B1311" s="3" t="str">
        <f t="shared" si="26"/>
        <v>18/4/13</v>
      </c>
      <c r="C1311">
        <v>13</v>
      </c>
      <c r="D1311">
        <v>4</v>
      </c>
      <c r="E1311">
        <v>18</v>
      </c>
      <c r="F1311" t="s">
        <v>52</v>
      </c>
      <c r="H1311" t="s">
        <v>53</v>
      </c>
      <c r="I1311" t="s">
        <v>27</v>
      </c>
      <c r="J1311">
        <v>32.39</v>
      </c>
      <c r="K1311">
        <v>4</v>
      </c>
      <c r="L1311">
        <v>32.39</v>
      </c>
      <c r="M1311">
        <v>129.56</v>
      </c>
      <c r="N1311" s="5">
        <v>6.5171026156941654</v>
      </c>
      <c r="O1311" t="s">
        <v>51</v>
      </c>
      <c r="P1311" t="s">
        <v>340</v>
      </c>
      <c r="Q1311" t="s">
        <v>24</v>
      </c>
    </row>
    <row r="1312" spans="1:18" hidden="1" x14ac:dyDescent="0.25">
      <c r="A1312" s="2" t="s">
        <v>391</v>
      </c>
      <c r="B1312" s="3" t="str">
        <f t="shared" si="26"/>
        <v>18/4/13</v>
      </c>
      <c r="C1312">
        <v>13</v>
      </c>
      <c r="D1312">
        <v>4</v>
      </c>
      <c r="E1312">
        <v>18</v>
      </c>
      <c r="F1312" t="s">
        <v>1611</v>
      </c>
      <c r="H1312" t="s">
        <v>59</v>
      </c>
      <c r="I1312" t="s">
        <v>27</v>
      </c>
      <c r="J1312">
        <v>169</v>
      </c>
      <c r="K1312">
        <v>1</v>
      </c>
      <c r="L1312">
        <v>169</v>
      </c>
      <c r="M1312">
        <v>169</v>
      </c>
      <c r="N1312" s="5">
        <v>8.501006036217305</v>
      </c>
      <c r="O1312" t="s">
        <v>51</v>
      </c>
      <c r="P1312" t="s">
        <v>340</v>
      </c>
      <c r="Q1312" t="s">
        <v>24</v>
      </c>
    </row>
    <row r="1313" spans="1:18" hidden="1" x14ac:dyDescent="0.25">
      <c r="A1313" s="2" t="s">
        <v>391</v>
      </c>
      <c r="B1313" s="3" t="str">
        <f t="shared" si="26"/>
        <v>18/4/13</v>
      </c>
      <c r="C1313">
        <v>13</v>
      </c>
      <c r="D1313">
        <v>4</v>
      </c>
      <c r="E1313">
        <v>18</v>
      </c>
      <c r="F1313" t="s">
        <v>387</v>
      </c>
      <c r="H1313" t="s">
        <v>44</v>
      </c>
      <c r="I1313" t="s">
        <v>27</v>
      </c>
      <c r="J1313">
        <v>14.99</v>
      </c>
      <c r="K1313">
        <v>4</v>
      </c>
      <c r="L1313">
        <v>14.99</v>
      </c>
      <c r="M1313">
        <v>59.96</v>
      </c>
      <c r="N1313" s="5">
        <v>3.0160965794768613</v>
      </c>
      <c r="O1313" t="s">
        <v>51</v>
      </c>
      <c r="P1313" t="s">
        <v>340</v>
      </c>
      <c r="Q1313" t="s">
        <v>24</v>
      </c>
    </row>
    <row r="1314" spans="1:18" hidden="1" x14ac:dyDescent="0.25">
      <c r="A1314" s="2" t="s">
        <v>391</v>
      </c>
      <c r="B1314" s="3" t="str">
        <f t="shared" si="26"/>
        <v>18/4/13</v>
      </c>
      <c r="C1314">
        <v>13</v>
      </c>
      <c r="D1314">
        <v>4</v>
      </c>
      <c r="E1314">
        <v>18</v>
      </c>
      <c r="F1314" t="s">
        <v>61</v>
      </c>
      <c r="H1314" t="s">
        <v>62</v>
      </c>
      <c r="I1314" t="s">
        <v>27</v>
      </c>
      <c r="J1314">
        <v>8.48</v>
      </c>
      <c r="K1314">
        <v>1</v>
      </c>
      <c r="L1314">
        <v>8.48</v>
      </c>
      <c r="M1314">
        <v>8.48</v>
      </c>
      <c r="N1314" s="5">
        <v>0.42655935613682094</v>
      </c>
      <c r="O1314" t="s">
        <v>51</v>
      </c>
      <c r="P1314" t="s">
        <v>340</v>
      </c>
      <c r="Q1314" t="s">
        <v>24</v>
      </c>
    </row>
    <row r="1315" spans="1:18" hidden="1" x14ac:dyDescent="0.25">
      <c r="A1315" s="2" t="s">
        <v>391</v>
      </c>
      <c r="B1315" s="3" t="str">
        <f t="shared" si="26"/>
        <v>18/4/13</v>
      </c>
      <c r="C1315">
        <v>13</v>
      </c>
      <c r="D1315">
        <v>4</v>
      </c>
      <c r="E1315">
        <v>18</v>
      </c>
      <c r="F1315" t="s">
        <v>401</v>
      </c>
      <c r="H1315" t="s">
        <v>62</v>
      </c>
      <c r="I1315" t="s">
        <v>27</v>
      </c>
      <c r="J1315">
        <v>7.49</v>
      </c>
      <c r="K1315">
        <v>1</v>
      </c>
      <c r="L1315">
        <v>7.49</v>
      </c>
      <c r="M1315">
        <v>7.49</v>
      </c>
      <c r="N1315" s="5">
        <v>0.37676056338028174</v>
      </c>
      <c r="O1315" t="s">
        <v>51</v>
      </c>
      <c r="P1315" t="s">
        <v>340</v>
      </c>
      <c r="Q1315" t="s">
        <v>24</v>
      </c>
    </row>
    <row r="1316" spans="1:18" hidden="1" x14ac:dyDescent="0.25">
      <c r="A1316" s="2" t="s">
        <v>391</v>
      </c>
      <c r="B1316" s="3" t="str">
        <f t="shared" si="26"/>
        <v>18/4/13</v>
      </c>
      <c r="C1316">
        <v>13</v>
      </c>
      <c r="D1316">
        <v>4</v>
      </c>
      <c r="E1316">
        <v>18</v>
      </c>
      <c r="F1316" t="s">
        <v>1292</v>
      </c>
      <c r="H1316" t="s">
        <v>59</v>
      </c>
      <c r="I1316" t="s">
        <v>27</v>
      </c>
      <c r="J1316">
        <v>112.9</v>
      </c>
      <c r="K1316">
        <v>1</v>
      </c>
      <c r="L1316">
        <v>112.9</v>
      </c>
      <c r="M1316">
        <v>112.9</v>
      </c>
      <c r="N1316" s="5">
        <v>5.6790744466800813</v>
      </c>
      <c r="O1316" t="s">
        <v>51</v>
      </c>
      <c r="P1316" t="s">
        <v>340</v>
      </c>
      <c r="Q1316" t="s">
        <v>24</v>
      </c>
    </row>
    <row r="1317" spans="1:18" hidden="1" x14ac:dyDescent="0.25">
      <c r="A1317" s="2" t="s">
        <v>391</v>
      </c>
      <c r="B1317" s="3" t="str">
        <f t="shared" si="26"/>
        <v>18/4/13</v>
      </c>
      <c r="C1317">
        <v>13</v>
      </c>
      <c r="D1317">
        <v>4</v>
      </c>
      <c r="E1317">
        <v>18</v>
      </c>
      <c r="F1317" t="s">
        <v>75</v>
      </c>
      <c r="G1317" t="s">
        <v>75</v>
      </c>
      <c r="H1317" t="s">
        <v>65</v>
      </c>
      <c r="I1317" t="s">
        <v>27</v>
      </c>
      <c r="J1317">
        <v>9.9</v>
      </c>
      <c r="K1317">
        <v>6</v>
      </c>
      <c r="L1317">
        <v>9.9</v>
      </c>
      <c r="M1317">
        <v>59.4</v>
      </c>
      <c r="N1317" s="5">
        <v>2.9879275653923543</v>
      </c>
      <c r="O1317" t="s">
        <v>51</v>
      </c>
      <c r="P1317" t="s">
        <v>340</v>
      </c>
      <c r="Q1317" t="s">
        <v>24</v>
      </c>
    </row>
    <row r="1318" spans="1:18" hidden="1" x14ac:dyDescent="0.25">
      <c r="A1318" s="2" t="s">
        <v>391</v>
      </c>
      <c r="B1318" s="3" t="str">
        <f t="shared" si="26"/>
        <v>18/4/13</v>
      </c>
      <c r="C1318">
        <v>13</v>
      </c>
      <c r="D1318">
        <v>4</v>
      </c>
      <c r="E1318">
        <v>18</v>
      </c>
      <c r="F1318" t="s">
        <v>275</v>
      </c>
      <c r="H1318" s="12" t="s">
        <v>332</v>
      </c>
      <c r="I1318" t="s">
        <v>27</v>
      </c>
      <c r="J1318">
        <v>16.899999999999999</v>
      </c>
      <c r="K1318">
        <v>2</v>
      </c>
      <c r="L1318">
        <v>16.899999999999999</v>
      </c>
      <c r="M1318">
        <v>33.799999999999997</v>
      </c>
      <c r="N1318" s="5">
        <v>1.7002012072434607</v>
      </c>
      <c r="O1318" t="s">
        <v>51</v>
      </c>
      <c r="P1318" t="s">
        <v>340</v>
      </c>
      <c r="Q1318" t="s">
        <v>24</v>
      </c>
    </row>
    <row r="1319" spans="1:18" hidden="1" x14ac:dyDescent="0.25">
      <c r="A1319" s="2" t="s">
        <v>391</v>
      </c>
      <c r="B1319" s="3" t="str">
        <f t="shared" si="26"/>
        <v>18/4/13</v>
      </c>
      <c r="C1319">
        <v>13</v>
      </c>
      <c r="D1319">
        <v>4</v>
      </c>
      <c r="E1319">
        <v>18</v>
      </c>
      <c r="F1319" t="s">
        <v>1522</v>
      </c>
      <c r="H1319" t="s">
        <v>49</v>
      </c>
      <c r="I1319" t="s">
        <v>50</v>
      </c>
      <c r="J1319">
        <v>20.9</v>
      </c>
      <c r="K1319">
        <v>1</v>
      </c>
      <c r="L1319">
        <v>20.9</v>
      </c>
      <c r="M1319">
        <v>20.9</v>
      </c>
      <c r="N1319" s="5">
        <v>1.051307847082495</v>
      </c>
      <c r="O1319" t="s">
        <v>51</v>
      </c>
      <c r="P1319" t="s">
        <v>340</v>
      </c>
      <c r="Q1319" t="s">
        <v>24</v>
      </c>
      <c r="R1319" t="s">
        <v>1520</v>
      </c>
    </row>
    <row r="1320" spans="1:18" hidden="1" x14ac:dyDescent="0.25">
      <c r="A1320" s="2" t="s">
        <v>391</v>
      </c>
      <c r="B1320" s="3" t="str">
        <f t="shared" si="26"/>
        <v>18/4/13</v>
      </c>
      <c r="C1320">
        <v>13</v>
      </c>
      <c r="D1320">
        <v>4</v>
      </c>
      <c r="E1320">
        <v>18</v>
      </c>
      <c r="F1320" t="s">
        <v>388</v>
      </c>
      <c r="H1320" t="s">
        <v>49</v>
      </c>
      <c r="I1320" t="s">
        <v>50</v>
      </c>
      <c r="J1320">
        <v>62.9</v>
      </c>
      <c r="K1320">
        <v>1</v>
      </c>
      <c r="L1320">
        <v>62.9</v>
      </c>
      <c r="M1320" s="32">
        <v>62.9</v>
      </c>
      <c r="N1320" s="5">
        <v>3.1639839034205233</v>
      </c>
      <c r="O1320" t="s">
        <v>51</v>
      </c>
      <c r="P1320" t="s">
        <v>340</v>
      </c>
      <c r="Q1320" t="s">
        <v>24</v>
      </c>
      <c r="R1320" t="s">
        <v>1512</v>
      </c>
    </row>
    <row r="1321" spans="1:18" hidden="1" x14ac:dyDescent="0.25">
      <c r="A1321" s="2" t="s">
        <v>391</v>
      </c>
      <c r="B1321" s="3" t="str">
        <f t="shared" si="26"/>
        <v>18/4/13</v>
      </c>
      <c r="C1321">
        <v>13</v>
      </c>
      <c r="D1321">
        <v>4</v>
      </c>
      <c r="E1321">
        <v>18</v>
      </c>
      <c r="F1321" t="s">
        <v>1692</v>
      </c>
      <c r="H1321" t="s">
        <v>49</v>
      </c>
      <c r="I1321" t="s">
        <v>50</v>
      </c>
      <c r="J1321">
        <v>19</v>
      </c>
      <c r="K1321">
        <v>2</v>
      </c>
      <c r="L1321">
        <v>19</v>
      </c>
      <c r="M1321">
        <v>38</v>
      </c>
      <c r="N1321" s="5">
        <v>1.9114688128772637</v>
      </c>
      <c r="O1321" t="s">
        <v>51</v>
      </c>
      <c r="P1321" t="s">
        <v>340</v>
      </c>
      <c r="Q1321" t="s">
        <v>24</v>
      </c>
    </row>
    <row r="1322" spans="1:18" hidden="1" x14ac:dyDescent="0.25">
      <c r="A1322" s="2" t="s">
        <v>391</v>
      </c>
      <c r="B1322" s="3" t="str">
        <f t="shared" si="26"/>
        <v>18/4/13</v>
      </c>
      <c r="C1322">
        <v>13</v>
      </c>
      <c r="D1322">
        <v>4</v>
      </c>
      <c r="E1322">
        <v>18</v>
      </c>
      <c r="F1322" t="s">
        <v>1522</v>
      </c>
      <c r="H1322" t="s">
        <v>49</v>
      </c>
      <c r="I1322" t="s">
        <v>50</v>
      </c>
      <c r="J1322">
        <v>36.9</v>
      </c>
      <c r="K1322">
        <v>1</v>
      </c>
      <c r="L1322">
        <v>36.9</v>
      </c>
      <c r="M1322">
        <v>36.9</v>
      </c>
      <c r="N1322" s="5">
        <v>1.8561368209255533</v>
      </c>
      <c r="O1322" t="s">
        <v>51</v>
      </c>
      <c r="P1322" t="s">
        <v>340</v>
      </c>
      <c r="Q1322" t="s">
        <v>24</v>
      </c>
      <c r="R1322" t="s">
        <v>1521</v>
      </c>
    </row>
    <row r="1323" spans="1:18" hidden="1" x14ac:dyDescent="0.25">
      <c r="A1323" s="2" t="s">
        <v>391</v>
      </c>
      <c r="B1323" s="3" t="str">
        <f t="shared" si="26"/>
        <v>18/4/15</v>
      </c>
      <c r="C1323">
        <v>15</v>
      </c>
      <c r="D1323">
        <v>4</v>
      </c>
      <c r="E1323">
        <v>18</v>
      </c>
      <c r="F1323" t="s">
        <v>141</v>
      </c>
      <c r="H1323" t="s">
        <v>172</v>
      </c>
      <c r="I1323" t="s">
        <v>39</v>
      </c>
      <c r="J1323">
        <v>2</v>
      </c>
      <c r="K1323">
        <v>2</v>
      </c>
      <c r="L1323">
        <v>2</v>
      </c>
      <c r="M1323">
        <v>4</v>
      </c>
      <c r="N1323" s="5">
        <v>0.2012072434607646</v>
      </c>
      <c r="O1323" t="s">
        <v>39</v>
      </c>
      <c r="Q1323" t="s">
        <v>24</v>
      </c>
    </row>
    <row r="1324" spans="1:18" hidden="1" x14ac:dyDescent="0.25">
      <c r="A1324" s="2" t="s">
        <v>391</v>
      </c>
      <c r="B1324" s="3" t="str">
        <f t="shared" si="26"/>
        <v>18/4/16</v>
      </c>
      <c r="C1324">
        <v>16</v>
      </c>
      <c r="D1324">
        <v>4</v>
      </c>
      <c r="E1324">
        <v>18</v>
      </c>
      <c r="F1324" t="s">
        <v>406</v>
      </c>
      <c r="H1324" t="s">
        <v>49</v>
      </c>
      <c r="I1324" t="s">
        <v>50</v>
      </c>
      <c r="J1324" t="s">
        <v>407</v>
      </c>
      <c r="K1324">
        <v>1</v>
      </c>
      <c r="L1324">
        <v>47.2</v>
      </c>
      <c r="M1324">
        <v>47.2</v>
      </c>
      <c r="N1324" s="5">
        <v>2.3742454728370226</v>
      </c>
      <c r="O1324" t="s">
        <v>408</v>
      </c>
      <c r="P1324" t="s">
        <v>148</v>
      </c>
      <c r="Q1324" t="s">
        <v>24</v>
      </c>
    </row>
    <row r="1325" spans="1:18" hidden="1" x14ac:dyDescent="0.25">
      <c r="A1325" s="2" t="s">
        <v>391</v>
      </c>
      <c r="B1325" s="3" t="str">
        <f t="shared" si="26"/>
        <v>18/4/16</v>
      </c>
      <c r="C1325">
        <v>16</v>
      </c>
      <c r="D1325">
        <v>4</v>
      </c>
      <c r="E1325">
        <v>18</v>
      </c>
      <c r="F1325" t="s">
        <v>409</v>
      </c>
      <c r="H1325" t="s">
        <v>49</v>
      </c>
      <c r="I1325" t="s">
        <v>50</v>
      </c>
      <c r="J1325" t="s">
        <v>410</v>
      </c>
      <c r="K1325">
        <v>1</v>
      </c>
      <c r="L1325">
        <v>77.510000000000005</v>
      </c>
      <c r="M1325">
        <v>77.510000000000005</v>
      </c>
      <c r="N1325" s="5">
        <v>3.8988933601609661</v>
      </c>
      <c r="O1325" t="s">
        <v>408</v>
      </c>
      <c r="P1325" t="s">
        <v>148</v>
      </c>
      <c r="Q1325" t="s">
        <v>24</v>
      </c>
    </row>
    <row r="1326" spans="1:18" hidden="1" x14ac:dyDescent="0.25">
      <c r="A1326" s="2" t="s">
        <v>391</v>
      </c>
      <c r="B1326" s="3" t="str">
        <f t="shared" si="26"/>
        <v>18/4/16</v>
      </c>
      <c r="C1326">
        <v>16</v>
      </c>
      <c r="D1326">
        <v>4</v>
      </c>
      <c r="E1326">
        <v>18</v>
      </c>
      <c r="F1326" t="s">
        <v>106</v>
      </c>
      <c r="H1326" t="s">
        <v>56</v>
      </c>
      <c r="I1326" t="s">
        <v>27</v>
      </c>
      <c r="J1326" s="20">
        <v>4.99</v>
      </c>
      <c r="K1326" s="20">
        <v>2.254</v>
      </c>
      <c r="L1326">
        <v>21.4071</v>
      </c>
      <c r="M1326">
        <v>48.2516034</v>
      </c>
      <c r="N1326" s="5">
        <v>2.4271430281690143</v>
      </c>
      <c r="O1326" t="s">
        <v>147</v>
      </c>
      <c r="P1326" t="s">
        <v>148</v>
      </c>
      <c r="Q1326" t="s">
        <v>24</v>
      </c>
    </row>
    <row r="1327" spans="1:18" hidden="1" x14ac:dyDescent="0.25">
      <c r="A1327" s="2" t="s">
        <v>391</v>
      </c>
      <c r="B1327" s="3" t="str">
        <f t="shared" si="26"/>
        <v>18/4/16</v>
      </c>
      <c r="C1327">
        <v>16</v>
      </c>
      <c r="D1327">
        <v>4</v>
      </c>
      <c r="E1327">
        <v>18</v>
      </c>
      <c r="F1327" t="s">
        <v>317</v>
      </c>
      <c r="G1327" t="s">
        <v>155</v>
      </c>
      <c r="H1327" t="s">
        <v>131</v>
      </c>
      <c r="I1327" t="s">
        <v>27</v>
      </c>
      <c r="J1327" s="20">
        <v>10.9</v>
      </c>
      <c r="K1327" s="20">
        <v>3</v>
      </c>
      <c r="L1327">
        <v>46.761000000000003</v>
      </c>
      <c r="M1327">
        <v>140.28300000000002</v>
      </c>
      <c r="N1327" s="5">
        <v>7.056488933601611</v>
      </c>
      <c r="O1327" t="s">
        <v>147</v>
      </c>
      <c r="P1327" t="s">
        <v>148</v>
      </c>
      <c r="Q1327" t="s">
        <v>24</v>
      </c>
    </row>
    <row r="1328" spans="1:18" hidden="1" x14ac:dyDescent="0.25">
      <c r="A1328" s="2" t="s">
        <v>391</v>
      </c>
      <c r="B1328" s="3" t="str">
        <f t="shared" si="26"/>
        <v>18/4/16</v>
      </c>
      <c r="C1328">
        <v>16</v>
      </c>
      <c r="D1328">
        <v>4</v>
      </c>
      <c r="E1328">
        <v>18</v>
      </c>
      <c r="F1328" t="s">
        <v>296</v>
      </c>
      <c r="G1328" t="s">
        <v>155</v>
      </c>
      <c r="H1328" t="s">
        <v>131</v>
      </c>
      <c r="I1328" t="s">
        <v>27</v>
      </c>
      <c r="J1328" s="20">
        <v>6</v>
      </c>
      <c r="K1328" s="20">
        <v>3</v>
      </c>
      <c r="L1328">
        <v>25.740000000000002</v>
      </c>
      <c r="M1328">
        <v>77.22</v>
      </c>
      <c r="N1328" s="5">
        <v>3.8843058350100605</v>
      </c>
      <c r="O1328" t="s">
        <v>147</v>
      </c>
      <c r="P1328" t="s">
        <v>148</v>
      </c>
      <c r="Q1328" t="s">
        <v>24</v>
      </c>
    </row>
    <row r="1329" spans="1:18" hidden="1" x14ac:dyDescent="0.25">
      <c r="A1329" s="2" t="s">
        <v>391</v>
      </c>
      <c r="B1329" s="3" t="str">
        <f t="shared" si="26"/>
        <v>18/4/16</v>
      </c>
      <c r="C1329">
        <v>16</v>
      </c>
      <c r="D1329">
        <v>4</v>
      </c>
      <c r="E1329">
        <v>18</v>
      </c>
      <c r="F1329" t="s">
        <v>273</v>
      </c>
      <c r="H1329" s="12" t="s">
        <v>332</v>
      </c>
      <c r="I1329" t="s">
        <v>27</v>
      </c>
      <c r="J1329" t="s">
        <v>411</v>
      </c>
      <c r="K1329">
        <v>0.28999999999999998</v>
      </c>
      <c r="L1329">
        <v>567.19000000000005</v>
      </c>
      <c r="M1329">
        <v>164.48</v>
      </c>
      <c r="N1329" s="5">
        <v>8.273641851106639</v>
      </c>
      <c r="O1329" t="s">
        <v>147</v>
      </c>
      <c r="P1329" t="s">
        <v>148</v>
      </c>
      <c r="Q1329" t="s">
        <v>24</v>
      </c>
    </row>
    <row r="1330" spans="1:18" hidden="1" x14ac:dyDescent="0.25">
      <c r="A1330" s="2" t="s">
        <v>391</v>
      </c>
      <c r="B1330" s="3" t="str">
        <f t="shared" si="26"/>
        <v>18/4/16</v>
      </c>
      <c r="C1330">
        <v>16</v>
      </c>
      <c r="D1330">
        <v>4</v>
      </c>
      <c r="E1330">
        <v>18</v>
      </c>
      <c r="F1330" t="s">
        <v>1459</v>
      </c>
      <c r="H1330" s="12" t="s">
        <v>332</v>
      </c>
      <c r="I1330" t="s">
        <v>27</v>
      </c>
      <c r="J1330" s="20">
        <v>91.99</v>
      </c>
      <c r="K1330" s="20">
        <v>0.35399999999999998</v>
      </c>
      <c r="L1330">
        <v>394.63709999999998</v>
      </c>
      <c r="M1330">
        <v>139.70153339999999</v>
      </c>
      <c r="N1330" s="5">
        <v>7.0272401106639837</v>
      </c>
      <c r="O1330" t="s">
        <v>147</v>
      </c>
      <c r="P1330" t="s">
        <v>148</v>
      </c>
      <c r="Q1330" t="s">
        <v>24</v>
      </c>
    </row>
    <row r="1331" spans="1:18" hidden="1" x14ac:dyDescent="0.25">
      <c r="A1331" s="2" t="s">
        <v>391</v>
      </c>
      <c r="B1331" s="3" t="str">
        <f t="shared" si="26"/>
        <v>18/4/16</v>
      </c>
      <c r="C1331">
        <v>16</v>
      </c>
      <c r="D1331">
        <v>4</v>
      </c>
      <c r="E1331">
        <v>18</v>
      </c>
      <c r="F1331" t="s">
        <v>73</v>
      </c>
      <c r="H1331" t="s">
        <v>73</v>
      </c>
      <c r="I1331" t="s">
        <v>27</v>
      </c>
      <c r="J1331" s="20">
        <v>8.6</v>
      </c>
      <c r="K1331" s="20">
        <v>1</v>
      </c>
      <c r="L1331">
        <v>36.893999999999998</v>
      </c>
      <c r="M1331">
        <v>36.893999999999998</v>
      </c>
      <c r="N1331" s="5">
        <v>1.8558350100603622</v>
      </c>
      <c r="O1331" t="s">
        <v>147</v>
      </c>
      <c r="P1331" t="s">
        <v>148</v>
      </c>
      <c r="Q1331" t="s">
        <v>24</v>
      </c>
    </row>
    <row r="1332" spans="1:18" hidden="1" x14ac:dyDescent="0.25">
      <c r="A1332" s="2" t="s">
        <v>391</v>
      </c>
      <c r="B1332" s="3" t="str">
        <f t="shared" si="26"/>
        <v>18/4/16</v>
      </c>
      <c r="C1332">
        <v>16</v>
      </c>
      <c r="D1332">
        <v>4</v>
      </c>
      <c r="E1332">
        <v>18</v>
      </c>
      <c r="F1332" t="s">
        <v>1502</v>
      </c>
      <c r="H1332" t="s">
        <v>49</v>
      </c>
      <c r="I1332" t="s">
        <v>50</v>
      </c>
      <c r="J1332">
        <v>19.7</v>
      </c>
      <c r="K1332">
        <v>1</v>
      </c>
      <c r="L1332">
        <v>84.512999999999991</v>
      </c>
      <c r="M1332">
        <v>0</v>
      </c>
      <c r="N1332" s="5">
        <v>0</v>
      </c>
      <c r="O1332" t="s">
        <v>147</v>
      </c>
      <c r="P1332" t="s">
        <v>148</v>
      </c>
      <c r="Q1332" t="s">
        <v>24</v>
      </c>
      <c r="R1332" t="s">
        <v>1504</v>
      </c>
    </row>
    <row r="1333" spans="1:18" hidden="1" x14ac:dyDescent="0.25">
      <c r="A1333" s="2" t="s">
        <v>391</v>
      </c>
      <c r="B1333" s="3" t="str">
        <f t="shared" si="26"/>
        <v>18/4/16</v>
      </c>
      <c r="C1333">
        <v>16</v>
      </c>
      <c r="D1333">
        <v>4</v>
      </c>
      <c r="E1333">
        <v>18</v>
      </c>
      <c r="F1333" t="s">
        <v>25</v>
      </c>
      <c r="G1333" t="s">
        <v>25</v>
      </c>
      <c r="H1333" t="s">
        <v>26</v>
      </c>
      <c r="I1333" t="s">
        <v>27</v>
      </c>
      <c r="J1333" s="20">
        <v>4.71</v>
      </c>
      <c r="K1333" s="20">
        <v>1</v>
      </c>
      <c r="L1333">
        <v>20.2059</v>
      </c>
      <c r="M1333">
        <v>20.2059</v>
      </c>
      <c r="N1333" s="5">
        <v>1.0163933601609658</v>
      </c>
      <c r="O1333" t="s">
        <v>147</v>
      </c>
      <c r="P1333" t="s">
        <v>148</v>
      </c>
      <c r="Q1333" t="s">
        <v>24</v>
      </c>
    </row>
    <row r="1334" spans="1:18" hidden="1" x14ac:dyDescent="0.25">
      <c r="A1334" s="2" t="s">
        <v>391</v>
      </c>
      <c r="B1334" s="3" t="str">
        <f t="shared" si="26"/>
        <v>18/4/16</v>
      </c>
      <c r="C1334">
        <v>16</v>
      </c>
      <c r="D1334">
        <v>4</v>
      </c>
      <c r="E1334">
        <v>18</v>
      </c>
      <c r="F1334" s="12" t="s">
        <v>412</v>
      </c>
      <c r="H1334" s="12" t="s">
        <v>332</v>
      </c>
      <c r="I1334" t="s">
        <v>27</v>
      </c>
      <c r="J1334" s="20">
        <v>74.989999999999995</v>
      </c>
      <c r="K1334" s="20">
        <v>7.8E-2</v>
      </c>
      <c r="L1334">
        <v>321.70709999999997</v>
      </c>
      <c r="M1334">
        <v>25.093153799999996</v>
      </c>
      <c r="N1334" s="5">
        <v>1.2622310764587523</v>
      </c>
      <c r="O1334" t="s">
        <v>147</v>
      </c>
      <c r="P1334" t="s">
        <v>148</v>
      </c>
      <c r="Q1334" t="s">
        <v>24</v>
      </c>
    </row>
    <row r="1335" spans="1:18" hidden="1" x14ac:dyDescent="0.25">
      <c r="A1335" s="2" t="s">
        <v>391</v>
      </c>
      <c r="B1335" s="3" t="str">
        <f t="shared" si="26"/>
        <v>18/4/16</v>
      </c>
      <c r="C1335">
        <v>16</v>
      </c>
      <c r="D1335">
        <v>4</v>
      </c>
      <c r="E1335">
        <v>18</v>
      </c>
      <c r="F1335" t="s">
        <v>173</v>
      </c>
      <c r="G1335" t="s">
        <v>174</v>
      </c>
      <c r="H1335" t="s">
        <v>54</v>
      </c>
      <c r="I1335" t="s">
        <v>27</v>
      </c>
      <c r="J1335" s="20">
        <v>4.99</v>
      </c>
      <c r="K1335" s="20">
        <v>1</v>
      </c>
      <c r="L1335">
        <v>21.4071</v>
      </c>
      <c r="M1335">
        <v>21.4071</v>
      </c>
      <c r="N1335" s="5">
        <v>1.0768158953722335</v>
      </c>
      <c r="O1335" t="s">
        <v>147</v>
      </c>
      <c r="P1335" t="s">
        <v>148</v>
      </c>
      <c r="Q1335" t="s">
        <v>24</v>
      </c>
    </row>
    <row r="1336" spans="1:18" hidden="1" x14ac:dyDescent="0.25">
      <c r="A1336" s="2" t="s">
        <v>391</v>
      </c>
      <c r="B1336" s="3" t="str">
        <f t="shared" si="26"/>
        <v>18/4/16</v>
      </c>
      <c r="C1336">
        <v>16</v>
      </c>
      <c r="D1336">
        <v>4</v>
      </c>
      <c r="E1336">
        <v>18</v>
      </c>
      <c r="F1336" t="s">
        <v>413</v>
      </c>
      <c r="H1336" t="s">
        <v>54</v>
      </c>
      <c r="I1336" t="s">
        <v>27</v>
      </c>
      <c r="J1336" s="20">
        <v>2.99</v>
      </c>
      <c r="K1336" s="20">
        <v>1</v>
      </c>
      <c r="L1336">
        <v>12.827100000000002</v>
      </c>
      <c r="M1336">
        <v>12.827100000000002</v>
      </c>
      <c r="N1336" s="5">
        <v>0.64522635814889351</v>
      </c>
      <c r="O1336" t="s">
        <v>147</v>
      </c>
      <c r="P1336" t="s">
        <v>148</v>
      </c>
      <c r="Q1336" t="s">
        <v>24</v>
      </c>
    </row>
    <row r="1337" spans="1:18" hidden="1" x14ac:dyDescent="0.25">
      <c r="A1337" s="2" t="s">
        <v>391</v>
      </c>
      <c r="B1337" s="3" t="str">
        <f t="shared" si="26"/>
        <v>18/4/16</v>
      </c>
      <c r="C1337">
        <v>16</v>
      </c>
      <c r="D1337">
        <v>4</v>
      </c>
      <c r="E1337">
        <v>18</v>
      </c>
      <c r="F1337" t="s">
        <v>75</v>
      </c>
      <c r="G1337" t="s">
        <v>75</v>
      </c>
      <c r="H1337" t="s">
        <v>65</v>
      </c>
      <c r="I1337" t="s">
        <v>27</v>
      </c>
      <c r="J1337" s="20">
        <v>4.3</v>
      </c>
      <c r="K1337" s="20">
        <v>1</v>
      </c>
      <c r="L1337">
        <v>18.446999999999999</v>
      </c>
      <c r="M1337">
        <v>18.446999999999999</v>
      </c>
      <c r="N1337" s="5">
        <v>0.92791750503018111</v>
      </c>
      <c r="O1337" t="s">
        <v>147</v>
      </c>
      <c r="P1337" t="s">
        <v>148</v>
      </c>
      <c r="Q1337" t="s">
        <v>24</v>
      </c>
    </row>
    <row r="1338" spans="1:18" hidden="1" x14ac:dyDescent="0.25">
      <c r="A1338" s="2" t="s">
        <v>391</v>
      </c>
      <c r="B1338" s="3" t="str">
        <f t="shared" si="26"/>
        <v>18/4/16</v>
      </c>
      <c r="C1338">
        <v>16</v>
      </c>
      <c r="D1338">
        <v>4</v>
      </c>
      <c r="E1338">
        <v>18</v>
      </c>
      <c r="F1338" t="s">
        <v>75</v>
      </c>
      <c r="G1338" t="s">
        <v>75</v>
      </c>
      <c r="H1338" t="s">
        <v>65</v>
      </c>
      <c r="I1338" t="s">
        <v>27</v>
      </c>
      <c r="J1338" s="20">
        <v>4.5999999999999996</v>
      </c>
      <c r="K1338" s="20">
        <v>1</v>
      </c>
      <c r="L1338">
        <v>19.733999999999998</v>
      </c>
      <c r="M1338">
        <v>19.733999999999998</v>
      </c>
      <c r="N1338" s="5">
        <v>0.99265593561368204</v>
      </c>
      <c r="O1338" t="s">
        <v>147</v>
      </c>
      <c r="P1338" t="s">
        <v>148</v>
      </c>
      <c r="Q1338" t="s">
        <v>24</v>
      </c>
    </row>
    <row r="1339" spans="1:18" hidden="1" x14ac:dyDescent="0.25">
      <c r="A1339" s="2" t="s">
        <v>391</v>
      </c>
      <c r="B1339" s="3" t="str">
        <f t="shared" si="26"/>
        <v>18/4/16</v>
      </c>
      <c r="C1339">
        <v>16</v>
      </c>
      <c r="D1339">
        <v>4</v>
      </c>
      <c r="E1339">
        <v>18</v>
      </c>
      <c r="F1339" t="s">
        <v>75</v>
      </c>
      <c r="G1339" t="s">
        <v>75</v>
      </c>
      <c r="H1339" t="s">
        <v>65</v>
      </c>
      <c r="I1339" t="s">
        <v>27</v>
      </c>
      <c r="J1339" s="20">
        <v>7.9</v>
      </c>
      <c r="K1339" s="20">
        <v>1</v>
      </c>
      <c r="L1339">
        <v>33.891000000000005</v>
      </c>
      <c r="M1339">
        <v>33.891000000000005</v>
      </c>
      <c r="N1339" s="5">
        <v>1.7047786720321936</v>
      </c>
      <c r="O1339" t="s">
        <v>147</v>
      </c>
      <c r="P1339" t="s">
        <v>148</v>
      </c>
      <c r="Q1339" t="s">
        <v>24</v>
      </c>
    </row>
    <row r="1340" spans="1:18" hidden="1" x14ac:dyDescent="0.25">
      <c r="A1340" s="2" t="s">
        <v>391</v>
      </c>
      <c r="B1340" s="3" t="str">
        <f t="shared" si="26"/>
        <v>18/4/16</v>
      </c>
      <c r="C1340">
        <v>16</v>
      </c>
      <c r="D1340">
        <v>4</v>
      </c>
      <c r="E1340">
        <v>18</v>
      </c>
      <c r="F1340" t="s">
        <v>414</v>
      </c>
      <c r="H1340" t="s">
        <v>63</v>
      </c>
      <c r="I1340" t="s">
        <v>27</v>
      </c>
      <c r="J1340" s="20">
        <v>4.25</v>
      </c>
      <c r="K1340" s="20">
        <v>1</v>
      </c>
      <c r="L1340">
        <v>18.232500000000002</v>
      </c>
      <c r="M1340">
        <v>18.232500000000002</v>
      </c>
      <c r="N1340" s="5">
        <v>0.91712776659959772</v>
      </c>
      <c r="O1340" t="s">
        <v>147</v>
      </c>
      <c r="P1340" t="s">
        <v>148</v>
      </c>
      <c r="Q1340" t="s">
        <v>24</v>
      </c>
    </row>
    <row r="1341" spans="1:18" hidden="1" x14ac:dyDescent="0.25">
      <c r="A1341" s="2" t="s">
        <v>391</v>
      </c>
      <c r="B1341" s="3" t="str">
        <f t="shared" si="26"/>
        <v>18/4/16</v>
      </c>
      <c r="C1341">
        <v>16</v>
      </c>
      <c r="D1341">
        <v>4</v>
      </c>
      <c r="E1341">
        <v>18</v>
      </c>
      <c r="F1341" t="s">
        <v>108</v>
      </c>
      <c r="H1341" t="s">
        <v>54</v>
      </c>
      <c r="I1341" t="s">
        <v>27</v>
      </c>
      <c r="J1341" s="20">
        <v>9.99</v>
      </c>
      <c r="K1341" s="20">
        <v>1</v>
      </c>
      <c r="L1341">
        <v>42.857100000000003</v>
      </c>
      <c r="M1341">
        <v>42.857100000000003</v>
      </c>
      <c r="N1341" s="5">
        <v>2.1557897384305837</v>
      </c>
      <c r="O1341" t="s">
        <v>147</v>
      </c>
      <c r="P1341" t="s">
        <v>148</v>
      </c>
      <c r="Q1341" t="s">
        <v>24</v>
      </c>
    </row>
    <row r="1342" spans="1:18" hidden="1" x14ac:dyDescent="0.25">
      <c r="A1342" s="2" t="s">
        <v>391</v>
      </c>
      <c r="B1342" s="3" t="str">
        <f t="shared" si="26"/>
        <v>18/4/16</v>
      </c>
      <c r="C1342">
        <v>16</v>
      </c>
      <c r="D1342">
        <v>4</v>
      </c>
      <c r="E1342">
        <v>18</v>
      </c>
      <c r="F1342" t="s">
        <v>415</v>
      </c>
      <c r="H1342" t="s">
        <v>49</v>
      </c>
      <c r="I1342" t="s">
        <v>50</v>
      </c>
      <c r="J1342">
        <v>0.31</v>
      </c>
      <c r="K1342">
        <v>2</v>
      </c>
      <c r="L1342">
        <v>1.3299000000000001</v>
      </c>
      <c r="M1342">
        <v>1.3299000000000001</v>
      </c>
      <c r="N1342" s="5">
        <v>6.6896378269617709E-2</v>
      </c>
      <c r="O1342" t="s">
        <v>147</v>
      </c>
      <c r="P1342" t="s">
        <v>148</v>
      </c>
      <c r="Q1342" t="s">
        <v>24</v>
      </c>
    </row>
    <row r="1343" spans="1:18" hidden="1" x14ac:dyDescent="0.25">
      <c r="A1343" s="2" t="s">
        <v>391</v>
      </c>
      <c r="B1343" s="3" t="str">
        <f t="shared" si="26"/>
        <v>18/4/16</v>
      </c>
      <c r="C1343">
        <v>16</v>
      </c>
      <c r="D1343">
        <v>4</v>
      </c>
      <c r="E1343">
        <v>18</v>
      </c>
      <c r="F1343" t="s">
        <v>1502</v>
      </c>
      <c r="H1343" t="s">
        <v>49</v>
      </c>
      <c r="I1343" t="s">
        <v>50</v>
      </c>
      <c r="J1343">
        <v>5.17</v>
      </c>
      <c r="K1343">
        <v>1</v>
      </c>
      <c r="L1343">
        <v>21.403799999999997</v>
      </c>
      <c r="M1343" s="8">
        <v>21.403799999999997</v>
      </c>
      <c r="N1343" s="5">
        <v>1.0766498993963782</v>
      </c>
      <c r="O1343" t="s">
        <v>147</v>
      </c>
      <c r="P1343" t="s">
        <v>148</v>
      </c>
      <c r="Q1343" t="s">
        <v>24</v>
      </c>
      <c r="R1343" t="s">
        <v>1501</v>
      </c>
    </row>
    <row r="1344" spans="1:18" hidden="1" x14ac:dyDescent="0.25">
      <c r="A1344" s="2" t="s">
        <v>391</v>
      </c>
      <c r="B1344" s="3" t="str">
        <f t="shared" si="26"/>
        <v>18/4/16</v>
      </c>
      <c r="C1344">
        <v>16</v>
      </c>
      <c r="D1344">
        <v>4</v>
      </c>
      <c r="E1344">
        <v>18</v>
      </c>
      <c r="F1344" t="s">
        <v>126</v>
      </c>
      <c r="H1344" t="s">
        <v>63</v>
      </c>
      <c r="I1344" t="s">
        <v>27</v>
      </c>
      <c r="J1344" t="s">
        <v>416</v>
      </c>
      <c r="K1344">
        <v>1</v>
      </c>
      <c r="L1344">
        <v>61.49</v>
      </c>
      <c r="M1344">
        <v>61.49</v>
      </c>
      <c r="N1344" s="5">
        <v>3.0930583501006037</v>
      </c>
      <c r="O1344" t="s">
        <v>147</v>
      </c>
      <c r="P1344" t="s">
        <v>148</v>
      </c>
      <c r="Q1344" t="s">
        <v>24</v>
      </c>
    </row>
    <row r="1345" spans="1:18" hidden="1" x14ac:dyDescent="0.25">
      <c r="A1345" s="2" t="s">
        <v>391</v>
      </c>
      <c r="B1345" s="3" t="str">
        <f t="shared" si="26"/>
        <v>18/4/17</v>
      </c>
      <c r="C1345">
        <v>17</v>
      </c>
      <c r="D1345">
        <v>4</v>
      </c>
      <c r="E1345">
        <v>18</v>
      </c>
      <c r="F1345" t="s">
        <v>2045</v>
      </c>
      <c r="H1345" t="s">
        <v>33</v>
      </c>
      <c r="I1345" t="s">
        <v>27</v>
      </c>
      <c r="J1345">
        <v>143.6</v>
      </c>
      <c r="K1345">
        <v>0.114</v>
      </c>
      <c r="L1345">
        <v>143.6</v>
      </c>
      <c r="M1345">
        <v>16.37</v>
      </c>
      <c r="N1345" s="5">
        <v>0.82344064386317917</v>
      </c>
      <c r="O1345" t="s">
        <v>100</v>
      </c>
      <c r="P1345" t="s">
        <v>340</v>
      </c>
      <c r="Q1345" t="s">
        <v>24</v>
      </c>
    </row>
    <row r="1346" spans="1:18" hidden="1" x14ac:dyDescent="0.25">
      <c r="A1346" s="2" t="s">
        <v>391</v>
      </c>
      <c r="B1346" s="3" t="str">
        <f t="shared" si="26"/>
        <v>18/4/17</v>
      </c>
      <c r="C1346">
        <v>17</v>
      </c>
      <c r="D1346">
        <v>4</v>
      </c>
      <c r="E1346">
        <v>18</v>
      </c>
      <c r="F1346" t="s">
        <v>210</v>
      </c>
      <c r="G1346" t="s">
        <v>210</v>
      </c>
      <c r="H1346" t="s">
        <v>131</v>
      </c>
      <c r="I1346" t="s">
        <v>27</v>
      </c>
      <c r="J1346">
        <v>54.5</v>
      </c>
      <c r="K1346">
        <v>1</v>
      </c>
      <c r="L1346">
        <v>54.5</v>
      </c>
      <c r="M1346">
        <v>54.5</v>
      </c>
      <c r="N1346" s="5">
        <v>2.7414486921529178</v>
      </c>
      <c r="O1346" t="s">
        <v>100</v>
      </c>
      <c r="P1346" t="s">
        <v>340</v>
      </c>
      <c r="Q1346" t="s">
        <v>24</v>
      </c>
    </row>
    <row r="1347" spans="1:18" hidden="1" x14ac:dyDescent="0.25">
      <c r="A1347" s="2" t="s">
        <v>391</v>
      </c>
      <c r="B1347" s="3" t="str">
        <f t="shared" si="26"/>
        <v>18/4/17</v>
      </c>
      <c r="C1347">
        <v>17</v>
      </c>
      <c r="D1347">
        <v>4</v>
      </c>
      <c r="E1347">
        <v>18</v>
      </c>
      <c r="F1347" t="s">
        <v>389</v>
      </c>
      <c r="H1347" t="s">
        <v>21</v>
      </c>
      <c r="I1347" t="s">
        <v>22</v>
      </c>
      <c r="J1347">
        <v>4</v>
      </c>
      <c r="K1347">
        <v>1</v>
      </c>
      <c r="L1347">
        <v>4</v>
      </c>
      <c r="M1347">
        <v>4</v>
      </c>
      <c r="N1347" s="5">
        <v>0.2012072434607646</v>
      </c>
      <c r="O1347" t="s">
        <v>354</v>
      </c>
      <c r="P1347" t="s">
        <v>340</v>
      </c>
      <c r="Q1347" t="s">
        <v>24</v>
      </c>
      <c r="R1347" t="s">
        <v>353</v>
      </c>
    </row>
    <row r="1348" spans="1:18" hidden="1" x14ac:dyDescent="0.25">
      <c r="A1348" s="2" t="s">
        <v>391</v>
      </c>
      <c r="B1348" s="3" t="str">
        <f t="shared" si="26"/>
        <v>18/4/18</v>
      </c>
      <c r="C1348">
        <v>18</v>
      </c>
      <c r="D1348">
        <v>4</v>
      </c>
      <c r="E1348">
        <v>18</v>
      </c>
      <c r="F1348" t="s">
        <v>922</v>
      </c>
      <c r="G1348" t="s">
        <v>155</v>
      </c>
      <c r="H1348" t="s">
        <v>131</v>
      </c>
      <c r="I1348" t="s">
        <v>27</v>
      </c>
      <c r="J1348">
        <v>67.5</v>
      </c>
      <c r="K1348">
        <v>1</v>
      </c>
      <c r="L1348">
        <v>67.5</v>
      </c>
      <c r="M1348">
        <v>67.5</v>
      </c>
      <c r="N1348" s="5">
        <v>3.3953722334004026</v>
      </c>
      <c r="O1348" t="s">
        <v>100</v>
      </c>
      <c r="P1348" t="s">
        <v>340</v>
      </c>
      <c r="Q1348" t="s">
        <v>84</v>
      </c>
    </row>
    <row r="1349" spans="1:18" hidden="1" x14ac:dyDescent="0.25">
      <c r="A1349" s="2" t="s">
        <v>391</v>
      </c>
      <c r="B1349" s="3" t="str">
        <f t="shared" si="26"/>
        <v>18/4/18</v>
      </c>
      <c r="C1349">
        <v>18</v>
      </c>
      <c r="D1349">
        <v>4</v>
      </c>
      <c r="E1349">
        <v>18</v>
      </c>
      <c r="F1349" t="s">
        <v>141</v>
      </c>
      <c r="H1349" t="s">
        <v>172</v>
      </c>
      <c r="I1349" t="s">
        <v>39</v>
      </c>
      <c r="J1349">
        <v>2</v>
      </c>
      <c r="K1349">
        <v>4</v>
      </c>
      <c r="L1349">
        <v>2</v>
      </c>
      <c r="M1349">
        <v>8</v>
      </c>
      <c r="N1349" s="5">
        <v>0.4024144869215292</v>
      </c>
      <c r="O1349" t="s">
        <v>39</v>
      </c>
      <c r="Q1349" t="s">
        <v>24</v>
      </c>
    </row>
    <row r="1350" spans="1:18" hidden="1" x14ac:dyDescent="0.25">
      <c r="A1350" s="2" t="s">
        <v>391</v>
      </c>
      <c r="B1350" s="3" t="str">
        <f t="shared" si="26"/>
        <v>18/4/18</v>
      </c>
      <c r="C1350">
        <v>18</v>
      </c>
      <c r="D1350">
        <v>4</v>
      </c>
      <c r="E1350">
        <v>18</v>
      </c>
      <c r="F1350" t="s">
        <v>81</v>
      </c>
      <c r="I1350" t="s">
        <v>39</v>
      </c>
      <c r="J1350">
        <v>400</v>
      </c>
      <c r="K1350">
        <v>1</v>
      </c>
      <c r="L1350">
        <v>400</v>
      </c>
      <c r="M1350">
        <v>400</v>
      </c>
      <c r="N1350" s="5">
        <v>20.120724346076461</v>
      </c>
      <c r="O1350" t="s">
        <v>39</v>
      </c>
      <c r="Q1350" t="s">
        <v>84</v>
      </c>
      <c r="R1350" t="s">
        <v>417</v>
      </c>
    </row>
    <row r="1351" spans="1:18" hidden="1" x14ac:dyDescent="0.25">
      <c r="A1351" s="2" t="s">
        <v>391</v>
      </c>
      <c r="B1351" s="3" t="str">
        <f t="shared" si="26"/>
        <v>18/4/19</v>
      </c>
      <c r="C1351">
        <v>19</v>
      </c>
      <c r="D1351">
        <v>4</v>
      </c>
      <c r="E1351">
        <v>18</v>
      </c>
      <c r="F1351" t="s">
        <v>40</v>
      </c>
      <c r="H1351" t="s">
        <v>40</v>
      </c>
      <c r="I1351" t="s">
        <v>27</v>
      </c>
      <c r="J1351">
        <v>7.9</v>
      </c>
      <c r="K1351">
        <v>1</v>
      </c>
      <c r="L1351">
        <v>7.9</v>
      </c>
      <c r="M1351">
        <v>7.9</v>
      </c>
      <c r="N1351" s="5">
        <v>0.39738430583501011</v>
      </c>
      <c r="O1351" t="s">
        <v>274</v>
      </c>
      <c r="P1351" t="s">
        <v>340</v>
      </c>
      <c r="Q1351" t="s">
        <v>24</v>
      </c>
    </row>
    <row r="1352" spans="1:18" hidden="1" x14ac:dyDescent="0.25">
      <c r="A1352" s="2" t="s">
        <v>391</v>
      </c>
      <c r="B1352" s="3" t="str">
        <f t="shared" si="26"/>
        <v>18/4/19</v>
      </c>
      <c r="C1352">
        <v>19</v>
      </c>
      <c r="D1352">
        <v>4</v>
      </c>
      <c r="E1352">
        <v>18</v>
      </c>
      <c r="F1352" t="s">
        <v>108</v>
      </c>
      <c r="H1352" t="s">
        <v>54</v>
      </c>
      <c r="I1352" t="s">
        <v>27</v>
      </c>
      <c r="J1352">
        <v>60</v>
      </c>
      <c r="K1352">
        <v>0.35599999999999998</v>
      </c>
      <c r="L1352">
        <v>60</v>
      </c>
      <c r="M1352">
        <v>21.36</v>
      </c>
      <c r="N1352" s="5">
        <v>1.0744466800804828</v>
      </c>
      <c r="O1352" t="s">
        <v>100</v>
      </c>
      <c r="P1352" t="s">
        <v>340</v>
      </c>
      <c r="Q1352" t="s">
        <v>24</v>
      </c>
    </row>
    <row r="1353" spans="1:18" hidden="1" x14ac:dyDescent="0.25">
      <c r="A1353" s="2" t="s">
        <v>391</v>
      </c>
      <c r="B1353" s="3" t="str">
        <f t="shared" si="26"/>
        <v>18/4/19</v>
      </c>
      <c r="C1353">
        <v>19</v>
      </c>
      <c r="D1353">
        <v>4</v>
      </c>
      <c r="E1353">
        <v>18</v>
      </c>
      <c r="F1353" t="s">
        <v>341</v>
      </c>
      <c r="G1353" t="s">
        <v>31</v>
      </c>
      <c r="H1353" t="s">
        <v>26</v>
      </c>
      <c r="I1353" t="s">
        <v>27</v>
      </c>
      <c r="J1353">
        <v>228</v>
      </c>
      <c r="K1353">
        <v>0.16800000000000001</v>
      </c>
      <c r="L1353">
        <v>228</v>
      </c>
      <c r="M1353">
        <v>38.299999999999997</v>
      </c>
      <c r="N1353" s="5">
        <v>1.9265593561368208</v>
      </c>
      <c r="O1353" t="s">
        <v>100</v>
      </c>
      <c r="P1353" t="s">
        <v>340</v>
      </c>
      <c r="Q1353" t="s">
        <v>24</v>
      </c>
    </row>
    <row r="1354" spans="1:18" hidden="1" x14ac:dyDescent="0.25">
      <c r="A1354" s="2" t="s">
        <v>391</v>
      </c>
      <c r="B1354" s="3" t="str">
        <f t="shared" si="26"/>
        <v>18/4/19</v>
      </c>
      <c r="C1354">
        <v>19</v>
      </c>
      <c r="D1354">
        <v>4</v>
      </c>
      <c r="E1354">
        <v>18</v>
      </c>
      <c r="F1354" t="s">
        <v>2045</v>
      </c>
      <c r="H1354" t="s">
        <v>33</v>
      </c>
      <c r="I1354" t="s">
        <v>27</v>
      </c>
      <c r="J1354">
        <v>121.6</v>
      </c>
      <c r="K1354">
        <v>0.14799999999999999</v>
      </c>
      <c r="L1354">
        <v>121.6</v>
      </c>
      <c r="M1354">
        <v>18</v>
      </c>
      <c r="N1354" s="5">
        <v>0.90543259557344069</v>
      </c>
      <c r="O1354" t="s">
        <v>100</v>
      </c>
      <c r="P1354" t="s">
        <v>340</v>
      </c>
      <c r="Q1354" t="s">
        <v>24</v>
      </c>
    </row>
    <row r="1355" spans="1:18" hidden="1" x14ac:dyDescent="0.25">
      <c r="A1355" s="2" t="s">
        <v>391</v>
      </c>
      <c r="B1355" s="3" t="str">
        <f t="shared" si="26"/>
        <v>18/4/19</v>
      </c>
      <c r="C1355">
        <v>19</v>
      </c>
      <c r="D1355">
        <v>4</v>
      </c>
      <c r="E1355">
        <v>18</v>
      </c>
      <c r="F1355" t="s">
        <v>98</v>
      </c>
      <c r="H1355" t="s">
        <v>26</v>
      </c>
      <c r="I1355" t="s">
        <v>27</v>
      </c>
      <c r="J1355">
        <v>71</v>
      </c>
      <c r="K1355">
        <v>1</v>
      </c>
      <c r="L1355">
        <v>71</v>
      </c>
      <c r="M1355">
        <v>71</v>
      </c>
      <c r="N1355" s="5">
        <v>3.5714285714285716</v>
      </c>
      <c r="O1355" t="s">
        <v>100</v>
      </c>
      <c r="P1355" t="s">
        <v>340</v>
      </c>
      <c r="Q1355" t="s">
        <v>24</v>
      </c>
      <c r="R1355" t="s">
        <v>1257</v>
      </c>
    </row>
    <row r="1356" spans="1:18" hidden="1" x14ac:dyDescent="0.25">
      <c r="A1356" s="2" t="s">
        <v>391</v>
      </c>
      <c r="B1356" s="3" t="str">
        <f t="shared" si="26"/>
        <v>18/4/19</v>
      </c>
      <c r="C1356">
        <v>19</v>
      </c>
      <c r="D1356">
        <v>4</v>
      </c>
      <c r="E1356">
        <v>18</v>
      </c>
      <c r="F1356" t="s">
        <v>99</v>
      </c>
      <c r="H1356" t="s">
        <v>40</v>
      </c>
      <c r="I1356" t="s">
        <v>27</v>
      </c>
      <c r="J1356">
        <v>10</v>
      </c>
      <c r="K1356">
        <v>1</v>
      </c>
      <c r="L1356">
        <v>10</v>
      </c>
      <c r="M1356">
        <v>10</v>
      </c>
      <c r="N1356" s="5">
        <v>0.50301810865191154</v>
      </c>
      <c r="O1356" t="s">
        <v>100</v>
      </c>
      <c r="P1356" t="s">
        <v>340</v>
      </c>
      <c r="Q1356" t="s">
        <v>24</v>
      </c>
    </row>
    <row r="1357" spans="1:18" hidden="1" x14ac:dyDescent="0.25">
      <c r="A1357" s="2" t="s">
        <v>391</v>
      </c>
      <c r="B1357" s="3" t="str">
        <f t="shared" si="26"/>
        <v>18/4/19</v>
      </c>
      <c r="C1357">
        <v>19</v>
      </c>
      <c r="D1357">
        <v>4</v>
      </c>
      <c r="E1357">
        <v>18</v>
      </c>
      <c r="F1357" t="s">
        <v>922</v>
      </c>
      <c r="G1357" t="s">
        <v>155</v>
      </c>
      <c r="H1357" t="s">
        <v>131</v>
      </c>
      <c r="I1357" t="s">
        <v>27</v>
      </c>
      <c r="J1357">
        <v>67.5</v>
      </c>
      <c r="K1357">
        <v>1</v>
      </c>
      <c r="L1357">
        <v>67.5</v>
      </c>
      <c r="M1357">
        <v>67.5</v>
      </c>
      <c r="N1357" s="5">
        <v>3.3953722334004026</v>
      </c>
      <c r="O1357" t="s">
        <v>100</v>
      </c>
      <c r="P1357" t="s">
        <v>340</v>
      </c>
      <c r="Q1357" t="s">
        <v>24</v>
      </c>
    </row>
    <row r="1358" spans="1:18" hidden="1" x14ac:dyDescent="0.25">
      <c r="A1358" s="2" t="s">
        <v>391</v>
      </c>
      <c r="B1358" s="3" t="str">
        <f t="shared" si="26"/>
        <v>18/4/19</v>
      </c>
      <c r="C1358">
        <v>19</v>
      </c>
      <c r="D1358">
        <v>4</v>
      </c>
      <c r="E1358">
        <v>18</v>
      </c>
      <c r="F1358" t="s">
        <v>104</v>
      </c>
      <c r="I1358" t="s">
        <v>72</v>
      </c>
      <c r="J1358">
        <v>146.36000000000001</v>
      </c>
      <c r="K1358">
        <v>2</v>
      </c>
      <c r="L1358">
        <v>146.36000000000001</v>
      </c>
      <c r="M1358">
        <v>292.72000000000003</v>
      </c>
      <c r="N1358" s="5">
        <v>14.724346076458755</v>
      </c>
      <c r="O1358" t="s">
        <v>233</v>
      </c>
      <c r="P1358" t="s">
        <v>340</v>
      </c>
      <c r="Q1358" t="s">
        <v>24</v>
      </c>
      <c r="R1358" t="s">
        <v>419</v>
      </c>
    </row>
    <row r="1359" spans="1:18" hidden="1" x14ac:dyDescent="0.25">
      <c r="A1359" s="2" t="s">
        <v>391</v>
      </c>
      <c r="B1359" s="3" t="str">
        <f t="shared" si="26"/>
        <v>18/4/19</v>
      </c>
      <c r="C1359">
        <v>19</v>
      </c>
      <c r="D1359">
        <v>4</v>
      </c>
      <c r="E1359">
        <v>18</v>
      </c>
      <c r="F1359" t="s">
        <v>104</v>
      </c>
      <c r="I1359" t="s">
        <v>72</v>
      </c>
      <c r="J1359">
        <v>45.45</v>
      </c>
      <c r="K1359">
        <v>3</v>
      </c>
      <c r="L1359">
        <v>45.45</v>
      </c>
      <c r="M1359">
        <v>136.35</v>
      </c>
      <c r="N1359" s="5">
        <v>6.8586519114688134</v>
      </c>
      <c r="O1359" t="s">
        <v>233</v>
      </c>
      <c r="P1359" t="s">
        <v>340</v>
      </c>
      <c r="Q1359" t="s">
        <v>24</v>
      </c>
      <c r="R1359" t="s">
        <v>420</v>
      </c>
    </row>
    <row r="1360" spans="1:18" hidden="1" x14ac:dyDescent="0.25">
      <c r="A1360" s="2" t="s">
        <v>391</v>
      </c>
      <c r="B1360" s="3" t="str">
        <f t="shared" si="26"/>
        <v>18/4/19</v>
      </c>
      <c r="C1360">
        <v>19</v>
      </c>
      <c r="D1360">
        <v>4</v>
      </c>
      <c r="E1360">
        <v>18</v>
      </c>
      <c r="F1360" t="s">
        <v>1666</v>
      </c>
      <c r="I1360" t="s">
        <v>72</v>
      </c>
      <c r="J1360">
        <v>11.42</v>
      </c>
      <c r="K1360">
        <v>1</v>
      </c>
      <c r="L1360">
        <v>11.42</v>
      </c>
      <c r="M1360">
        <v>11.42</v>
      </c>
      <c r="N1360" s="5">
        <v>0.57444668008048294</v>
      </c>
      <c r="O1360" t="s">
        <v>233</v>
      </c>
      <c r="P1360" t="s">
        <v>340</v>
      </c>
      <c r="Q1360" t="s">
        <v>24</v>
      </c>
      <c r="R1360" t="s">
        <v>421</v>
      </c>
    </row>
    <row r="1361" spans="1:18" hidden="1" x14ac:dyDescent="0.25">
      <c r="A1361" s="2" t="s">
        <v>391</v>
      </c>
      <c r="B1361" s="3" t="str">
        <f t="shared" si="26"/>
        <v>18/4/19</v>
      </c>
      <c r="C1361">
        <v>19</v>
      </c>
      <c r="D1361">
        <v>4</v>
      </c>
      <c r="E1361">
        <v>18</v>
      </c>
      <c r="F1361" t="s">
        <v>104</v>
      </c>
      <c r="I1361" t="s">
        <v>72</v>
      </c>
      <c r="J1361">
        <v>285.70999999999998</v>
      </c>
      <c r="K1361">
        <v>1</v>
      </c>
      <c r="L1361">
        <v>285.70999999999998</v>
      </c>
      <c r="M1361">
        <v>285.70999999999998</v>
      </c>
      <c r="N1361" s="5">
        <v>14.371730382293762</v>
      </c>
      <c r="O1361" t="s">
        <v>233</v>
      </c>
      <c r="P1361" t="s">
        <v>340</v>
      </c>
      <c r="Q1361" t="s">
        <v>24</v>
      </c>
      <c r="R1361" t="s">
        <v>422</v>
      </c>
    </row>
    <row r="1362" spans="1:18" hidden="1" x14ac:dyDescent="0.25">
      <c r="A1362" s="2" t="s">
        <v>391</v>
      </c>
      <c r="B1362" s="3" t="str">
        <f t="shared" si="26"/>
        <v>18/4/19</v>
      </c>
      <c r="C1362">
        <v>19</v>
      </c>
      <c r="D1362">
        <v>4</v>
      </c>
      <c r="E1362">
        <v>18</v>
      </c>
      <c r="F1362" t="s">
        <v>104</v>
      </c>
      <c r="I1362" t="s">
        <v>72</v>
      </c>
      <c r="J1362">
        <v>57.83</v>
      </c>
      <c r="K1362">
        <v>1</v>
      </c>
      <c r="L1362">
        <v>57.83</v>
      </c>
      <c r="M1362">
        <v>57.83</v>
      </c>
      <c r="N1362" s="5">
        <v>2.9089537223340041</v>
      </c>
      <c r="O1362" t="s">
        <v>233</v>
      </c>
      <c r="P1362" t="s">
        <v>340</v>
      </c>
      <c r="Q1362" t="s">
        <v>24</v>
      </c>
      <c r="R1362" t="s">
        <v>423</v>
      </c>
    </row>
    <row r="1363" spans="1:18" hidden="1" x14ac:dyDescent="0.25">
      <c r="A1363" s="2" t="s">
        <v>391</v>
      </c>
      <c r="B1363" s="3" t="str">
        <f t="shared" si="26"/>
        <v>18/4/19</v>
      </c>
      <c r="C1363">
        <v>19</v>
      </c>
      <c r="D1363">
        <v>4</v>
      </c>
      <c r="E1363">
        <v>18</v>
      </c>
      <c r="F1363" t="s">
        <v>146</v>
      </c>
      <c r="H1363" t="s">
        <v>49</v>
      </c>
      <c r="I1363" t="s">
        <v>50</v>
      </c>
      <c r="J1363">
        <v>0.15</v>
      </c>
      <c r="K1363">
        <v>1</v>
      </c>
      <c r="L1363">
        <v>0.15</v>
      </c>
      <c r="M1363">
        <v>0.15</v>
      </c>
      <c r="N1363" s="5">
        <v>7.545271629778672E-3</v>
      </c>
      <c r="O1363" t="s">
        <v>233</v>
      </c>
      <c r="P1363" t="s">
        <v>340</v>
      </c>
      <c r="Q1363" t="s">
        <v>24</v>
      </c>
    </row>
    <row r="1364" spans="1:18" hidden="1" x14ac:dyDescent="0.25">
      <c r="A1364" s="2" t="s">
        <v>391</v>
      </c>
      <c r="B1364" s="3" t="str">
        <f t="shared" si="26"/>
        <v>18/4/2</v>
      </c>
      <c r="C1364">
        <v>2</v>
      </c>
      <c r="D1364">
        <v>4</v>
      </c>
      <c r="E1364">
        <v>18</v>
      </c>
      <c r="F1364" t="s">
        <v>1232</v>
      </c>
      <c r="H1364" t="s">
        <v>69</v>
      </c>
      <c r="I1364" t="s">
        <v>27</v>
      </c>
      <c r="J1364">
        <v>48</v>
      </c>
      <c r="K1364">
        <v>1.2</v>
      </c>
      <c r="L1364">
        <v>48</v>
      </c>
      <c r="M1364">
        <v>57.6</v>
      </c>
      <c r="N1364" s="5">
        <v>2.8973843058350104</v>
      </c>
      <c r="O1364" t="s">
        <v>2239</v>
      </c>
      <c r="P1364" t="s">
        <v>340</v>
      </c>
      <c r="Q1364" t="s">
        <v>24</v>
      </c>
    </row>
    <row r="1365" spans="1:18" hidden="1" x14ac:dyDescent="0.25">
      <c r="A1365" s="2" t="s">
        <v>391</v>
      </c>
      <c r="B1365" s="3" t="str">
        <f t="shared" si="26"/>
        <v>18/4/2</v>
      </c>
      <c r="C1365">
        <v>2</v>
      </c>
      <c r="D1365">
        <v>4</v>
      </c>
      <c r="E1365">
        <v>18</v>
      </c>
      <c r="F1365" t="s">
        <v>1238</v>
      </c>
      <c r="H1365" t="s">
        <v>69</v>
      </c>
      <c r="I1365" t="s">
        <v>27</v>
      </c>
      <c r="J1365">
        <v>75</v>
      </c>
      <c r="K1365">
        <v>0.40600000000000003</v>
      </c>
      <c r="L1365">
        <v>75</v>
      </c>
      <c r="M1365">
        <v>30.45</v>
      </c>
      <c r="N1365" s="5">
        <v>1.5316901408450705</v>
      </c>
      <c r="O1365" t="s">
        <v>2239</v>
      </c>
      <c r="P1365" t="s">
        <v>340</v>
      </c>
      <c r="Q1365" t="s">
        <v>24</v>
      </c>
    </row>
    <row r="1366" spans="1:18" hidden="1" x14ac:dyDescent="0.25">
      <c r="A1366" s="2" t="s">
        <v>391</v>
      </c>
      <c r="B1366" s="3" t="str">
        <f t="shared" ref="B1366:B1429" si="27">CONCATENATE(E1366,"/",D1366,"/",C1366)</f>
        <v>18/4/2</v>
      </c>
      <c r="C1366">
        <v>2</v>
      </c>
      <c r="D1366">
        <v>4</v>
      </c>
      <c r="E1366">
        <v>18</v>
      </c>
      <c r="F1366" t="s">
        <v>1233</v>
      </c>
      <c r="H1366" t="s">
        <v>69</v>
      </c>
      <c r="I1366" t="s">
        <v>27</v>
      </c>
      <c r="J1366">
        <v>270</v>
      </c>
      <c r="K1366">
        <v>1.046</v>
      </c>
      <c r="L1366">
        <v>270</v>
      </c>
      <c r="M1366">
        <v>282.42</v>
      </c>
      <c r="N1366" s="5">
        <v>14.206237424547286</v>
      </c>
      <c r="O1366" t="s">
        <v>2239</v>
      </c>
      <c r="P1366" t="s">
        <v>340</v>
      </c>
      <c r="Q1366" t="s">
        <v>24</v>
      </c>
    </row>
    <row r="1367" spans="1:18" hidden="1" x14ac:dyDescent="0.25">
      <c r="A1367" s="2" t="s">
        <v>391</v>
      </c>
      <c r="B1367" s="3" t="str">
        <f t="shared" si="27"/>
        <v>18/4/2</v>
      </c>
      <c r="C1367">
        <v>2</v>
      </c>
      <c r="D1367">
        <v>4</v>
      </c>
      <c r="E1367">
        <v>18</v>
      </c>
      <c r="F1367" t="s">
        <v>1231</v>
      </c>
      <c r="H1367" t="s">
        <v>69</v>
      </c>
      <c r="I1367" t="s">
        <v>27</v>
      </c>
      <c r="J1367">
        <v>94.9</v>
      </c>
      <c r="K1367">
        <v>1.1919999999999999</v>
      </c>
      <c r="L1367">
        <v>94.9</v>
      </c>
      <c r="M1367">
        <v>113.12</v>
      </c>
      <c r="N1367" s="5">
        <v>5.6901408450704229</v>
      </c>
      <c r="O1367" t="s">
        <v>2239</v>
      </c>
      <c r="P1367" t="s">
        <v>340</v>
      </c>
      <c r="Q1367" t="s">
        <v>24</v>
      </c>
    </row>
    <row r="1368" spans="1:18" hidden="1" x14ac:dyDescent="0.25">
      <c r="A1368" s="2" t="s">
        <v>391</v>
      </c>
      <c r="B1368" s="3" t="str">
        <f t="shared" si="27"/>
        <v>18/4/2</v>
      </c>
      <c r="C1368">
        <v>2</v>
      </c>
      <c r="D1368">
        <v>4</v>
      </c>
      <c r="E1368">
        <v>18</v>
      </c>
      <c r="F1368" t="s">
        <v>259</v>
      </c>
      <c r="H1368" t="s">
        <v>69</v>
      </c>
      <c r="I1368" t="s">
        <v>27</v>
      </c>
      <c r="J1368">
        <v>79.5</v>
      </c>
      <c r="K1368">
        <v>0.34599999999999997</v>
      </c>
      <c r="L1368">
        <v>79.5</v>
      </c>
      <c r="M1368">
        <v>27.51</v>
      </c>
      <c r="N1368" s="5">
        <v>1.3838028169014085</v>
      </c>
      <c r="O1368" t="s">
        <v>2239</v>
      </c>
      <c r="P1368" t="s">
        <v>340</v>
      </c>
      <c r="Q1368" t="s">
        <v>24</v>
      </c>
    </row>
    <row r="1369" spans="1:18" hidden="1" x14ac:dyDescent="0.25">
      <c r="A1369" s="2" t="s">
        <v>391</v>
      </c>
      <c r="B1369" s="3" t="str">
        <f t="shared" si="27"/>
        <v>18/4/2</v>
      </c>
      <c r="C1369">
        <v>2</v>
      </c>
      <c r="D1369">
        <v>4</v>
      </c>
      <c r="E1369">
        <v>18</v>
      </c>
      <c r="F1369" t="s">
        <v>38</v>
      </c>
      <c r="G1369" t="s">
        <v>38</v>
      </c>
      <c r="H1369" t="s">
        <v>39</v>
      </c>
      <c r="I1369" t="s">
        <v>27</v>
      </c>
      <c r="J1369">
        <v>115</v>
      </c>
      <c r="K1369">
        <v>0.25</v>
      </c>
      <c r="L1369">
        <v>115</v>
      </c>
      <c r="M1369">
        <v>28.75</v>
      </c>
      <c r="N1369" s="5">
        <v>1.4461770623742456</v>
      </c>
      <c r="O1369" t="s">
        <v>2239</v>
      </c>
      <c r="P1369" t="s">
        <v>340</v>
      </c>
      <c r="Q1369" t="s">
        <v>24</v>
      </c>
    </row>
    <row r="1370" spans="1:18" hidden="1" x14ac:dyDescent="0.25">
      <c r="A1370" s="2" t="s">
        <v>391</v>
      </c>
      <c r="B1370" s="3" t="str">
        <f t="shared" si="27"/>
        <v>18/4/2</v>
      </c>
      <c r="C1370">
        <v>2</v>
      </c>
      <c r="D1370">
        <v>4</v>
      </c>
      <c r="E1370">
        <v>18</v>
      </c>
      <c r="F1370" t="s">
        <v>258</v>
      </c>
      <c r="H1370" t="s">
        <v>39</v>
      </c>
      <c r="I1370" t="s">
        <v>27</v>
      </c>
      <c r="J1370">
        <v>37.5</v>
      </c>
      <c r="K1370">
        <v>1</v>
      </c>
      <c r="L1370">
        <v>37.5</v>
      </c>
      <c r="M1370">
        <v>37.5</v>
      </c>
      <c r="N1370" s="5">
        <v>1.8863179074446681</v>
      </c>
      <c r="O1370" t="s">
        <v>100</v>
      </c>
      <c r="P1370" t="s">
        <v>340</v>
      </c>
      <c r="Q1370" t="s">
        <v>24</v>
      </c>
    </row>
    <row r="1371" spans="1:18" hidden="1" x14ac:dyDescent="0.25">
      <c r="A1371" s="2" t="s">
        <v>391</v>
      </c>
      <c r="B1371" s="3" t="str">
        <f t="shared" si="27"/>
        <v>18/4/2</v>
      </c>
      <c r="C1371">
        <v>2</v>
      </c>
      <c r="D1371">
        <v>4</v>
      </c>
      <c r="E1371">
        <v>18</v>
      </c>
      <c r="F1371" t="s">
        <v>2045</v>
      </c>
      <c r="H1371" t="s">
        <v>33</v>
      </c>
      <c r="I1371" t="s">
        <v>27</v>
      </c>
      <c r="J1371">
        <v>143.6</v>
      </c>
      <c r="K1371">
        <v>0.26</v>
      </c>
      <c r="L1371">
        <v>143.6</v>
      </c>
      <c r="M1371">
        <v>37.340000000000003</v>
      </c>
      <c r="N1371" s="5">
        <v>1.8782696177062377</v>
      </c>
      <c r="O1371" t="s">
        <v>100</v>
      </c>
      <c r="P1371" t="s">
        <v>340</v>
      </c>
      <c r="Q1371" t="s">
        <v>24</v>
      </c>
    </row>
    <row r="1372" spans="1:18" hidden="1" x14ac:dyDescent="0.25">
      <c r="A1372" s="2" t="s">
        <v>391</v>
      </c>
      <c r="B1372" s="3" t="str">
        <f t="shared" si="27"/>
        <v>18/4/2</v>
      </c>
      <c r="C1372">
        <v>2</v>
      </c>
      <c r="D1372">
        <v>4</v>
      </c>
      <c r="E1372">
        <v>18</v>
      </c>
      <c r="F1372" t="s">
        <v>99</v>
      </c>
      <c r="H1372" t="s">
        <v>40</v>
      </c>
      <c r="I1372" t="s">
        <v>27</v>
      </c>
      <c r="J1372">
        <v>10</v>
      </c>
      <c r="K1372">
        <v>1</v>
      </c>
      <c r="L1372">
        <v>10</v>
      </c>
      <c r="M1372">
        <v>10</v>
      </c>
      <c r="N1372" s="5">
        <v>0.50301810865191154</v>
      </c>
      <c r="O1372" t="s">
        <v>100</v>
      </c>
      <c r="P1372" t="s">
        <v>340</v>
      </c>
      <c r="Q1372" t="s">
        <v>24</v>
      </c>
    </row>
    <row r="1373" spans="1:18" hidden="1" x14ac:dyDescent="0.25">
      <c r="A1373" s="2" t="s">
        <v>391</v>
      </c>
      <c r="B1373" s="3" t="str">
        <f t="shared" si="27"/>
        <v>18/4/2</v>
      </c>
      <c r="C1373">
        <v>2</v>
      </c>
      <c r="D1373">
        <v>4</v>
      </c>
      <c r="E1373">
        <v>18</v>
      </c>
      <c r="F1373" t="s">
        <v>922</v>
      </c>
      <c r="G1373" t="s">
        <v>155</v>
      </c>
      <c r="H1373" t="s">
        <v>131</v>
      </c>
      <c r="I1373" t="s">
        <v>27</v>
      </c>
      <c r="J1373">
        <v>67.5</v>
      </c>
      <c r="K1373">
        <v>1</v>
      </c>
      <c r="L1373">
        <v>67.5</v>
      </c>
      <c r="M1373">
        <v>67.5</v>
      </c>
      <c r="N1373" s="5">
        <v>3.3953722334004026</v>
      </c>
      <c r="O1373" t="s">
        <v>100</v>
      </c>
      <c r="P1373" t="s">
        <v>340</v>
      </c>
      <c r="Q1373" t="s">
        <v>24</v>
      </c>
    </row>
    <row r="1374" spans="1:18" hidden="1" x14ac:dyDescent="0.25">
      <c r="A1374" s="2" t="s">
        <v>391</v>
      </c>
      <c r="B1374" s="3" t="str">
        <f t="shared" si="27"/>
        <v>18/4/23</v>
      </c>
      <c r="C1374">
        <v>23</v>
      </c>
      <c r="D1374">
        <v>4</v>
      </c>
      <c r="E1374">
        <v>18</v>
      </c>
      <c r="F1374" t="s">
        <v>176</v>
      </c>
      <c r="H1374" t="s">
        <v>176</v>
      </c>
      <c r="I1374" t="s">
        <v>105</v>
      </c>
      <c r="J1374">
        <v>188</v>
      </c>
      <c r="K1374">
        <v>1</v>
      </c>
      <c r="L1374">
        <v>188</v>
      </c>
      <c r="M1374">
        <v>188</v>
      </c>
      <c r="N1374" s="5">
        <v>9.4567404426559367</v>
      </c>
      <c r="O1374" t="s">
        <v>39</v>
      </c>
      <c r="Q1374" t="s">
        <v>24</v>
      </c>
    </row>
    <row r="1375" spans="1:18" hidden="1" x14ac:dyDescent="0.25">
      <c r="A1375" s="2" t="s">
        <v>391</v>
      </c>
      <c r="B1375" s="3" t="str">
        <f t="shared" si="27"/>
        <v>18/4/23</v>
      </c>
      <c r="C1375">
        <v>23</v>
      </c>
      <c r="D1375">
        <v>4</v>
      </c>
      <c r="E1375">
        <v>18</v>
      </c>
      <c r="F1375" t="s">
        <v>168</v>
      </c>
      <c r="H1375" t="s">
        <v>1095</v>
      </c>
      <c r="I1375" t="s">
        <v>105</v>
      </c>
      <c r="J1375">
        <v>223</v>
      </c>
      <c r="K1375">
        <v>1</v>
      </c>
      <c r="L1375">
        <v>223</v>
      </c>
      <c r="M1375">
        <v>223</v>
      </c>
      <c r="N1375" s="5">
        <v>11.217303822937627</v>
      </c>
      <c r="O1375" t="s">
        <v>39</v>
      </c>
      <c r="Q1375" t="s">
        <v>24</v>
      </c>
    </row>
    <row r="1376" spans="1:18" hidden="1" x14ac:dyDescent="0.25">
      <c r="A1376" s="2" t="s">
        <v>391</v>
      </c>
      <c r="B1376" s="3" t="str">
        <f t="shared" si="27"/>
        <v>18/4/23</v>
      </c>
      <c r="C1376">
        <v>23</v>
      </c>
      <c r="D1376">
        <v>4</v>
      </c>
      <c r="E1376">
        <v>18</v>
      </c>
      <c r="F1376" t="s">
        <v>169</v>
      </c>
      <c r="H1376" t="s">
        <v>1096</v>
      </c>
      <c r="I1376" t="s">
        <v>105</v>
      </c>
      <c r="J1376">
        <v>210</v>
      </c>
      <c r="K1376">
        <v>1</v>
      </c>
      <c r="L1376">
        <v>210</v>
      </c>
      <c r="M1376">
        <v>210</v>
      </c>
      <c r="N1376" s="5">
        <v>10.563380281690142</v>
      </c>
      <c r="O1376" t="s">
        <v>39</v>
      </c>
      <c r="Q1376" t="s">
        <v>24</v>
      </c>
    </row>
    <row r="1377" spans="1:18" hidden="1" x14ac:dyDescent="0.25">
      <c r="A1377" s="2" t="s">
        <v>391</v>
      </c>
      <c r="B1377" s="3" t="str">
        <f t="shared" si="27"/>
        <v>18/4/23</v>
      </c>
      <c r="C1377" s="10">
        <v>23</v>
      </c>
      <c r="D1377" s="10">
        <v>4</v>
      </c>
      <c r="E1377" s="10">
        <v>18</v>
      </c>
      <c r="F1377" t="s">
        <v>179</v>
      </c>
      <c r="H1377" t="s">
        <v>179</v>
      </c>
      <c r="I1377" t="s">
        <v>105</v>
      </c>
      <c r="J1377">
        <v>549</v>
      </c>
      <c r="K1377">
        <v>1</v>
      </c>
      <c r="L1377">
        <v>549</v>
      </c>
      <c r="M1377">
        <v>549</v>
      </c>
      <c r="N1377" s="5">
        <v>27.615694164989939</v>
      </c>
      <c r="O1377" t="s">
        <v>39</v>
      </c>
      <c r="Q1377" s="10" t="s">
        <v>24</v>
      </c>
    </row>
    <row r="1378" spans="1:18" hidden="1" x14ac:dyDescent="0.25">
      <c r="A1378" s="2" t="s">
        <v>391</v>
      </c>
      <c r="B1378" s="3" t="str">
        <f t="shared" si="27"/>
        <v>18/4/24</v>
      </c>
      <c r="C1378">
        <v>24</v>
      </c>
      <c r="D1378">
        <v>4</v>
      </c>
      <c r="E1378">
        <v>18</v>
      </c>
      <c r="F1378" t="s">
        <v>389</v>
      </c>
      <c r="H1378" t="s">
        <v>21</v>
      </c>
      <c r="I1378" t="s">
        <v>22</v>
      </c>
      <c r="J1378">
        <v>4</v>
      </c>
      <c r="K1378">
        <v>2</v>
      </c>
      <c r="L1378">
        <v>4</v>
      </c>
      <c r="M1378">
        <v>8</v>
      </c>
      <c r="N1378" s="5">
        <v>0.4024144869215292</v>
      </c>
      <c r="O1378" t="s">
        <v>354</v>
      </c>
      <c r="P1378" t="s">
        <v>340</v>
      </c>
      <c r="Q1378" t="s">
        <v>24</v>
      </c>
      <c r="R1378" t="s">
        <v>353</v>
      </c>
    </row>
    <row r="1379" spans="1:18" hidden="1" x14ac:dyDescent="0.25">
      <c r="A1379" s="2" t="s">
        <v>391</v>
      </c>
      <c r="B1379" s="3" t="str">
        <f t="shared" si="27"/>
        <v>18/4/25</v>
      </c>
      <c r="C1379">
        <v>25</v>
      </c>
      <c r="D1379">
        <v>4</v>
      </c>
      <c r="E1379">
        <v>18</v>
      </c>
      <c r="F1379" t="s">
        <v>109</v>
      </c>
      <c r="H1379" t="s">
        <v>54</v>
      </c>
      <c r="I1379" t="s">
        <v>27</v>
      </c>
      <c r="J1379">
        <v>43.99</v>
      </c>
      <c r="K1379">
        <v>0.42199999999999999</v>
      </c>
      <c r="L1379">
        <v>43.99</v>
      </c>
      <c r="M1379">
        <v>18.559999999999999</v>
      </c>
      <c r="N1379" s="5">
        <v>0.9336016096579477</v>
      </c>
      <c r="O1379" s="6" t="s">
        <v>28</v>
      </c>
      <c r="P1379" t="s">
        <v>340</v>
      </c>
      <c r="Q1379" t="s">
        <v>24</v>
      </c>
    </row>
    <row r="1380" spans="1:18" hidden="1" x14ac:dyDescent="0.25">
      <c r="A1380" s="2" t="s">
        <v>391</v>
      </c>
      <c r="B1380" s="3" t="str">
        <f t="shared" si="27"/>
        <v>18/4/25</v>
      </c>
      <c r="C1380">
        <v>25</v>
      </c>
      <c r="D1380">
        <v>4</v>
      </c>
      <c r="E1380">
        <v>18</v>
      </c>
      <c r="F1380" t="s">
        <v>124</v>
      </c>
      <c r="H1380" t="s">
        <v>54</v>
      </c>
      <c r="I1380" t="s">
        <v>27</v>
      </c>
      <c r="J1380">
        <v>49.99</v>
      </c>
      <c r="K1380">
        <v>0.56000000000000005</v>
      </c>
      <c r="L1380">
        <v>49.99</v>
      </c>
      <c r="M1380">
        <v>27.99</v>
      </c>
      <c r="N1380" s="5">
        <v>1.4079476861167002</v>
      </c>
      <c r="O1380" s="6" t="s">
        <v>28</v>
      </c>
      <c r="P1380" t="s">
        <v>340</v>
      </c>
      <c r="Q1380" t="s">
        <v>24</v>
      </c>
    </row>
    <row r="1381" spans="1:18" hidden="1" x14ac:dyDescent="0.25">
      <c r="A1381" s="2" t="s">
        <v>391</v>
      </c>
      <c r="B1381" s="3" t="str">
        <f t="shared" si="27"/>
        <v>18/4/25</v>
      </c>
      <c r="C1381">
        <v>25</v>
      </c>
      <c r="D1381">
        <v>4</v>
      </c>
      <c r="E1381">
        <v>18</v>
      </c>
      <c r="F1381" t="s">
        <v>202</v>
      </c>
      <c r="H1381" t="s">
        <v>54</v>
      </c>
      <c r="I1381" t="s">
        <v>27</v>
      </c>
      <c r="J1381">
        <v>79.989999999999995</v>
      </c>
      <c r="K1381">
        <v>0.18</v>
      </c>
      <c r="L1381">
        <v>79.989999999999995</v>
      </c>
      <c r="M1381">
        <v>14.4</v>
      </c>
      <c r="N1381" s="5">
        <v>0.7243460764587526</v>
      </c>
      <c r="O1381" s="6" t="s">
        <v>28</v>
      </c>
      <c r="P1381" t="s">
        <v>340</v>
      </c>
      <c r="Q1381" t="s">
        <v>24</v>
      </c>
    </row>
    <row r="1382" spans="1:18" hidden="1" x14ac:dyDescent="0.25">
      <c r="A1382" s="2" t="s">
        <v>391</v>
      </c>
      <c r="B1382" s="3" t="str">
        <f t="shared" si="27"/>
        <v>18/4/25</v>
      </c>
      <c r="C1382">
        <v>25</v>
      </c>
      <c r="D1382">
        <v>4</v>
      </c>
      <c r="E1382">
        <v>18</v>
      </c>
      <c r="F1382" t="s">
        <v>426</v>
      </c>
      <c r="H1382" t="s">
        <v>54</v>
      </c>
      <c r="I1382" t="s">
        <v>27</v>
      </c>
      <c r="J1382">
        <v>13.99</v>
      </c>
      <c r="K1382">
        <v>1.022</v>
      </c>
      <c r="L1382">
        <v>13.99</v>
      </c>
      <c r="M1382">
        <v>14.3</v>
      </c>
      <c r="N1382" s="5">
        <v>0.7193158953722335</v>
      </c>
      <c r="O1382" s="6" t="s">
        <v>28</v>
      </c>
      <c r="P1382" t="s">
        <v>340</v>
      </c>
      <c r="Q1382" t="s">
        <v>24</v>
      </c>
    </row>
    <row r="1383" spans="1:18" hidden="1" x14ac:dyDescent="0.25">
      <c r="A1383" s="2" t="s">
        <v>391</v>
      </c>
      <c r="B1383" s="3" t="str">
        <f t="shared" si="27"/>
        <v>18/4/25</v>
      </c>
      <c r="C1383">
        <v>25</v>
      </c>
      <c r="D1383">
        <v>4</v>
      </c>
      <c r="E1383">
        <v>18</v>
      </c>
      <c r="F1383" t="s">
        <v>55</v>
      </c>
      <c r="H1383" t="s">
        <v>56</v>
      </c>
      <c r="I1383" t="s">
        <v>27</v>
      </c>
      <c r="J1383">
        <v>37.99</v>
      </c>
      <c r="K1383">
        <v>1.385</v>
      </c>
      <c r="L1383">
        <v>37.99</v>
      </c>
      <c r="M1383">
        <v>52.62</v>
      </c>
      <c r="N1383" s="5">
        <v>2.6468812877263583</v>
      </c>
      <c r="O1383" t="s">
        <v>101</v>
      </c>
      <c r="P1383" t="s">
        <v>340</v>
      </c>
      <c r="Q1383" t="s">
        <v>24</v>
      </c>
    </row>
    <row r="1384" spans="1:18" hidden="1" x14ac:dyDescent="0.25">
      <c r="A1384" s="2" t="s">
        <v>391</v>
      </c>
      <c r="B1384" s="3" t="str">
        <f t="shared" si="27"/>
        <v>18/4/25</v>
      </c>
      <c r="C1384">
        <v>25</v>
      </c>
      <c r="D1384">
        <v>4</v>
      </c>
      <c r="E1384">
        <v>18</v>
      </c>
      <c r="F1384" t="s">
        <v>75</v>
      </c>
      <c r="G1384" t="s">
        <v>75</v>
      </c>
      <c r="H1384" t="s">
        <v>65</v>
      </c>
      <c r="I1384" t="s">
        <v>27</v>
      </c>
      <c r="J1384">
        <v>10</v>
      </c>
      <c r="K1384">
        <v>1</v>
      </c>
      <c r="L1384">
        <v>10</v>
      </c>
      <c r="M1384">
        <v>10</v>
      </c>
      <c r="N1384" s="5">
        <v>0.50301810865191154</v>
      </c>
      <c r="O1384" t="s">
        <v>101</v>
      </c>
      <c r="P1384" t="s">
        <v>340</v>
      </c>
      <c r="Q1384" t="s">
        <v>24</v>
      </c>
    </row>
    <row r="1385" spans="1:18" hidden="1" x14ac:dyDescent="0.25">
      <c r="A1385" s="2" t="s">
        <v>391</v>
      </c>
      <c r="B1385" s="3" t="str">
        <f t="shared" si="27"/>
        <v>18/4/25</v>
      </c>
      <c r="C1385">
        <v>25</v>
      </c>
      <c r="D1385">
        <v>4</v>
      </c>
      <c r="E1385">
        <v>18</v>
      </c>
      <c r="F1385" t="s">
        <v>173</v>
      </c>
      <c r="G1385" t="s">
        <v>174</v>
      </c>
      <c r="H1385" t="s">
        <v>54</v>
      </c>
      <c r="I1385" t="s">
        <v>27</v>
      </c>
      <c r="J1385">
        <v>6.99</v>
      </c>
      <c r="K1385">
        <v>0.9</v>
      </c>
      <c r="L1385">
        <v>6.99</v>
      </c>
      <c r="M1385">
        <v>6.29</v>
      </c>
      <c r="N1385" s="5">
        <v>0.3163983903420523</v>
      </c>
      <c r="O1385" t="s">
        <v>101</v>
      </c>
      <c r="P1385" t="s">
        <v>340</v>
      </c>
      <c r="Q1385" t="s">
        <v>24</v>
      </c>
    </row>
    <row r="1386" spans="1:18" hidden="1" x14ac:dyDescent="0.25">
      <c r="A1386" s="2" t="s">
        <v>391</v>
      </c>
      <c r="B1386" s="3" t="str">
        <f t="shared" si="27"/>
        <v>18/4/26</v>
      </c>
      <c r="C1386">
        <v>26</v>
      </c>
      <c r="D1386">
        <v>4</v>
      </c>
      <c r="E1386">
        <v>18</v>
      </c>
      <c r="F1386" t="s">
        <v>342</v>
      </c>
      <c r="H1386" t="s">
        <v>56</v>
      </c>
      <c r="I1386" t="s">
        <v>27</v>
      </c>
      <c r="J1386">
        <v>37.99</v>
      </c>
      <c r="K1386">
        <v>1.22</v>
      </c>
      <c r="L1386">
        <v>37.99</v>
      </c>
      <c r="M1386">
        <v>46.35</v>
      </c>
      <c r="N1386" s="5">
        <v>2.33148893360161</v>
      </c>
      <c r="O1386" t="s">
        <v>101</v>
      </c>
      <c r="P1386" t="s">
        <v>340</v>
      </c>
      <c r="Q1386" t="s">
        <v>24</v>
      </c>
    </row>
    <row r="1387" spans="1:18" hidden="1" x14ac:dyDescent="0.25">
      <c r="A1387" s="2" t="s">
        <v>391</v>
      </c>
      <c r="B1387" s="3" t="str">
        <f t="shared" si="27"/>
        <v>18/4/27</v>
      </c>
      <c r="C1387">
        <v>27</v>
      </c>
      <c r="D1387">
        <v>4</v>
      </c>
      <c r="E1387">
        <v>18</v>
      </c>
      <c r="F1387" t="s">
        <v>390</v>
      </c>
      <c r="G1387" t="s">
        <v>304</v>
      </c>
      <c r="H1387" t="s">
        <v>39</v>
      </c>
      <c r="I1387" t="s">
        <v>79</v>
      </c>
      <c r="J1387">
        <v>10</v>
      </c>
      <c r="K1387">
        <v>1</v>
      </c>
      <c r="L1387">
        <v>10</v>
      </c>
      <c r="M1387">
        <v>10</v>
      </c>
      <c r="N1387" s="5">
        <v>0.50301810865191154</v>
      </c>
      <c r="O1387" t="s">
        <v>39</v>
      </c>
      <c r="Q1387" t="s">
        <v>24</v>
      </c>
    </row>
    <row r="1388" spans="1:18" hidden="1" x14ac:dyDescent="0.25">
      <c r="A1388" s="2" t="s">
        <v>391</v>
      </c>
      <c r="B1388" s="3" t="str">
        <f t="shared" si="27"/>
        <v>18/4/27</v>
      </c>
      <c r="C1388">
        <v>27</v>
      </c>
      <c r="D1388">
        <v>4</v>
      </c>
      <c r="E1388">
        <v>18</v>
      </c>
      <c r="F1388" t="s">
        <v>427</v>
      </c>
      <c r="G1388" t="s">
        <v>319</v>
      </c>
      <c r="H1388" t="s">
        <v>131</v>
      </c>
      <c r="I1388" t="s">
        <v>27</v>
      </c>
      <c r="J1388">
        <v>18.75</v>
      </c>
      <c r="K1388">
        <v>1</v>
      </c>
      <c r="L1388">
        <v>18.75</v>
      </c>
      <c r="M1388">
        <v>18.75</v>
      </c>
      <c r="N1388" s="5">
        <v>0.94315895372233405</v>
      </c>
      <c r="O1388" t="s">
        <v>36</v>
      </c>
      <c r="P1388" t="s">
        <v>340</v>
      </c>
      <c r="Q1388" t="s">
        <v>24</v>
      </c>
    </row>
    <row r="1389" spans="1:18" hidden="1" x14ac:dyDescent="0.25">
      <c r="A1389" s="2" t="s">
        <v>391</v>
      </c>
      <c r="B1389" s="3" t="str">
        <f t="shared" si="27"/>
        <v>18/4/27</v>
      </c>
      <c r="C1389">
        <v>27</v>
      </c>
      <c r="D1389">
        <v>4</v>
      </c>
      <c r="E1389">
        <v>18</v>
      </c>
      <c r="F1389" t="s">
        <v>86</v>
      </c>
      <c r="H1389" t="s">
        <v>102</v>
      </c>
      <c r="I1389" t="s">
        <v>27</v>
      </c>
      <c r="J1389">
        <v>30</v>
      </c>
      <c r="K1389">
        <v>2</v>
      </c>
      <c r="L1389">
        <v>30</v>
      </c>
      <c r="M1389">
        <v>60</v>
      </c>
      <c r="N1389" s="5">
        <v>3.018108651911469</v>
      </c>
      <c r="O1389" t="s">
        <v>428</v>
      </c>
      <c r="P1389" t="s">
        <v>340</v>
      </c>
      <c r="Q1389" t="s">
        <v>24</v>
      </c>
    </row>
    <row r="1390" spans="1:18" hidden="1" x14ac:dyDescent="0.25">
      <c r="A1390" s="2" t="s">
        <v>391</v>
      </c>
      <c r="B1390" s="3" t="str">
        <f t="shared" si="27"/>
        <v>18/4/27</v>
      </c>
      <c r="C1390">
        <v>27</v>
      </c>
      <c r="D1390">
        <v>4</v>
      </c>
      <c r="E1390">
        <v>18</v>
      </c>
      <c r="F1390" t="s">
        <v>429</v>
      </c>
      <c r="G1390" t="s">
        <v>319</v>
      </c>
      <c r="H1390" t="s">
        <v>131</v>
      </c>
      <c r="I1390" t="s">
        <v>27</v>
      </c>
      <c r="J1390">
        <v>39</v>
      </c>
      <c r="K1390">
        <v>1</v>
      </c>
      <c r="L1390">
        <v>39</v>
      </c>
      <c r="M1390">
        <v>39</v>
      </c>
      <c r="N1390" s="5">
        <v>1.9617706237424548</v>
      </c>
      <c r="O1390" t="s">
        <v>428</v>
      </c>
      <c r="P1390" t="s">
        <v>340</v>
      </c>
      <c r="Q1390" t="s">
        <v>24</v>
      </c>
    </row>
    <row r="1391" spans="1:18" hidden="1" x14ac:dyDescent="0.25">
      <c r="A1391" s="2" t="s">
        <v>391</v>
      </c>
      <c r="B1391" s="3" t="str">
        <f t="shared" si="27"/>
        <v>18/4/28</v>
      </c>
      <c r="C1391">
        <v>28</v>
      </c>
      <c r="D1391">
        <v>4</v>
      </c>
      <c r="E1391">
        <v>18</v>
      </c>
      <c r="F1391" t="s">
        <v>430</v>
      </c>
      <c r="I1391" t="s">
        <v>431</v>
      </c>
      <c r="J1391" s="15">
        <v>7.99</v>
      </c>
      <c r="K1391" s="15">
        <v>1</v>
      </c>
      <c r="L1391" s="8">
        <v>161.24</v>
      </c>
      <c r="M1391" s="8">
        <v>161.24</v>
      </c>
      <c r="N1391" s="5">
        <v>8.1106639839034216</v>
      </c>
      <c r="O1391" t="s">
        <v>39</v>
      </c>
      <c r="P1391" t="s">
        <v>434</v>
      </c>
      <c r="Q1391" t="s">
        <v>24</v>
      </c>
    </row>
    <row r="1392" spans="1:18" hidden="1" x14ac:dyDescent="0.25">
      <c r="A1392" s="2" t="s">
        <v>391</v>
      </c>
      <c r="B1392" s="3" t="str">
        <f t="shared" si="27"/>
        <v>18/4/28</v>
      </c>
      <c r="C1392">
        <v>28</v>
      </c>
      <c r="D1392">
        <v>4</v>
      </c>
      <c r="E1392">
        <v>18</v>
      </c>
      <c r="F1392" t="s">
        <v>432</v>
      </c>
      <c r="I1392" t="s">
        <v>431</v>
      </c>
      <c r="J1392" s="15">
        <v>9.99</v>
      </c>
      <c r="K1392" s="15">
        <v>2</v>
      </c>
      <c r="L1392" s="8">
        <v>201.6</v>
      </c>
      <c r="M1392" s="8">
        <v>403.2</v>
      </c>
      <c r="N1392" s="5">
        <v>20.281690140845072</v>
      </c>
      <c r="O1392" t="s">
        <v>433</v>
      </c>
      <c r="P1392" t="s">
        <v>434</v>
      </c>
      <c r="Q1392" t="s">
        <v>24</v>
      </c>
    </row>
    <row r="1393" spans="1:18" hidden="1" x14ac:dyDescent="0.25">
      <c r="A1393" s="2" t="s">
        <v>391</v>
      </c>
      <c r="B1393" s="3" t="str">
        <f t="shared" si="27"/>
        <v>18/4/28</v>
      </c>
      <c r="C1393">
        <v>28</v>
      </c>
      <c r="D1393">
        <v>4</v>
      </c>
      <c r="E1393">
        <v>18</v>
      </c>
      <c r="F1393" t="s">
        <v>435</v>
      </c>
      <c r="I1393" t="s">
        <v>431</v>
      </c>
      <c r="J1393" s="15">
        <v>7.99</v>
      </c>
      <c r="K1393" s="15">
        <v>1</v>
      </c>
      <c r="L1393" s="8">
        <v>161.24</v>
      </c>
      <c r="M1393" s="8">
        <v>161.24</v>
      </c>
      <c r="N1393" s="5">
        <v>8.1106639839034216</v>
      </c>
      <c r="O1393" t="s">
        <v>433</v>
      </c>
      <c r="P1393" t="s">
        <v>434</v>
      </c>
      <c r="Q1393" t="s">
        <v>24</v>
      </c>
    </row>
    <row r="1394" spans="1:18" hidden="1" x14ac:dyDescent="0.25">
      <c r="A1394" s="2" t="s">
        <v>391</v>
      </c>
      <c r="B1394" s="3" t="str">
        <f t="shared" si="27"/>
        <v>18/4/28</v>
      </c>
      <c r="C1394">
        <v>28</v>
      </c>
      <c r="D1394">
        <v>4</v>
      </c>
      <c r="E1394">
        <v>18</v>
      </c>
      <c r="F1394" t="s">
        <v>432</v>
      </c>
      <c r="I1394" t="s">
        <v>431</v>
      </c>
      <c r="J1394" s="15">
        <v>9.99</v>
      </c>
      <c r="K1394" s="15">
        <v>1</v>
      </c>
      <c r="L1394" s="8">
        <v>201.6</v>
      </c>
      <c r="M1394" s="8">
        <v>201.6</v>
      </c>
      <c r="N1394" s="5">
        <v>10.140845070422536</v>
      </c>
      <c r="O1394" t="s">
        <v>433</v>
      </c>
      <c r="P1394" t="s">
        <v>434</v>
      </c>
      <c r="Q1394" t="s">
        <v>24</v>
      </c>
    </row>
    <row r="1395" spans="1:18" hidden="1" x14ac:dyDescent="0.25">
      <c r="A1395" s="2" t="s">
        <v>391</v>
      </c>
      <c r="B1395" s="3" t="str">
        <f t="shared" si="27"/>
        <v>18/4/28</v>
      </c>
      <c r="C1395">
        <v>28</v>
      </c>
      <c r="D1395">
        <v>4</v>
      </c>
      <c r="E1395">
        <v>18</v>
      </c>
      <c r="F1395" t="s">
        <v>435</v>
      </c>
      <c r="I1395" t="s">
        <v>431</v>
      </c>
      <c r="J1395" s="15">
        <v>6.99</v>
      </c>
      <c r="K1395" s="15">
        <v>1</v>
      </c>
      <c r="L1395" s="8">
        <v>141.06</v>
      </c>
      <c r="M1395" s="8">
        <v>141.06</v>
      </c>
      <c r="N1395" s="5">
        <v>7.0955734406438635</v>
      </c>
      <c r="O1395" t="s">
        <v>433</v>
      </c>
      <c r="P1395" t="s">
        <v>434</v>
      </c>
      <c r="Q1395" t="s">
        <v>24</v>
      </c>
    </row>
    <row r="1396" spans="1:18" hidden="1" x14ac:dyDescent="0.25">
      <c r="A1396" s="2" t="s">
        <v>391</v>
      </c>
      <c r="B1396" s="3" t="str">
        <f t="shared" si="27"/>
        <v>18/4/28</v>
      </c>
      <c r="C1396">
        <v>28</v>
      </c>
      <c r="D1396">
        <v>4</v>
      </c>
      <c r="E1396">
        <v>18</v>
      </c>
      <c r="F1396" t="s">
        <v>435</v>
      </c>
      <c r="I1396" t="s">
        <v>431</v>
      </c>
      <c r="J1396" s="15">
        <v>7.99</v>
      </c>
      <c r="K1396" s="15">
        <v>1</v>
      </c>
      <c r="L1396" s="8">
        <v>161.24</v>
      </c>
      <c r="M1396" s="8">
        <v>161.24</v>
      </c>
      <c r="N1396" s="5">
        <v>8.1106639839034216</v>
      </c>
      <c r="O1396" t="s">
        <v>433</v>
      </c>
      <c r="P1396" t="s">
        <v>434</v>
      </c>
      <c r="Q1396" t="s">
        <v>24</v>
      </c>
    </row>
    <row r="1397" spans="1:18" hidden="1" x14ac:dyDescent="0.25">
      <c r="A1397" s="2" t="s">
        <v>391</v>
      </c>
      <c r="B1397" s="3" t="str">
        <f t="shared" si="27"/>
        <v>18/4/28</v>
      </c>
      <c r="C1397">
        <v>28</v>
      </c>
      <c r="D1397">
        <v>4</v>
      </c>
      <c r="E1397">
        <v>18</v>
      </c>
      <c r="F1397" t="s">
        <v>358</v>
      </c>
      <c r="H1397" t="s">
        <v>63</v>
      </c>
      <c r="I1397" t="s">
        <v>50</v>
      </c>
      <c r="J1397" s="15">
        <v>120</v>
      </c>
      <c r="K1397" s="15">
        <v>1</v>
      </c>
      <c r="L1397">
        <v>120</v>
      </c>
      <c r="M1397">
        <v>120</v>
      </c>
      <c r="N1397" s="5">
        <v>6.0362173038229381</v>
      </c>
      <c r="O1397" t="s">
        <v>436</v>
      </c>
      <c r="P1397" t="s">
        <v>340</v>
      </c>
      <c r="Q1397" t="s">
        <v>24</v>
      </c>
    </row>
    <row r="1398" spans="1:18" hidden="1" x14ac:dyDescent="0.25">
      <c r="A1398" s="2" t="s">
        <v>391</v>
      </c>
      <c r="B1398" s="3" t="str">
        <f t="shared" si="27"/>
        <v>18/4/28</v>
      </c>
      <c r="C1398">
        <v>28</v>
      </c>
      <c r="D1398">
        <v>4</v>
      </c>
      <c r="E1398">
        <v>18</v>
      </c>
      <c r="F1398" t="s">
        <v>358</v>
      </c>
      <c r="H1398" t="s">
        <v>63</v>
      </c>
      <c r="I1398" t="s">
        <v>50</v>
      </c>
      <c r="J1398" s="15">
        <v>20</v>
      </c>
      <c r="K1398" s="15">
        <v>1</v>
      </c>
      <c r="L1398">
        <v>20</v>
      </c>
      <c r="M1398">
        <v>20</v>
      </c>
      <c r="N1398" s="5">
        <v>1.0060362173038231</v>
      </c>
      <c r="O1398" t="s">
        <v>437</v>
      </c>
      <c r="P1398" t="s">
        <v>340</v>
      </c>
      <c r="Q1398" t="s">
        <v>24</v>
      </c>
    </row>
    <row r="1399" spans="1:18" hidden="1" x14ac:dyDescent="0.25">
      <c r="A1399" s="2" t="s">
        <v>391</v>
      </c>
      <c r="B1399" s="3" t="str">
        <f t="shared" si="27"/>
        <v>18/4/28</v>
      </c>
      <c r="C1399">
        <v>28</v>
      </c>
      <c r="D1399">
        <v>4</v>
      </c>
      <c r="E1399">
        <v>18</v>
      </c>
      <c r="F1399" t="s">
        <v>438</v>
      </c>
      <c r="I1399" t="s">
        <v>431</v>
      </c>
      <c r="J1399">
        <v>299</v>
      </c>
      <c r="K1399">
        <v>1</v>
      </c>
      <c r="L1399" s="8">
        <v>299</v>
      </c>
      <c r="M1399" s="8">
        <v>299</v>
      </c>
      <c r="N1399" s="5">
        <v>15.040241448692154</v>
      </c>
      <c r="O1399" t="s">
        <v>439</v>
      </c>
      <c r="P1399" t="s">
        <v>340</v>
      </c>
      <c r="Q1399" t="s">
        <v>24</v>
      </c>
    </row>
    <row r="1400" spans="1:18" hidden="1" x14ac:dyDescent="0.25">
      <c r="A1400" s="2" t="s">
        <v>391</v>
      </c>
      <c r="B1400" s="3" t="str">
        <f t="shared" si="27"/>
        <v>18/4/28</v>
      </c>
      <c r="C1400">
        <v>28</v>
      </c>
      <c r="D1400">
        <v>4</v>
      </c>
      <c r="E1400">
        <v>18</v>
      </c>
      <c r="F1400" t="s">
        <v>44</v>
      </c>
      <c r="H1400" t="s">
        <v>44</v>
      </c>
      <c r="I1400" t="s">
        <v>27</v>
      </c>
      <c r="J1400">
        <v>28</v>
      </c>
      <c r="K1400">
        <v>1</v>
      </c>
      <c r="L1400">
        <v>28</v>
      </c>
      <c r="M1400">
        <v>28</v>
      </c>
      <c r="N1400" s="5">
        <v>1.4084507042253522</v>
      </c>
      <c r="O1400" t="s">
        <v>39</v>
      </c>
      <c r="Q1400" t="s">
        <v>24</v>
      </c>
    </row>
    <row r="1401" spans="1:18" hidden="1" x14ac:dyDescent="0.25">
      <c r="A1401" s="2" t="s">
        <v>391</v>
      </c>
      <c r="B1401" s="3" t="str">
        <f t="shared" si="27"/>
        <v>18/4/28</v>
      </c>
      <c r="C1401">
        <v>28</v>
      </c>
      <c r="D1401">
        <v>4</v>
      </c>
      <c r="E1401">
        <v>18</v>
      </c>
      <c r="F1401" t="s">
        <v>369</v>
      </c>
      <c r="G1401" t="s">
        <v>210</v>
      </c>
      <c r="H1401" t="s">
        <v>131</v>
      </c>
      <c r="I1401" t="s">
        <v>27</v>
      </c>
      <c r="J1401">
        <v>54</v>
      </c>
      <c r="K1401">
        <v>1</v>
      </c>
      <c r="L1401">
        <v>54</v>
      </c>
      <c r="M1401">
        <v>54</v>
      </c>
      <c r="N1401" s="5">
        <v>2.7162977867203222</v>
      </c>
      <c r="O1401" t="s">
        <v>39</v>
      </c>
      <c r="Q1401" t="s">
        <v>24</v>
      </c>
    </row>
    <row r="1402" spans="1:18" hidden="1" x14ac:dyDescent="0.25">
      <c r="A1402" s="2" t="s">
        <v>391</v>
      </c>
      <c r="B1402" s="3" t="str">
        <f t="shared" si="27"/>
        <v>18/4/28</v>
      </c>
      <c r="C1402">
        <v>28</v>
      </c>
      <c r="D1402">
        <v>4</v>
      </c>
      <c r="E1402">
        <v>18</v>
      </c>
      <c r="F1402" t="s">
        <v>429</v>
      </c>
      <c r="G1402" t="s">
        <v>319</v>
      </c>
      <c r="H1402" t="s">
        <v>131</v>
      </c>
      <c r="I1402" t="s">
        <v>27</v>
      </c>
      <c r="J1402">
        <v>26.03</v>
      </c>
      <c r="K1402">
        <v>1</v>
      </c>
      <c r="L1402">
        <v>26.03</v>
      </c>
      <c r="M1402">
        <v>26.03</v>
      </c>
      <c r="N1402" s="5">
        <v>1.3093561368209257</v>
      </c>
      <c r="O1402" t="s">
        <v>1472</v>
      </c>
      <c r="P1402" t="s">
        <v>340</v>
      </c>
      <c r="Q1402" t="s">
        <v>24</v>
      </c>
    </row>
    <row r="1403" spans="1:18" hidden="1" x14ac:dyDescent="0.25">
      <c r="A1403" s="2" t="s">
        <v>391</v>
      </c>
      <c r="B1403" s="3" t="str">
        <f t="shared" si="27"/>
        <v>18/4/29</v>
      </c>
      <c r="C1403">
        <v>29</v>
      </c>
      <c r="D1403">
        <v>4</v>
      </c>
      <c r="E1403">
        <v>18</v>
      </c>
      <c r="F1403" t="s">
        <v>1538</v>
      </c>
      <c r="H1403" t="s">
        <v>49</v>
      </c>
      <c r="I1403" t="s">
        <v>50</v>
      </c>
      <c r="J1403" s="15">
        <v>9</v>
      </c>
      <c r="K1403" s="15">
        <v>1</v>
      </c>
      <c r="L1403">
        <v>181.62</v>
      </c>
      <c r="M1403">
        <v>181.62</v>
      </c>
      <c r="N1403" s="5">
        <v>9.1358148893360163</v>
      </c>
      <c r="O1403" t="s">
        <v>306</v>
      </c>
      <c r="P1403" t="s">
        <v>340</v>
      </c>
      <c r="Q1403" t="s">
        <v>24</v>
      </c>
      <c r="R1403" t="s">
        <v>1581</v>
      </c>
    </row>
    <row r="1404" spans="1:18" hidden="1" x14ac:dyDescent="0.25">
      <c r="A1404" s="2" t="s">
        <v>391</v>
      </c>
      <c r="B1404" s="3" t="str">
        <f t="shared" si="27"/>
        <v>18/4/29</v>
      </c>
      <c r="C1404">
        <v>29</v>
      </c>
      <c r="D1404">
        <v>4</v>
      </c>
      <c r="E1404">
        <v>18</v>
      </c>
      <c r="F1404" t="s">
        <v>317</v>
      </c>
      <c r="G1404" t="s">
        <v>155</v>
      </c>
      <c r="H1404" t="s">
        <v>131</v>
      </c>
      <c r="I1404" t="s">
        <v>27</v>
      </c>
      <c r="J1404" s="17">
        <v>4</v>
      </c>
      <c r="K1404" s="17">
        <v>3</v>
      </c>
      <c r="L1404">
        <v>80.72</v>
      </c>
      <c r="M1404">
        <v>242.16</v>
      </c>
      <c r="N1404" s="5">
        <v>12.181086519114688</v>
      </c>
      <c r="O1404" t="s">
        <v>306</v>
      </c>
      <c r="P1404" t="s">
        <v>340</v>
      </c>
      <c r="Q1404" t="s">
        <v>24</v>
      </c>
    </row>
    <row r="1405" spans="1:18" hidden="1" x14ac:dyDescent="0.25">
      <c r="A1405" s="2" t="s">
        <v>391</v>
      </c>
      <c r="B1405" s="3" t="str">
        <f t="shared" si="27"/>
        <v>18/4/29</v>
      </c>
      <c r="C1405">
        <v>29</v>
      </c>
      <c r="D1405">
        <v>4</v>
      </c>
      <c r="E1405">
        <v>18</v>
      </c>
      <c r="F1405" t="s">
        <v>342</v>
      </c>
      <c r="H1405" t="s">
        <v>56</v>
      </c>
      <c r="I1405" t="s">
        <v>27</v>
      </c>
      <c r="J1405">
        <v>37.99</v>
      </c>
      <c r="K1405">
        <v>0.77</v>
      </c>
      <c r="L1405">
        <v>37.99</v>
      </c>
      <c r="M1405">
        <v>29.25</v>
      </c>
      <c r="N1405" s="5">
        <v>1.4713279678068412</v>
      </c>
      <c r="O1405" t="s">
        <v>101</v>
      </c>
      <c r="P1405" t="s">
        <v>340</v>
      </c>
      <c r="Q1405" t="s">
        <v>24</v>
      </c>
    </row>
    <row r="1406" spans="1:18" hidden="1" x14ac:dyDescent="0.25">
      <c r="A1406" s="2" t="s">
        <v>391</v>
      </c>
      <c r="B1406" s="3" t="str">
        <f t="shared" si="27"/>
        <v>18/4/29</v>
      </c>
      <c r="C1406">
        <v>29</v>
      </c>
      <c r="D1406">
        <v>4</v>
      </c>
      <c r="E1406">
        <v>18</v>
      </c>
      <c r="F1406" t="s">
        <v>174</v>
      </c>
      <c r="H1406" t="s">
        <v>54</v>
      </c>
      <c r="I1406" t="s">
        <v>27</v>
      </c>
      <c r="J1406">
        <v>6.99</v>
      </c>
      <c r="K1406">
        <v>0.79500000000000004</v>
      </c>
      <c r="L1406">
        <v>6.99</v>
      </c>
      <c r="M1406">
        <v>5.56</v>
      </c>
      <c r="N1406" s="5">
        <v>0.27967806841046278</v>
      </c>
      <c r="O1406" t="s">
        <v>101</v>
      </c>
      <c r="P1406" t="s">
        <v>340</v>
      </c>
      <c r="Q1406" t="s">
        <v>24</v>
      </c>
    </row>
    <row r="1407" spans="1:18" hidden="1" x14ac:dyDescent="0.25">
      <c r="A1407" s="2" t="s">
        <v>391</v>
      </c>
      <c r="B1407" s="3" t="str">
        <f t="shared" si="27"/>
        <v>18/4/29</v>
      </c>
      <c r="C1407">
        <v>29</v>
      </c>
      <c r="D1407">
        <v>4</v>
      </c>
      <c r="E1407">
        <v>18</v>
      </c>
      <c r="F1407" t="s">
        <v>390</v>
      </c>
      <c r="G1407" t="s">
        <v>304</v>
      </c>
      <c r="H1407" t="s">
        <v>39</v>
      </c>
      <c r="I1407" t="s">
        <v>79</v>
      </c>
      <c r="J1407">
        <v>10</v>
      </c>
      <c r="K1407">
        <v>1</v>
      </c>
      <c r="L1407">
        <v>10</v>
      </c>
      <c r="M1407">
        <v>10</v>
      </c>
      <c r="N1407" s="5">
        <v>0.50301810865191154</v>
      </c>
      <c r="O1407" t="s">
        <v>39</v>
      </c>
      <c r="Q1407" t="s">
        <v>24</v>
      </c>
    </row>
    <row r="1408" spans="1:18" hidden="1" x14ac:dyDescent="0.25">
      <c r="A1408" s="2" t="s">
        <v>391</v>
      </c>
      <c r="B1408" s="3" t="str">
        <f t="shared" si="27"/>
        <v>18/4/29</v>
      </c>
      <c r="C1408">
        <v>29</v>
      </c>
      <c r="D1408">
        <v>4</v>
      </c>
      <c r="E1408">
        <v>18</v>
      </c>
      <c r="F1408" t="s">
        <v>2242</v>
      </c>
      <c r="H1408" t="s">
        <v>26</v>
      </c>
      <c r="I1408" t="s">
        <v>27</v>
      </c>
      <c r="J1408">
        <v>6.02</v>
      </c>
      <c r="K1408">
        <v>1</v>
      </c>
      <c r="L1408">
        <v>6.02</v>
      </c>
      <c r="M1408">
        <v>6.02</v>
      </c>
      <c r="N1408" s="5">
        <v>0.30281690140845069</v>
      </c>
      <c r="O1408" t="s">
        <v>1472</v>
      </c>
      <c r="P1408" t="s">
        <v>340</v>
      </c>
      <c r="Q1408" t="s">
        <v>24</v>
      </c>
    </row>
    <row r="1409" spans="1:18" hidden="1" x14ac:dyDescent="0.25">
      <c r="A1409" s="2" t="s">
        <v>391</v>
      </c>
      <c r="B1409" s="3" t="str">
        <f t="shared" si="27"/>
        <v>18/4/29</v>
      </c>
      <c r="C1409">
        <v>29</v>
      </c>
      <c r="D1409">
        <v>4</v>
      </c>
      <c r="E1409">
        <v>18</v>
      </c>
      <c r="F1409" t="s">
        <v>98</v>
      </c>
      <c r="H1409" t="s">
        <v>26</v>
      </c>
      <c r="I1409" t="s">
        <v>27</v>
      </c>
      <c r="J1409">
        <v>26.56</v>
      </c>
      <c r="K1409">
        <v>1</v>
      </c>
      <c r="L1409">
        <v>26.56</v>
      </c>
      <c r="M1409">
        <v>26.56</v>
      </c>
      <c r="N1409" s="5">
        <v>1.336016096579477</v>
      </c>
      <c r="O1409" t="s">
        <v>1472</v>
      </c>
      <c r="P1409" t="s">
        <v>340</v>
      </c>
      <c r="Q1409" t="s">
        <v>24</v>
      </c>
      <c r="R1409" t="s">
        <v>1259</v>
      </c>
    </row>
    <row r="1410" spans="1:18" hidden="1" x14ac:dyDescent="0.25">
      <c r="A1410" s="2" t="s">
        <v>391</v>
      </c>
      <c r="B1410" s="3" t="str">
        <f t="shared" si="27"/>
        <v>18/4/29</v>
      </c>
      <c r="C1410">
        <v>29</v>
      </c>
      <c r="D1410">
        <v>4</v>
      </c>
      <c r="E1410">
        <v>18</v>
      </c>
      <c r="F1410" t="s">
        <v>440</v>
      </c>
      <c r="H1410" t="s">
        <v>364</v>
      </c>
      <c r="I1410" t="s">
        <v>27</v>
      </c>
      <c r="J1410">
        <v>18.28</v>
      </c>
      <c r="K1410">
        <v>1</v>
      </c>
      <c r="L1410">
        <v>18.28</v>
      </c>
      <c r="M1410">
        <v>18.28</v>
      </c>
      <c r="N1410" s="5">
        <v>0.9195171026156943</v>
      </c>
      <c r="O1410" t="s">
        <v>1472</v>
      </c>
      <c r="P1410" t="s">
        <v>340</v>
      </c>
      <c r="Q1410" t="s">
        <v>24</v>
      </c>
    </row>
    <row r="1411" spans="1:18" hidden="1" x14ac:dyDescent="0.25">
      <c r="A1411" s="2" t="s">
        <v>391</v>
      </c>
      <c r="B1411" s="3" t="str">
        <f t="shared" si="27"/>
        <v>18/4/29</v>
      </c>
      <c r="C1411">
        <v>29</v>
      </c>
      <c r="D1411">
        <v>4</v>
      </c>
      <c r="E1411">
        <v>18</v>
      </c>
      <c r="F1411" t="s">
        <v>441</v>
      </c>
      <c r="H1411" t="s">
        <v>364</v>
      </c>
      <c r="I1411" t="s">
        <v>27</v>
      </c>
      <c r="J1411">
        <v>2.2599999999999998</v>
      </c>
      <c r="K1411">
        <v>1</v>
      </c>
      <c r="L1411">
        <v>2.2599999999999998</v>
      </c>
      <c r="M1411">
        <v>2.2599999999999998</v>
      </c>
      <c r="N1411" s="5">
        <v>0.11368209255533199</v>
      </c>
      <c r="O1411" t="s">
        <v>1472</v>
      </c>
      <c r="P1411" t="s">
        <v>340</v>
      </c>
      <c r="Q1411" t="s">
        <v>24</v>
      </c>
    </row>
    <row r="1412" spans="1:18" hidden="1" x14ac:dyDescent="0.25">
      <c r="A1412" s="2" t="s">
        <v>391</v>
      </c>
      <c r="B1412" s="3" t="str">
        <f t="shared" si="27"/>
        <v>18/4/29</v>
      </c>
      <c r="C1412">
        <v>29</v>
      </c>
      <c r="D1412">
        <v>4</v>
      </c>
      <c r="E1412">
        <v>18</v>
      </c>
      <c r="F1412" t="s">
        <v>73</v>
      </c>
      <c r="H1412" t="s">
        <v>73</v>
      </c>
      <c r="I1412" t="s">
        <v>27</v>
      </c>
      <c r="J1412">
        <v>13.3</v>
      </c>
      <c r="K1412">
        <v>1</v>
      </c>
      <c r="L1412">
        <v>13.3</v>
      </c>
      <c r="M1412">
        <v>13.3</v>
      </c>
      <c r="N1412" s="5">
        <v>0.66901408450704236</v>
      </c>
      <c r="O1412" t="s">
        <v>1472</v>
      </c>
      <c r="P1412" t="s">
        <v>340</v>
      </c>
      <c r="Q1412" t="s">
        <v>24</v>
      </c>
    </row>
    <row r="1413" spans="1:18" hidden="1" x14ac:dyDescent="0.25">
      <c r="A1413" s="2" t="s">
        <v>391</v>
      </c>
      <c r="B1413" s="3" t="str">
        <f t="shared" si="27"/>
        <v>18/4/29</v>
      </c>
      <c r="C1413">
        <v>29</v>
      </c>
      <c r="D1413">
        <v>4</v>
      </c>
      <c r="E1413">
        <v>18</v>
      </c>
      <c r="F1413" t="s">
        <v>207</v>
      </c>
      <c r="H1413" t="s">
        <v>56</v>
      </c>
      <c r="I1413" t="s">
        <v>27</v>
      </c>
      <c r="J1413">
        <v>34.119999999999997</v>
      </c>
      <c r="K1413">
        <v>1.252</v>
      </c>
      <c r="L1413">
        <v>34.119999999999997</v>
      </c>
      <c r="M1413">
        <v>42.72</v>
      </c>
      <c r="N1413" s="5">
        <v>2.1488933601609657</v>
      </c>
      <c r="O1413" t="s">
        <v>1472</v>
      </c>
      <c r="P1413" t="s">
        <v>340</v>
      </c>
      <c r="Q1413" t="s">
        <v>24</v>
      </c>
    </row>
    <row r="1414" spans="1:18" hidden="1" x14ac:dyDescent="0.25">
      <c r="A1414" s="2" t="s">
        <v>391</v>
      </c>
      <c r="B1414" s="3" t="str">
        <f t="shared" si="27"/>
        <v>18/4/29</v>
      </c>
      <c r="C1414">
        <v>29</v>
      </c>
      <c r="D1414">
        <v>4</v>
      </c>
      <c r="E1414">
        <v>18</v>
      </c>
      <c r="F1414" t="s">
        <v>442</v>
      </c>
      <c r="I1414" t="s">
        <v>96</v>
      </c>
      <c r="J1414">
        <f>8+3</f>
        <v>11</v>
      </c>
      <c r="K1414">
        <v>1</v>
      </c>
      <c r="L1414" s="8">
        <v>131</v>
      </c>
      <c r="M1414" s="8">
        <v>131.04</v>
      </c>
      <c r="N1414" s="5">
        <v>6.591549295774648</v>
      </c>
      <c r="O1414" t="s">
        <v>443</v>
      </c>
      <c r="P1414" t="s">
        <v>651</v>
      </c>
      <c r="Q1414" t="s">
        <v>24</v>
      </c>
    </row>
    <row r="1415" spans="1:18" hidden="1" x14ac:dyDescent="0.25">
      <c r="A1415" s="2" t="s">
        <v>391</v>
      </c>
      <c r="B1415" s="3" t="str">
        <f t="shared" si="27"/>
        <v>18/4/3</v>
      </c>
      <c r="C1415">
        <v>3</v>
      </c>
      <c r="D1415">
        <v>4</v>
      </c>
      <c r="E1415">
        <v>18</v>
      </c>
      <c r="F1415" t="s">
        <v>71</v>
      </c>
      <c r="I1415" t="s">
        <v>72</v>
      </c>
      <c r="J1415">
        <v>333</v>
      </c>
      <c r="K1415">
        <v>1</v>
      </c>
      <c r="L1415">
        <v>333</v>
      </c>
      <c r="M1415">
        <v>333</v>
      </c>
      <c r="N1415" s="5">
        <v>16.750503018108652</v>
      </c>
      <c r="O1415" t="s">
        <v>39</v>
      </c>
      <c r="Q1415" t="s">
        <v>24</v>
      </c>
      <c r="R1415" t="s">
        <v>230</v>
      </c>
    </row>
    <row r="1416" spans="1:18" hidden="1" x14ac:dyDescent="0.25">
      <c r="A1416" s="2" t="s">
        <v>391</v>
      </c>
      <c r="B1416" s="3" t="str">
        <f t="shared" si="27"/>
        <v>18/4/3</v>
      </c>
      <c r="C1416">
        <v>3</v>
      </c>
      <c r="D1416">
        <v>4</v>
      </c>
      <c r="E1416">
        <v>18</v>
      </c>
      <c r="F1416" t="s">
        <v>141</v>
      </c>
      <c r="H1416" t="s">
        <v>172</v>
      </c>
      <c r="I1416" t="s">
        <v>39</v>
      </c>
      <c r="J1416">
        <v>2</v>
      </c>
      <c r="K1416">
        <v>1</v>
      </c>
      <c r="L1416">
        <v>2</v>
      </c>
      <c r="M1416">
        <v>2</v>
      </c>
      <c r="N1416" s="5">
        <v>0.1006036217303823</v>
      </c>
      <c r="O1416" t="s">
        <v>39</v>
      </c>
      <c r="Q1416" t="s">
        <v>24</v>
      </c>
    </row>
    <row r="1417" spans="1:18" hidden="1" x14ac:dyDescent="0.25">
      <c r="A1417" s="2" t="s">
        <v>391</v>
      </c>
      <c r="B1417" s="3" t="str">
        <f t="shared" si="27"/>
        <v>18/4/3</v>
      </c>
      <c r="C1417">
        <v>3</v>
      </c>
      <c r="D1417">
        <v>4</v>
      </c>
      <c r="E1417">
        <v>18</v>
      </c>
      <c r="F1417" t="s">
        <v>104</v>
      </c>
      <c r="I1417" t="s">
        <v>72</v>
      </c>
      <c r="J1417">
        <v>71.7</v>
      </c>
      <c r="K1417">
        <v>1</v>
      </c>
      <c r="L1417">
        <v>71.7</v>
      </c>
      <c r="M1417">
        <v>71.7</v>
      </c>
      <c r="N1417" s="5">
        <v>3.6066398390342056</v>
      </c>
      <c r="O1417" t="s">
        <v>243</v>
      </c>
      <c r="P1417" t="s">
        <v>340</v>
      </c>
      <c r="Q1417" t="s">
        <v>24</v>
      </c>
      <c r="R1417" t="s">
        <v>444</v>
      </c>
    </row>
    <row r="1418" spans="1:18" hidden="1" x14ac:dyDescent="0.25">
      <c r="A1418" s="2" t="s">
        <v>391</v>
      </c>
      <c r="B1418" s="3" t="str">
        <f t="shared" si="27"/>
        <v>18/4/3</v>
      </c>
      <c r="C1418">
        <v>3</v>
      </c>
      <c r="D1418">
        <v>4</v>
      </c>
      <c r="E1418">
        <v>18</v>
      </c>
      <c r="F1418" t="s">
        <v>146</v>
      </c>
      <c r="H1418" t="s">
        <v>49</v>
      </c>
      <c r="I1418" t="s">
        <v>50</v>
      </c>
      <c r="J1418">
        <v>0.75</v>
      </c>
      <c r="K1418">
        <v>1</v>
      </c>
      <c r="L1418">
        <v>0.75</v>
      </c>
      <c r="M1418">
        <v>0.75</v>
      </c>
      <c r="N1418" s="5">
        <v>3.7726358148893364E-2</v>
      </c>
      <c r="O1418" t="s">
        <v>100</v>
      </c>
      <c r="P1418" t="s">
        <v>340</v>
      </c>
      <c r="Q1418" t="s">
        <v>24</v>
      </c>
    </row>
    <row r="1419" spans="1:18" hidden="1" x14ac:dyDescent="0.25">
      <c r="A1419" s="2" t="s">
        <v>391</v>
      </c>
      <c r="B1419" s="3" t="str">
        <f t="shared" si="27"/>
        <v>18/4/3</v>
      </c>
      <c r="C1419">
        <v>3</v>
      </c>
      <c r="D1419">
        <v>4</v>
      </c>
      <c r="E1419">
        <v>18</v>
      </c>
      <c r="F1419" t="s">
        <v>369</v>
      </c>
      <c r="G1419" t="s">
        <v>210</v>
      </c>
      <c r="H1419" t="s">
        <v>131</v>
      </c>
      <c r="I1419" t="s">
        <v>27</v>
      </c>
      <c r="J1419">
        <v>54.5</v>
      </c>
      <c r="K1419">
        <v>1</v>
      </c>
      <c r="L1419">
        <v>54.5</v>
      </c>
      <c r="M1419">
        <v>54.5</v>
      </c>
      <c r="N1419" s="5">
        <v>2.7414486921529178</v>
      </c>
      <c r="O1419" t="s">
        <v>100</v>
      </c>
      <c r="P1419" t="s">
        <v>340</v>
      </c>
      <c r="Q1419" t="s">
        <v>24</v>
      </c>
    </row>
    <row r="1420" spans="1:18" hidden="1" x14ac:dyDescent="0.25">
      <c r="A1420" s="2" t="s">
        <v>391</v>
      </c>
      <c r="B1420" s="3" t="str">
        <f t="shared" si="27"/>
        <v>18/4/3</v>
      </c>
      <c r="C1420">
        <v>3</v>
      </c>
      <c r="D1420">
        <v>4</v>
      </c>
      <c r="E1420">
        <v>18</v>
      </c>
      <c r="F1420" t="s">
        <v>98</v>
      </c>
      <c r="H1420" t="s">
        <v>26</v>
      </c>
      <c r="I1420" t="s">
        <v>27</v>
      </c>
      <c r="J1420">
        <v>71</v>
      </c>
      <c r="K1420">
        <v>1</v>
      </c>
      <c r="L1420">
        <v>71</v>
      </c>
      <c r="M1420">
        <v>71</v>
      </c>
      <c r="N1420" s="5">
        <v>3.5714285714285716</v>
      </c>
      <c r="O1420" t="s">
        <v>100</v>
      </c>
      <c r="P1420" t="s">
        <v>340</v>
      </c>
      <c r="Q1420" t="s">
        <v>24</v>
      </c>
      <c r="R1420" t="s">
        <v>1257</v>
      </c>
    </row>
    <row r="1421" spans="1:18" hidden="1" x14ac:dyDescent="0.25">
      <c r="A1421" s="2" t="s">
        <v>391</v>
      </c>
      <c r="B1421" s="3" t="str">
        <f t="shared" si="27"/>
        <v>18/4/3</v>
      </c>
      <c r="C1421">
        <v>3</v>
      </c>
      <c r="D1421">
        <v>4</v>
      </c>
      <c r="E1421">
        <v>18</v>
      </c>
      <c r="F1421" t="s">
        <v>258</v>
      </c>
      <c r="H1421" t="s">
        <v>39</v>
      </c>
      <c r="I1421" t="s">
        <v>27</v>
      </c>
      <c r="J1421">
        <v>37.5</v>
      </c>
      <c r="K1421">
        <v>1</v>
      </c>
      <c r="L1421">
        <v>37.5</v>
      </c>
      <c r="M1421">
        <v>37.5</v>
      </c>
      <c r="N1421" s="5">
        <v>1.8863179074446681</v>
      </c>
      <c r="O1421" t="s">
        <v>100</v>
      </c>
      <c r="P1421" t="s">
        <v>340</v>
      </c>
      <c r="Q1421" t="s">
        <v>24</v>
      </c>
    </row>
    <row r="1422" spans="1:18" hidden="1" x14ac:dyDescent="0.25">
      <c r="A1422" s="2" t="s">
        <v>391</v>
      </c>
      <c r="B1422" s="3" t="str">
        <f t="shared" si="27"/>
        <v>18/4/3</v>
      </c>
      <c r="C1422">
        <v>3</v>
      </c>
      <c r="D1422">
        <v>4</v>
      </c>
      <c r="E1422">
        <v>18</v>
      </c>
      <c r="F1422" t="s">
        <v>922</v>
      </c>
      <c r="G1422" t="s">
        <v>155</v>
      </c>
      <c r="H1422" t="s">
        <v>131</v>
      </c>
      <c r="I1422" t="s">
        <v>27</v>
      </c>
      <c r="J1422">
        <v>67.5</v>
      </c>
      <c r="K1422">
        <v>2</v>
      </c>
      <c r="L1422">
        <v>67.5</v>
      </c>
      <c r="M1422">
        <v>135</v>
      </c>
      <c r="N1422" s="5">
        <v>6.7907444668008052</v>
      </c>
      <c r="O1422" t="s">
        <v>100</v>
      </c>
      <c r="P1422" t="s">
        <v>340</v>
      </c>
      <c r="Q1422" t="s">
        <v>24</v>
      </c>
    </row>
    <row r="1423" spans="1:18" hidden="1" x14ac:dyDescent="0.25">
      <c r="A1423" s="2" t="s">
        <v>391</v>
      </c>
      <c r="B1423" s="3" t="str">
        <f t="shared" si="27"/>
        <v>18/4/30</v>
      </c>
      <c r="C1423">
        <v>30</v>
      </c>
      <c r="D1423">
        <v>4</v>
      </c>
      <c r="E1423">
        <v>18</v>
      </c>
      <c r="F1423" t="s">
        <v>78</v>
      </c>
      <c r="G1423" t="s">
        <v>304</v>
      </c>
      <c r="H1423" t="s">
        <v>78</v>
      </c>
      <c r="I1423" t="s">
        <v>79</v>
      </c>
      <c r="J1423">
        <v>17.850000000000001</v>
      </c>
      <c r="K1423">
        <v>50.42</v>
      </c>
      <c r="L1423">
        <v>17.850000000000001</v>
      </c>
      <c r="M1423">
        <v>900</v>
      </c>
      <c r="N1423" s="5">
        <v>45.271629778672036</v>
      </c>
      <c r="O1423" t="s">
        <v>80</v>
      </c>
      <c r="P1423" t="s">
        <v>340</v>
      </c>
      <c r="Q1423" t="s">
        <v>24</v>
      </c>
    </row>
    <row r="1424" spans="1:18" hidden="1" x14ac:dyDescent="0.25">
      <c r="A1424" s="2" t="s">
        <v>391</v>
      </c>
      <c r="B1424" s="3" t="str">
        <f t="shared" si="27"/>
        <v>18/4/30</v>
      </c>
      <c r="C1424" s="13">
        <v>30</v>
      </c>
      <c r="D1424">
        <v>4</v>
      </c>
      <c r="E1424">
        <v>18</v>
      </c>
      <c r="F1424" t="s">
        <v>367</v>
      </c>
      <c r="H1424" t="s">
        <v>364</v>
      </c>
      <c r="I1424" t="s">
        <v>27</v>
      </c>
      <c r="J1424">
        <v>90.7</v>
      </c>
      <c r="K1424">
        <v>1</v>
      </c>
      <c r="L1424">
        <v>90.7</v>
      </c>
      <c r="M1424">
        <v>90.7</v>
      </c>
      <c r="N1424" s="5">
        <v>4.5623742454728378</v>
      </c>
      <c r="O1424" t="s">
        <v>36</v>
      </c>
      <c r="P1424" t="s">
        <v>340</v>
      </c>
      <c r="Q1424" t="s">
        <v>24</v>
      </c>
    </row>
    <row r="1425" spans="1:18" hidden="1" x14ac:dyDescent="0.25">
      <c r="A1425" s="2" t="s">
        <v>391</v>
      </c>
      <c r="B1425" s="3" t="str">
        <f t="shared" si="27"/>
        <v>18/4/30</v>
      </c>
      <c r="C1425">
        <v>30</v>
      </c>
      <c r="D1425">
        <v>4</v>
      </c>
      <c r="E1425">
        <v>18</v>
      </c>
      <c r="F1425" t="s">
        <v>99</v>
      </c>
      <c r="H1425" t="s">
        <v>40</v>
      </c>
      <c r="I1425" t="s">
        <v>27</v>
      </c>
      <c r="J1425" s="15">
        <v>10</v>
      </c>
      <c r="K1425" s="15">
        <v>1</v>
      </c>
      <c r="L1425">
        <v>10</v>
      </c>
      <c r="M1425">
        <v>10</v>
      </c>
      <c r="N1425" s="5">
        <v>0.50301810865191154</v>
      </c>
      <c r="O1425" t="s">
        <v>36</v>
      </c>
      <c r="P1425" t="s">
        <v>340</v>
      </c>
      <c r="Q1425" t="s">
        <v>24</v>
      </c>
    </row>
    <row r="1426" spans="1:18" hidden="1" x14ac:dyDescent="0.25">
      <c r="A1426" s="2" t="s">
        <v>391</v>
      </c>
      <c r="B1426" s="3" t="str">
        <f t="shared" si="27"/>
        <v>18/4/4</v>
      </c>
      <c r="C1426">
        <v>4</v>
      </c>
      <c r="D1426">
        <v>4</v>
      </c>
      <c r="E1426">
        <v>18</v>
      </c>
      <c r="F1426" t="s">
        <v>141</v>
      </c>
      <c r="H1426" t="s">
        <v>172</v>
      </c>
      <c r="I1426" t="s">
        <v>39</v>
      </c>
      <c r="J1426">
        <v>3</v>
      </c>
      <c r="K1426">
        <v>1</v>
      </c>
      <c r="L1426">
        <v>3</v>
      </c>
      <c r="M1426">
        <v>3</v>
      </c>
      <c r="N1426" s="5">
        <v>0.15090543259557346</v>
      </c>
      <c r="O1426" t="s">
        <v>39</v>
      </c>
      <c r="Q1426" t="s">
        <v>24</v>
      </c>
    </row>
    <row r="1427" spans="1:18" hidden="1" x14ac:dyDescent="0.25">
      <c r="A1427" s="2" t="s">
        <v>391</v>
      </c>
      <c r="B1427" s="3" t="str">
        <f t="shared" si="27"/>
        <v>18/4/4</v>
      </c>
      <c r="C1427">
        <v>4</v>
      </c>
      <c r="D1427">
        <v>4</v>
      </c>
      <c r="E1427">
        <v>18</v>
      </c>
      <c r="F1427" t="s">
        <v>141</v>
      </c>
      <c r="H1427" t="s">
        <v>172</v>
      </c>
      <c r="I1427" t="s">
        <v>39</v>
      </c>
      <c r="J1427">
        <v>2</v>
      </c>
      <c r="K1427">
        <v>1</v>
      </c>
      <c r="L1427">
        <v>2</v>
      </c>
      <c r="M1427">
        <v>2</v>
      </c>
      <c r="N1427" s="5">
        <v>0.1006036217303823</v>
      </c>
      <c r="O1427" t="s">
        <v>39</v>
      </c>
      <c r="Q1427" t="s">
        <v>24</v>
      </c>
    </row>
    <row r="1428" spans="1:18" hidden="1" x14ac:dyDescent="0.25">
      <c r="A1428" s="2" t="s">
        <v>391</v>
      </c>
      <c r="B1428" s="3" t="str">
        <f t="shared" si="27"/>
        <v>18/4/4</v>
      </c>
      <c r="C1428">
        <v>4</v>
      </c>
      <c r="D1428">
        <v>4</v>
      </c>
      <c r="E1428">
        <v>18</v>
      </c>
      <c r="F1428" t="s">
        <v>141</v>
      </c>
      <c r="H1428" t="s">
        <v>172</v>
      </c>
      <c r="I1428" t="s">
        <v>39</v>
      </c>
      <c r="J1428">
        <v>2</v>
      </c>
      <c r="K1428">
        <v>2</v>
      </c>
      <c r="L1428">
        <v>2</v>
      </c>
      <c r="M1428">
        <v>4</v>
      </c>
      <c r="N1428" s="5">
        <v>0.2012072434607646</v>
      </c>
      <c r="O1428" t="s">
        <v>39</v>
      </c>
      <c r="Q1428" t="s">
        <v>24</v>
      </c>
    </row>
    <row r="1429" spans="1:18" hidden="1" x14ac:dyDescent="0.25">
      <c r="A1429" s="2" t="s">
        <v>391</v>
      </c>
      <c r="B1429" s="3" t="str">
        <f t="shared" si="27"/>
        <v>18/4/4</v>
      </c>
      <c r="C1429">
        <v>4</v>
      </c>
      <c r="D1429">
        <v>4</v>
      </c>
      <c r="E1429">
        <v>18</v>
      </c>
      <c r="F1429" t="s">
        <v>99</v>
      </c>
      <c r="H1429" t="s">
        <v>40</v>
      </c>
      <c r="I1429" t="s">
        <v>27</v>
      </c>
      <c r="J1429">
        <v>10</v>
      </c>
      <c r="K1429">
        <v>1</v>
      </c>
      <c r="L1429">
        <v>10</v>
      </c>
      <c r="M1429">
        <v>10</v>
      </c>
      <c r="N1429" s="5">
        <v>0.50301810865191154</v>
      </c>
      <c r="O1429" t="s">
        <v>100</v>
      </c>
      <c r="P1429" t="s">
        <v>340</v>
      </c>
      <c r="Q1429" t="s">
        <v>24</v>
      </c>
    </row>
    <row r="1430" spans="1:18" hidden="1" x14ac:dyDescent="0.25">
      <c r="A1430" s="2" t="s">
        <v>391</v>
      </c>
      <c r="B1430" s="3" t="str">
        <f t="shared" ref="B1430:B1493" si="28">CONCATENATE(E1430,"/",D1430,"/",C1430)</f>
        <v>18/4/4</v>
      </c>
      <c r="C1430">
        <v>4</v>
      </c>
      <c r="D1430">
        <v>4</v>
      </c>
      <c r="E1430">
        <v>18</v>
      </c>
      <c r="F1430" t="s">
        <v>55</v>
      </c>
      <c r="H1430" t="s">
        <v>56</v>
      </c>
      <c r="I1430" t="s">
        <v>27</v>
      </c>
      <c r="J1430">
        <v>44</v>
      </c>
      <c r="K1430">
        <v>1.1819999999999999</v>
      </c>
      <c r="L1430">
        <v>44</v>
      </c>
      <c r="M1430">
        <v>52.01</v>
      </c>
      <c r="N1430" s="5">
        <v>2.6161971830985915</v>
      </c>
      <c r="O1430" t="s">
        <v>100</v>
      </c>
      <c r="P1430" t="s">
        <v>340</v>
      </c>
      <c r="Q1430" t="s">
        <v>24</v>
      </c>
    </row>
    <row r="1431" spans="1:18" hidden="1" x14ac:dyDescent="0.25">
      <c r="A1431" s="2" t="s">
        <v>391</v>
      </c>
      <c r="B1431" s="3" t="str">
        <f t="shared" si="28"/>
        <v>18/4/4</v>
      </c>
      <c r="C1431">
        <v>4</v>
      </c>
      <c r="D1431">
        <v>4</v>
      </c>
      <c r="E1431">
        <v>18</v>
      </c>
      <c r="F1431" t="s">
        <v>922</v>
      </c>
      <c r="G1431" t="s">
        <v>155</v>
      </c>
      <c r="H1431" t="s">
        <v>131</v>
      </c>
      <c r="I1431" t="s">
        <v>27</v>
      </c>
      <c r="J1431">
        <v>67.5</v>
      </c>
      <c r="K1431">
        <v>3</v>
      </c>
      <c r="L1431">
        <v>67.5</v>
      </c>
      <c r="M1431">
        <v>202.5</v>
      </c>
      <c r="N1431" s="5">
        <v>10.186116700201207</v>
      </c>
      <c r="O1431" t="s">
        <v>100</v>
      </c>
      <c r="P1431" t="s">
        <v>340</v>
      </c>
      <c r="Q1431" t="s">
        <v>24</v>
      </c>
    </row>
    <row r="1432" spans="1:18" hidden="1" x14ac:dyDescent="0.25">
      <c r="A1432" s="2" t="s">
        <v>391</v>
      </c>
      <c r="B1432" s="3" t="str">
        <f t="shared" si="28"/>
        <v>18/4/5</v>
      </c>
      <c r="C1432">
        <v>5</v>
      </c>
      <c r="D1432">
        <v>4</v>
      </c>
      <c r="E1432">
        <v>18</v>
      </c>
      <c r="F1432" t="s">
        <v>141</v>
      </c>
      <c r="H1432" t="s">
        <v>172</v>
      </c>
      <c r="I1432" t="s">
        <v>39</v>
      </c>
      <c r="J1432">
        <v>2</v>
      </c>
      <c r="K1432">
        <v>1</v>
      </c>
      <c r="L1432">
        <v>2</v>
      </c>
      <c r="M1432">
        <v>2</v>
      </c>
      <c r="N1432" s="5">
        <v>0.1006036217303823</v>
      </c>
      <c r="O1432" t="s">
        <v>39</v>
      </c>
      <c r="Q1432" t="s">
        <v>24</v>
      </c>
    </row>
    <row r="1433" spans="1:18" hidden="1" x14ac:dyDescent="0.25">
      <c r="A1433" s="2" t="s">
        <v>391</v>
      </c>
      <c r="B1433" s="3" t="str">
        <f t="shared" si="28"/>
        <v>18/4/5</v>
      </c>
      <c r="C1433">
        <v>5</v>
      </c>
      <c r="D1433">
        <v>4</v>
      </c>
      <c r="E1433">
        <v>18</v>
      </c>
      <c r="F1433" t="s">
        <v>246</v>
      </c>
      <c r="I1433" t="s">
        <v>72</v>
      </c>
      <c r="J1433">
        <v>733</v>
      </c>
      <c r="K1433">
        <v>1</v>
      </c>
      <c r="L1433">
        <v>733</v>
      </c>
      <c r="M1433">
        <v>733</v>
      </c>
      <c r="N1433" s="5">
        <v>36.87122736418511</v>
      </c>
      <c r="O1433" t="s">
        <v>39</v>
      </c>
      <c r="Q1433" t="s">
        <v>24</v>
      </c>
    </row>
    <row r="1434" spans="1:18" hidden="1" x14ac:dyDescent="0.25">
      <c r="A1434" s="2" t="s">
        <v>391</v>
      </c>
      <c r="B1434" s="3" t="str">
        <f t="shared" si="28"/>
        <v>18/4/5</v>
      </c>
      <c r="C1434">
        <v>5</v>
      </c>
      <c r="D1434">
        <v>4</v>
      </c>
      <c r="E1434">
        <v>18</v>
      </c>
      <c r="F1434" t="s">
        <v>1747</v>
      </c>
      <c r="I1434" t="s">
        <v>72</v>
      </c>
      <c r="J1434">
        <v>266</v>
      </c>
      <c r="K1434">
        <v>1</v>
      </c>
      <c r="L1434">
        <v>266</v>
      </c>
      <c r="M1434">
        <v>266</v>
      </c>
      <c r="N1434" s="5">
        <v>13.380281690140846</v>
      </c>
      <c r="O1434" t="s">
        <v>39</v>
      </c>
      <c r="Q1434" t="s">
        <v>24</v>
      </c>
      <c r="R1434" t="s">
        <v>445</v>
      </c>
    </row>
    <row r="1435" spans="1:18" hidden="1" x14ac:dyDescent="0.25">
      <c r="A1435" s="2" t="s">
        <v>391</v>
      </c>
      <c r="B1435" s="3" t="str">
        <f t="shared" si="28"/>
        <v>18/4/5</v>
      </c>
      <c r="C1435">
        <v>5</v>
      </c>
      <c r="D1435">
        <v>4</v>
      </c>
      <c r="E1435">
        <v>18</v>
      </c>
      <c r="F1435" t="s">
        <v>141</v>
      </c>
      <c r="H1435" t="s">
        <v>172</v>
      </c>
      <c r="I1435" t="s">
        <v>39</v>
      </c>
      <c r="J1435">
        <v>3</v>
      </c>
      <c r="K1435">
        <v>1</v>
      </c>
      <c r="L1435">
        <v>3</v>
      </c>
      <c r="M1435">
        <v>3</v>
      </c>
      <c r="N1435" s="5">
        <v>0.15090543259557346</v>
      </c>
      <c r="O1435" t="s">
        <v>39</v>
      </c>
      <c r="Q1435" t="s">
        <v>24</v>
      </c>
    </row>
    <row r="1436" spans="1:18" hidden="1" x14ac:dyDescent="0.25">
      <c r="A1436" s="2" t="s">
        <v>391</v>
      </c>
      <c r="B1436" s="3" t="str">
        <f t="shared" si="28"/>
        <v>18/4/5</v>
      </c>
      <c r="C1436">
        <v>5</v>
      </c>
      <c r="D1436">
        <v>4</v>
      </c>
      <c r="E1436">
        <v>18</v>
      </c>
      <c r="F1436" t="s">
        <v>81</v>
      </c>
      <c r="I1436" t="s">
        <v>82</v>
      </c>
      <c r="J1436">
        <v>1644</v>
      </c>
      <c r="K1436">
        <v>1</v>
      </c>
      <c r="L1436" s="14">
        <v>1644</v>
      </c>
      <c r="M1436" s="14">
        <v>1644</v>
      </c>
      <c r="N1436" s="5">
        <v>82.696177062374247</v>
      </c>
      <c r="O1436" t="s">
        <v>447</v>
      </c>
      <c r="P1436" t="s">
        <v>340</v>
      </c>
      <c r="Q1436" t="s">
        <v>84</v>
      </c>
      <c r="R1436" t="s">
        <v>446</v>
      </c>
    </row>
    <row r="1437" spans="1:18" hidden="1" x14ac:dyDescent="0.25">
      <c r="A1437" s="2" t="s">
        <v>391</v>
      </c>
      <c r="B1437" s="3" t="str">
        <f t="shared" si="28"/>
        <v>18/4/5</v>
      </c>
      <c r="C1437">
        <v>5</v>
      </c>
      <c r="D1437">
        <v>4</v>
      </c>
      <c r="E1437">
        <v>18</v>
      </c>
      <c r="F1437" t="s">
        <v>448</v>
      </c>
      <c r="I1437" t="s">
        <v>82</v>
      </c>
      <c r="J1437">
        <v>150</v>
      </c>
      <c r="K1437">
        <v>1</v>
      </c>
      <c r="L1437" s="8">
        <v>150</v>
      </c>
      <c r="M1437" s="8">
        <v>150</v>
      </c>
      <c r="N1437" s="5">
        <v>7.5452716297786724</v>
      </c>
      <c r="O1437" t="s">
        <v>447</v>
      </c>
      <c r="P1437" t="s">
        <v>340</v>
      </c>
      <c r="Q1437" t="s">
        <v>24</v>
      </c>
    </row>
    <row r="1438" spans="1:18" hidden="1" x14ac:dyDescent="0.25">
      <c r="A1438" s="2" t="s">
        <v>391</v>
      </c>
      <c r="B1438" s="3" t="str">
        <f t="shared" si="28"/>
        <v>18/4/5</v>
      </c>
      <c r="C1438">
        <v>5</v>
      </c>
      <c r="D1438">
        <v>4</v>
      </c>
      <c r="E1438">
        <v>18</v>
      </c>
      <c r="F1438" t="s">
        <v>193</v>
      </c>
      <c r="H1438" t="s">
        <v>131</v>
      </c>
      <c r="I1438" t="s">
        <v>27</v>
      </c>
      <c r="J1438">
        <v>29.4</v>
      </c>
      <c r="K1438">
        <v>1</v>
      </c>
      <c r="L1438">
        <v>29.4</v>
      </c>
      <c r="M1438">
        <v>29.4</v>
      </c>
      <c r="N1438" s="5">
        <v>1.4788732394366197</v>
      </c>
      <c r="O1438" t="s">
        <v>100</v>
      </c>
      <c r="P1438" t="s">
        <v>340</v>
      </c>
      <c r="Q1438" t="s">
        <v>84</v>
      </c>
    </row>
    <row r="1439" spans="1:18" hidden="1" x14ac:dyDescent="0.25">
      <c r="A1439" s="2" t="s">
        <v>391</v>
      </c>
      <c r="B1439" s="3" t="str">
        <f t="shared" si="28"/>
        <v>18/4/5</v>
      </c>
      <c r="C1439">
        <v>5</v>
      </c>
      <c r="D1439">
        <v>4</v>
      </c>
      <c r="E1439">
        <v>18</v>
      </c>
      <c r="F1439" t="s">
        <v>190</v>
      </c>
      <c r="H1439" t="s">
        <v>131</v>
      </c>
      <c r="I1439" t="s">
        <v>27</v>
      </c>
      <c r="J1439">
        <v>20.8</v>
      </c>
      <c r="K1439">
        <v>1</v>
      </c>
      <c r="L1439">
        <v>20.8</v>
      </c>
      <c r="M1439">
        <v>20.8</v>
      </c>
      <c r="N1439" s="5">
        <v>1.046277665995976</v>
      </c>
      <c r="O1439" t="s">
        <v>100</v>
      </c>
      <c r="P1439" t="s">
        <v>340</v>
      </c>
      <c r="Q1439" t="s">
        <v>84</v>
      </c>
    </row>
    <row r="1440" spans="1:18" hidden="1" x14ac:dyDescent="0.25">
      <c r="A1440" s="2" t="s">
        <v>391</v>
      </c>
      <c r="B1440" s="3" t="str">
        <f t="shared" si="28"/>
        <v>18/4/5</v>
      </c>
      <c r="C1440">
        <v>5</v>
      </c>
      <c r="D1440">
        <v>4</v>
      </c>
      <c r="E1440">
        <v>18</v>
      </c>
      <c r="F1440" t="s">
        <v>194</v>
      </c>
      <c r="H1440" t="s">
        <v>131</v>
      </c>
      <c r="I1440" t="s">
        <v>27</v>
      </c>
      <c r="J1440">
        <v>18.2</v>
      </c>
      <c r="K1440">
        <v>1</v>
      </c>
      <c r="L1440">
        <v>18.2</v>
      </c>
      <c r="M1440">
        <v>18.2</v>
      </c>
      <c r="N1440" s="5">
        <v>0.91549295774647887</v>
      </c>
      <c r="O1440" t="s">
        <v>100</v>
      </c>
      <c r="P1440" t="s">
        <v>340</v>
      </c>
      <c r="Q1440" t="s">
        <v>84</v>
      </c>
    </row>
    <row r="1441" spans="1:18" hidden="1" x14ac:dyDescent="0.25">
      <c r="A1441" s="2" t="s">
        <v>391</v>
      </c>
      <c r="B1441" s="3" t="str">
        <f t="shared" si="28"/>
        <v>18/4/5</v>
      </c>
      <c r="C1441">
        <v>5</v>
      </c>
      <c r="D1441">
        <v>4</v>
      </c>
      <c r="E1441">
        <v>18</v>
      </c>
      <c r="F1441" t="s">
        <v>922</v>
      </c>
      <c r="G1441" t="s">
        <v>155</v>
      </c>
      <c r="H1441" t="s">
        <v>131</v>
      </c>
      <c r="I1441" t="s">
        <v>27</v>
      </c>
      <c r="J1441">
        <v>67.5</v>
      </c>
      <c r="K1441">
        <v>2</v>
      </c>
      <c r="L1441">
        <v>67.5</v>
      </c>
      <c r="M1441">
        <v>135</v>
      </c>
      <c r="N1441" s="5">
        <v>6.7907444668008052</v>
      </c>
      <c r="O1441" t="s">
        <v>100</v>
      </c>
      <c r="P1441" t="s">
        <v>340</v>
      </c>
      <c r="Q1441" t="s">
        <v>84</v>
      </c>
    </row>
    <row r="1442" spans="1:18" hidden="1" x14ac:dyDescent="0.25">
      <c r="A1442" s="2" t="s">
        <v>391</v>
      </c>
      <c r="B1442" s="3" t="str">
        <f t="shared" si="28"/>
        <v>18/4/6</v>
      </c>
      <c r="C1442">
        <v>6</v>
      </c>
      <c r="D1442">
        <v>4</v>
      </c>
      <c r="E1442">
        <v>18</v>
      </c>
      <c r="F1442" t="s">
        <v>253</v>
      </c>
      <c r="I1442" t="s">
        <v>87</v>
      </c>
      <c r="J1442">
        <v>150</v>
      </c>
      <c r="K1442">
        <v>1</v>
      </c>
      <c r="L1442">
        <v>150</v>
      </c>
      <c r="M1442">
        <v>150</v>
      </c>
      <c r="N1442" s="5">
        <v>7.5452716297786724</v>
      </c>
      <c r="O1442" t="s">
        <v>39</v>
      </c>
      <c r="Q1442" t="s">
        <v>24</v>
      </c>
    </row>
    <row r="1443" spans="1:18" hidden="1" x14ac:dyDescent="0.25">
      <c r="A1443" s="2" t="s">
        <v>391</v>
      </c>
      <c r="B1443" s="3" t="str">
        <f t="shared" si="28"/>
        <v>18/4/6</v>
      </c>
      <c r="C1443">
        <v>6</v>
      </c>
      <c r="D1443">
        <v>4</v>
      </c>
      <c r="E1443">
        <v>18</v>
      </c>
      <c r="F1443" t="s">
        <v>53</v>
      </c>
      <c r="H1443" t="s">
        <v>53</v>
      </c>
      <c r="I1443" t="s">
        <v>27</v>
      </c>
      <c r="J1443">
        <v>11.65</v>
      </c>
      <c r="K1443">
        <v>3</v>
      </c>
      <c r="L1443">
        <v>11.65</v>
      </c>
      <c r="M1443">
        <v>34.950000000000003</v>
      </c>
      <c r="N1443" s="5">
        <v>1.7580482897384309</v>
      </c>
      <c r="O1443" t="s">
        <v>46</v>
      </c>
      <c r="P1443" t="s">
        <v>340</v>
      </c>
      <c r="Q1443" t="s">
        <v>84</v>
      </c>
    </row>
    <row r="1444" spans="1:18" hidden="1" x14ac:dyDescent="0.25">
      <c r="A1444" s="2" t="s">
        <v>391</v>
      </c>
      <c r="B1444" s="3" t="str">
        <f t="shared" si="28"/>
        <v>18/4/6</v>
      </c>
      <c r="C1444">
        <v>6</v>
      </c>
      <c r="D1444">
        <v>4</v>
      </c>
      <c r="E1444">
        <v>18</v>
      </c>
      <c r="F1444" t="s">
        <v>2042</v>
      </c>
      <c r="G1444" t="s">
        <v>33</v>
      </c>
      <c r="H1444" t="s">
        <v>35</v>
      </c>
      <c r="I1444" t="s">
        <v>27</v>
      </c>
      <c r="J1444">
        <v>121.6</v>
      </c>
      <c r="K1444">
        <v>0.28799999999999998</v>
      </c>
      <c r="L1444">
        <v>121.6</v>
      </c>
      <c r="M1444">
        <v>35.020000000000003</v>
      </c>
      <c r="N1444" s="5">
        <v>1.7615694164989941</v>
      </c>
      <c r="O1444" t="s">
        <v>100</v>
      </c>
      <c r="P1444" t="s">
        <v>340</v>
      </c>
      <c r="Q1444" t="s">
        <v>24</v>
      </c>
    </row>
    <row r="1445" spans="1:18" hidden="1" x14ac:dyDescent="0.25">
      <c r="A1445" s="2" t="s">
        <v>391</v>
      </c>
      <c r="B1445" s="3" t="str">
        <f t="shared" si="28"/>
        <v>18/4/6</v>
      </c>
      <c r="C1445">
        <v>6</v>
      </c>
      <c r="D1445">
        <v>4</v>
      </c>
      <c r="E1445">
        <v>18</v>
      </c>
      <c r="F1445" t="s">
        <v>99</v>
      </c>
      <c r="H1445" t="s">
        <v>40</v>
      </c>
      <c r="I1445" t="s">
        <v>27</v>
      </c>
      <c r="J1445">
        <v>10</v>
      </c>
      <c r="K1445">
        <v>1</v>
      </c>
      <c r="L1445">
        <v>10</v>
      </c>
      <c r="M1445">
        <v>10</v>
      </c>
      <c r="N1445" s="5">
        <v>0.50301810865191154</v>
      </c>
      <c r="O1445" t="s">
        <v>100</v>
      </c>
      <c r="P1445" t="s">
        <v>340</v>
      </c>
      <c r="Q1445" t="s">
        <v>24</v>
      </c>
    </row>
    <row r="1446" spans="1:18" hidden="1" x14ac:dyDescent="0.25">
      <c r="A1446" s="2" t="s">
        <v>391</v>
      </c>
      <c r="B1446" s="3" t="str">
        <f t="shared" si="28"/>
        <v>18/4/6</v>
      </c>
      <c r="C1446">
        <v>6</v>
      </c>
      <c r="D1446">
        <v>4</v>
      </c>
      <c r="E1446">
        <v>18</v>
      </c>
      <c r="F1446" t="s">
        <v>44</v>
      </c>
      <c r="H1446" t="s">
        <v>44</v>
      </c>
      <c r="I1446" t="s">
        <v>27</v>
      </c>
      <c r="J1446">
        <v>27.5</v>
      </c>
      <c r="K1446">
        <v>1</v>
      </c>
      <c r="L1446">
        <v>27.5</v>
      </c>
      <c r="M1446">
        <v>27.5</v>
      </c>
      <c r="N1446" s="5">
        <v>1.3832997987927567</v>
      </c>
      <c r="O1446" t="s">
        <v>100</v>
      </c>
      <c r="P1446" t="s">
        <v>340</v>
      </c>
      <c r="Q1446" t="s">
        <v>24</v>
      </c>
    </row>
    <row r="1447" spans="1:18" hidden="1" x14ac:dyDescent="0.25">
      <c r="A1447" s="2" t="s">
        <v>391</v>
      </c>
      <c r="B1447" s="3" t="str">
        <f t="shared" si="28"/>
        <v>18/4/6</v>
      </c>
      <c r="C1447">
        <v>6</v>
      </c>
      <c r="D1447">
        <v>4</v>
      </c>
      <c r="E1447">
        <v>18</v>
      </c>
      <c r="F1447" t="s">
        <v>146</v>
      </c>
      <c r="H1447" t="s">
        <v>49</v>
      </c>
      <c r="I1447" t="s">
        <v>50</v>
      </c>
      <c r="J1447">
        <v>0.75</v>
      </c>
      <c r="K1447">
        <v>1</v>
      </c>
      <c r="L1447">
        <v>0.75</v>
      </c>
      <c r="M1447">
        <v>0.75</v>
      </c>
      <c r="N1447" s="5">
        <v>3.7726358148893364E-2</v>
      </c>
      <c r="O1447" t="s">
        <v>100</v>
      </c>
      <c r="P1447" t="s">
        <v>340</v>
      </c>
      <c r="Q1447" t="s">
        <v>24</v>
      </c>
    </row>
    <row r="1448" spans="1:18" hidden="1" x14ac:dyDescent="0.25">
      <c r="A1448" s="2" t="s">
        <v>391</v>
      </c>
      <c r="B1448" s="3" t="str">
        <f t="shared" si="28"/>
        <v>18/4/7</v>
      </c>
      <c r="C1448">
        <v>7</v>
      </c>
      <c r="D1448">
        <v>4</v>
      </c>
      <c r="E1448">
        <v>18</v>
      </c>
      <c r="F1448" t="s">
        <v>1596</v>
      </c>
      <c r="G1448" t="s">
        <v>304</v>
      </c>
      <c r="H1448" t="s">
        <v>1593</v>
      </c>
      <c r="I1448" t="s">
        <v>79</v>
      </c>
      <c r="J1448">
        <v>150</v>
      </c>
      <c r="K1448">
        <v>1</v>
      </c>
      <c r="L1448">
        <v>150</v>
      </c>
      <c r="M1448">
        <v>150</v>
      </c>
      <c r="N1448" s="5">
        <v>7.5452716297786724</v>
      </c>
      <c r="O1448" t="s">
        <v>39</v>
      </c>
      <c r="Q1448" t="s">
        <v>24</v>
      </c>
      <c r="R1448" t="s">
        <v>449</v>
      </c>
    </row>
    <row r="1449" spans="1:18" hidden="1" x14ac:dyDescent="0.25">
      <c r="A1449" s="2" t="s">
        <v>391</v>
      </c>
      <c r="B1449" s="3" t="str">
        <f t="shared" si="28"/>
        <v>18/4/7</v>
      </c>
      <c r="C1449">
        <v>7</v>
      </c>
      <c r="D1449">
        <v>4</v>
      </c>
      <c r="E1449">
        <v>18</v>
      </c>
      <c r="F1449" t="s">
        <v>94</v>
      </c>
      <c r="I1449" t="s">
        <v>87</v>
      </c>
      <c r="J1449">
        <v>40</v>
      </c>
      <c r="K1449">
        <v>1</v>
      </c>
      <c r="L1449">
        <v>40</v>
      </c>
      <c r="M1449">
        <v>40</v>
      </c>
      <c r="N1449" s="5">
        <v>2.0120724346076462</v>
      </c>
      <c r="O1449" t="s">
        <v>39</v>
      </c>
      <c r="Q1449" t="s">
        <v>24</v>
      </c>
      <c r="R1449" t="s">
        <v>450</v>
      </c>
    </row>
    <row r="1450" spans="1:18" hidden="1" x14ac:dyDescent="0.25">
      <c r="A1450" s="2" t="s">
        <v>391</v>
      </c>
      <c r="B1450" s="3" t="str">
        <f t="shared" si="28"/>
        <v>18/4/7</v>
      </c>
      <c r="C1450">
        <v>7</v>
      </c>
      <c r="D1450">
        <v>4</v>
      </c>
      <c r="E1450">
        <v>18</v>
      </c>
      <c r="F1450" t="s">
        <v>189</v>
      </c>
      <c r="H1450" t="s">
        <v>172</v>
      </c>
      <c r="I1450" t="s">
        <v>39</v>
      </c>
      <c r="J1450">
        <v>40</v>
      </c>
      <c r="K1450">
        <v>1</v>
      </c>
      <c r="L1450">
        <v>40</v>
      </c>
      <c r="M1450">
        <v>40</v>
      </c>
      <c r="N1450" s="5">
        <v>2.0120724346076462</v>
      </c>
      <c r="O1450" t="s">
        <v>39</v>
      </c>
      <c r="Q1450" t="s">
        <v>24</v>
      </c>
    </row>
    <row r="1451" spans="1:18" hidden="1" x14ac:dyDescent="0.25">
      <c r="A1451" s="2" t="s">
        <v>391</v>
      </c>
      <c r="B1451" s="3" t="str">
        <f t="shared" si="28"/>
        <v>18/4/7</v>
      </c>
      <c r="C1451">
        <v>7</v>
      </c>
      <c r="D1451">
        <v>4</v>
      </c>
      <c r="E1451">
        <v>18</v>
      </c>
      <c r="F1451" t="s">
        <v>141</v>
      </c>
      <c r="H1451" t="s">
        <v>172</v>
      </c>
      <c r="I1451" t="s">
        <v>39</v>
      </c>
      <c r="J1451">
        <v>2</v>
      </c>
      <c r="K1451">
        <v>2</v>
      </c>
      <c r="L1451">
        <v>2</v>
      </c>
      <c r="M1451">
        <v>4</v>
      </c>
      <c r="N1451" s="5">
        <v>0.2012072434607646</v>
      </c>
      <c r="O1451" t="s">
        <v>39</v>
      </c>
      <c r="Q1451" t="s">
        <v>24</v>
      </c>
    </row>
    <row r="1452" spans="1:18" hidden="1" x14ac:dyDescent="0.25">
      <c r="A1452" s="2" t="s">
        <v>391</v>
      </c>
      <c r="B1452" s="3" t="str">
        <f t="shared" si="28"/>
        <v>18/4/7</v>
      </c>
      <c r="C1452">
        <v>7</v>
      </c>
      <c r="D1452">
        <v>4</v>
      </c>
      <c r="E1452">
        <v>18</v>
      </c>
      <c r="F1452" t="s">
        <v>78</v>
      </c>
      <c r="G1452" t="s">
        <v>304</v>
      </c>
      <c r="H1452" t="s">
        <v>78</v>
      </c>
      <c r="I1452" t="s">
        <v>79</v>
      </c>
      <c r="J1452">
        <v>17.850000000000001</v>
      </c>
      <c r="K1452">
        <v>49.94</v>
      </c>
      <c r="L1452">
        <v>17.850000000000001</v>
      </c>
      <c r="M1452">
        <v>891.43</v>
      </c>
      <c r="N1452" s="5">
        <v>44.840543259557343</v>
      </c>
      <c r="O1452" t="s">
        <v>80</v>
      </c>
      <c r="P1452" t="s">
        <v>340</v>
      </c>
      <c r="Q1452" t="s">
        <v>24</v>
      </c>
    </row>
    <row r="1453" spans="1:18" hidden="1" x14ac:dyDescent="0.25">
      <c r="A1453" s="2" t="s">
        <v>391</v>
      </c>
      <c r="B1453" s="3" t="str">
        <f t="shared" si="28"/>
        <v>18/4/7</v>
      </c>
      <c r="C1453">
        <v>7</v>
      </c>
      <c r="D1453">
        <v>4</v>
      </c>
      <c r="E1453">
        <v>18</v>
      </c>
      <c r="F1453" t="s">
        <v>141</v>
      </c>
      <c r="H1453" t="s">
        <v>172</v>
      </c>
      <c r="I1453" t="s">
        <v>39</v>
      </c>
      <c r="J1453">
        <v>2</v>
      </c>
      <c r="K1453">
        <v>3</v>
      </c>
      <c r="L1453">
        <v>2</v>
      </c>
      <c r="M1453">
        <v>6</v>
      </c>
      <c r="N1453" s="5">
        <v>0.30181086519114692</v>
      </c>
      <c r="O1453" t="s">
        <v>80</v>
      </c>
      <c r="P1453" t="s">
        <v>340</v>
      </c>
      <c r="Q1453" t="s">
        <v>24</v>
      </c>
    </row>
    <row r="1454" spans="1:18" hidden="1" x14ac:dyDescent="0.25">
      <c r="A1454" s="2" t="s">
        <v>391</v>
      </c>
      <c r="B1454" s="3" t="str">
        <f t="shared" si="28"/>
        <v>18/4/7</v>
      </c>
      <c r="C1454">
        <v>7</v>
      </c>
      <c r="D1454">
        <v>4</v>
      </c>
      <c r="E1454">
        <v>18</v>
      </c>
      <c r="F1454" t="s">
        <v>53</v>
      </c>
      <c r="H1454" t="s">
        <v>53</v>
      </c>
      <c r="I1454" t="s">
        <v>27</v>
      </c>
      <c r="J1454">
        <v>11</v>
      </c>
      <c r="K1454">
        <v>2</v>
      </c>
      <c r="L1454">
        <v>11</v>
      </c>
      <c r="M1454">
        <v>22</v>
      </c>
      <c r="N1454" s="5">
        <v>1.1066398390342054</v>
      </c>
      <c r="O1454" t="s">
        <v>80</v>
      </c>
      <c r="P1454" t="s">
        <v>340</v>
      </c>
      <c r="Q1454" t="s">
        <v>24</v>
      </c>
    </row>
    <row r="1455" spans="1:18" hidden="1" x14ac:dyDescent="0.25">
      <c r="A1455" s="2" t="s">
        <v>391</v>
      </c>
      <c r="B1455" s="3" t="str">
        <f t="shared" si="28"/>
        <v>18/4/7</v>
      </c>
      <c r="C1455">
        <v>7</v>
      </c>
      <c r="D1455">
        <v>4</v>
      </c>
      <c r="E1455">
        <v>18</v>
      </c>
      <c r="F1455" t="s">
        <v>1601</v>
      </c>
      <c r="H1455" t="s">
        <v>308</v>
      </c>
      <c r="I1455" t="s">
        <v>22</v>
      </c>
      <c r="J1455">
        <v>2677.5</v>
      </c>
      <c r="K1455">
        <v>1</v>
      </c>
      <c r="L1455" s="14">
        <v>2677.5</v>
      </c>
      <c r="M1455">
        <v>168.5</v>
      </c>
      <c r="N1455" s="5">
        <v>8.4758551307847085</v>
      </c>
      <c r="O1455" t="s">
        <v>382</v>
      </c>
      <c r="P1455" t="s">
        <v>340</v>
      </c>
      <c r="Q1455" t="s">
        <v>24</v>
      </c>
      <c r="R1455" t="s">
        <v>451</v>
      </c>
    </row>
    <row r="1456" spans="1:18" hidden="1" x14ac:dyDescent="0.25">
      <c r="A1456" s="2" t="s">
        <v>391</v>
      </c>
      <c r="B1456" s="3" t="str">
        <f t="shared" si="28"/>
        <v>18/4/7</v>
      </c>
      <c r="C1456">
        <v>7</v>
      </c>
      <c r="D1456">
        <v>4</v>
      </c>
      <c r="E1456">
        <v>18</v>
      </c>
      <c r="F1456" t="s">
        <v>452</v>
      </c>
      <c r="H1456" t="s">
        <v>49</v>
      </c>
      <c r="I1456" t="s">
        <v>22</v>
      </c>
      <c r="J1456">
        <v>256.5</v>
      </c>
      <c r="K1456">
        <v>1</v>
      </c>
      <c r="L1456">
        <v>256.5</v>
      </c>
      <c r="M1456">
        <v>256.5</v>
      </c>
      <c r="N1456" s="5">
        <v>12.902414486921529</v>
      </c>
      <c r="O1456" t="s">
        <v>382</v>
      </c>
      <c r="P1456" t="s">
        <v>340</v>
      </c>
      <c r="Q1456" t="s">
        <v>24</v>
      </c>
    </row>
    <row r="1457" spans="1:18" hidden="1" x14ac:dyDescent="0.25">
      <c r="A1457" s="2" t="s">
        <v>391</v>
      </c>
      <c r="B1457" s="3" t="str">
        <f t="shared" si="28"/>
        <v>18/4/7</v>
      </c>
      <c r="C1457">
        <v>7</v>
      </c>
      <c r="D1457">
        <v>4</v>
      </c>
      <c r="E1457">
        <v>18</v>
      </c>
      <c r="F1457" t="s">
        <v>435</v>
      </c>
      <c r="H1457" t="s">
        <v>308</v>
      </c>
      <c r="I1457" t="s">
        <v>22</v>
      </c>
      <c r="J1457">
        <v>237.5</v>
      </c>
      <c r="K1457">
        <v>1</v>
      </c>
      <c r="L1457">
        <v>237.5</v>
      </c>
      <c r="M1457">
        <v>237.5</v>
      </c>
      <c r="N1457" s="5">
        <v>11.946680080482897</v>
      </c>
      <c r="O1457" t="s">
        <v>382</v>
      </c>
      <c r="P1457" t="s">
        <v>340</v>
      </c>
      <c r="Q1457" t="s">
        <v>24</v>
      </c>
      <c r="R1457" t="s">
        <v>453</v>
      </c>
    </row>
    <row r="1458" spans="1:18" hidden="1" x14ac:dyDescent="0.25">
      <c r="A1458" s="2" t="s">
        <v>391</v>
      </c>
      <c r="B1458" s="3" t="str">
        <f t="shared" si="28"/>
        <v>18/4/7</v>
      </c>
      <c r="C1458">
        <v>7</v>
      </c>
      <c r="D1458">
        <v>4</v>
      </c>
      <c r="E1458">
        <v>18</v>
      </c>
      <c r="F1458" t="s">
        <v>367</v>
      </c>
      <c r="H1458" t="s">
        <v>165</v>
      </c>
      <c r="I1458" t="s">
        <v>27</v>
      </c>
      <c r="J1458">
        <v>70</v>
      </c>
      <c r="K1458">
        <v>1</v>
      </c>
      <c r="L1458">
        <v>70</v>
      </c>
      <c r="M1458">
        <v>70</v>
      </c>
      <c r="N1458" s="5">
        <v>3.5211267605633805</v>
      </c>
      <c r="O1458" t="s">
        <v>454</v>
      </c>
      <c r="P1458" t="s">
        <v>340</v>
      </c>
      <c r="Q1458" t="s">
        <v>84</v>
      </c>
    </row>
    <row r="1459" spans="1:18" hidden="1" x14ac:dyDescent="0.25">
      <c r="A1459" s="2" t="s">
        <v>391</v>
      </c>
      <c r="B1459" s="3" t="str">
        <f t="shared" si="28"/>
        <v>18/4/7</v>
      </c>
      <c r="C1459">
        <v>7</v>
      </c>
      <c r="D1459">
        <v>4</v>
      </c>
      <c r="E1459">
        <v>18</v>
      </c>
      <c r="F1459" t="s">
        <v>279</v>
      </c>
      <c r="H1459" t="s">
        <v>165</v>
      </c>
      <c r="I1459" t="s">
        <v>27</v>
      </c>
      <c r="J1459">
        <v>125</v>
      </c>
      <c r="K1459">
        <v>2</v>
      </c>
      <c r="L1459">
        <v>125</v>
      </c>
      <c r="M1459">
        <v>250</v>
      </c>
      <c r="N1459" s="5">
        <v>12.575452716297788</v>
      </c>
      <c r="O1459" t="s">
        <v>454</v>
      </c>
      <c r="P1459" t="s">
        <v>340</v>
      </c>
      <c r="Q1459" t="s">
        <v>84</v>
      </c>
    </row>
    <row r="1460" spans="1:18" hidden="1" x14ac:dyDescent="0.25">
      <c r="A1460" s="2" t="s">
        <v>391</v>
      </c>
      <c r="B1460" s="3" t="str">
        <f t="shared" si="28"/>
        <v>18/4/7</v>
      </c>
      <c r="C1460">
        <v>7</v>
      </c>
      <c r="D1460">
        <v>4</v>
      </c>
      <c r="E1460">
        <v>18</v>
      </c>
      <c r="F1460" t="s">
        <v>455</v>
      </c>
      <c r="H1460" t="s">
        <v>165</v>
      </c>
      <c r="I1460" t="s">
        <v>27</v>
      </c>
      <c r="J1460">
        <v>109</v>
      </c>
      <c r="K1460">
        <v>1</v>
      </c>
      <c r="L1460">
        <v>109</v>
      </c>
      <c r="M1460">
        <v>109</v>
      </c>
      <c r="N1460" s="5">
        <v>5.4828973843058355</v>
      </c>
      <c r="O1460" t="s">
        <v>454</v>
      </c>
      <c r="P1460" t="s">
        <v>340</v>
      </c>
      <c r="Q1460" t="s">
        <v>84</v>
      </c>
    </row>
    <row r="1461" spans="1:18" hidden="1" x14ac:dyDescent="0.25">
      <c r="A1461" s="2" t="s">
        <v>391</v>
      </c>
      <c r="B1461" s="3" t="str">
        <f t="shared" si="28"/>
        <v>18/4/7</v>
      </c>
      <c r="C1461">
        <v>7</v>
      </c>
      <c r="D1461">
        <v>4</v>
      </c>
      <c r="E1461">
        <v>18</v>
      </c>
      <c r="F1461" t="s">
        <v>44</v>
      </c>
      <c r="H1461" t="s">
        <v>44</v>
      </c>
      <c r="I1461" t="s">
        <v>27</v>
      </c>
      <c r="J1461">
        <v>70</v>
      </c>
      <c r="K1461">
        <v>1</v>
      </c>
      <c r="L1461">
        <v>70</v>
      </c>
      <c r="M1461">
        <v>70</v>
      </c>
      <c r="N1461" s="5">
        <v>3.5211267605633805</v>
      </c>
      <c r="O1461" t="s">
        <v>454</v>
      </c>
      <c r="P1461" t="s">
        <v>340</v>
      </c>
      <c r="Q1461" t="s">
        <v>84</v>
      </c>
    </row>
    <row r="1462" spans="1:18" hidden="1" x14ac:dyDescent="0.25">
      <c r="A1462" s="2" t="s">
        <v>391</v>
      </c>
      <c r="B1462" s="3" t="str">
        <f t="shared" si="28"/>
        <v>18/4/7</v>
      </c>
      <c r="C1462" s="13">
        <v>7</v>
      </c>
      <c r="D1462">
        <v>4</v>
      </c>
      <c r="E1462">
        <v>18</v>
      </c>
      <c r="F1462" t="s">
        <v>363</v>
      </c>
      <c r="H1462" t="s">
        <v>364</v>
      </c>
      <c r="I1462" t="s">
        <v>27</v>
      </c>
      <c r="J1462">
        <v>120</v>
      </c>
      <c r="K1462">
        <v>1</v>
      </c>
      <c r="L1462">
        <v>120</v>
      </c>
      <c r="M1462">
        <v>120</v>
      </c>
      <c r="N1462" s="5">
        <v>6.0362173038229381</v>
      </c>
      <c r="O1462" t="s">
        <v>454</v>
      </c>
      <c r="P1462" t="s">
        <v>340</v>
      </c>
      <c r="Q1462" t="s">
        <v>24</v>
      </c>
    </row>
    <row r="1463" spans="1:18" hidden="1" x14ac:dyDescent="0.25">
      <c r="A1463" s="2" t="s">
        <v>391</v>
      </c>
      <c r="B1463" s="3" t="str">
        <f t="shared" si="28"/>
        <v>18/4/7</v>
      </c>
      <c r="C1463">
        <v>7</v>
      </c>
      <c r="D1463">
        <v>4</v>
      </c>
      <c r="E1463">
        <v>18</v>
      </c>
      <c r="F1463" t="s">
        <v>234</v>
      </c>
      <c r="H1463" t="s">
        <v>53</v>
      </c>
      <c r="I1463" t="s">
        <v>27</v>
      </c>
      <c r="J1463">
        <v>20</v>
      </c>
      <c r="K1463">
        <v>1</v>
      </c>
      <c r="L1463">
        <v>20</v>
      </c>
      <c r="M1463">
        <v>20</v>
      </c>
      <c r="N1463" s="5">
        <v>1.0060362173038231</v>
      </c>
      <c r="O1463" t="s">
        <v>101</v>
      </c>
      <c r="P1463" t="s">
        <v>340</v>
      </c>
      <c r="Q1463" t="s">
        <v>24</v>
      </c>
    </row>
    <row r="1464" spans="1:18" hidden="1" x14ac:dyDescent="0.25">
      <c r="A1464" s="2" t="s">
        <v>391</v>
      </c>
      <c r="B1464" s="3" t="str">
        <f t="shared" si="28"/>
        <v>18/4/7</v>
      </c>
      <c r="C1464">
        <v>7</v>
      </c>
      <c r="D1464">
        <v>4</v>
      </c>
      <c r="E1464">
        <v>18</v>
      </c>
      <c r="F1464" t="s">
        <v>958</v>
      </c>
      <c r="H1464" t="s">
        <v>53</v>
      </c>
      <c r="I1464" t="s">
        <v>27</v>
      </c>
      <c r="J1464">
        <v>34</v>
      </c>
      <c r="K1464">
        <v>1</v>
      </c>
      <c r="L1464">
        <v>34</v>
      </c>
      <c r="M1464">
        <v>34</v>
      </c>
      <c r="N1464" s="5">
        <v>1.7102615694164991</v>
      </c>
      <c r="O1464" t="s">
        <v>101</v>
      </c>
      <c r="P1464" t="s">
        <v>340</v>
      </c>
      <c r="Q1464" t="s">
        <v>24</v>
      </c>
    </row>
    <row r="1465" spans="1:18" hidden="1" x14ac:dyDescent="0.25">
      <c r="A1465" s="2" t="s">
        <v>391</v>
      </c>
      <c r="B1465" s="3" t="str">
        <f t="shared" si="28"/>
        <v>18/4/8</v>
      </c>
      <c r="C1465">
        <v>8</v>
      </c>
      <c r="D1465">
        <v>4</v>
      </c>
      <c r="E1465">
        <v>18</v>
      </c>
      <c r="F1465" t="s">
        <v>86</v>
      </c>
      <c r="H1465" t="s">
        <v>102</v>
      </c>
      <c r="I1465" t="s">
        <v>27</v>
      </c>
      <c r="J1465">
        <v>16</v>
      </c>
      <c r="K1465">
        <v>2</v>
      </c>
      <c r="L1465">
        <v>16</v>
      </c>
      <c r="M1465">
        <v>32</v>
      </c>
      <c r="N1465" s="5">
        <v>1.6096579476861168</v>
      </c>
      <c r="O1465" t="s">
        <v>235</v>
      </c>
      <c r="P1465" t="s">
        <v>340</v>
      </c>
      <c r="Q1465" t="s">
        <v>24</v>
      </c>
    </row>
    <row r="1466" spans="1:18" hidden="1" x14ac:dyDescent="0.25">
      <c r="A1466" s="2" t="s">
        <v>391</v>
      </c>
      <c r="B1466" s="3" t="str">
        <f t="shared" si="28"/>
        <v>18/4/8</v>
      </c>
      <c r="C1466">
        <v>8</v>
      </c>
      <c r="D1466">
        <v>4</v>
      </c>
      <c r="E1466">
        <v>18</v>
      </c>
      <c r="F1466" t="s">
        <v>456</v>
      </c>
      <c r="G1466" t="s">
        <v>319</v>
      </c>
      <c r="H1466" t="s">
        <v>131</v>
      </c>
      <c r="I1466" t="s">
        <v>27</v>
      </c>
      <c r="J1466">
        <v>24</v>
      </c>
      <c r="K1466">
        <v>1</v>
      </c>
      <c r="L1466">
        <v>24</v>
      </c>
      <c r="M1466">
        <v>24</v>
      </c>
      <c r="N1466" s="5">
        <v>1.2072434607645877</v>
      </c>
      <c r="O1466" t="s">
        <v>235</v>
      </c>
      <c r="P1466" t="s">
        <v>340</v>
      </c>
      <c r="Q1466" t="s">
        <v>24</v>
      </c>
    </row>
    <row r="1467" spans="1:18" hidden="1" x14ac:dyDescent="0.25">
      <c r="A1467" s="2" t="s">
        <v>391</v>
      </c>
      <c r="B1467" s="3" t="str">
        <f t="shared" si="28"/>
        <v>18/4/8</v>
      </c>
      <c r="C1467">
        <v>8</v>
      </c>
      <c r="D1467">
        <v>4</v>
      </c>
      <c r="E1467">
        <v>18</v>
      </c>
      <c r="F1467" t="s">
        <v>53</v>
      </c>
      <c r="H1467" t="s">
        <v>53</v>
      </c>
      <c r="I1467" t="s">
        <v>27</v>
      </c>
      <c r="J1467">
        <v>12</v>
      </c>
      <c r="K1467">
        <v>1</v>
      </c>
      <c r="L1467">
        <v>12</v>
      </c>
      <c r="M1467">
        <v>12</v>
      </c>
      <c r="N1467" s="5">
        <v>0.60362173038229383</v>
      </c>
      <c r="O1467" t="s">
        <v>103</v>
      </c>
      <c r="P1467" t="s">
        <v>340</v>
      </c>
      <c r="Q1467" t="s">
        <v>24</v>
      </c>
    </row>
    <row r="1468" spans="1:18" hidden="1" x14ac:dyDescent="0.25">
      <c r="A1468" s="2" t="s">
        <v>391</v>
      </c>
      <c r="B1468" s="3" t="str">
        <f t="shared" si="28"/>
        <v>18/4/8</v>
      </c>
      <c r="C1468">
        <v>8</v>
      </c>
      <c r="D1468">
        <v>4</v>
      </c>
      <c r="E1468">
        <v>18</v>
      </c>
      <c r="F1468" t="s">
        <v>124</v>
      </c>
      <c r="H1468" t="s">
        <v>54</v>
      </c>
      <c r="I1468" t="s">
        <v>27</v>
      </c>
      <c r="J1468">
        <v>41.99</v>
      </c>
      <c r="K1468">
        <v>0.224</v>
      </c>
      <c r="L1468">
        <v>41.99</v>
      </c>
      <c r="M1468">
        <v>9.41</v>
      </c>
      <c r="N1468" s="5">
        <v>0.47334004024144871</v>
      </c>
      <c r="O1468" t="s">
        <v>457</v>
      </c>
      <c r="P1468" t="s">
        <v>340</v>
      </c>
      <c r="Q1468" t="s">
        <v>24</v>
      </c>
    </row>
    <row r="1469" spans="1:18" hidden="1" x14ac:dyDescent="0.25">
      <c r="A1469" s="2" t="s">
        <v>391</v>
      </c>
      <c r="B1469" s="3" t="str">
        <f t="shared" si="28"/>
        <v>18/4/8</v>
      </c>
      <c r="C1469">
        <v>8</v>
      </c>
      <c r="D1469">
        <v>4</v>
      </c>
      <c r="E1469">
        <v>18</v>
      </c>
      <c r="F1469" t="s">
        <v>108</v>
      </c>
      <c r="H1469" t="s">
        <v>54</v>
      </c>
      <c r="I1469" t="s">
        <v>27</v>
      </c>
      <c r="J1469">
        <v>54.99</v>
      </c>
      <c r="K1469">
        <v>0.318</v>
      </c>
      <c r="L1469">
        <v>54.99</v>
      </c>
      <c r="M1469">
        <v>17.489999999999998</v>
      </c>
      <c r="N1469" s="5">
        <v>0.87977867203219318</v>
      </c>
      <c r="O1469" t="s">
        <v>457</v>
      </c>
      <c r="P1469" t="s">
        <v>340</v>
      </c>
      <c r="Q1469" t="s">
        <v>24</v>
      </c>
    </row>
    <row r="1470" spans="1:18" hidden="1" x14ac:dyDescent="0.25">
      <c r="A1470" s="2" t="s">
        <v>391</v>
      </c>
      <c r="B1470" s="3" t="str">
        <f t="shared" si="28"/>
        <v>18/4/8</v>
      </c>
      <c r="C1470">
        <v>8</v>
      </c>
      <c r="D1470">
        <v>4</v>
      </c>
      <c r="E1470">
        <v>18</v>
      </c>
      <c r="F1470" t="s">
        <v>118</v>
      </c>
      <c r="H1470" t="s">
        <v>40</v>
      </c>
      <c r="I1470" t="s">
        <v>27</v>
      </c>
      <c r="J1470">
        <v>4.7</v>
      </c>
      <c r="K1470">
        <v>1</v>
      </c>
      <c r="L1470">
        <v>4.7</v>
      </c>
      <c r="M1470">
        <v>4.7</v>
      </c>
      <c r="N1470" s="5">
        <v>0.23641851106639841</v>
      </c>
      <c r="O1470" t="s">
        <v>457</v>
      </c>
      <c r="P1470" t="s">
        <v>340</v>
      </c>
      <c r="Q1470" t="s">
        <v>24</v>
      </c>
    </row>
    <row r="1471" spans="1:18" hidden="1" x14ac:dyDescent="0.25">
      <c r="A1471" s="2" t="s">
        <v>391</v>
      </c>
      <c r="B1471" s="3" t="str">
        <f t="shared" si="28"/>
        <v>18/4/8</v>
      </c>
      <c r="C1471">
        <v>8</v>
      </c>
      <c r="D1471">
        <v>4</v>
      </c>
      <c r="E1471">
        <v>18</v>
      </c>
      <c r="F1471" t="s">
        <v>202</v>
      </c>
      <c r="H1471" t="s">
        <v>54</v>
      </c>
      <c r="I1471" t="s">
        <v>27</v>
      </c>
      <c r="J1471">
        <v>104.99</v>
      </c>
      <c r="K1471">
        <v>0.35799999999999998</v>
      </c>
      <c r="L1471">
        <v>104.99</v>
      </c>
      <c r="M1471">
        <v>37.590000000000003</v>
      </c>
      <c r="N1471" s="5">
        <v>1.8908450704225355</v>
      </c>
      <c r="O1471" t="s">
        <v>457</v>
      </c>
      <c r="P1471" t="s">
        <v>340</v>
      </c>
      <c r="Q1471" t="s">
        <v>24</v>
      </c>
    </row>
    <row r="1472" spans="1:18" hidden="1" x14ac:dyDescent="0.25">
      <c r="A1472" s="2" t="s">
        <v>391</v>
      </c>
      <c r="B1472" s="3" t="str">
        <f t="shared" si="28"/>
        <v>18/4/8</v>
      </c>
      <c r="C1472">
        <v>8</v>
      </c>
      <c r="D1472">
        <v>4</v>
      </c>
      <c r="E1472">
        <v>18</v>
      </c>
      <c r="F1472" t="s">
        <v>458</v>
      </c>
      <c r="H1472" t="s">
        <v>44</v>
      </c>
      <c r="I1472" t="s">
        <v>27</v>
      </c>
      <c r="J1472">
        <v>15.99</v>
      </c>
      <c r="K1472">
        <v>1</v>
      </c>
      <c r="L1472">
        <v>15.99</v>
      </c>
      <c r="M1472">
        <v>15.99</v>
      </c>
      <c r="N1472" s="5">
        <v>0.80432595573440646</v>
      </c>
      <c r="O1472" t="s">
        <v>457</v>
      </c>
      <c r="P1472" t="s">
        <v>340</v>
      </c>
      <c r="Q1472" t="s">
        <v>24</v>
      </c>
    </row>
    <row r="1473" spans="1:17" hidden="1" x14ac:dyDescent="0.25">
      <c r="A1473" s="2" t="s">
        <v>391</v>
      </c>
      <c r="B1473" s="3" t="str">
        <f t="shared" si="28"/>
        <v>18/4/8</v>
      </c>
      <c r="C1473">
        <v>8</v>
      </c>
      <c r="D1473">
        <v>4</v>
      </c>
      <c r="E1473">
        <v>18</v>
      </c>
      <c r="F1473" t="s">
        <v>146</v>
      </c>
      <c r="H1473" t="s">
        <v>49</v>
      </c>
      <c r="I1473" t="s">
        <v>50</v>
      </c>
      <c r="J1473">
        <v>0.3</v>
      </c>
      <c r="K1473">
        <v>1</v>
      </c>
      <c r="L1473">
        <v>0.3</v>
      </c>
      <c r="M1473">
        <v>0.3</v>
      </c>
      <c r="N1473" s="5">
        <v>1.5090543259557344E-2</v>
      </c>
      <c r="O1473" t="s">
        <v>457</v>
      </c>
      <c r="P1473" t="s">
        <v>340</v>
      </c>
      <c r="Q1473" t="s">
        <v>24</v>
      </c>
    </row>
    <row r="1474" spans="1:17" hidden="1" x14ac:dyDescent="0.25">
      <c r="A1474" s="2" t="s">
        <v>391</v>
      </c>
      <c r="B1474" s="3" t="str">
        <f t="shared" si="28"/>
        <v>18/4/8</v>
      </c>
      <c r="C1474">
        <v>8</v>
      </c>
      <c r="D1474">
        <v>4</v>
      </c>
      <c r="E1474">
        <v>18</v>
      </c>
      <c r="F1474" t="s">
        <v>55</v>
      </c>
      <c r="H1474" t="s">
        <v>56</v>
      </c>
      <c r="I1474" t="s">
        <v>27</v>
      </c>
      <c r="J1474">
        <v>30.79</v>
      </c>
      <c r="K1474">
        <v>0.88600000000000001</v>
      </c>
      <c r="L1474">
        <v>30.79</v>
      </c>
      <c r="M1474">
        <v>27.28</v>
      </c>
      <c r="N1474" s="5">
        <v>1.3722334004024146</v>
      </c>
      <c r="O1474" t="s">
        <v>457</v>
      </c>
      <c r="P1474" t="s">
        <v>340</v>
      </c>
      <c r="Q1474" t="s">
        <v>24</v>
      </c>
    </row>
    <row r="1475" spans="1:17" hidden="1" x14ac:dyDescent="0.25">
      <c r="A1475" s="2" t="s">
        <v>391</v>
      </c>
      <c r="B1475" s="3" t="str">
        <f t="shared" si="28"/>
        <v>18/4/9</v>
      </c>
      <c r="C1475">
        <v>9</v>
      </c>
      <c r="D1475">
        <v>4</v>
      </c>
      <c r="E1475">
        <v>18</v>
      </c>
      <c r="F1475" t="s">
        <v>459</v>
      </c>
      <c r="H1475" t="s">
        <v>44</v>
      </c>
      <c r="I1475" t="s">
        <v>27</v>
      </c>
      <c r="J1475" s="15">
        <v>19.079999999999998</v>
      </c>
      <c r="K1475" s="15">
        <v>1</v>
      </c>
      <c r="L1475">
        <v>19.079999999999998</v>
      </c>
      <c r="M1475">
        <v>19.079999999999998</v>
      </c>
      <c r="N1475" s="5">
        <v>0.95975855130784704</v>
      </c>
      <c r="O1475" t="s">
        <v>1472</v>
      </c>
      <c r="P1475" t="s">
        <v>340</v>
      </c>
      <c r="Q1475" t="s">
        <v>24</v>
      </c>
    </row>
    <row r="1476" spans="1:17" hidden="1" x14ac:dyDescent="0.25">
      <c r="A1476" s="2" t="s">
        <v>391</v>
      </c>
      <c r="B1476" s="3" t="str">
        <f t="shared" si="28"/>
        <v>18/4/9</v>
      </c>
      <c r="C1476">
        <v>9</v>
      </c>
      <c r="D1476">
        <v>4</v>
      </c>
      <c r="E1476">
        <v>18</v>
      </c>
      <c r="F1476" t="s">
        <v>44</v>
      </c>
      <c r="H1476" t="s">
        <v>44</v>
      </c>
      <c r="I1476" t="s">
        <v>27</v>
      </c>
      <c r="J1476">
        <v>18.14</v>
      </c>
      <c r="K1476">
        <v>3</v>
      </c>
      <c r="L1476">
        <v>18.14</v>
      </c>
      <c r="M1476">
        <v>54.42</v>
      </c>
      <c r="N1476" s="5">
        <v>2.7374245472837022</v>
      </c>
      <c r="O1476" t="s">
        <v>1472</v>
      </c>
      <c r="P1476" t="s">
        <v>340</v>
      </c>
      <c r="Q1476" t="s">
        <v>24</v>
      </c>
    </row>
    <row r="1477" spans="1:17" hidden="1" x14ac:dyDescent="0.25">
      <c r="A1477" s="2" t="s">
        <v>391</v>
      </c>
      <c r="B1477" s="3" t="str">
        <f t="shared" si="28"/>
        <v>18/4/9</v>
      </c>
      <c r="C1477">
        <v>9</v>
      </c>
      <c r="D1477">
        <v>4</v>
      </c>
      <c r="E1477">
        <v>18</v>
      </c>
      <c r="F1477" t="s">
        <v>77</v>
      </c>
      <c r="G1477" t="s">
        <v>77</v>
      </c>
      <c r="H1477" t="s">
        <v>26</v>
      </c>
      <c r="I1477" t="s">
        <v>27</v>
      </c>
      <c r="J1477">
        <v>17.72</v>
      </c>
      <c r="K1477">
        <v>1</v>
      </c>
      <c r="L1477">
        <v>17.72</v>
      </c>
      <c r="M1477">
        <v>17.72</v>
      </c>
      <c r="N1477" s="5">
        <v>0.89134808853118708</v>
      </c>
      <c r="O1477" t="s">
        <v>1472</v>
      </c>
      <c r="P1477" t="s">
        <v>340</v>
      </c>
      <c r="Q1477" t="s">
        <v>24</v>
      </c>
    </row>
    <row r="1478" spans="1:17" hidden="1" x14ac:dyDescent="0.25">
      <c r="A1478" s="2" t="s">
        <v>391</v>
      </c>
      <c r="B1478" s="3" t="str">
        <f t="shared" si="28"/>
        <v>18/4/9</v>
      </c>
      <c r="C1478">
        <v>9</v>
      </c>
      <c r="D1478">
        <v>4</v>
      </c>
      <c r="E1478">
        <v>18</v>
      </c>
      <c r="F1478" t="s">
        <v>107</v>
      </c>
      <c r="H1478" t="s">
        <v>53</v>
      </c>
      <c r="I1478" t="s">
        <v>27</v>
      </c>
      <c r="J1478">
        <v>12.49</v>
      </c>
      <c r="K1478">
        <v>1</v>
      </c>
      <c r="L1478">
        <v>12.49</v>
      </c>
      <c r="M1478">
        <v>12.49</v>
      </c>
      <c r="N1478" s="5">
        <v>0.62826961770623746</v>
      </c>
      <c r="O1478" t="s">
        <v>457</v>
      </c>
      <c r="P1478" t="s">
        <v>340</v>
      </c>
      <c r="Q1478" t="s">
        <v>24</v>
      </c>
    </row>
    <row r="1479" spans="1:17" hidden="1" x14ac:dyDescent="0.25">
      <c r="A1479" s="2" t="s">
        <v>391</v>
      </c>
      <c r="B1479" s="3" t="str">
        <f t="shared" si="28"/>
        <v>18/4/9</v>
      </c>
      <c r="C1479">
        <v>9</v>
      </c>
      <c r="D1479">
        <v>4</v>
      </c>
      <c r="E1479">
        <v>18</v>
      </c>
      <c r="F1479" t="s">
        <v>146</v>
      </c>
      <c r="H1479" t="s">
        <v>49</v>
      </c>
      <c r="I1479" t="s">
        <v>50</v>
      </c>
      <c r="J1479" s="15">
        <v>0.6</v>
      </c>
      <c r="K1479" s="15">
        <v>1</v>
      </c>
      <c r="L1479">
        <v>0.6</v>
      </c>
      <c r="M1479">
        <v>0.6</v>
      </c>
      <c r="N1479" s="5">
        <v>3.0181086519114688E-2</v>
      </c>
      <c r="O1479" t="s">
        <v>46</v>
      </c>
      <c r="P1479" t="s">
        <v>340</v>
      </c>
      <c r="Q1479" t="s">
        <v>84</v>
      </c>
    </row>
    <row r="1480" spans="1:17" hidden="1" x14ac:dyDescent="0.25">
      <c r="A1480" s="2" t="s">
        <v>391</v>
      </c>
      <c r="B1480" s="3" t="str">
        <f t="shared" si="28"/>
        <v>18/4/9</v>
      </c>
      <c r="C1480">
        <v>9</v>
      </c>
      <c r="D1480">
        <v>4</v>
      </c>
      <c r="E1480">
        <v>18</v>
      </c>
      <c r="F1480" t="s">
        <v>44</v>
      </c>
      <c r="H1480" t="s">
        <v>44</v>
      </c>
      <c r="I1480" t="s">
        <v>27</v>
      </c>
      <c r="J1480" s="15">
        <v>16</v>
      </c>
      <c r="K1480" s="15">
        <v>1</v>
      </c>
      <c r="L1480">
        <v>16</v>
      </c>
      <c r="M1480">
        <v>16</v>
      </c>
      <c r="N1480" s="5">
        <v>0.8048289738430584</v>
      </c>
      <c r="O1480" t="s">
        <v>46</v>
      </c>
      <c r="P1480" t="s">
        <v>340</v>
      </c>
      <c r="Q1480" t="s">
        <v>84</v>
      </c>
    </row>
    <row r="1481" spans="1:17" hidden="1" x14ac:dyDescent="0.25">
      <c r="A1481" s="2" t="s">
        <v>391</v>
      </c>
      <c r="B1481" s="3" t="str">
        <f t="shared" si="28"/>
        <v>18/4/9</v>
      </c>
      <c r="C1481">
        <v>9</v>
      </c>
      <c r="D1481">
        <v>4</v>
      </c>
      <c r="E1481">
        <v>18</v>
      </c>
      <c r="F1481" t="s">
        <v>44</v>
      </c>
      <c r="H1481" t="s">
        <v>44</v>
      </c>
      <c r="I1481" t="s">
        <v>27</v>
      </c>
      <c r="J1481" s="15">
        <v>15</v>
      </c>
      <c r="K1481" s="15">
        <v>1</v>
      </c>
      <c r="L1481">
        <v>15</v>
      </c>
      <c r="M1481">
        <v>15</v>
      </c>
      <c r="N1481" s="5">
        <v>0.75452716297786726</v>
      </c>
      <c r="O1481" t="s">
        <v>46</v>
      </c>
      <c r="P1481" t="s">
        <v>340</v>
      </c>
      <c r="Q1481" t="s">
        <v>84</v>
      </c>
    </row>
    <row r="1482" spans="1:17" hidden="1" x14ac:dyDescent="0.25">
      <c r="A1482" s="2" t="s">
        <v>391</v>
      </c>
      <c r="B1482" s="3" t="str">
        <f t="shared" si="28"/>
        <v>18/4/9</v>
      </c>
      <c r="C1482">
        <v>9</v>
      </c>
      <c r="D1482">
        <v>4</v>
      </c>
      <c r="E1482">
        <v>18</v>
      </c>
      <c r="F1482" t="s">
        <v>460</v>
      </c>
      <c r="H1482" t="s">
        <v>65</v>
      </c>
      <c r="I1482" t="s">
        <v>27</v>
      </c>
      <c r="J1482" s="15">
        <v>32.15</v>
      </c>
      <c r="K1482" s="15">
        <v>1</v>
      </c>
      <c r="L1482">
        <v>32.15</v>
      </c>
      <c r="M1482">
        <v>32.15</v>
      </c>
      <c r="N1482" s="5">
        <v>1.6172032193158954</v>
      </c>
      <c r="O1482" t="s">
        <v>46</v>
      </c>
      <c r="P1482" t="s">
        <v>340</v>
      </c>
      <c r="Q1482" t="s">
        <v>84</v>
      </c>
    </row>
    <row r="1483" spans="1:17" hidden="1" x14ac:dyDescent="0.25">
      <c r="A1483" s="2" t="s">
        <v>391</v>
      </c>
      <c r="B1483" s="3" t="str">
        <f t="shared" si="28"/>
        <v>18/4/9</v>
      </c>
      <c r="C1483">
        <v>9</v>
      </c>
      <c r="D1483">
        <v>4</v>
      </c>
      <c r="E1483">
        <v>18</v>
      </c>
      <c r="F1483" t="s">
        <v>461</v>
      </c>
      <c r="H1483" t="s">
        <v>39</v>
      </c>
      <c r="I1483" t="s">
        <v>27</v>
      </c>
      <c r="J1483" s="15">
        <v>108.75</v>
      </c>
      <c r="K1483" s="15">
        <v>1</v>
      </c>
      <c r="L1483">
        <v>108.75</v>
      </c>
      <c r="M1483">
        <v>108.75</v>
      </c>
      <c r="N1483" s="5">
        <v>5.4703219315895373</v>
      </c>
      <c r="O1483" t="s">
        <v>46</v>
      </c>
      <c r="P1483" t="s">
        <v>340</v>
      </c>
      <c r="Q1483" t="s">
        <v>84</v>
      </c>
    </row>
    <row r="1484" spans="1:17" hidden="1" x14ac:dyDescent="0.25">
      <c r="A1484" s="2" t="s">
        <v>462</v>
      </c>
      <c r="B1484" s="3" t="str">
        <f t="shared" si="28"/>
        <v>18/5/1</v>
      </c>
      <c r="C1484">
        <v>1</v>
      </c>
      <c r="D1484">
        <v>5</v>
      </c>
      <c r="E1484">
        <v>18</v>
      </c>
      <c r="F1484" t="s">
        <v>184</v>
      </c>
      <c r="G1484" t="s">
        <v>304</v>
      </c>
      <c r="H1484" t="s">
        <v>184</v>
      </c>
      <c r="I1484" t="s">
        <v>79</v>
      </c>
      <c r="J1484">
        <v>50</v>
      </c>
      <c r="K1484">
        <v>1</v>
      </c>
      <c r="L1484">
        <v>50</v>
      </c>
      <c r="M1484">
        <v>50</v>
      </c>
      <c r="N1484" s="5">
        <v>2.5150905432595576</v>
      </c>
      <c r="O1484" t="s">
        <v>39</v>
      </c>
      <c r="Q1484" t="s">
        <v>24</v>
      </c>
    </row>
    <row r="1485" spans="1:17" hidden="1" x14ac:dyDescent="0.25">
      <c r="A1485" s="2" t="s">
        <v>462</v>
      </c>
      <c r="B1485" s="3" t="str">
        <f t="shared" si="28"/>
        <v>18/5/1</v>
      </c>
      <c r="C1485">
        <v>1</v>
      </c>
      <c r="D1485">
        <v>5</v>
      </c>
      <c r="E1485">
        <v>18</v>
      </c>
      <c r="F1485" t="s">
        <v>226</v>
      </c>
      <c r="H1485" t="s">
        <v>44</v>
      </c>
      <c r="I1485" t="s">
        <v>27</v>
      </c>
      <c r="J1485">
        <v>25.75</v>
      </c>
      <c r="K1485">
        <v>1</v>
      </c>
      <c r="L1485">
        <v>25.75</v>
      </c>
      <c r="M1485">
        <v>25.75</v>
      </c>
      <c r="N1485" s="5">
        <v>1.2952716297786722</v>
      </c>
      <c r="O1485" t="s">
        <v>46</v>
      </c>
      <c r="P1485" t="s">
        <v>340</v>
      </c>
      <c r="Q1485" t="s">
        <v>84</v>
      </c>
    </row>
    <row r="1486" spans="1:17" hidden="1" x14ac:dyDescent="0.25">
      <c r="A1486" s="2" t="s">
        <v>462</v>
      </c>
      <c r="B1486" s="3" t="str">
        <f t="shared" si="28"/>
        <v>18/5/1</v>
      </c>
      <c r="C1486">
        <v>1</v>
      </c>
      <c r="D1486">
        <v>5</v>
      </c>
      <c r="E1486">
        <v>18</v>
      </c>
      <c r="F1486" t="s">
        <v>234</v>
      </c>
      <c r="H1486" t="s">
        <v>53</v>
      </c>
      <c r="I1486" t="s">
        <v>27</v>
      </c>
      <c r="J1486">
        <v>17.899999999999999</v>
      </c>
      <c r="K1486">
        <v>1</v>
      </c>
      <c r="L1486">
        <v>17.899999999999999</v>
      </c>
      <c r="M1486">
        <v>17.899999999999999</v>
      </c>
      <c r="N1486" s="5">
        <v>0.90040241448692149</v>
      </c>
      <c r="O1486" t="s">
        <v>46</v>
      </c>
      <c r="P1486" t="s">
        <v>340</v>
      </c>
      <c r="Q1486" t="s">
        <v>84</v>
      </c>
    </row>
    <row r="1487" spans="1:17" hidden="1" x14ac:dyDescent="0.25">
      <c r="A1487" s="2" t="s">
        <v>462</v>
      </c>
      <c r="B1487" s="3" t="str">
        <f t="shared" si="28"/>
        <v>18/5/1</v>
      </c>
      <c r="C1487">
        <v>1</v>
      </c>
      <c r="D1487">
        <v>5</v>
      </c>
      <c r="E1487">
        <v>18</v>
      </c>
      <c r="F1487" t="s">
        <v>44</v>
      </c>
      <c r="H1487" t="s">
        <v>44</v>
      </c>
      <c r="I1487" t="s">
        <v>27</v>
      </c>
      <c r="J1487">
        <v>16</v>
      </c>
      <c r="K1487">
        <v>2</v>
      </c>
      <c r="L1487">
        <v>16</v>
      </c>
      <c r="M1487">
        <v>32</v>
      </c>
      <c r="N1487" s="5">
        <v>1.6096579476861168</v>
      </c>
      <c r="O1487" t="s">
        <v>46</v>
      </c>
      <c r="P1487" t="s">
        <v>340</v>
      </c>
      <c r="Q1487" t="s">
        <v>84</v>
      </c>
    </row>
    <row r="1488" spans="1:17" hidden="1" x14ac:dyDescent="0.25">
      <c r="A1488" s="2" t="s">
        <v>462</v>
      </c>
      <c r="B1488" s="3" t="str">
        <f t="shared" si="28"/>
        <v>18/5/1</v>
      </c>
      <c r="C1488">
        <v>1</v>
      </c>
      <c r="D1488">
        <v>5</v>
      </c>
      <c r="E1488">
        <v>18</v>
      </c>
      <c r="F1488" t="s">
        <v>369</v>
      </c>
      <c r="G1488" t="s">
        <v>210</v>
      </c>
      <c r="H1488" t="s">
        <v>131</v>
      </c>
      <c r="I1488" t="s">
        <v>27</v>
      </c>
      <c r="J1488">
        <v>54.5</v>
      </c>
      <c r="K1488">
        <v>1</v>
      </c>
      <c r="L1488">
        <v>54.5</v>
      </c>
      <c r="M1488">
        <v>54.5</v>
      </c>
      <c r="N1488" s="5">
        <v>2.7414486921529178</v>
      </c>
      <c r="O1488" t="s">
        <v>100</v>
      </c>
      <c r="P1488" t="s">
        <v>340</v>
      </c>
      <c r="Q1488" t="s">
        <v>24</v>
      </c>
    </row>
    <row r="1489" spans="1:18" hidden="1" x14ac:dyDescent="0.25">
      <c r="A1489" s="2" t="s">
        <v>462</v>
      </c>
      <c r="B1489" s="3" t="str">
        <f t="shared" si="28"/>
        <v>18/5/1</v>
      </c>
      <c r="C1489">
        <v>1</v>
      </c>
      <c r="D1489">
        <v>5</v>
      </c>
      <c r="E1489">
        <v>18</v>
      </c>
      <c r="F1489" t="s">
        <v>464</v>
      </c>
      <c r="G1489" t="s">
        <v>465</v>
      </c>
      <c r="H1489" t="s">
        <v>35</v>
      </c>
      <c r="I1489" t="s">
        <v>27</v>
      </c>
      <c r="J1489">
        <v>92.4</v>
      </c>
      <c r="K1489">
        <v>0.98599999999999999</v>
      </c>
      <c r="L1489">
        <v>92.4</v>
      </c>
      <c r="M1489">
        <v>91.11</v>
      </c>
      <c r="N1489" s="5">
        <v>4.5829979879275653</v>
      </c>
      <c r="O1489" t="s">
        <v>100</v>
      </c>
      <c r="P1489" t="s">
        <v>340</v>
      </c>
      <c r="Q1489" t="s">
        <v>24</v>
      </c>
    </row>
    <row r="1490" spans="1:18" hidden="1" x14ac:dyDescent="0.25">
      <c r="A1490" s="2" t="s">
        <v>462</v>
      </c>
      <c r="B1490" s="3" t="str">
        <f t="shared" si="28"/>
        <v>18/5/1</v>
      </c>
      <c r="C1490">
        <v>1</v>
      </c>
      <c r="D1490">
        <v>5</v>
      </c>
      <c r="E1490">
        <v>18</v>
      </c>
      <c r="F1490" t="s">
        <v>118</v>
      </c>
      <c r="H1490" t="s">
        <v>40</v>
      </c>
      <c r="I1490" t="s">
        <v>27</v>
      </c>
      <c r="J1490" s="15">
        <v>10</v>
      </c>
      <c r="K1490" s="15">
        <v>1</v>
      </c>
      <c r="L1490">
        <v>10</v>
      </c>
      <c r="M1490">
        <v>10</v>
      </c>
      <c r="N1490" s="5">
        <v>0.50301810865191154</v>
      </c>
      <c r="O1490" t="s">
        <v>100</v>
      </c>
      <c r="P1490" t="s">
        <v>340</v>
      </c>
      <c r="Q1490" t="s">
        <v>24</v>
      </c>
    </row>
    <row r="1491" spans="1:18" hidden="1" x14ac:dyDescent="0.25">
      <c r="A1491" s="2" t="s">
        <v>462</v>
      </c>
      <c r="B1491" s="3" t="str">
        <f t="shared" si="28"/>
        <v>18/5/1</v>
      </c>
      <c r="C1491">
        <v>1</v>
      </c>
      <c r="D1491">
        <v>5</v>
      </c>
      <c r="E1491">
        <v>18</v>
      </c>
      <c r="F1491" t="s">
        <v>109</v>
      </c>
      <c r="H1491" t="s">
        <v>54</v>
      </c>
      <c r="I1491" t="s">
        <v>27</v>
      </c>
      <c r="J1491" s="15">
        <v>47</v>
      </c>
      <c r="K1491" s="15">
        <v>0.45400000000000001</v>
      </c>
      <c r="L1491">
        <v>47</v>
      </c>
      <c r="M1491">
        <v>21.34</v>
      </c>
      <c r="N1491" s="5">
        <v>1.0734406438631792</v>
      </c>
      <c r="O1491" t="s">
        <v>100</v>
      </c>
      <c r="P1491" t="s">
        <v>340</v>
      </c>
      <c r="Q1491" t="s">
        <v>24</v>
      </c>
    </row>
    <row r="1492" spans="1:18" hidden="1" x14ac:dyDescent="0.25">
      <c r="A1492" s="2" t="s">
        <v>462</v>
      </c>
      <c r="B1492" s="3" t="str">
        <f t="shared" si="28"/>
        <v>18/5/1</v>
      </c>
      <c r="C1492">
        <v>1</v>
      </c>
      <c r="D1492">
        <v>5</v>
      </c>
      <c r="E1492">
        <v>18</v>
      </c>
      <c r="F1492" t="s">
        <v>124</v>
      </c>
      <c r="H1492" t="s">
        <v>54</v>
      </c>
      <c r="I1492" t="s">
        <v>27</v>
      </c>
      <c r="J1492" s="15">
        <v>66</v>
      </c>
      <c r="K1492" s="15">
        <v>0.48799999999999999</v>
      </c>
      <c r="L1492">
        <v>66</v>
      </c>
      <c r="M1492">
        <v>32.21</v>
      </c>
      <c r="N1492" s="5">
        <v>1.620221327967807</v>
      </c>
      <c r="O1492" t="s">
        <v>100</v>
      </c>
      <c r="P1492" t="s">
        <v>340</v>
      </c>
      <c r="Q1492" t="s">
        <v>24</v>
      </c>
    </row>
    <row r="1493" spans="1:18" hidden="1" x14ac:dyDescent="0.25">
      <c r="A1493" s="2" t="s">
        <v>462</v>
      </c>
      <c r="B1493" s="3" t="str">
        <f t="shared" si="28"/>
        <v>18/5/11</v>
      </c>
      <c r="C1493">
        <v>11</v>
      </c>
      <c r="D1493">
        <v>5</v>
      </c>
      <c r="E1493">
        <v>18</v>
      </c>
      <c r="F1493" t="s">
        <v>466</v>
      </c>
      <c r="I1493" t="s">
        <v>72</v>
      </c>
      <c r="J1493">
        <v>11.8</v>
      </c>
      <c r="K1493">
        <v>1</v>
      </c>
      <c r="L1493">
        <v>233.40400000000002</v>
      </c>
      <c r="M1493">
        <v>233.40400000000002</v>
      </c>
      <c r="N1493" s="5">
        <v>11.740643863179077</v>
      </c>
      <c r="O1493" t="s">
        <v>39</v>
      </c>
      <c r="Q1493" t="s">
        <v>24</v>
      </c>
      <c r="R1493" t="s">
        <v>466</v>
      </c>
    </row>
    <row r="1494" spans="1:18" hidden="1" x14ac:dyDescent="0.25">
      <c r="A1494" s="2" t="s">
        <v>462</v>
      </c>
      <c r="B1494" s="3" t="str">
        <f t="shared" ref="B1494:B1523" si="29">CONCATENATE(E1494,"/",D1494,"/",C1494)</f>
        <v>18/5/13</v>
      </c>
      <c r="C1494">
        <v>13</v>
      </c>
      <c r="D1494">
        <v>5</v>
      </c>
      <c r="E1494">
        <v>18</v>
      </c>
      <c r="F1494" t="s">
        <v>430</v>
      </c>
      <c r="I1494" t="s">
        <v>431</v>
      </c>
      <c r="J1494" s="17">
        <v>15</v>
      </c>
      <c r="K1494" s="17">
        <v>1</v>
      </c>
      <c r="L1494" s="8">
        <v>297</v>
      </c>
      <c r="M1494" s="8">
        <v>297</v>
      </c>
      <c r="N1494" s="5">
        <v>14.939637826961771</v>
      </c>
      <c r="O1494" t="s">
        <v>39</v>
      </c>
      <c r="P1494" t="s">
        <v>469</v>
      </c>
      <c r="Q1494" t="s">
        <v>24</v>
      </c>
      <c r="R1494" t="s">
        <v>463</v>
      </c>
    </row>
    <row r="1495" spans="1:18" hidden="1" x14ac:dyDescent="0.25">
      <c r="A1495" s="2" t="s">
        <v>462</v>
      </c>
      <c r="B1495" s="3" t="str">
        <f t="shared" si="29"/>
        <v>18/5/13</v>
      </c>
      <c r="C1495">
        <v>13</v>
      </c>
      <c r="D1495">
        <v>5</v>
      </c>
      <c r="E1495">
        <v>18</v>
      </c>
      <c r="F1495" t="s">
        <v>155</v>
      </c>
      <c r="G1495" t="s">
        <v>155</v>
      </c>
      <c r="H1495" t="s">
        <v>131</v>
      </c>
      <c r="I1495" t="s">
        <v>27</v>
      </c>
      <c r="J1495" s="17">
        <v>1.6</v>
      </c>
      <c r="K1495" s="17">
        <v>1</v>
      </c>
      <c r="L1495">
        <v>31.648000000000003</v>
      </c>
      <c r="M1495">
        <v>31.648000000000003</v>
      </c>
      <c r="N1495" s="5">
        <v>1.5919517102615697</v>
      </c>
      <c r="O1495" t="s">
        <v>39</v>
      </c>
      <c r="P1495" t="s">
        <v>469</v>
      </c>
      <c r="Q1495" t="s">
        <v>24</v>
      </c>
    </row>
    <row r="1496" spans="1:18" hidden="1" x14ac:dyDescent="0.25">
      <c r="A1496" s="2" t="s">
        <v>462</v>
      </c>
      <c r="B1496" s="3" t="str">
        <f t="shared" si="29"/>
        <v>18/5/13</v>
      </c>
      <c r="C1496">
        <v>13</v>
      </c>
      <c r="D1496">
        <v>5</v>
      </c>
      <c r="E1496">
        <v>18</v>
      </c>
      <c r="F1496" t="s">
        <v>328</v>
      </c>
      <c r="G1496" t="s">
        <v>328</v>
      </c>
      <c r="H1496" t="s">
        <v>49</v>
      </c>
      <c r="I1496" t="s">
        <v>50</v>
      </c>
      <c r="J1496">
        <v>3.5</v>
      </c>
      <c r="K1496">
        <v>1</v>
      </c>
      <c r="L1496">
        <v>69.23</v>
      </c>
      <c r="M1496" s="8">
        <v>69.23</v>
      </c>
      <c r="N1496" s="5">
        <v>3.4823943661971835</v>
      </c>
      <c r="O1496" t="s">
        <v>39</v>
      </c>
      <c r="P1496" t="s">
        <v>340</v>
      </c>
      <c r="Q1496" t="s">
        <v>84</v>
      </c>
    </row>
    <row r="1497" spans="1:18" hidden="1" x14ac:dyDescent="0.25">
      <c r="A1497" s="2" t="s">
        <v>462</v>
      </c>
      <c r="B1497" s="3" t="str">
        <f t="shared" si="29"/>
        <v>18/5/13</v>
      </c>
      <c r="C1497">
        <v>13</v>
      </c>
      <c r="D1497">
        <v>5</v>
      </c>
      <c r="E1497">
        <v>18</v>
      </c>
      <c r="F1497" t="s">
        <v>328</v>
      </c>
      <c r="G1497" t="s">
        <v>328</v>
      </c>
      <c r="H1497" t="s">
        <v>49</v>
      </c>
      <c r="I1497" t="s">
        <v>50</v>
      </c>
      <c r="J1497">
        <v>3.5</v>
      </c>
      <c r="K1497">
        <v>1</v>
      </c>
      <c r="L1497">
        <v>69.23</v>
      </c>
      <c r="M1497" s="8">
        <v>69.23</v>
      </c>
      <c r="N1497" s="5">
        <v>3.4823943661971835</v>
      </c>
      <c r="O1497" t="s">
        <v>39</v>
      </c>
      <c r="P1497" t="s">
        <v>340</v>
      </c>
      <c r="Q1497" t="s">
        <v>84</v>
      </c>
    </row>
    <row r="1498" spans="1:18" hidden="1" x14ac:dyDescent="0.25">
      <c r="A1498" s="2" t="s">
        <v>462</v>
      </c>
      <c r="B1498" s="3" t="str">
        <f t="shared" si="29"/>
        <v>18/5/14</v>
      </c>
      <c r="C1498">
        <v>14</v>
      </c>
      <c r="D1498">
        <v>5</v>
      </c>
      <c r="E1498">
        <v>18</v>
      </c>
      <c r="F1498" t="s">
        <v>468</v>
      </c>
      <c r="G1498" t="s">
        <v>39</v>
      </c>
      <c r="H1498" t="s">
        <v>59</v>
      </c>
      <c r="I1498" t="s">
        <v>27</v>
      </c>
      <c r="J1498" s="17">
        <v>18.5</v>
      </c>
      <c r="K1498" s="17">
        <v>1</v>
      </c>
      <c r="L1498">
        <v>365.93</v>
      </c>
      <c r="M1498">
        <v>365.93</v>
      </c>
      <c r="N1498" s="5">
        <v>18.406941649899398</v>
      </c>
      <c r="O1498" t="s">
        <v>39</v>
      </c>
      <c r="P1498" t="s">
        <v>469</v>
      </c>
      <c r="Q1498" t="s">
        <v>24</v>
      </c>
    </row>
    <row r="1499" spans="1:18" hidden="1" x14ac:dyDescent="0.25">
      <c r="A1499" s="2" t="s">
        <v>462</v>
      </c>
      <c r="B1499" s="3" t="str">
        <f t="shared" si="29"/>
        <v>18/5/14</v>
      </c>
      <c r="C1499">
        <v>14</v>
      </c>
      <c r="D1499">
        <v>5</v>
      </c>
      <c r="E1499">
        <v>18</v>
      </c>
      <c r="F1499" t="s">
        <v>470</v>
      </c>
      <c r="I1499" t="s">
        <v>431</v>
      </c>
      <c r="J1499" s="17">
        <v>64</v>
      </c>
      <c r="K1499" s="17">
        <v>1</v>
      </c>
      <c r="L1499" s="8">
        <v>1267.2</v>
      </c>
      <c r="M1499" s="8">
        <v>1267.2</v>
      </c>
      <c r="N1499" s="5">
        <v>63.742454728370227</v>
      </c>
      <c r="O1499" t="s">
        <v>39</v>
      </c>
      <c r="Q1499" t="s">
        <v>24</v>
      </c>
    </row>
    <row r="1500" spans="1:18" hidden="1" x14ac:dyDescent="0.25">
      <c r="A1500" s="2" t="s">
        <v>462</v>
      </c>
      <c r="B1500" s="3" t="str">
        <f t="shared" si="29"/>
        <v>18/5/14</v>
      </c>
      <c r="C1500">
        <v>14</v>
      </c>
      <c r="D1500">
        <v>5</v>
      </c>
      <c r="E1500">
        <v>18</v>
      </c>
      <c r="F1500" t="s">
        <v>1558</v>
      </c>
      <c r="I1500" t="s">
        <v>82</v>
      </c>
      <c r="J1500" s="17">
        <v>49</v>
      </c>
      <c r="K1500" s="17">
        <v>1</v>
      </c>
      <c r="L1500" s="8">
        <v>970.2</v>
      </c>
      <c r="M1500">
        <v>970.2</v>
      </c>
      <c r="N1500" s="5">
        <v>48.802816901408455</v>
      </c>
      <c r="O1500" t="s">
        <v>39</v>
      </c>
      <c r="P1500" t="s">
        <v>469</v>
      </c>
      <c r="Q1500" t="s">
        <v>24</v>
      </c>
      <c r="R1500" t="s">
        <v>1559</v>
      </c>
    </row>
    <row r="1501" spans="1:18" hidden="1" x14ac:dyDescent="0.25">
      <c r="A1501" s="2" t="s">
        <v>462</v>
      </c>
      <c r="B1501" s="3" t="str">
        <f t="shared" si="29"/>
        <v>18/5/14</v>
      </c>
      <c r="C1501">
        <v>14</v>
      </c>
      <c r="D1501">
        <v>5</v>
      </c>
      <c r="E1501">
        <v>18</v>
      </c>
      <c r="F1501" t="s">
        <v>471</v>
      </c>
      <c r="H1501" t="s">
        <v>59</v>
      </c>
      <c r="I1501" t="s">
        <v>27</v>
      </c>
      <c r="J1501" s="17">
        <v>12.53</v>
      </c>
      <c r="K1501" s="17">
        <v>1</v>
      </c>
      <c r="L1501">
        <v>247.8434</v>
      </c>
      <c r="M1501">
        <v>247.8434</v>
      </c>
      <c r="N1501" s="5">
        <v>12.466971830985916</v>
      </c>
      <c r="O1501" t="s">
        <v>472</v>
      </c>
      <c r="P1501" t="s">
        <v>469</v>
      </c>
      <c r="Q1501" t="s">
        <v>24</v>
      </c>
    </row>
    <row r="1502" spans="1:18" hidden="1" x14ac:dyDescent="0.25">
      <c r="A1502" s="2" t="s">
        <v>462</v>
      </c>
      <c r="B1502" s="3" t="str">
        <f t="shared" si="29"/>
        <v>18/5/14</v>
      </c>
      <c r="C1502">
        <v>14</v>
      </c>
      <c r="D1502">
        <v>5</v>
      </c>
      <c r="E1502">
        <v>18</v>
      </c>
      <c r="F1502" t="s">
        <v>473</v>
      </c>
      <c r="G1502" t="s">
        <v>155</v>
      </c>
      <c r="H1502" t="s">
        <v>131</v>
      </c>
      <c r="I1502" t="s">
        <v>27</v>
      </c>
      <c r="J1502" s="17">
        <v>4.51</v>
      </c>
      <c r="K1502" s="17">
        <v>1</v>
      </c>
      <c r="L1502">
        <v>89.207800000000006</v>
      </c>
      <c r="M1502">
        <v>89.207800000000006</v>
      </c>
      <c r="N1502" s="5">
        <v>4.487313883299799</v>
      </c>
      <c r="O1502" t="s">
        <v>472</v>
      </c>
      <c r="P1502" t="s">
        <v>469</v>
      </c>
      <c r="Q1502" t="s">
        <v>24</v>
      </c>
    </row>
    <row r="1503" spans="1:18" hidden="1" x14ac:dyDescent="0.25">
      <c r="A1503" s="2" t="s">
        <v>462</v>
      </c>
      <c r="B1503" s="3" t="str">
        <f t="shared" si="29"/>
        <v>18/5/14</v>
      </c>
      <c r="C1503">
        <v>14</v>
      </c>
      <c r="D1503">
        <v>5</v>
      </c>
      <c r="E1503">
        <v>18</v>
      </c>
      <c r="F1503" t="s">
        <v>473</v>
      </c>
      <c r="H1503" t="s">
        <v>131</v>
      </c>
      <c r="I1503" t="s">
        <v>27</v>
      </c>
      <c r="J1503">
        <v>4.51</v>
      </c>
      <c r="K1503">
        <v>2</v>
      </c>
      <c r="L1503">
        <v>89.207800000000006</v>
      </c>
      <c r="M1503">
        <v>178.41560000000001</v>
      </c>
      <c r="N1503" s="5">
        <v>8.9746277665995979</v>
      </c>
      <c r="O1503" t="s">
        <v>39</v>
      </c>
      <c r="Q1503" t="s">
        <v>84</v>
      </c>
    </row>
    <row r="1504" spans="1:18" hidden="1" x14ac:dyDescent="0.25">
      <c r="A1504" s="2" t="s">
        <v>462</v>
      </c>
      <c r="B1504" s="3" t="str">
        <f t="shared" si="29"/>
        <v>18/5/14</v>
      </c>
      <c r="C1504">
        <v>14</v>
      </c>
      <c r="D1504">
        <v>5</v>
      </c>
      <c r="E1504">
        <v>18</v>
      </c>
      <c r="F1504" t="s">
        <v>317</v>
      </c>
      <c r="G1504" t="s">
        <v>155</v>
      </c>
      <c r="H1504" t="s">
        <v>131</v>
      </c>
      <c r="I1504" t="s">
        <v>27</v>
      </c>
      <c r="J1504" s="17">
        <v>2.69</v>
      </c>
      <c r="K1504" s="17">
        <v>1</v>
      </c>
      <c r="L1504">
        <v>53.208200000000005</v>
      </c>
      <c r="M1504">
        <v>53.208200000000005</v>
      </c>
      <c r="N1504" s="5">
        <v>2.676468812877264</v>
      </c>
      <c r="O1504" t="s">
        <v>472</v>
      </c>
      <c r="P1504" t="s">
        <v>469</v>
      </c>
      <c r="Q1504" t="s">
        <v>24</v>
      </c>
    </row>
    <row r="1505" spans="1:18" hidden="1" x14ac:dyDescent="0.25">
      <c r="A1505" s="2" t="s">
        <v>462</v>
      </c>
      <c r="B1505" s="3" t="str">
        <f t="shared" si="29"/>
        <v>18/5/14</v>
      </c>
      <c r="C1505">
        <v>14</v>
      </c>
      <c r="D1505">
        <v>5</v>
      </c>
      <c r="E1505">
        <v>18</v>
      </c>
      <c r="F1505" t="s">
        <v>474</v>
      </c>
      <c r="H1505" t="s">
        <v>475</v>
      </c>
      <c r="I1505" t="s">
        <v>27</v>
      </c>
      <c r="J1505" s="17">
        <v>0.77</v>
      </c>
      <c r="K1505" s="17">
        <v>1</v>
      </c>
      <c r="L1505">
        <v>15.230600000000001</v>
      </c>
      <c r="M1505">
        <v>15.230600000000001</v>
      </c>
      <c r="N1505" s="5">
        <v>0.76612676056338036</v>
      </c>
      <c r="O1505" t="s">
        <v>472</v>
      </c>
      <c r="P1505" t="s">
        <v>469</v>
      </c>
      <c r="Q1505" t="s">
        <v>24</v>
      </c>
    </row>
    <row r="1506" spans="1:18" hidden="1" x14ac:dyDescent="0.25">
      <c r="A1506" s="2" t="s">
        <v>462</v>
      </c>
      <c r="B1506" s="3" t="str">
        <f t="shared" si="29"/>
        <v>18/5/14</v>
      </c>
      <c r="C1506">
        <v>14</v>
      </c>
      <c r="D1506">
        <v>5</v>
      </c>
      <c r="E1506">
        <v>18</v>
      </c>
      <c r="F1506" t="s">
        <v>126</v>
      </c>
      <c r="H1506" t="s">
        <v>63</v>
      </c>
      <c r="I1506" t="s">
        <v>27</v>
      </c>
      <c r="J1506" s="17">
        <v>1.9</v>
      </c>
      <c r="K1506" s="17">
        <v>2</v>
      </c>
      <c r="L1506">
        <v>37.582000000000001</v>
      </c>
      <c r="M1506">
        <v>75.164000000000001</v>
      </c>
      <c r="N1506" s="5">
        <v>3.7808853118712276</v>
      </c>
      <c r="O1506" t="s">
        <v>472</v>
      </c>
      <c r="P1506" t="s">
        <v>469</v>
      </c>
      <c r="Q1506" t="s">
        <v>24</v>
      </c>
    </row>
    <row r="1507" spans="1:18" hidden="1" x14ac:dyDescent="0.25">
      <c r="A1507" s="2" t="s">
        <v>462</v>
      </c>
      <c r="B1507" s="3" t="str">
        <f t="shared" si="29"/>
        <v>18/5/14</v>
      </c>
      <c r="C1507">
        <v>14</v>
      </c>
      <c r="D1507">
        <v>5</v>
      </c>
      <c r="E1507">
        <v>18</v>
      </c>
      <c r="F1507" t="s">
        <v>156</v>
      </c>
      <c r="G1507" t="s">
        <v>155</v>
      </c>
      <c r="H1507" t="s">
        <v>131</v>
      </c>
      <c r="I1507" t="s">
        <v>27</v>
      </c>
      <c r="J1507" s="17">
        <v>4.29</v>
      </c>
      <c r="K1507" s="17">
        <v>1</v>
      </c>
      <c r="L1507">
        <v>84.856200000000001</v>
      </c>
      <c r="M1507">
        <v>84.856200000000001</v>
      </c>
      <c r="N1507" s="5">
        <v>4.2684205231388335</v>
      </c>
      <c r="O1507" t="s">
        <v>472</v>
      </c>
      <c r="P1507" t="s">
        <v>469</v>
      </c>
      <c r="Q1507" t="s">
        <v>24</v>
      </c>
    </row>
    <row r="1508" spans="1:18" hidden="1" x14ac:dyDescent="0.25">
      <c r="A1508" s="2" t="s">
        <v>462</v>
      </c>
      <c r="B1508" s="3" t="str">
        <f t="shared" si="29"/>
        <v>18/5/14</v>
      </c>
      <c r="C1508">
        <v>14</v>
      </c>
      <c r="D1508">
        <v>5</v>
      </c>
      <c r="E1508">
        <v>18</v>
      </c>
      <c r="F1508" t="s">
        <v>296</v>
      </c>
      <c r="G1508" t="s">
        <v>155</v>
      </c>
      <c r="H1508" t="s">
        <v>131</v>
      </c>
      <c r="I1508" t="s">
        <v>27</v>
      </c>
      <c r="J1508" s="17">
        <v>1.59</v>
      </c>
      <c r="K1508" s="17">
        <v>1</v>
      </c>
      <c r="L1508">
        <v>31.450200000000002</v>
      </c>
      <c r="M1508">
        <v>31.450200000000002</v>
      </c>
      <c r="N1508" s="5">
        <v>1.5820020120724347</v>
      </c>
      <c r="O1508" t="s">
        <v>472</v>
      </c>
      <c r="P1508" t="s">
        <v>469</v>
      </c>
      <c r="Q1508" t="s">
        <v>24</v>
      </c>
    </row>
    <row r="1509" spans="1:18" hidden="1" x14ac:dyDescent="0.25">
      <c r="A1509" s="2" t="s">
        <v>462</v>
      </c>
      <c r="B1509" s="3" t="str">
        <f t="shared" si="29"/>
        <v>18/5/14</v>
      </c>
      <c r="C1509">
        <v>14</v>
      </c>
      <c r="D1509">
        <v>5</v>
      </c>
      <c r="E1509">
        <v>18</v>
      </c>
      <c r="F1509" t="s">
        <v>317</v>
      </c>
      <c r="G1509" t="s">
        <v>155</v>
      </c>
      <c r="H1509" t="s">
        <v>131</v>
      </c>
      <c r="I1509" t="s">
        <v>27</v>
      </c>
      <c r="J1509" s="17">
        <v>2.69</v>
      </c>
      <c r="K1509" s="17">
        <v>1</v>
      </c>
      <c r="L1509">
        <v>53.208200000000005</v>
      </c>
      <c r="M1509">
        <v>53.208200000000005</v>
      </c>
      <c r="N1509" s="5">
        <v>2.676468812877264</v>
      </c>
      <c r="O1509" t="s">
        <v>472</v>
      </c>
      <c r="P1509" t="s">
        <v>469</v>
      </c>
      <c r="Q1509" t="s">
        <v>24</v>
      </c>
    </row>
    <row r="1510" spans="1:18" hidden="1" x14ac:dyDescent="0.25">
      <c r="A1510" s="2" t="s">
        <v>462</v>
      </c>
      <c r="B1510" s="3" t="str">
        <f t="shared" si="29"/>
        <v>18/5/14</v>
      </c>
      <c r="C1510">
        <v>14</v>
      </c>
      <c r="D1510">
        <v>5</v>
      </c>
      <c r="E1510">
        <v>18</v>
      </c>
      <c r="F1510" t="s">
        <v>476</v>
      </c>
      <c r="H1510" t="s">
        <v>131</v>
      </c>
      <c r="I1510" t="s">
        <v>27</v>
      </c>
      <c r="J1510" s="17">
        <v>3.51</v>
      </c>
      <c r="K1510" s="17">
        <v>1</v>
      </c>
      <c r="L1510">
        <v>69.427800000000005</v>
      </c>
      <c r="M1510">
        <v>69.427800000000005</v>
      </c>
      <c r="N1510" s="5">
        <v>3.4923440643863182</v>
      </c>
      <c r="O1510" t="s">
        <v>472</v>
      </c>
      <c r="P1510" t="s">
        <v>469</v>
      </c>
      <c r="Q1510" t="s">
        <v>24</v>
      </c>
    </row>
    <row r="1511" spans="1:18" hidden="1" x14ac:dyDescent="0.25">
      <c r="A1511" s="2" t="s">
        <v>462</v>
      </c>
      <c r="B1511" s="3" t="str">
        <f t="shared" si="29"/>
        <v>18/5/14</v>
      </c>
      <c r="C1511">
        <v>14</v>
      </c>
      <c r="D1511">
        <v>5</v>
      </c>
      <c r="E1511">
        <v>18</v>
      </c>
      <c r="F1511" t="s">
        <v>102</v>
      </c>
      <c r="H1511" t="s">
        <v>102</v>
      </c>
      <c r="I1511" t="s">
        <v>27</v>
      </c>
      <c r="J1511" s="17">
        <v>10.89</v>
      </c>
      <c r="K1511" s="17">
        <v>1</v>
      </c>
      <c r="L1511">
        <v>215.40420000000003</v>
      </c>
      <c r="M1511">
        <v>215.40420000000003</v>
      </c>
      <c r="N1511" s="5">
        <v>10.835221327967808</v>
      </c>
      <c r="O1511" t="s">
        <v>472</v>
      </c>
      <c r="P1511" t="s">
        <v>469</v>
      </c>
      <c r="Q1511" t="s">
        <v>24</v>
      </c>
      <c r="R1511" t="s">
        <v>477</v>
      </c>
    </row>
    <row r="1512" spans="1:18" hidden="1" x14ac:dyDescent="0.25">
      <c r="A1512" s="2" t="s">
        <v>462</v>
      </c>
      <c r="B1512" s="3" t="str">
        <f t="shared" si="29"/>
        <v>18/5/14</v>
      </c>
      <c r="C1512">
        <v>14</v>
      </c>
      <c r="D1512">
        <v>5</v>
      </c>
      <c r="E1512">
        <v>18</v>
      </c>
      <c r="F1512" t="s">
        <v>55</v>
      </c>
      <c r="H1512" t="s">
        <v>56</v>
      </c>
      <c r="I1512" t="s">
        <v>27</v>
      </c>
      <c r="J1512" s="17">
        <v>0.76</v>
      </c>
      <c r="K1512" s="17">
        <v>1</v>
      </c>
      <c r="L1512">
        <v>15.032800000000002</v>
      </c>
      <c r="M1512">
        <v>15.032800000000002</v>
      </c>
      <c r="N1512" s="5">
        <v>0.75617706237424565</v>
      </c>
      <c r="O1512" t="s">
        <v>39</v>
      </c>
      <c r="P1512" t="s">
        <v>469</v>
      </c>
      <c r="Q1512" t="s">
        <v>24</v>
      </c>
    </row>
    <row r="1513" spans="1:18" hidden="1" x14ac:dyDescent="0.25">
      <c r="A1513" s="2" t="s">
        <v>462</v>
      </c>
      <c r="B1513" s="3" t="str">
        <f t="shared" si="29"/>
        <v>18/5/14</v>
      </c>
      <c r="C1513">
        <v>14</v>
      </c>
      <c r="D1513">
        <v>5</v>
      </c>
      <c r="E1513">
        <v>18</v>
      </c>
      <c r="F1513" t="s">
        <v>146</v>
      </c>
      <c r="H1513" t="s">
        <v>49</v>
      </c>
      <c r="I1513" t="s">
        <v>50</v>
      </c>
      <c r="J1513">
        <v>0.01</v>
      </c>
      <c r="K1513">
        <v>1</v>
      </c>
      <c r="L1513">
        <v>0.1978</v>
      </c>
      <c r="M1513" s="8">
        <v>0.1978</v>
      </c>
      <c r="N1513" s="5">
        <v>9.9496981891348101E-3</v>
      </c>
      <c r="O1513" t="s">
        <v>39</v>
      </c>
      <c r="P1513" t="s">
        <v>340</v>
      </c>
      <c r="Q1513" t="s">
        <v>24</v>
      </c>
    </row>
    <row r="1514" spans="1:18" hidden="1" x14ac:dyDescent="0.25">
      <c r="A1514" s="2" t="s">
        <v>462</v>
      </c>
      <c r="B1514" s="3" t="str">
        <f t="shared" si="29"/>
        <v>18/5/14</v>
      </c>
      <c r="C1514">
        <v>14</v>
      </c>
      <c r="D1514">
        <v>5</v>
      </c>
      <c r="E1514">
        <v>18</v>
      </c>
      <c r="F1514" t="s">
        <v>478</v>
      </c>
      <c r="G1514" t="s">
        <v>39</v>
      </c>
      <c r="H1514" t="s">
        <v>65</v>
      </c>
      <c r="I1514" t="s">
        <v>27</v>
      </c>
      <c r="J1514" s="17">
        <v>1.73</v>
      </c>
      <c r="K1514" s="17">
        <v>1</v>
      </c>
      <c r="L1514">
        <v>34.2194</v>
      </c>
      <c r="M1514">
        <v>34.2194</v>
      </c>
      <c r="N1514" s="5">
        <v>1.7212977867203221</v>
      </c>
      <c r="O1514" t="s">
        <v>39</v>
      </c>
      <c r="P1514" t="s">
        <v>469</v>
      </c>
      <c r="Q1514" t="s">
        <v>24</v>
      </c>
    </row>
    <row r="1515" spans="1:18" hidden="1" x14ac:dyDescent="0.25">
      <c r="A1515" s="2" t="s">
        <v>462</v>
      </c>
      <c r="B1515" s="3" t="str">
        <f t="shared" si="29"/>
        <v>18/5/14</v>
      </c>
      <c r="C1515">
        <v>14</v>
      </c>
      <c r="D1515">
        <v>5</v>
      </c>
      <c r="E1515">
        <v>18</v>
      </c>
      <c r="F1515" t="s">
        <v>44</v>
      </c>
      <c r="H1515" t="s">
        <v>44</v>
      </c>
      <c r="I1515" t="s">
        <v>27</v>
      </c>
      <c r="J1515" s="17">
        <v>2.36</v>
      </c>
      <c r="K1515" s="17">
        <v>1</v>
      </c>
      <c r="L1515">
        <v>46.680799999999998</v>
      </c>
      <c r="M1515">
        <v>46.680799999999998</v>
      </c>
      <c r="N1515" s="5">
        <v>2.3481287726358149</v>
      </c>
      <c r="O1515" t="s">
        <v>39</v>
      </c>
      <c r="P1515" t="s">
        <v>469</v>
      </c>
      <c r="Q1515" t="s">
        <v>24</v>
      </c>
    </row>
    <row r="1516" spans="1:18" hidden="1" x14ac:dyDescent="0.25">
      <c r="A1516" s="2" t="s">
        <v>462</v>
      </c>
      <c r="B1516" s="3" t="str">
        <f t="shared" si="29"/>
        <v>18/5/14</v>
      </c>
      <c r="C1516">
        <v>14</v>
      </c>
      <c r="D1516">
        <v>5</v>
      </c>
      <c r="E1516">
        <v>18</v>
      </c>
      <c r="F1516" t="s">
        <v>328</v>
      </c>
      <c r="G1516" t="s">
        <v>328</v>
      </c>
      <c r="H1516" t="s">
        <v>49</v>
      </c>
      <c r="I1516" t="s">
        <v>50</v>
      </c>
      <c r="J1516" s="17">
        <v>1.19</v>
      </c>
      <c r="K1516" s="17">
        <v>1</v>
      </c>
      <c r="L1516">
        <v>22.824199999999998</v>
      </c>
      <c r="M1516" s="8">
        <v>22.824199999999998</v>
      </c>
      <c r="N1516" s="5">
        <v>1.1480985915492956</v>
      </c>
      <c r="O1516" t="s">
        <v>472</v>
      </c>
      <c r="P1516" t="s">
        <v>469</v>
      </c>
      <c r="Q1516" t="s">
        <v>24</v>
      </c>
    </row>
    <row r="1517" spans="1:18" hidden="1" x14ac:dyDescent="0.25">
      <c r="A1517" s="2" t="s">
        <v>462</v>
      </c>
      <c r="B1517" s="3" t="str">
        <f t="shared" si="29"/>
        <v>18/5/14</v>
      </c>
      <c r="C1517">
        <v>14</v>
      </c>
      <c r="D1517">
        <v>5</v>
      </c>
      <c r="E1517">
        <v>18</v>
      </c>
      <c r="F1517" t="s">
        <v>53</v>
      </c>
      <c r="H1517" t="s">
        <v>53</v>
      </c>
      <c r="I1517" t="s">
        <v>27</v>
      </c>
      <c r="J1517" s="17">
        <v>1.45</v>
      </c>
      <c r="K1517" s="17">
        <v>1</v>
      </c>
      <c r="L1517">
        <v>28.681000000000001</v>
      </c>
      <c r="M1517">
        <v>28.681000000000001</v>
      </c>
      <c r="N1517" s="5">
        <v>1.4427062374245474</v>
      </c>
      <c r="O1517" t="s">
        <v>428</v>
      </c>
      <c r="P1517" t="s">
        <v>469</v>
      </c>
      <c r="Q1517" t="s">
        <v>24</v>
      </c>
    </row>
    <row r="1518" spans="1:18" hidden="1" x14ac:dyDescent="0.25">
      <c r="A1518" s="2" t="s">
        <v>462</v>
      </c>
      <c r="B1518" s="3" t="str">
        <f t="shared" si="29"/>
        <v>18/5/15</v>
      </c>
      <c r="C1518">
        <v>15</v>
      </c>
      <c r="D1518">
        <v>5</v>
      </c>
      <c r="E1518">
        <v>18</v>
      </c>
      <c r="F1518" t="s">
        <v>197</v>
      </c>
      <c r="H1518" t="s">
        <v>1094</v>
      </c>
      <c r="I1518" t="s">
        <v>105</v>
      </c>
      <c r="J1518">
        <v>75</v>
      </c>
      <c r="K1518">
        <v>2</v>
      </c>
      <c r="L1518">
        <v>75</v>
      </c>
      <c r="M1518">
        <v>150</v>
      </c>
      <c r="N1518" s="5">
        <v>7.5452716297786724</v>
      </c>
      <c r="O1518" t="s">
        <v>39</v>
      </c>
      <c r="Q1518" t="s">
        <v>24</v>
      </c>
    </row>
    <row r="1519" spans="1:18" hidden="1" x14ac:dyDescent="0.25">
      <c r="A1519" s="2" t="s">
        <v>462</v>
      </c>
      <c r="B1519" s="3" t="str">
        <f t="shared" si="29"/>
        <v>18/5/15</v>
      </c>
      <c r="C1519">
        <v>15</v>
      </c>
      <c r="D1519">
        <v>5</v>
      </c>
      <c r="E1519">
        <v>18</v>
      </c>
      <c r="F1519" t="s">
        <v>199</v>
      </c>
      <c r="H1519" t="s">
        <v>1094</v>
      </c>
      <c r="I1519" t="s">
        <v>105</v>
      </c>
      <c r="J1519" s="15">
        <v>90</v>
      </c>
      <c r="K1519" s="15">
        <v>2</v>
      </c>
      <c r="L1519">
        <v>90</v>
      </c>
      <c r="M1519">
        <v>180</v>
      </c>
      <c r="N1519" s="5">
        <v>9.0543259557344076</v>
      </c>
      <c r="O1519" t="s">
        <v>39</v>
      </c>
      <c r="Q1519" t="s">
        <v>24</v>
      </c>
    </row>
    <row r="1520" spans="1:18" hidden="1" x14ac:dyDescent="0.25">
      <c r="A1520" s="2" t="s">
        <v>462</v>
      </c>
      <c r="B1520" s="3" t="str">
        <f t="shared" si="29"/>
        <v>18/5/15</v>
      </c>
      <c r="C1520">
        <v>15</v>
      </c>
      <c r="D1520">
        <v>5</v>
      </c>
      <c r="E1520">
        <v>18</v>
      </c>
      <c r="F1520" t="s">
        <v>71</v>
      </c>
      <c r="I1520" t="s">
        <v>72</v>
      </c>
      <c r="J1520" s="15">
        <v>200</v>
      </c>
      <c r="K1520" s="15">
        <v>1</v>
      </c>
      <c r="L1520">
        <v>200</v>
      </c>
      <c r="M1520">
        <v>200</v>
      </c>
      <c r="N1520" s="5">
        <v>10.06036217303823</v>
      </c>
      <c r="O1520" t="s">
        <v>479</v>
      </c>
      <c r="P1520" t="s">
        <v>340</v>
      </c>
      <c r="Q1520" t="s">
        <v>24</v>
      </c>
      <c r="R1520" t="s">
        <v>230</v>
      </c>
    </row>
    <row r="1521" spans="1:18" hidden="1" x14ac:dyDescent="0.25">
      <c r="A1521" s="2" t="s">
        <v>462</v>
      </c>
      <c r="B1521" s="3" t="str">
        <f t="shared" si="29"/>
        <v>18/5/15</v>
      </c>
      <c r="C1521">
        <v>15</v>
      </c>
      <c r="D1521">
        <v>5</v>
      </c>
      <c r="E1521">
        <v>18</v>
      </c>
      <c r="F1521" t="s">
        <v>71</v>
      </c>
      <c r="I1521" t="s">
        <v>72</v>
      </c>
      <c r="J1521" s="15">
        <v>200</v>
      </c>
      <c r="K1521" s="15">
        <v>1</v>
      </c>
      <c r="L1521">
        <v>200</v>
      </c>
      <c r="M1521">
        <v>200</v>
      </c>
      <c r="N1521" s="5">
        <v>10.06036217303823</v>
      </c>
      <c r="O1521" t="s">
        <v>231</v>
      </c>
      <c r="P1521" t="s">
        <v>340</v>
      </c>
      <c r="Q1521" t="s">
        <v>24</v>
      </c>
    </row>
    <row r="1522" spans="1:18" hidden="1" x14ac:dyDescent="0.25">
      <c r="A1522" s="2" t="s">
        <v>462</v>
      </c>
      <c r="B1522" s="3" t="str">
        <f t="shared" si="29"/>
        <v>18/5/15</v>
      </c>
      <c r="C1522">
        <v>15</v>
      </c>
      <c r="D1522">
        <v>5</v>
      </c>
      <c r="E1522">
        <v>18</v>
      </c>
      <c r="F1522" t="s">
        <v>480</v>
      </c>
      <c r="H1522" t="s">
        <v>54</v>
      </c>
      <c r="I1522" t="s">
        <v>27</v>
      </c>
      <c r="J1522" s="15">
        <v>50</v>
      </c>
      <c r="K1522" s="15">
        <v>1</v>
      </c>
      <c r="L1522">
        <v>50</v>
      </c>
      <c r="M1522">
        <v>50</v>
      </c>
      <c r="N1522" s="5">
        <v>2.5150905432595576</v>
      </c>
      <c r="O1522" t="s">
        <v>39</v>
      </c>
      <c r="Q1522" t="s">
        <v>24</v>
      </c>
    </row>
    <row r="1523" spans="1:18" hidden="1" x14ac:dyDescent="0.25">
      <c r="A1523" s="2" t="s">
        <v>462</v>
      </c>
      <c r="B1523" s="3" t="str">
        <f t="shared" si="29"/>
        <v>18/5/15</v>
      </c>
      <c r="C1523">
        <v>15</v>
      </c>
      <c r="D1523">
        <v>5</v>
      </c>
      <c r="E1523">
        <v>18</v>
      </c>
      <c r="F1523" t="s">
        <v>151</v>
      </c>
      <c r="I1523" t="s">
        <v>72</v>
      </c>
      <c r="J1523" s="15">
        <v>37.85</v>
      </c>
      <c r="K1523" s="15">
        <v>1</v>
      </c>
      <c r="L1523">
        <v>37.85</v>
      </c>
      <c r="M1523">
        <v>37.85</v>
      </c>
      <c r="N1523" s="5">
        <v>1.9039235412474851</v>
      </c>
      <c r="O1523" t="s">
        <v>39</v>
      </c>
      <c r="Q1523" t="s">
        <v>24</v>
      </c>
      <c r="R1523" t="s">
        <v>481</v>
      </c>
    </row>
    <row r="1524" spans="1:18" hidden="1" x14ac:dyDescent="0.25">
      <c r="A1524" s="9" t="s">
        <v>462</v>
      </c>
      <c r="B1524" s="3" t="s">
        <v>1305</v>
      </c>
      <c r="C1524" s="10">
        <v>15</v>
      </c>
      <c r="D1524" s="10">
        <v>5</v>
      </c>
      <c r="E1524" s="10">
        <v>18</v>
      </c>
      <c r="F1524" t="s">
        <v>174</v>
      </c>
      <c r="G1524" t="s">
        <v>889</v>
      </c>
      <c r="H1524" t="s">
        <v>54</v>
      </c>
      <c r="I1524" t="s">
        <v>27</v>
      </c>
      <c r="J1524" s="4">
        <v>4.99</v>
      </c>
      <c r="K1524">
        <v>0.70799999999999996</v>
      </c>
      <c r="L1524">
        <v>4.99</v>
      </c>
      <c r="M1524">
        <v>3.5329199999999998</v>
      </c>
      <c r="N1524" s="5">
        <v>0.17883172103487063</v>
      </c>
      <c r="O1524" t="s">
        <v>829</v>
      </c>
      <c r="P1524" t="s">
        <v>340</v>
      </c>
      <c r="Q1524" s="10" t="s">
        <v>1102</v>
      </c>
    </row>
    <row r="1525" spans="1:18" hidden="1" x14ac:dyDescent="0.25">
      <c r="A1525" s="9" t="s">
        <v>462</v>
      </c>
      <c r="B1525" s="3" t="s">
        <v>1305</v>
      </c>
      <c r="C1525" s="10">
        <v>15</v>
      </c>
      <c r="D1525" s="10">
        <v>5</v>
      </c>
      <c r="E1525" s="10">
        <v>18</v>
      </c>
      <c r="F1525" t="s">
        <v>55</v>
      </c>
      <c r="G1525" t="s">
        <v>889</v>
      </c>
      <c r="H1525" t="s">
        <v>56</v>
      </c>
      <c r="I1525" t="s">
        <v>27</v>
      </c>
      <c r="J1525" s="4">
        <v>23.99</v>
      </c>
      <c r="K1525">
        <v>1.1519999999999999</v>
      </c>
      <c r="L1525">
        <v>23.99</v>
      </c>
      <c r="M1525">
        <v>27.636479999999995</v>
      </c>
      <c r="N1525" s="5">
        <v>1.398921934758155</v>
      </c>
      <c r="O1525" t="s">
        <v>829</v>
      </c>
      <c r="P1525" t="s">
        <v>340</v>
      </c>
      <c r="Q1525" s="10" t="s">
        <v>1102</v>
      </c>
    </row>
    <row r="1526" spans="1:18" hidden="1" x14ac:dyDescent="0.25">
      <c r="A1526" s="9" t="s">
        <v>462</v>
      </c>
      <c r="B1526" s="3" t="s">
        <v>1305</v>
      </c>
      <c r="C1526" s="10">
        <v>15</v>
      </c>
      <c r="D1526" s="10">
        <v>5</v>
      </c>
      <c r="E1526" s="10">
        <v>18</v>
      </c>
      <c r="F1526" t="s">
        <v>1051</v>
      </c>
      <c r="G1526" t="s">
        <v>889</v>
      </c>
      <c r="H1526" t="s">
        <v>56</v>
      </c>
      <c r="I1526" t="s">
        <v>27</v>
      </c>
      <c r="J1526" s="4">
        <v>34.99</v>
      </c>
      <c r="K1526">
        <v>0.316</v>
      </c>
      <c r="L1526">
        <v>34.99</v>
      </c>
      <c r="M1526">
        <v>11.056840000000001</v>
      </c>
      <c r="N1526" s="5">
        <v>0.55968256467941513</v>
      </c>
      <c r="O1526" t="s">
        <v>829</v>
      </c>
      <c r="P1526" t="s">
        <v>340</v>
      </c>
      <c r="Q1526" s="10" t="s">
        <v>1102</v>
      </c>
    </row>
    <row r="1527" spans="1:18" hidden="1" x14ac:dyDescent="0.25">
      <c r="A1527" s="9" t="s">
        <v>462</v>
      </c>
      <c r="B1527" s="3" t="s">
        <v>1305</v>
      </c>
      <c r="C1527" s="10">
        <v>15</v>
      </c>
      <c r="D1527" s="10">
        <v>5</v>
      </c>
      <c r="E1527" s="10">
        <v>18</v>
      </c>
      <c r="F1527" t="s">
        <v>109</v>
      </c>
      <c r="G1527" t="s">
        <v>889</v>
      </c>
      <c r="H1527" t="s">
        <v>54</v>
      </c>
      <c r="I1527" t="s">
        <v>27</v>
      </c>
      <c r="J1527" s="4">
        <v>32.99</v>
      </c>
      <c r="K1527">
        <v>0.74</v>
      </c>
      <c r="L1527">
        <v>32.99</v>
      </c>
      <c r="M1527">
        <v>24.412600000000001</v>
      </c>
      <c r="N1527" s="5">
        <v>1.2357334083239595</v>
      </c>
      <c r="O1527" t="s">
        <v>829</v>
      </c>
      <c r="P1527" t="s">
        <v>340</v>
      </c>
      <c r="Q1527" s="10" t="s">
        <v>1102</v>
      </c>
    </row>
    <row r="1528" spans="1:18" hidden="1" x14ac:dyDescent="0.25">
      <c r="A1528" s="9" t="s">
        <v>462</v>
      </c>
      <c r="B1528" s="3" t="s">
        <v>1305</v>
      </c>
      <c r="C1528" s="10">
        <v>15</v>
      </c>
      <c r="D1528" s="10">
        <v>5</v>
      </c>
      <c r="E1528" s="10">
        <v>18</v>
      </c>
      <c r="F1528" t="s">
        <v>112</v>
      </c>
      <c r="G1528" t="s">
        <v>889</v>
      </c>
      <c r="H1528" t="s">
        <v>56</v>
      </c>
      <c r="I1528" t="s">
        <v>27</v>
      </c>
      <c r="J1528" s="4">
        <v>17.989999999999998</v>
      </c>
      <c r="K1528">
        <v>0.77800000000000002</v>
      </c>
      <c r="L1528">
        <v>17.989999999999998</v>
      </c>
      <c r="M1528">
        <v>13.996219999999999</v>
      </c>
      <c r="N1528" s="5">
        <v>0.70847007874015744</v>
      </c>
      <c r="O1528" t="s">
        <v>829</v>
      </c>
      <c r="P1528" t="s">
        <v>340</v>
      </c>
      <c r="Q1528" s="10" t="s">
        <v>1102</v>
      </c>
    </row>
    <row r="1529" spans="1:18" hidden="1" x14ac:dyDescent="0.25">
      <c r="A1529" s="9" t="s">
        <v>462</v>
      </c>
      <c r="B1529" s="3" t="s">
        <v>1305</v>
      </c>
      <c r="C1529" s="10">
        <v>15</v>
      </c>
      <c r="D1529" s="10">
        <v>5</v>
      </c>
      <c r="E1529" s="10">
        <v>18</v>
      </c>
      <c r="F1529" t="s">
        <v>1021</v>
      </c>
      <c r="G1529" t="s">
        <v>889</v>
      </c>
      <c r="H1529" t="s">
        <v>54</v>
      </c>
      <c r="I1529" t="s">
        <v>27</v>
      </c>
      <c r="J1529" s="4">
        <v>0.52400000000000002</v>
      </c>
      <c r="K1529">
        <v>15.99</v>
      </c>
      <c r="L1529">
        <v>0.52400000000000002</v>
      </c>
      <c r="M1529">
        <v>8.3787599999999998</v>
      </c>
      <c r="N1529" s="5">
        <v>0.42412170978627667</v>
      </c>
      <c r="O1529" t="s">
        <v>829</v>
      </c>
      <c r="P1529" t="s">
        <v>340</v>
      </c>
      <c r="Q1529" s="10" t="s">
        <v>1102</v>
      </c>
    </row>
    <row r="1530" spans="1:18" hidden="1" x14ac:dyDescent="0.25">
      <c r="A1530" s="9" t="s">
        <v>462</v>
      </c>
      <c r="B1530" s="3" t="s">
        <v>1305</v>
      </c>
      <c r="C1530" s="10">
        <v>15</v>
      </c>
      <c r="D1530" s="10">
        <v>5</v>
      </c>
      <c r="E1530" s="10">
        <v>18</v>
      </c>
      <c r="F1530" t="s">
        <v>206</v>
      </c>
      <c r="G1530" t="s">
        <v>889</v>
      </c>
      <c r="H1530" t="s">
        <v>56</v>
      </c>
      <c r="I1530" t="s">
        <v>27</v>
      </c>
      <c r="J1530" s="4">
        <v>35.99</v>
      </c>
      <c r="K1530">
        <v>0.378</v>
      </c>
      <c r="L1530">
        <v>35.99</v>
      </c>
      <c r="M1530">
        <v>13.604220000000002</v>
      </c>
      <c r="N1530" s="5">
        <v>0.68862755905511819</v>
      </c>
      <c r="O1530" t="s">
        <v>829</v>
      </c>
      <c r="P1530" t="s">
        <v>340</v>
      </c>
      <c r="Q1530" s="10" t="s">
        <v>1102</v>
      </c>
    </row>
    <row r="1531" spans="1:18" hidden="1" x14ac:dyDescent="0.25">
      <c r="A1531" s="2" t="s">
        <v>462</v>
      </c>
      <c r="B1531" s="3" t="str">
        <f t="shared" ref="B1531:B1542" si="30">CONCATENATE(E1531,"/",D1531,"/",C1531)</f>
        <v>18/5/16</v>
      </c>
      <c r="C1531">
        <v>16</v>
      </c>
      <c r="D1531">
        <v>5</v>
      </c>
      <c r="E1531">
        <v>18</v>
      </c>
      <c r="F1531" t="s">
        <v>756</v>
      </c>
      <c r="H1531" t="s">
        <v>1094</v>
      </c>
      <c r="I1531" t="s">
        <v>105</v>
      </c>
      <c r="J1531" s="4">
        <v>50</v>
      </c>
      <c r="K1531" s="4">
        <v>3</v>
      </c>
      <c r="L1531">
        <v>50</v>
      </c>
      <c r="M1531">
        <v>150</v>
      </c>
      <c r="N1531" s="5">
        <v>7.5452716297786724</v>
      </c>
      <c r="O1531" t="s">
        <v>39</v>
      </c>
      <c r="Q1531" t="s">
        <v>24</v>
      </c>
    </row>
    <row r="1532" spans="1:18" hidden="1" x14ac:dyDescent="0.25">
      <c r="A1532" s="2" t="s">
        <v>462</v>
      </c>
      <c r="B1532" s="3" t="str">
        <f t="shared" si="30"/>
        <v>18/5/16</v>
      </c>
      <c r="C1532">
        <v>16</v>
      </c>
      <c r="D1532">
        <v>5</v>
      </c>
      <c r="E1532">
        <v>18</v>
      </c>
      <c r="F1532" t="s">
        <v>178</v>
      </c>
      <c r="H1532" t="s">
        <v>179</v>
      </c>
      <c r="I1532" t="s">
        <v>105</v>
      </c>
      <c r="J1532" s="15">
        <v>127</v>
      </c>
      <c r="K1532" s="15">
        <v>1</v>
      </c>
      <c r="L1532">
        <v>127</v>
      </c>
      <c r="M1532">
        <v>127</v>
      </c>
      <c r="N1532" s="5">
        <v>6.3883299798792761</v>
      </c>
      <c r="O1532" t="s">
        <v>39</v>
      </c>
      <c r="Q1532" t="s">
        <v>24</v>
      </c>
    </row>
    <row r="1533" spans="1:18" hidden="1" x14ac:dyDescent="0.25">
      <c r="A1533" s="2" t="s">
        <v>462</v>
      </c>
      <c r="B1533" s="3" t="str">
        <f t="shared" si="30"/>
        <v>18/5/16</v>
      </c>
      <c r="C1533">
        <v>16</v>
      </c>
      <c r="D1533">
        <v>5</v>
      </c>
      <c r="E1533">
        <v>18</v>
      </c>
      <c r="F1533" t="s">
        <v>168</v>
      </c>
      <c r="H1533" t="s">
        <v>168</v>
      </c>
      <c r="I1533" t="s">
        <v>105</v>
      </c>
      <c r="J1533" s="4">
        <v>202</v>
      </c>
      <c r="K1533" s="4">
        <v>1</v>
      </c>
      <c r="L1533">
        <v>202</v>
      </c>
      <c r="M1533">
        <v>202</v>
      </c>
      <c r="N1533" s="5">
        <v>10.160965794768613</v>
      </c>
      <c r="O1533" t="s">
        <v>39</v>
      </c>
      <c r="Q1533" t="s">
        <v>24</v>
      </c>
    </row>
    <row r="1534" spans="1:18" hidden="1" x14ac:dyDescent="0.25">
      <c r="A1534" s="2" t="s">
        <v>462</v>
      </c>
      <c r="B1534" s="3" t="str">
        <f t="shared" si="30"/>
        <v>18/5/16</v>
      </c>
      <c r="C1534">
        <v>16</v>
      </c>
      <c r="D1534">
        <v>5</v>
      </c>
      <c r="E1534">
        <v>18</v>
      </c>
      <c r="F1534" t="s">
        <v>169</v>
      </c>
      <c r="H1534" t="s">
        <v>170</v>
      </c>
      <c r="I1534" t="s">
        <v>105</v>
      </c>
      <c r="J1534">
        <v>210</v>
      </c>
      <c r="K1534">
        <v>1</v>
      </c>
      <c r="L1534">
        <v>210</v>
      </c>
      <c r="M1534">
        <v>210</v>
      </c>
      <c r="N1534" s="5">
        <v>10.563380281690142</v>
      </c>
      <c r="O1534" t="s">
        <v>39</v>
      </c>
      <c r="Q1534" t="s">
        <v>24</v>
      </c>
    </row>
    <row r="1535" spans="1:18" hidden="1" x14ac:dyDescent="0.25">
      <c r="A1535" s="2" t="s">
        <v>462</v>
      </c>
      <c r="B1535" s="3" t="str">
        <f t="shared" si="30"/>
        <v>18/5/16</v>
      </c>
      <c r="C1535">
        <v>16</v>
      </c>
      <c r="D1535">
        <v>5</v>
      </c>
      <c r="E1535">
        <v>18</v>
      </c>
      <c r="F1535" t="s">
        <v>1205</v>
      </c>
      <c r="H1535" t="s">
        <v>54</v>
      </c>
      <c r="I1535" t="s">
        <v>27</v>
      </c>
      <c r="J1535">
        <v>6</v>
      </c>
      <c r="K1535">
        <v>1</v>
      </c>
      <c r="L1535">
        <v>6</v>
      </c>
      <c r="M1535">
        <v>6</v>
      </c>
      <c r="N1535" s="5">
        <v>0.30181086519114692</v>
      </c>
      <c r="O1535" t="s">
        <v>593</v>
      </c>
      <c r="Q1535" t="s">
        <v>24</v>
      </c>
    </row>
    <row r="1536" spans="1:18" hidden="1" x14ac:dyDescent="0.25">
      <c r="A1536" s="2" t="s">
        <v>462</v>
      </c>
      <c r="B1536" s="3" t="str">
        <f t="shared" si="30"/>
        <v>18/5/16</v>
      </c>
      <c r="C1536">
        <v>16</v>
      </c>
      <c r="D1536">
        <v>5</v>
      </c>
      <c r="E1536">
        <v>18</v>
      </c>
      <c r="F1536" t="s">
        <v>482</v>
      </c>
      <c r="H1536" t="s">
        <v>54</v>
      </c>
      <c r="I1536" t="s">
        <v>27</v>
      </c>
      <c r="J1536">
        <v>5</v>
      </c>
      <c r="K1536">
        <v>1</v>
      </c>
      <c r="L1536">
        <v>5</v>
      </c>
      <c r="M1536">
        <v>5</v>
      </c>
      <c r="N1536" s="5">
        <v>0.25150905432595577</v>
      </c>
      <c r="O1536" t="s">
        <v>39</v>
      </c>
      <c r="Q1536" t="s">
        <v>24</v>
      </c>
    </row>
    <row r="1537" spans="1:18" hidden="1" x14ac:dyDescent="0.25">
      <c r="A1537" s="2" t="s">
        <v>462</v>
      </c>
      <c r="B1537" s="3" t="str">
        <f t="shared" si="30"/>
        <v>18/5/16</v>
      </c>
      <c r="C1537">
        <v>16</v>
      </c>
      <c r="D1537">
        <v>5</v>
      </c>
      <c r="E1537">
        <v>18</v>
      </c>
      <c r="F1537" s="18" t="s">
        <v>483</v>
      </c>
      <c r="H1537" t="s">
        <v>56</v>
      </c>
      <c r="I1537" t="s">
        <v>27</v>
      </c>
      <c r="J1537">
        <v>50</v>
      </c>
      <c r="K1537">
        <v>0.5</v>
      </c>
      <c r="L1537">
        <v>50</v>
      </c>
      <c r="M1537">
        <v>25</v>
      </c>
      <c r="N1537" s="5">
        <v>1.2575452716297788</v>
      </c>
      <c r="O1537" t="s">
        <v>39</v>
      </c>
      <c r="Q1537" t="s">
        <v>24</v>
      </c>
    </row>
    <row r="1538" spans="1:18" hidden="1" x14ac:dyDescent="0.25">
      <c r="A1538" s="2" t="s">
        <v>462</v>
      </c>
      <c r="B1538" s="3" t="str">
        <f t="shared" si="30"/>
        <v>18/5/16</v>
      </c>
      <c r="C1538">
        <v>16</v>
      </c>
      <c r="D1538">
        <v>5</v>
      </c>
      <c r="E1538">
        <v>18</v>
      </c>
      <c r="F1538" t="s">
        <v>355</v>
      </c>
      <c r="G1538" t="s">
        <v>174</v>
      </c>
      <c r="H1538" t="s">
        <v>54</v>
      </c>
      <c r="I1538" t="s">
        <v>27</v>
      </c>
      <c r="J1538">
        <v>6</v>
      </c>
      <c r="K1538">
        <v>1</v>
      </c>
      <c r="L1538">
        <v>6</v>
      </c>
      <c r="M1538">
        <v>6</v>
      </c>
      <c r="N1538" s="5">
        <v>0.30181086519114692</v>
      </c>
      <c r="O1538" t="s">
        <v>39</v>
      </c>
      <c r="Q1538" t="s">
        <v>24</v>
      </c>
    </row>
    <row r="1539" spans="1:18" hidden="1" x14ac:dyDescent="0.25">
      <c r="A1539" s="2" t="s">
        <v>462</v>
      </c>
      <c r="B1539" s="3" t="str">
        <f t="shared" si="30"/>
        <v>18/5/16</v>
      </c>
      <c r="C1539">
        <v>16</v>
      </c>
      <c r="D1539">
        <v>5</v>
      </c>
      <c r="E1539">
        <v>18</v>
      </c>
      <c r="F1539" t="s">
        <v>484</v>
      </c>
      <c r="H1539" t="s">
        <v>54</v>
      </c>
      <c r="I1539" t="s">
        <v>27</v>
      </c>
      <c r="J1539">
        <v>5</v>
      </c>
      <c r="K1539">
        <v>2</v>
      </c>
      <c r="L1539">
        <v>5</v>
      </c>
      <c r="M1539">
        <v>10</v>
      </c>
      <c r="N1539" s="5">
        <v>0.50301810865191154</v>
      </c>
      <c r="O1539" t="s">
        <v>39</v>
      </c>
      <c r="Q1539" t="s">
        <v>24</v>
      </c>
    </row>
    <row r="1540" spans="1:18" hidden="1" x14ac:dyDescent="0.25">
      <c r="A1540" s="2" t="s">
        <v>462</v>
      </c>
      <c r="B1540" s="3" t="str">
        <f t="shared" si="30"/>
        <v>18/5/16</v>
      </c>
      <c r="C1540">
        <v>16</v>
      </c>
      <c r="D1540">
        <v>5</v>
      </c>
      <c r="E1540">
        <v>18</v>
      </c>
      <c r="F1540" t="s">
        <v>485</v>
      </c>
      <c r="H1540" t="s">
        <v>54</v>
      </c>
      <c r="I1540" t="s">
        <v>27</v>
      </c>
      <c r="J1540" s="15">
        <v>4</v>
      </c>
      <c r="K1540" s="15">
        <v>1</v>
      </c>
      <c r="L1540">
        <v>4</v>
      </c>
      <c r="M1540">
        <v>4</v>
      </c>
      <c r="N1540" s="5">
        <v>0.2012072434607646</v>
      </c>
      <c r="O1540" t="s">
        <v>39</v>
      </c>
      <c r="Q1540" t="s">
        <v>24</v>
      </c>
    </row>
    <row r="1541" spans="1:18" hidden="1" x14ac:dyDescent="0.25">
      <c r="A1541" s="2" t="s">
        <v>462</v>
      </c>
      <c r="B1541" s="3" t="str">
        <f t="shared" si="30"/>
        <v>18/5/16</v>
      </c>
      <c r="C1541">
        <v>16</v>
      </c>
      <c r="D1541">
        <v>5</v>
      </c>
      <c r="E1541">
        <v>18</v>
      </c>
      <c r="F1541" s="18" t="s">
        <v>483</v>
      </c>
      <c r="H1541" t="s">
        <v>56</v>
      </c>
      <c r="I1541" t="s">
        <v>27</v>
      </c>
      <c r="J1541">
        <v>50</v>
      </c>
      <c r="K1541">
        <v>0.5</v>
      </c>
      <c r="L1541">
        <v>50</v>
      </c>
      <c r="M1541">
        <v>25</v>
      </c>
      <c r="N1541" s="5">
        <v>1.2575452716297788</v>
      </c>
      <c r="O1541" t="s">
        <v>39</v>
      </c>
      <c r="Q1541" t="s">
        <v>24</v>
      </c>
    </row>
    <row r="1542" spans="1:18" hidden="1" x14ac:dyDescent="0.25">
      <c r="A1542" s="2" t="s">
        <v>462</v>
      </c>
      <c r="B1542" s="3" t="str">
        <f t="shared" si="30"/>
        <v>18/5/16</v>
      </c>
      <c r="C1542">
        <v>16</v>
      </c>
      <c r="D1542">
        <v>5</v>
      </c>
      <c r="E1542">
        <v>18</v>
      </c>
      <c r="F1542" t="s">
        <v>203</v>
      </c>
      <c r="H1542" t="s">
        <v>54</v>
      </c>
      <c r="I1542" t="s">
        <v>27</v>
      </c>
      <c r="J1542">
        <v>20</v>
      </c>
      <c r="K1542">
        <v>1</v>
      </c>
      <c r="L1542">
        <v>20</v>
      </c>
      <c r="M1542">
        <v>20</v>
      </c>
      <c r="N1542" s="5">
        <v>1.0060362173038231</v>
      </c>
      <c r="O1542" t="s">
        <v>39</v>
      </c>
      <c r="Q1542" t="s">
        <v>24</v>
      </c>
    </row>
    <row r="1543" spans="1:18" hidden="1" x14ac:dyDescent="0.25">
      <c r="A1543" s="9" t="s">
        <v>462</v>
      </c>
      <c r="B1543" s="3" t="s">
        <v>1309</v>
      </c>
      <c r="C1543" s="10">
        <v>16</v>
      </c>
      <c r="D1543" s="10">
        <v>5</v>
      </c>
      <c r="E1543" s="10">
        <v>18</v>
      </c>
      <c r="F1543" t="s">
        <v>202</v>
      </c>
      <c r="G1543" t="s">
        <v>889</v>
      </c>
      <c r="H1543" t="s">
        <v>54</v>
      </c>
      <c r="I1543" t="s">
        <v>27</v>
      </c>
      <c r="J1543" s="4">
        <v>69.989999999999995</v>
      </c>
      <c r="K1543">
        <v>0.36599999999999999</v>
      </c>
      <c r="L1543">
        <v>69.989999999999995</v>
      </c>
      <c r="M1543">
        <v>25.616339999999997</v>
      </c>
      <c r="N1543" s="5">
        <v>1.29666512935883</v>
      </c>
      <c r="O1543" t="s">
        <v>829</v>
      </c>
      <c r="P1543" t="s">
        <v>340</v>
      </c>
      <c r="Q1543" s="10" t="s">
        <v>1102</v>
      </c>
    </row>
    <row r="1544" spans="1:18" hidden="1" x14ac:dyDescent="0.25">
      <c r="A1544" s="9" t="s">
        <v>462</v>
      </c>
      <c r="B1544" s="3" t="s">
        <v>1309</v>
      </c>
      <c r="C1544" s="10">
        <v>16</v>
      </c>
      <c r="D1544" s="10">
        <v>5</v>
      </c>
      <c r="E1544" s="10">
        <v>18</v>
      </c>
      <c r="F1544" t="s">
        <v>109</v>
      </c>
      <c r="G1544" t="s">
        <v>889</v>
      </c>
      <c r="H1544" t="s">
        <v>54</v>
      </c>
      <c r="I1544" t="s">
        <v>27</v>
      </c>
      <c r="J1544" s="4">
        <v>29.99</v>
      </c>
      <c r="K1544">
        <v>0.70399999999999996</v>
      </c>
      <c r="L1544">
        <v>29.99</v>
      </c>
      <c r="M1544">
        <v>21.112959999999998</v>
      </c>
      <c r="N1544" s="5">
        <v>1.0687100112485937</v>
      </c>
      <c r="O1544" t="s">
        <v>829</v>
      </c>
      <c r="P1544" t="s">
        <v>340</v>
      </c>
      <c r="Q1544" s="10" t="s">
        <v>1102</v>
      </c>
    </row>
    <row r="1545" spans="1:18" hidden="1" x14ac:dyDescent="0.25">
      <c r="A1545" s="2" t="s">
        <v>462</v>
      </c>
      <c r="B1545" s="3" t="str">
        <f>CONCATENATE(E1545,"/",D1545,"/",C1545)</f>
        <v>18/5/17</v>
      </c>
      <c r="C1545">
        <v>17</v>
      </c>
      <c r="D1545">
        <v>5</v>
      </c>
      <c r="E1545">
        <v>18</v>
      </c>
      <c r="F1545" t="s">
        <v>486</v>
      </c>
      <c r="H1545" t="s">
        <v>63</v>
      </c>
      <c r="I1545" t="s">
        <v>96</v>
      </c>
      <c r="J1545">
        <v>50</v>
      </c>
      <c r="K1545">
        <v>1</v>
      </c>
      <c r="L1545">
        <v>830.5</v>
      </c>
      <c r="M1545">
        <v>830.5</v>
      </c>
      <c r="N1545" s="5">
        <v>41.775653923541249</v>
      </c>
      <c r="O1545" t="s">
        <v>39</v>
      </c>
      <c r="P1545" t="s">
        <v>651</v>
      </c>
      <c r="Q1545" t="s">
        <v>24</v>
      </c>
    </row>
    <row r="1546" spans="1:18" hidden="1" x14ac:dyDescent="0.25">
      <c r="A1546" s="2" t="s">
        <v>462</v>
      </c>
      <c r="B1546" s="3" t="str">
        <f>CONCATENATE(E1546,"/",D1546,"/",C1546)</f>
        <v>18/5/17</v>
      </c>
      <c r="C1546">
        <v>17</v>
      </c>
      <c r="D1546">
        <v>5</v>
      </c>
      <c r="E1546">
        <v>18</v>
      </c>
      <c r="F1546" t="s">
        <v>102</v>
      </c>
      <c r="H1546" t="s">
        <v>102</v>
      </c>
      <c r="I1546" t="s">
        <v>27</v>
      </c>
      <c r="J1546">
        <v>33.450000000000003</v>
      </c>
      <c r="K1546">
        <v>1</v>
      </c>
      <c r="L1546">
        <v>33.450000000000003</v>
      </c>
      <c r="M1546">
        <v>33.450000000000003</v>
      </c>
      <c r="N1546" s="5">
        <v>1.6825955734406441</v>
      </c>
      <c r="O1546" t="s">
        <v>39</v>
      </c>
      <c r="Q1546" t="s">
        <v>24</v>
      </c>
      <c r="R1546" t="s">
        <v>487</v>
      </c>
    </row>
    <row r="1547" spans="1:18" hidden="1" x14ac:dyDescent="0.25">
      <c r="A1547" s="9" t="s">
        <v>462</v>
      </c>
      <c r="B1547" s="3" t="s">
        <v>1439</v>
      </c>
      <c r="C1547" s="10">
        <v>17</v>
      </c>
      <c r="D1547" s="10">
        <v>5</v>
      </c>
      <c r="E1547" s="10">
        <v>18</v>
      </c>
      <c r="F1547" t="s">
        <v>1424</v>
      </c>
      <c r="I1547" t="s">
        <v>72</v>
      </c>
      <c r="J1547" s="4">
        <v>47.23</v>
      </c>
      <c r="K1547">
        <v>1</v>
      </c>
      <c r="L1547">
        <v>47.23</v>
      </c>
      <c r="M1547">
        <v>47.23</v>
      </c>
      <c r="N1547" s="5">
        <v>2.3907199100112484</v>
      </c>
      <c r="O1547" t="s">
        <v>39</v>
      </c>
      <c r="P1547" t="s">
        <v>340</v>
      </c>
      <c r="Q1547" s="10" t="s">
        <v>24</v>
      </c>
      <c r="R1547" t="s">
        <v>1424</v>
      </c>
    </row>
    <row r="1548" spans="1:18" hidden="1" x14ac:dyDescent="0.25">
      <c r="A1548" s="9" t="s">
        <v>462</v>
      </c>
      <c r="B1548" s="3" t="s">
        <v>1439</v>
      </c>
      <c r="C1548" s="10">
        <v>17</v>
      </c>
      <c r="D1548" s="10">
        <v>5</v>
      </c>
      <c r="E1548" s="10">
        <v>18</v>
      </c>
      <c r="F1548" t="s">
        <v>102</v>
      </c>
      <c r="H1548" t="s">
        <v>102</v>
      </c>
      <c r="I1548" t="s">
        <v>27</v>
      </c>
      <c r="J1548" s="4">
        <v>30.22</v>
      </c>
      <c r="K1548">
        <v>1</v>
      </c>
      <c r="L1548">
        <v>30.22</v>
      </c>
      <c r="M1548">
        <v>30.22</v>
      </c>
      <c r="N1548" s="5">
        <v>1.5296962879640044</v>
      </c>
      <c r="O1548" t="s">
        <v>39</v>
      </c>
      <c r="P1548" t="s">
        <v>340</v>
      </c>
      <c r="Q1548" s="10" t="s">
        <v>24</v>
      </c>
    </row>
    <row r="1549" spans="1:18" hidden="1" x14ac:dyDescent="0.25">
      <c r="A1549" s="9" t="s">
        <v>462</v>
      </c>
      <c r="B1549" s="3" t="s">
        <v>1439</v>
      </c>
      <c r="C1549" s="10">
        <v>17</v>
      </c>
      <c r="D1549" s="10">
        <v>5</v>
      </c>
      <c r="E1549" s="10">
        <v>18</v>
      </c>
      <c r="F1549" t="s">
        <v>102</v>
      </c>
      <c r="H1549" t="s">
        <v>102</v>
      </c>
      <c r="I1549" t="s">
        <v>27</v>
      </c>
      <c r="J1549" s="4">
        <v>35.6</v>
      </c>
      <c r="K1549">
        <v>1</v>
      </c>
      <c r="L1549">
        <v>35.6</v>
      </c>
      <c r="M1549">
        <v>35.6</v>
      </c>
      <c r="N1549" s="5">
        <v>1.8020247469066366</v>
      </c>
      <c r="O1549" t="s">
        <v>39</v>
      </c>
      <c r="P1549" t="s">
        <v>340</v>
      </c>
      <c r="Q1549" s="10" t="s">
        <v>24</v>
      </c>
    </row>
    <row r="1550" spans="1:18" hidden="1" x14ac:dyDescent="0.25">
      <c r="A1550" s="9" t="s">
        <v>462</v>
      </c>
      <c r="B1550" s="3" t="s">
        <v>1439</v>
      </c>
      <c r="C1550" s="10">
        <v>17</v>
      </c>
      <c r="D1550" s="10">
        <v>5</v>
      </c>
      <c r="E1550" s="10">
        <v>18</v>
      </c>
      <c r="F1550" t="s">
        <v>146</v>
      </c>
      <c r="H1550" t="s">
        <v>49</v>
      </c>
      <c r="I1550" t="s">
        <v>50</v>
      </c>
      <c r="J1550" s="4">
        <v>0.15</v>
      </c>
      <c r="K1550">
        <v>1</v>
      </c>
      <c r="L1550">
        <v>0.15</v>
      </c>
      <c r="M1550">
        <v>0.15</v>
      </c>
      <c r="N1550" s="5">
        <v>7.5928008998875137E-3</v>
      </c>
      <c r="O1550" t="s">
        <v>39</v>
      </c>
      <c r="P1550" t="s">
        <v>340</v>
      </c>
      <c r="Q1550" s="10" t="s">
        <v>24</v>
      </c>
    </row>
    <row r="1551" spans="1:18" hidden="1" x14ac:dyDescent="0.25">
      <c r="A1551" s="2" t="s">
        <v>462</v>
      </c>
      <c r="B1551" s="3" t="str">
        <f>CONCATENATE(E1551,"/",D1551,"/",C1551)</f>
        <v>18/5/18</v>
      </c>
      <c r="C1551">
        <v>18</v>
      </c>
      <c r="D1551">
        <v>5</v>
      </c>
      <c r="E1551">
        <v>18</v>
      </c>
      <c r="F1551" t="s">
        <v>94</v>
      </c>
      <c r="I1551" t="s">
        <v>87</v>
      </c>
      <c r="J1551">
        <v>105</v>
      </c>
      <c r="K1551">
        <v>2</v>
      </c>
      <c r="L1551">
        <v>105</v>
      </c>
      <c r="M1551">
        <v>210</v>
      </c>
      <c r="N1551" s="5">
        <v>10.563380281690142</v>
      </c>
      <c r="O1551" t="s">
        <v>39</v>
      </c>
      <c r="Q1551" t="s">
        <v>24</v>
      </c>
    </row>
    <row r="1552" spans="1:18" hidden="1" x14ac:dyDescent="0.25">
      <c r="A1552" s="36" t="str">
        <f>IF(D1552=1,"Jan-18",IF(D1552=2,"Feb-18",IF(D1552=3,"Mar-18",IF(D1552=4,"Apr-18",IF(D1552=5,"May-18",IF(D1552=6,"Jun-18",(IF(D1552=7,"Jul-18",IF(D1552=8,"Aug-18",IF(D1552=9,"Sep-18",IF(D1552=10,"Oct-18",IF(D1552=11,"Nov-18",IF(D1552=12,"Dec-18","...")))))))))))))</f>
        <v>May-18</v>
      </c>
      <c r="B1552" s="3" t="s">
        <v>1281</v>
      </c>
      <c r="C1552" s="10">
        <v>19</v>
      </c>
      <c r="D1552" s="10">
        <v>5</v>
      </c>
      <c r="E1552" s="10">
        <v>18</v>
      </c>
      <c r="F1552" t="s">
        <v>1274</v>
      </c>
      <c r="G1552" t="s">
        <v>889</v>
      </c>
      <c r="H1552" t="s">
        <v>73</v>
      </c>
      <c r="I1552" t="s">
        <v>27</v>
      </c>
      <c r="J1552" s="4">
        <v>15.65</v>
      </c>
      <c r="K1552">
        <v>1</v>
      </c>
      <c r="L1552">
        <v>15.65</v>
      </c>
      <c r="M1552">
        <v>15.65</v>
      </c>
      <c r="N1552" s="5">
        <v>0.79218222722159726</v>
      </c>
      <c r="O1552" t="s">
        <v>1472</v>
      </c>
      <c r="P1552" t="s">
        <v>340</v>
      </c>
      <c r="Q1552" s="10" t="s">
        <v>1102</v>
      </c>
    </row>
    <row r="1553" spans="1:18" hidden="1" x14ac:dyDescent="0.25">
      <c r="A1553" s="2" t="s">
        <v>462</v>
      </c>
      <c r="B1553" s="3" t="str">
        <f>CONCATENATE(E1553,"/",D1553,"/",C1553)</f>
        <v>18/5/2</v>
      </c>
      <c r="C1553">
        <v>2</v>
      </c>
      <c r="D1553">
        <v>5</v>
      </c>
      <c r="E1553">
        <v>18</v>
      </c>
      <c r="F1553" t="s">
        <v>141</v>
      </c>
      <c r="H1553" t="s">
        <v>172</v>
      </c>
      <c r="I1553" t="s">
        <v>39</v>
      </c>
      <c r="J1553">
        <v>3</v>
      </c>
      <c r="K1553">
        <v>2</v>
      </c>
      <c r="L1553">
        <v>3</v>
      </c>
      <c r="M1553">
        <v>6</v>
      </c>
      <c r="N1553" s="5">
        <v>0.30181086519114692</v>
      </c>
      <c r="O1553" t="s">
        <v>39</v>
      </c>
      <c r="Q1553" t="s">
        <v>24</v>
      </c>
    </row>
    <row r="1554" spans="1:18" hidden="1" x14ac:dyDescent="0.25">
      <c r="A1554" s="2" t="s">
        <v>462</v>
      </c>
      <c r="B1554" s="3" t="str">
        <f>CONCATENATE(E1554,"/",D1554,"/",C1554)</f>
        <v>18/5/20</v>
      </c>
      <c r="C1554">
        <v>20</v>
      </c>
      <c r="D1554">
        <v>5</v>
      </c>
      <c r="E1554">
        <v>18</v>
      </c>
      <c r="F1554" t="s">
        <v>94</v>
      </c>
      <c r="I1554" t="s">
        <v>488</v>
      </c>
      <c r="J1554">
        <v>110</v>
      </c>
      <c r="K1554">
        <v>2</v>
      </c>
      <c r="L1554">
        <v>110</v>
      </c>
      <c r="M1554">
        <v>220</v>
      </c>
      <c r="N1554" s="5">
        <v>11.066398390342053</v>
      </c>
      <c r="O1554" t="s">
        <v>39</v>
      </c>
      <c r="Q1554" t="s">
        <v>24</v>
      </c>
    </row>
    <row r="1555" spans="1:18" hidden="1" x14ac:dyDescent="0.25">
      <c r="A1555" s="2" t="s">
        <v>462</v>
      </c>
      <c r="B1555" s="3" t="str">
        <f>CONCATENATE(E1555,"/",D1555,"/",C1555)</f>
        <v>18/5/20</v>
      </c>
      <c r="C1555">
        <v>20</v>
      </c>
      <c r="D1555">
        <v>5</v>
      </c>
      <c r="E1555">
        <v>18</v>
      </c>
      <c r="F1555" t="s">
        <v>124</v>
      </c>
      <c r="H1555" t="s">
        <v>54</v>
      </c>
      <c r="I1555" t="s">
        <v>27</v>
      </c>
      <c r="J1555">
        <v>20</v>
      </c>
      <c r="K1555">
        <v>0.5</v>
      </c>
      <c r="L1555">
        <v>20</v>
      </c>
      <c r="M1555">
        <v>10</v>
      </c>
      <c r="N1555" s="5">
        <v>0.50301810865191154</v>
      </c>
      <c r="O1555" t="s">
        <v>39</v>
      </c>
      <c r="Q1555" t="s">
        <v>24</v>
      </c>
    </row>
    <row r="1556" spans="1:18" hidden="1" x14ac:dyDescent="0.25">
      <c r="A1556" s="9" t="s">
        <v>462</v>
      </c>
      <c r="B1556" s="3" t="s">
        <v>1927</v>
      </c>
      <c r="C1556" s="10">
        <v>20</v>
      </c>
      <c r="D1556" s="10">
        <v>5</v>
      </c>
      <c r="E1556" s="10">
        <v>18</v>
      </c>
      <c r="F1556" t="s">
        <v>146</v>
      </c>
      <c r="G1556" t="s">
        <v>889</v>
      </c>
      <c r="H1556" t="s">
        <v>49</v>
      </c>
      <c r="I1556" t="s">
        <v>50</v>
      </c>
      <c r="J1556" s="4">
        <v>0.6</v>
      </c>
      <c r="K1556">
        <v>1</v>
      </c>
      <c r="L1556">
        <v>0.6</v>
      </c>
      <c r="M1556">
        <v>0.6</v>
      </c>
      <c r="N1556" s="5">
        <v>3.0493439290334497E-2</v>
      </c>
      <c r="O1556" t="s">
        <v>181</v>
      </c>
      <c r="P1556" t="s">
        <v>340</v>
      </c>
      <c r="Q1556" s="10" t="s">
        <v>24</v>
      </c>
    </row>
    <row r="1557" spans="1:18" hidden="1" x14ac:dyDescent="0.25">
      <c r="A1557" s="9" t="s">
        <v>462</v>
      </c>
      <c r="B1557" s="3" t="s">
        <v>1927</v>
      </c>
      <c r="C1557" s="10">
        <v>20</v>
      </c>
      <c r="D1557" s="10">
        <v>5</v>
      </c>
      <c r="E1557" s="10">
        <v>18</v>
      </c>
      <c r="F1557" t="s">
        <v>483</v>
      </c>
      <c r="G1557" t="s">
        <v>889</v>
      </c>
      <c r="H1557" t="s">
        <v>56</v>
      </c>
      <c r="I1557" t="s">
        <v>27</v>
      </c>
      <c r="J1557" s="4">
        <v>46.7</v>
      </c>
      <c r="K1557">
        <v>0.48599999999999999</v>
      </c>
      <c r="L1557">
        <v>46.7</v>
      </c>
      <c r="M1557">
        <v>22.696200000000001</v>
      </c>
      <c r="N1557" s="5">
        <v>1.1534753280354832</v>
      </c>
      <c r="O1557" t="s">
        <v>181</v>
      </c>
      <c r="P1557" t="s">
        <v>340</v>
      </c>
      <c r="Q1557" s="10" t="s">
        <v>24</v>
      </c>
    </row>
    <row r="1558" spans="1:18" hidden="1" x14ac:dyDescent="0.25">
      <c r="A1558" s="9" t="s">
        <v>462</v>
      </c>
      <c r="B1558" s="3" t="s">
        <v>1927</v>
      </c>
      <c r="C1558" s="10">
        <v>20</v>
      </c>
      <c r="D1558" s="10">
        <v>5</v>
      </c>
      <c r="E1558" s="10">
        <v>18</v>
      </c>
      <c r="F1558" t="s">
        <v>44</v>
      </c>
      <c r="G1558" t="s">
        <v>889</v>
      </c>
      <c r="H1558" t="s">
        <v>44</v>
      </c>
      <c r="I1558" t="s">
        <v>27</v>
      </c>
      <c r="J1558" s="4">
        <v>16</v>
      </c>
      <c r="K1558">
        <v>3</v>
      </c>
      <c r="L1558">
        <v>16</v>
      </c>
      <c r="M1558">
        <v>48</v>
      </c>
      <c r="N1558" s="5">
        <v>2.4394751432267601</v>
      </c>
      <c r="O1558" t="s">
        <v>181</v>
      </c>
      <c r="P1558" t="s">
        <v>340</v>
      </c>
      <c r="Q1558" s="10" t="s">
        <v>24</v>
      </c>
    </row>
    <row r="1559" spans="1:18" hidden="1" x14ac:dyDescent="0.25">
      <c r="A1559" s="9" t="s">
        <v>462</v>
      </c>
      <c r="B1559" s="3" t="s">
        <v>1927</v>
      </c>
      <c r="C1559" s="10">
        <v>20</v>
      </c>
      <c r="D1559" s="10">
        <v>5</v>
      </c>
      <c r="E1559" s="10">
        <v>18</v>
      </c>
      <c r="F1559" t="s">
        <v>840</v>
      </c>
      <c r="G1559" t="s">
        <v>840</v>
      </c>
      <c r="H1559" t="s">
        <v>56</v>
      </c>
      <c r="I1559" t="s">
        <v>27</v>
      </c>
      <c r="J1559" s="4">
        <v>32.200000000000003</v>
      </c>
      <c r="K1559">
        <v>0.48</v>
      </c>
      <c r="L1559">
        <v>32.200000000000003</v>
      </c>
      <c r="M1559">
        <v>15.456000000000001</v>
      </c>
      <c r="N1559" s="5">
        <v>0.78551099611901676</v>
      </c>
      <c r="O1559" t="s">
        <v>181</v>
      </c>
      <c r="P1559" t="s">
        <v>340</v>
      </c>
      <c r="Q1559" s="10" t="s">
        <v>24</v>
      </c>
    </row>
    <row r="1560" spans="1:18" hidden="1" x14ac:dyDescent="0.25">
      <c r="A1560" s="9" t="s">
        <v>462</v>
      </c>
      <c r="B1560" s="3" t="s">
        <v>1927</v>
      </c>
      <c r="C1560" s="10">
        <v>20</v>
      </c>
      <c r="D1560" s="10">
        <v>5</v>
      </c>
      <c r="E1560" s="10">
        <v>18</v>
      </c>
      <c r="F1560" t="s">
        <v>2106</v>
      </c>
      <c r="G1560" t="s">
        <v>345</v>
      </c>
      <c r="H1560" t="s">
        <v>26</v>
      </c>
      <c r="I1560" t="s">
        <v>27</v>
      </c>
      <c r="J1560" s="4">
        <v>10</v>
      </c>
      <c r="K1560">
        <v>1</v>
      </c>
      <c r="L1560">
        <v>10</v>
      </c>
      <c r="M1560">
        <v>10</v>
      </c>
      <c r="N1560" s="5">
        <v>0.50822398817224168</v>
      </c>
      <c r="O1560" t="s">
        <v>181</v>
      </c>
      <c r="P1560" t="s">
        <v>340</v>
      </c>
      <c r="Q1560" s="10" t="s">
        <v>24</v>
      </c>
    </row>
    <row r="1561" spans="1:18" hidden="1" x14ac:dyDescent="0.25">
      <c r="A1561" s="9" t="s">
        <v>462</v>
      </c>
      <c r="B1561" s="3" t="s">
        <v>1927</v>
      </c>
      <c r="C1561" s="10">
        <v>20</v>
      </c>
      <c r="D1561" s="10">
        <v>5</v>
      </c>
      <c r="E1561" s="10">
        <v>18</v>
      </c>
      <c r="F1561" t="s">
        <v>55</v>
      </c>
      <c r="G1561" t="s">
        <v>889</v>
      </c>
      <c r="H1561" t="s">
        <v>56</v>
      </c>
      <c r="I1561" t="s">
        <v>27</v>
      </c>
      <c r="J1561" s="4">
        <v>23.6</v>
      </c>
      <c r="K1561">
        <v>0.47</v>
      </c>
      <c r="L1561">
        <v>23.6</v>
      </c>
      <c r="M1561">
        <v>11.092000000000001</v>
      </c>
      <c r="N1561" s="5">
        <v>0.56372204768065048</v>
      </c>
      <c r="O1561" t="s">
        <v>181</v>
      </c>
      <c r="P1561" t="s">
        <v>340</v>
      </c>
      <c r="Q1561" s="10" t="s">
        <v>24</v>
      </c>
    </row>
    <row r="1562" spans="1:18" hidden="1" x14ac:dyDescent="0.25">
      <c r="A1562" s="9" t="s">
        <v>462</v>
      </c>
      <c r="B1562" s="3" t="str">
        <f t="shared" ref="B1562:B1580" si="31">CONCATENATE(E1562,"/",D1562,"/",C1562)</f>
        <v>18/5/23</v>
      </c>
      <c r="C1562" s="10">
        <v>23</v>
      </c>
      <c r="D1562" s="10">
        <v>5</v>
      </c>
      <c r="E1562" s="10">
        <v>18</v>
      </c>
      <c r="F1562" t="s">
        <v>520</v>
      </c>
      <c r="H1562" t="s">
        <v>53</v>
      </c>
      <c r="I1562" t="s">
        <v>27</v>
      </c>
      <c r="J1562">
        <v>56.95</v>
      </c>
      <c r="K1562">
        <v>1</v>
      </c>
      <c r="L1562">
        <v>56.95</v>
      </c>
      <c r="M1562">
        <v>56.95</v>
      </c>
      <c r="N1562" s="5">
        <v>2.8943356126409165</v>
      </c>
      <c r="O1562" t="s">
        <v>51</v>
      </c>
      <c r="P1562" t="s">
        <v>340</v>
      </c>
      <c r="Q1562" s="10" t="s">
        <v>24</v>
      </c>
    </row>
    <row r="1563" spans="1:18" hidden="1" x14ac:dyDescent="0.25">
      <c r="A1563" s="9" t="s">
        <v>462</v>
      </c>
      <c r="B1563" s="3" t="str">
        <f t="shared" si="31"/>
        <v>18/5/23</v>
      </c>
      <c r="C1563" s="10">
        <v>23</v>
      </c>
      <c r="D1563" s="10">
        <v>5</v>
      </c>
      <c r="E1563" s="10">
        <v>18</v>
      </c>
      <c r="F1563" t="s">
        <v>52</v>
      </c>
      <c r="H1563" t="s">
        <v>53</v>
      </c>
      <c r="I1563" t="s">
        <v>27</v>
      </c>
      <c r="J1563">
        <v>29.99</v>
      </c>
      <c r="K1563">
        <v>2</v>
      </c>
      <c r="L1563">
        <v>29.99</v>
      </c>
      <c r="M1563">
        <v>59.98</v>
      </c>
      <c r="N1563" s="5">
        <v>3.0483274810571053</v>
      </c>
      <c r="O1563" t="s">
        <v>51</v>
      </c>
      <c r="P1563" t="s">
        <v>340</v>
      </c>
      <c r="Q1563" s="10" t="s">
        <v>24</v>
      </c>
    </row>
    <row r="1564" spans="1:18" hidden="1" x14ac:dyDescent="0.25">
      <c r="A1564" s="9" t="s">
        <v>462</v>
      </c>
      <c r="B1564" s="3" t="str">
        <f t="shared" si="31"/>
        <v>18/5/23</v>
      </c>
      <c r="C1564" s="10">
        <v>23</v>
      </c>
      <c r="D1564" s="10">
        <v>5</v>
      </c>
      <c r="E1564" s="10">
        <v>18</v>
      </c>
      <c r="F1564" t="s">
        <v>316</v>
      </c>
      <c r="H1564" t="s">
        <v>49</v>
      </c>
      <c r="I1564" t="s">
        <v>79</v>
      </c>
      <c r="J1564">
        <v>18.899999999999999</v>
      </c>
      <c r="K1564">
        <v>2</v>
      </c>
      <c r="L1564">
        <v>18.899999999999999</v>
      </c>
      <c r="M1564">
        <v>37.799999999999997</v>
      </c>
      <c r="N1564" s="5">
        <v>1.9210866752910734</v>
      </c>
      <c r="O1564" t="s">
        <v>51</v>
      </c>
      <c r="P1564" t="s">
        <v>340</v>
      </c>
      <c r="Q1564" s="10" t="s">
        <v>24</v>
      </c>
      <c r="R1564" t="s">
        <v>1531</v>
      </c>
    </row>
    <row r="1565" spans="1:18" hidden="1" x14ac:dyDescent="0.25">
      <c r="A1565" s="9" t="s">
        <v>462</v>
      </c>
      <c r="B1565" s="3" t="str">
        <f t="shared" si="31"/>
        <v>18/5/23</v>
      </c>
      <c r="C1565" s="10">
        <v>23</v>
      </c>
      <c r="D1565" s="10">
        <v>5</v>
      </c>
      <c r="E1565" s="10">
        <v>18</v>
      </c>
      <c r="F1565" t="s">
        <v>55</v>
      </c>
      <c r="H1565" t="s">
        <v>56</v>
      </c>
      <c r="I1565" t="s">
        <v>27</v>
      </c>
      <c r="J1565">
        <v>23.9</v>
      </c>
      <c r="K1565">
        <v>1.2</v>
      </c>
      <c r="L1565">
        <v>23.9</v>
      </c>
      <c r="M1565">
        <v>28.679999999999996</v>
      </c>
      <c r="N1565" s="5">
        <v>1.4575863980779888</v>
      </c>
      <c r="O1565" t="s">
        <v>51</v>
      </c>
      <c r="P1565" t="s">
        <v>340</v>
      </c>
      <c r="Q1565" s="10" t="s">
        <v>24</v>
      </c>
    </row>
    <row r="1566" spans="1:18" hidden="1" x14ac:dyDescent="0.25">
      <c r="A1566" s="9" t="s">
        <v>462</v>
      </c>
      <c r="B1566" s="3" t="str">
        <f t="shared" si="31"/>
        <v>18/5/23</v>
      </c>
      <c r="C1566" s="10">
        <v>23</v>
      </c>
      <c r="D1566" s="10">
        <v>5</v>
      </c>
      <c r="E1566" s="10">
        <v>18</v>
      </c>
      <c r="F1566" t="s">
        <v>109</v>
      </c>
      <c r="H1566" t="s">
        <v>54</v>
      </c>
      <c r="I1566" t="s">
        <v>27</v>
      </c>
      <c r="J1566">
        <v>16.899999999999999</v>
      </c>
      <c r="K1566">
        <v>0.41</v>
      </c>
      <c r="L1566">
        <v>16.899999999999999</v>
      </c>
      <c r="M1566">
        <v>6.9289999999999994</v>
      </c>
      <c r="N1566" s="5">
        <v>0.35214840140454623</v>
      </c>
      <c r="O1566" t="s">
        <v>51</v>
      </c>
      <c r="P1566" t="s">
        <v>340</v>
      </c>
      <c r="Q1566" s="10" t="s">
        <v>24</v>
      </c>
    </row>
    <row r="1567" spans="1:18" hidden="1" x14ac:dyDescent="0.25">
      <c r="A1567" s="9" t="s">
        <v>462</v>
      </c>
      <c r="B1567" s="3" t="str">
        <f t="shared" si="31"/>
        <v>18/5/23</v>
      </c>
      <c r="C1567" s="10">
        <v>23</v>
      </c>
      <c r="D1567" s="10">
        <v>5</v>
      </c>
      <c r="E1567" s="10">
        <v>18</v>
      </c>
      <c r="F1567" t="s">
        <v>521</v>
      </c>
      <c r="H1567" t="s">
        <v>56</v>
      </c>
      <c r="I1567" t="s">
        <v>27</v>
      </c>
      <c r="J1567">
        <v>23.9</v>
      </c>
      <c r="K1567">
        <v>0.97</v>
      </c>
      <c r="L1567">
        <v>23.9</v>
      </c>
      <c r="M1567">
        <v>23.182999999999996</v>
      </c>
      <c r="N1567" s="5">
        <v>1.1782156717797077</v>
      </c>
      <c r="O1567" t="s">
        <v>51</v>
      </c>
      <c r="P1567" t="s">
        <v>340</v>
      </c>
      <c r="Q1567" s="10" t="s">
        <v>24</v>
      </c>
    </row>
    <row r="1568" spans="1:18" hidden="1" x14ac:dyDescent="0.25">
      <c r="A1568" s="9" t="s">
        <v>462</v>
      </c>
      <c r="B1568" s="3" t="str">
        <f t="shared" si="31"/>
        <v>18/5/23</v>
      </c>
      <c r="C1568" s="10">
        <v>23</v>
      </c>
      <c r="D1568" s="10">
        <v>5</v>
      </c>
      <c r="E1568" s="10">
        <v>18</v>
      </c>
      <c r="F1568" t="s">
        <v>483</v>
      </c>
      <c r="H1568" t="s">
        <v>56</v>
      </c>
      <c r="I1568" t="s">
        <v>27</v>
      </c>
      <c r="J1568">
        <v>39.799999999999997</v>
      </c>
      <c r="K1568">
        <v>0.5</v>
      </c>
      <c r="L1568">
        <v>39.799999999999997</v>
      </c>
      <c r="M1568">
        <v>19.899999999999999</v>
      </c>
      <c r="N1568" s="5">
        <v>1.0113657364627608</v>
      </c>
      <c r="O1568" t="s">
        <v>51</v>
      </c>
      <c r="P1568" t="s">
        <v>340</v>
      </c>
      <c r="Q1568" s="10" t="s">
        <v>24</v>
      </c>
    </row>
    <row r="1569" spans="1:17" hidden="1" x14ac:dyDescent="0.25">
      <c r="A1569" s="9" t="s">
        <v>462</v>
      </c>
      <c r="B1569" s="3" t="str">
        <f t="shared" si="31"/>
        <v>18/5/23</v>
      </c>
      <c r="C1569" s="10">
        <v>23</v>
      </c>
      <c r="D1569" s="10">
        <v>5</v>
      </c>
      <c r="E1569" s="10">
        <v>18</v>
      </c>
      <c r="F1569" t="s">
        <v>522</v>
      </c>
      <c r="H1569" t="s">
        <v>65</v>
      </c>
      <c r="I1569" t="s">
        <v>27</v>
      </c>
      <c r="J1569">
        <v>14.69</v>
      </c>
      <c r="K1569">
        <v>6</v>
      </c>
      <c r="L1569">
        <v>14.69</v>
      </c>
      <c r="M1569">
        <v>88.14</v>
      </c>
      <c r="N1569" s="5">
        <v>4.4794862317501378</v>
      </c>
      <c r="O1569" t="s">
        <v>51</v>
      </c>
      <c r="P1569" t="s">
        <v>340</v>
      </c>
      <c r="Q1569" s="10" t="s">
        <v>24</v>
      </c>
    </row>
    <row r="1570" spans="1:17" hidden="1" x14ac:dyDescent="0.25">
      <c r="A1570" s="9" t="s">
        <v>462</v>
      </c>
      <c r="B1570" s="3" t="str">
        <f t="shared" si="31"/>
        <v>18/5/23</v>
      </c>
      <c r="C1570" s="10">
        <v>23</v>
      </c>
      <c r="D1570" s="10">
        <v>5</v>
      </c>
      <c r="E1570" s="10">
        <v>18</v>
      </c>
      <c r="F1570" t="s">
        <v>75</v>
      </c>
      <c r="H1570" t="s">
        <v>65</v>
      </c>
      <c r="I1570" t="s">
        <v>27</v>
      </c>
      <c r="J1570">
        <v>22.79</v>
      </c>
      <c r="K1570">
        <v>3</v>
      </c>
      <c r="L1570">
        <v>22.79</v>
      </c>
      <c r="M1570">
        <v>68.37</v>
      </c>
      <c r="N1570" s="5">
        <v>3.4747274071336163</v>
      </c>
      <c r="O1570" t="s">
        <v>51</v>
      </c>
      <c r="P1570" t="s">
        <v>340</v>
      </c>
      <c r="Q1570" s="10" t="s">
        <v>24</v>
      </c>
    </row>
    <row r="1571" spans="1:17" hidden="1" x14ac:dyDescent="0.25">
      <c r="A1571" s="9" t="s">
        <v>462</v>
      </c>
      <c r="B1571" s="3" t="str">
        <f t="shared" si="31"/>
        <v>18/5/23</v>
      </c>
      <c r="C1571" s="10">
        <v>23</v>
      </c>
      <c r="D1571" s="10">
        <v>5</v>
      </c>
      <c r="E1571" s="10">
        <v>18</v>
      </c>
      <c r="F1571" t="s">
        <v>523</v>
      </c>
      <c r="H1571" t="s">
        <v>73</v>
      </c>
      <c r="I1571" t="s">
        <v>27</v>
      </c>
      <c r="J1571">
        <v>17.16</v>
      </c>
      <c r="K1571">
        <v>1</v>
      </c>
      <c r="L1571">
        <v>17.16</v>
      </c>
      <c r="M1571">
        <v>17.16</v>
      </c>
      <c r="N1571" s="5">
        <v>0.87211236370356671</v>
      </c>
      <c r="O1571" t="s">
        <v>51</v>
      </c>
      <c r="P1571" t="s">
        <v>340</v>
      </c>
      <c r="Q1571" s="10" t="s">
        <v>24</v>
      </c>
    </row>
    <row r="1572" spans="1:17" hidden="1" x14ac:dyDescent="0.25">
      <c r="A1572" s="9" t="s">
        <v>462</v>
      </c>
      <c r="B1572" s="3" t="str">
        <f t="shared" si="31"/>
        <v>18/5/23</v>
      </c>
      <c r="C1572" s="10">
        <v>23</v>
      </c>
      <c r="D1572" s="10">
        <v>5</v>
      </c>
      <c r="E1572" s="10">
        <v>18</v>
      </c>
      <c r="F1572" t="s">
        <v>524</v>
      </c>
      <c r="H1572" t="s">
        <v>49</v>
      </c>
      <c r="I1572" t="s">
        <v>50</v>
      </c>
      <c r="J1572">
        <v>14.9</v>
      </c>
      <c r="K1572">
        <v>1</v>
      </c>
      <c r="L1572">
        <v>14.9</v>
      </c>
      <c r="M1572">
        <v>14.9</v>
      </c>
      <c r="N1572" s="5">
        <v>0.75725374237664012</v>
      </c>
      <c r="O1572" t="s">
        <v>51</v>
      </c>
      <c r="P1572" t="s">
        <v>340</v>
      </c>
      <c r="Q1572" s="10" t="s">
        <v>24</v>
      </c>
    </row>
    <row r="1573" spans="1:17" hidden="1" x14ac:dyDescent="0.25">
      <c r="A1573" s="9" t="s">
        <v>462</v>
      </c>
      <c r="B1573" s="3" t="str">
        <f t="shared" si="31"/>
        <v>18/5/23</v>
      </c>
      <c r="C1573" s="10">
        <v>23</v>
      </c>
      <c r="D1573" s="10">
        <v>5</v>
      </c>
      <c r="E1573" s="10">
        <v>18</v>
      </c>
      <c r="F1573" t="s">
        <v>140</v>
      </c>
      <c r="H1573" t="s">
        <v>49</v>
      </c>
      <c r="I1573" t="s">
        <v>50</v>
      </c>
      <c r="J1573">
        <v>14.9</v>
      </c>
      <c r="K1573">
        <v>1</v>
      </c>
      <c r="L1573">
        <v>14.9</v>
      </c>
      <c r="M1573">
        <v>14.9</v>
      </c>
      <c r="N1573" s="5">
        <v>0.75725374237664012</v>
      </c>
      <c r="O1573" t="s">
        <v>51</v>
      </c>
      <c r="P1573" t="s">
        <v>340</v>
      </c>
      <c r="Q1573" s="10" t="s">
        <v>24</v>
      </c>
    </row>
    <row r="1574" spans="1:17" hidden="1" x14ac:dyDescent="0.25">
      <c r="A1574" s="9" t="s">
        <v>462</v>
      </c>
      <c r="B1574" s="3" t="str">
        <f t="shared" si="31"/>
        <v>18/5/23</v>
      </c>
      <c r="C1574" s="10">
        <v>23</v>
      </c>
      <c r="D1574" s="10">
        <v>5</v>
      </c>
      <c r="E1574" s="10">
        <v>18</v>
      </c>
      <c r="F1574" t="s">
        <v>75</v>
      </c>
      <c r="H1574" t="s">
        <v>65</v>
      </c>
      <c r="I1574" t="s">
        <v>27</v>
      </c>
      <c r="J1574">
        <v>8.59</v>
      </c>
      <c r="K1574">
        <v>5</v>
      </c>
      <c r="L1574">
        <v>8.59</v>
      </c>
      <c r="M1574">
        <v>42.95</v>
      </c>
      <c r="N1574" s="5">
        <v>2.182822029199778</v>
      </c>
      <c r="O1574" t="s">
        <v>51</v>
      </c>
      <c r="P1574" t="s">
        <v>340</v>
      </c>
      <c r="Q1574" s="10" t="s">
        <v>24</v>
      </c>
    </row>
    <row r="1575" spans="1:17" hidden="1" x14ac:dyDescent="0.25">
      <c r="A1575" s="9" t="s">
        <v>462</v>
      </c>
      <c r="B1575" s="3" t="str">
        <f t="shared" si="31"/>
        <v>18/5/23</v>
      </c>
      <c r="C1575" s="10">
        <v>23</v>
      </c>
      <c r="D1575" s="10">
        <v>5</v>
      </c>
      <c r="E1575" s="10">
        <v>18</v>
      </c>
      <c r="F1575" t="s">
        <v>505</v>
      </c>
      <c r="H1575" t="s">
        <v>44</v>
      </c>
      <c r="I1575" t="s">
        <v>27</v>
      </c>
      <c r="J1575">
        <v>10.9</v>
      </c>
      <c r="K1575">
        <v>3</v>
      </c>
      <c r="L1575">
        <v>10.9</v>
      </c>
      <c r="M1575">
        <v>32.700000000000003</v>
      </c>
      <c r="N1575" s="5">
        <v>1.6618924413232303</v>
      </c>
      <c r="O1575" t="s">
        <v>51</v>
      </c>
      <c r="P1575" t="s">
        <v>340</v>
      </c>
      <c r="Q1575" s="10" t="s">
        <v>24</v>
      </c>
    </row>
    <row r="1576" spans="1:17" hidden="1" x14ac:dyDescent="0.25">
      <c r="A1576" s="9" t="s">
        <v>462</v>
      </c>
      <c r="B1576" s="3" t="str">
        <f t="shared" si="31"/>
        <v>18/5/23</v>
      </c>
      <c r="C1576" s="10">
        <v>23</v>
      </c>
      <c r="D1576" s="10">
        <v>5</v>
      </c>
      <c r="E1576" s="10">
        <v>18</v>
      </c>
      <c r="F1576" t="s">
        <v>525</v>
      </c>
      <c r="H1576" t="s">
        <v>49</v>
      </c>
      <c r="I1576" t="s">
        <v>50</v>
      </c>
      <c r="J1576">
        <v>16.899999999999999</v>
      </c>
      <c r="K1576">
        <v>1</v>
      </c>
      <c r="L1576">
        <v>16.899999999999999</v>
      </c>
      <c r="M1576">
        <v>16.899999999999999</v>
      </c>
      <c r="N1576" s="5">
        <v>0.85889854001108834</v>
      </c>
      <c r="O1576" t="s">
        <v>51</v>
      </c>
      <c r="P1576" t="s">
        <v>340</v>
      </c>
      <c r="Q1576" s="10" t="s">
        <v>24</v>
      </c>
    </row>
    <row r="1577" spans="1:17" hidden="1" x14ac:dyDescent="0.25">
      <c r="A1577" s="9" t="s">
        <v>462</v>
      </c>
      <c r="B1577" s="3" t="str">
        <f t="shared" si="31"/>
        <v>18/5/23</v>
      </c>
      <c r="C1577" s="10">
        <v>23</v>
      </c>
      <c r="D1577" s="10">
        <v>5</v>
      </c>
      <c r="E1577" s="10">
        <v>18</v>
      </c>
      <c r="F1577" t="s">
        <v>526</v>
      </c>
      <c r="H1577" t="s">
        <v>44</v>
      </c>
      <c r="I1577" t="s">
        <v>27</v>
      </c>
      <c r="J1577">
        <v>14.99</v>
      </c>
      <c r="K1577">
        <v>8</v>
      </c>
      <c r="L1577">
        <v>14.99</v>
      </c>
      <c r="M1577">
        <v>119.92</v>
      </c>
      <c r="N1577" s="5">
        <v>6.0946220661615218</v>
      </c>
      <c r="O1577" t="s">
        <v>51</v>
      </c>
      <c r="P1577" t="s">
        <v>340</v>
      </c>
      <c r="Q1577" s="10" t="s">
        <v>24</v>
      </c>
    </row>
    <row r="1578" spans="1:17" hidden="1" x14ac:dyDescent="0.25">
      <c r="A1578" s="9" t="s">
        <v>462</v>
      </c>
      <c r="B1578" s="3" t="str">
        <f t="shared" si="31"/>
        <v>18/5/23</v>
      </c>
      <c r="C1578" s="10">
        <v>23</v>
      </c>
      <c r="D1578" s="10">
        <v>5</v>
      </c>
      <c r="E1578" s="10">
        <v>18</v>
      </c>
      <c r="F1578" t="s">
        <v>1692</v>
      </c>
      <c r="H1578" t="s">
        <v>49</v>
      </c>
      <c r="I1578" t="s">
        <v>50</v>
      </c>
      <c r="J1578">
        <v>22.49</v>
      </c>
      <c r="K1578">
        <v>1</v>
      </c>
      <c r="L1578">
        <v>22.49</v>
      </c>
      <c r="M1578">
        <v>22.49</v>
      </c>
      <c r="N1578" s="5">
        <v>1.1429957493993714</v>
      </c>
      <c r="O1578" t="s">
        <v>51</v>
      </c>
      <c r="P1578" t="s">
        <v>340</v>
      </c>
      <c r="Q1578" s="10" t="s">
        <v>24</v>
      </c>
    </row>
    <row r="1579" spans="1:17" hidden="1" x14ac:dyDescent="0.25">
      <c r="A1579" s="9" t="s">
        <v>462</v>
      </c>
      <c r="B1579" s="3" t="str">
        <f t="shared" si="31"/>
        <v>18/5/23</v>
      </c>
      <c r="C1579" s="10">
        <v>23</v>
      </c>
      <c r="D1579" s="10">
        <v>5</v>
      </c>
      <c r="E1579" s="10">
        <v>18</v>
      </c>
      <c r="F1579" t="s">
        <v>527</v>
      </c>
      <c r="H1579" t="s">
        <v>44</v>
      </c>
      <c r="I1579" t="s">
        <v>27</v>
      </c>
      <c r="J1579">
        <v>15.79</v>
      </c>
      <c r="K1579">
        <v>2</v>
      </c>
      <c r="L1579">
        <v>15.79</v>
      </c>
      <c r="M1579">
        <v>31.58</v>
      </c>
      <c r="N1579" s="5">
        <v>1.6049713546479389</v>
      </c>
      <c r="O1579" t="s">
        <v>51</v>
      </c>
      <c r="P1579" t="s">
        <v>340</v>
      </c>
      <c r="Q1579" s="10" t="s">
        <v>24</v>
      </c>
    </row>
    <row r="1580" spans="1:17" hidden="1" x14ac:dyDescent="0.25">
      <c r="A1580" s="9" t="s">
        <v>462</v>
      </c>
      <c r="B1580" s="3" t="str">
        <f t="shared" si="31"/>
        <v>18/5/23</v>
      </c>
      <c r="C1580" s="10">
        <v>23</v>
      </c>
      <c r="D1580" s="10">
        <v>5</v>
      </c>
      <c r="E1580" s="10">
        <v>18</v>
      </c>
      <c r="F1580" t="s">
        <v>387</v>
      </c>
      <c r="H1580" t="s">
        <v>44</v>
      </c>
      <c r="I1580" t="s">
        <v>27</v>
      </c>
      <c r="J1580">
        <v>11.9</v>
      </c>
      <c r="K1580">
        <v>1</v>
      </c>
      <c r="L1580">
        <v>11.9</v>
      </c>
      <c r="M1580">
        <v>11.9</v>
      </c>
      <c r="N1580" s="5">
        <v>0.60478654592496761</v>
      </c>
      <c r="O1580" t="s">
        <v>51</v>
      </c>
      <c r="P1580" t="s">
        <v>340</v>
      </c>
      <c r="Q1580" s="10" t="s">
        <v>24</v>
      </c>
    </row>
    <row r="1581" spans="1:17" hidden="1" x14ac:dyDescent="0.25">
      <c r="A1581" s="9" t="s">
        <v>462</v>
      </c>
      <c r="B1581" s="3" t="s">
        <v>1337</v>
      </c>
      <c r="C1581" s="10">
        <v>23</v>
      </c>
      <c r="D1581" s="10">
        <v>5</v>
      </c>
      <c r="E1581" s="10">
        <v>18</v>
      </c>
      <c r="F1581" t="s">
        <v>1325</v>
      </c>
      <c r="G1581" t="s">
        <v>889</v>
      </c>
      <c r="H1581" t="s">
        <v>49</v>
      </c>
      <c r="I1581" t="s">
        <v>79</v>
      </c>
      <c r="J1581" s="4">
        <v>139</v>
      </c>
      <c r="K1581">
        <v>1</v>
      </c>
      <c r="L1581">
        <v>139</v>
      </c>
      <c r="M1581">
        <v>139</v>
      </c>
      <c r="N1581" s="5">
        <v>7.0359955005624295</v>
      </c>
      <c r="O1581" t="s">
        <v>2020</v>
      </c>
      <c r="P1581" t="s">
        <v>340</v>
      </c>
      <c r="Q1581" s="10" t="s">
        <v>24</v>
      </c>
    </row>
    <row r="1582" spans="1:17" hidden="1" x14ac:dyDescent="0.25">
      <c r="A1582" s="9" t="s">
        <v>462</v>
      </c>
      <c r="B1582" s="3" t="s">
        <v>1337</v>
      </c>
      <c r="C1582" s="10">
        <v>23</v>
      </c>
      <c r="D1582" s="10">
        <v>5</v>
      </c>
      <c r="E1582" s="10">
        <v>18</v>
      </c>
      <c r="F1582" t="s">
        <v>102</v>
      </c>
      <c r="H1582" t="s">
        <v>102</v>
      </c>
      <c r="I1582" t="s">
        <v>27</v>
      </c>
      <c r="J1582" s="4">
        <v>27.35</v>
      </c>
      <c r="K1582">
        <v>1</v>
      </c>
      <c r="L1582">
        <v>27.35</v>
      </c>
      <c r="M1582">
        <v>27.35</v>
      </c>
      <c r="N1582" s="5">
        <v>1.3844206974128235</v>
      </c>
      <c r="O1582" t="s">
        <v>39</v>
      </c>
      <c r="P1582" t="s">
        <v>340</v>
      </c>
      <c r="Q1582" s="10" t="s">
        <v>24</v>
      </c>
    </row>
    <row r="1583" spans="1:17" hidden="1" x14ac:dyDescent="0.25">
      <c r="A1583" s="9" t="s">
        <v>462</v>
      </c>
      <c r="B1583" s="3" t="s">
        <v>1440</v>
      </c>
      <c r="C1583" s="10">
        <v>24</v>
      </c>
      <c r="D1583" s="10">
        <v>5</v>
      </c>
      <c r="E1583" s="10">
        <v>18</v>
      </c>
      <c r="F1583" t="s">
        <v>146</v>
      </c>
      <c r="H1583" t="s">
        <v>49</v>
      </c>
      <c r="I1583" t="s">
        <v>50</v>
      </c>
      <c r="J1583" s="4">
        <v>0.3</v>
      </c>
      <c r="K1583">
        <v>1</v>
      </c>
      <c r="L1583">
        <v>0.3</v>
      </c>
      <c r="M1583">
        <v>0.3</v>
      </c>
      <c r="N1583" s="5">
        <v>1.5185601799775027E-2</v>
      </c>
      <c r="O1583" t="s">
        <v>457</v>
      </c>
      <c r="P1583" t="s">
        <v>340</v>
      </c>
      <c r="Q1583" s="10" t="s">
        <v>24</v>
      </c>
    </row>
    <row r="1584" spans="1:17" hidden="1" x14ac:dyDescent="0.25">
      <c r="A1584" s="9" t="s">
        <v>462</v>
      </c>
      <c r="B1584" s="3" t="s">
        <v>1440</v>
      </c>
      <c r="C1584" s="10">
        <v>24</v>
      </c>
      <c r="D1584" s="10">
        <v>5</v>
      </c>
      <c r="E1584" s="10">
        <v>18</v>
      </c>
      <c r="F1584" t="s">
        <v>55</v>
      </c>
      <c r="G1584" t="s">
        <v>889</v>
      </c>
      <c r="H1584" t="s">
        <v>56</v>
      </c>
      <c r="I1584" t="s">
        <v>27</v>
      </c>
      <c r="J1584" s="4">
        <v>23.99</v>
      </c>
      <c r="K1584">
        <v>0.86599999999999999</v>
      </c>
      <c r="L1584">
        <v>23.99</v>
      </c>
      <c r="M1584">
        <v>20.77534</v>
      </c>
      <c r="N1584" s="5">
        <v>1.0516201349831271</v>
      </c>
      <c r="O1584" t="s">
        <v>457</v>
      </c>
      <c r="P1584" t="s">
        <v>340</v>
      </c>
      <c r="Q1584" s="10" t="s">
        <v>24</v>
      </c>
    </row>
    <row r="1585" spans="1:18" hidden="1" x14ac:dyDescent="0.25">
      <c r="A1585" s="9" t="s">
        <v>462</v>
      </c>
      <c r="B1585" s="3" t="s">
        <v>1440</v>
      </c>
      <c r="C1585" s="10">
        <v>24</v>
      </c>
      <c r="D1585" s="10">
        <v>5</v>
      </c>
      <c r="E1585" s="10">
        <v>18</v>
      </c>
      <c r="F1585" t="s">
        <v>484</v>
      </c>
      <c r="G1585" t="s">
        <v>889</v>
      </c>
      <c r="H1585" t="s">
        <v>54</v>
      </c>
      <c r="I1585" t="s">
        <v>27</v>
      </c>
      <c r="J1585" s="4">
        <v>129.99</v>
      </c>
      <c r="K1585">
        <v>0.1</v>
      </c>
      <c r="L1585">
        <v>129.99</v>
      </c>
      <c r="M1585">
        <v>12.999000000000002</v>
      </c>
      <c r="N1585" s="5">
        <v>0.65799212598425205</v>
      </c>
      <c r="O1585" t="s">
        <v>457</v>
      </c>
      <c r="P1585" t="s">
        <v>340</v>
      </c>
      <c r="Q1585" s="10" t="s">
        <v>24</v>
      </c>
    </row>
    <row r="1586" spans="1:18" hidden="1" x14ac:dyDescent="0.25">
      <c r="A1586" s="9" t="s">
        <v>462</v>
      </c>
      <c r="B1586" s="3" t="s">
        <v>1440</v>
      </c>
      <c r="C1586" s="10">
        <v>24</v>
      </c>
      <c r="D1586" s="10">
        <v>5</v>
      </c>
      <c r="E1586" s="10">
        <v>18</v>
      </c>
      <c r="F1586" t="s">
        <v>638</v>
      </c>
      <c r="I1586" t="s">
        <v>72</v>
      </c>
      <c r="J1586" s="4">
        <v>19.829999999999998</v>
      </c>
      <c r="K1586">
        <v>2</v>
      </c>
      <c r="L1586">
        <v>19.829999999999998</v>
      </c>
      <c r="M1586">
        <v>39.659999999999997</v>
      </c>
      <c r="N1586" s="5">
        <v>2.0075365579302584</v>
      </c>
      <c r="O1586" t="s">
        <v>39</v>
      </c>
      <c r="P1586" t="s">
        <v>340</v>
      </c>
      <c r="Q1586" s="10" t="s">
        <v>24</v>
      </c>
      <c r="R1586" t="s">
        <v>638</v>
      </c>
    </row>
    <row r="1587" spans="1:18" hidden="1" x14ac:dyDescent="0.25">
      <c r="A1587" s="9" t="s">
        <v>462</v>
      </c>
      <c r="B1587" s="3" t="s">
        <v>1440</v>
      </c>
      <c r="C1587" s="10">
        <v>24</v>
      </c>
      <c r="D1587" s="10">
        <v>5</v>
      </c>
      <c r="E1587" s="10">
        <v>18</v>
      </c>
      <c r="F1587" t="s">
        <v>1431</v>
      </c>
      <c r="I1587" t="s">
        <v>72</v>
      </c>
      <c r="J1587" s="4">
        <v>3.46</v>
      </c>
      <c r="K1587">
        <v>2</v>
      </c>
      <c r="L1587">
        <v>3.46</v>
      </c>
      <c r="M1587">
        <v>6.92</v>
      </c>
      <c r="N1587" s="5">
        <v>0.35028121484814395</v>
      </c>
      <c r="O1587" t="s">
        <v>39</v>
      </c>
      <c r="P1587" t="s">
        <v>340</v>
      </c>
      <c r="Q1587" s="10" t="s">
        <v>24</v>
      </c>
    </row>
    <row r="1588" spans="1:18" hidden="1" x14ac:dyDescent="0.25">
      <c r="A1588" s="9" t="s">
        <v>462</v>
      </c>
      <c r="B1588" s="3" t="s">
        <v>1440</v>
      </c>
      <c r="C1588" s="10">
        <v>24</v>
      </c>
      <c r="D1588" s="10">
        <v>5</v>
      </c>
      <c r="E1588" s="10">
        <v>18</v>
      </c>
      <c r="F1588" t="s">
        <v>722</v>
      </c>
      <c r="I1588" t="s">
        <v>72</v>
      </c>
      <c r="J1588" s="4">
        <v>40.130000000000003</v>
      </c>
      <c r="K1588">
        <v>1</v>
      </c>
      <c r="L1588">
        <v>40.130000000000003</v>
      </c>
      <c r="M1588">
        <v>40.130000000000003</v>
      </c>
      <c r="N1588" s="5">
        <v>2.0313273340832398</v>
      </c>
      <c r="O1588" t="s">
        <v>39</v>
      </c>
      <c r="P1588" t="s">
        <v>340</v>
      </c>
      <c r="Q1588" s="10" t="s">
        <v>24</v>
      </c>
      <c r="R1588" t="s">
        <v>722</v>
      </c>
    </row>
    <row r="1589" spans="1:18" hidden="1" x14ac:dyDescent="0.25">
      <c r="A1589" s="2" t="s">
        <v>462</v>
      </c>
      <c r="B1589" s="3" t="str">
        <f>CONCATENATE(E1589,"/",D1589,"/",C1589)</f>
        <v>18/5/25</v>
      </c>
      <c r="C1589">
        <v>25</v>
      </c>
      <c r="D1589">
        <v>5</v>
      </c>
      <c r="E1589">
        <v>18</v>
      </c>
      <c r="F1589" t="s">
        <v>184</v>
      </c>
      <c r="G1589" t="s">
        <v>489</v>
      </c>
      <c r="H1589" t="s">
        <v>184</v>
      </c>
      <c r="I1589" t="s">
        <v>79</v>
      </c>
      <c r="J1589">
        <v>30</v>
      </c>
      <c r="K1589">
        <v>1</v>
      </c>
      <c r="L1589">
        <v>30</v>
      </c>
      <c r="M1589">
        <v>30</v>
      </c>
      <c r="N1589" s="5">
        <v>1.5090543259557345</v>
      </c>
      <c r="O1589" t="s">
        <v>39</v>
      </c>
      <c r="Q1589" t="s">
        <v>24</v>
      </c>
    </row>
    <row r="1590" spans="1:18" hidden="1" x14ac:dyDescent="0.25">
      <c r="A1590" s="9" t="s">
        <v>462</v>
      </c>
      <c r="B1590" s="3" t="s">
        <v>985</v>
      </c>
      <c r="C1590" s="10">
        <v>25</v>
      </c>
      <c r="D1590" s="10">
        <v>5</v>
      </c>
      <c r="E1590" s="10">
        <v>18</v>
      </c>
      <c r="F1590" t="s">
        <v>770</v>
      </c>
      <c r="G1590" t="s">
        <v>31</v>
      </c>
      <c r="H1590" t="s">
        <v>26</v>
      </c>
      <c r="I1590" t="s">
        <v>27</v>
      </c>
      <c r="J1590" s="4">
        <v>9.9</v>
      </c>
      <c r="K1590">
        <v>1</v>
      </c>
      <c r="L1590">
        <v>9.9</v>
      </c>
      <c r="M1590">
        <v>9.9</v>
      </c>
      <c r="N1590" s="5">
        <v>0.50177394830207811</v>
      </c>
      <c r="O1590" t="s">
        <v>90</v>
      </c>
      <c r="P1590" t="s">
        <v>340</v>
      </c>
      <c r="Q1590" s="10" t="s">
        <v>24</v>
      </c>
    </row>
    <row r="1591" spans="1:18" hidden="1" x14ac:dyDescent="0.25">
      <c r="A1591" s="9" t="s">
        <v>462</v>
      </c>
      <c r="B1591" s="3" t="s">
        <v>985</v>
      </c>
      <c r="C1591" s="10">
        <v>25</v>
      </c>
      <c r="D1591" s="10">
        <v>5</v>
      </c>
      <c r="E1591" s="10">
        <v>18</v>
      </c>
      <c r="F1591" t="s">
        <v>107</v>
      </c>
      <c r="G1591" t="s">
        <v>889</v>
      </c>
      <c r="H1591" t="s">
        <v>53</v>
      </c>
      <c r="I1591" t="s">
        <v>27</v>
      </c>
      <c r="J1591" s="4">
        <v>9.6999999999999993</v>
      </c>
      <c r="K1591">
        <v>1</v>
      </c>
      <c r="L1591">
        <v>9.6999999999999993</v>
      </c>
      <c r="M1591">
        <v>9.6999999999999993</v>
      </c>
      <c r="N1591" s="5">
        <v>0.49163710086163198</v>
      </c>
      <c r="O1591" t="s">
        <v>90</v>
      </c>
      <c r="P1591" t="s">
        <v>340</v>
      </c>
      <c r="Q1591" s="10" t="s">
        <v>24</v>
      </c>
    </row>
    <row r="1592" spans="1:18" hidden="1" x14ac:dyDescent="0.25">
      <c r="A1592" s="9" t="s">
        <v>462</v>
      </c>
      <c r="B1592" s="3" t="s">
        <v>985</v>
      </c>
      <c r="C1592" s="10">
        <v>25</v>
      </c>
      <c r="D1592" s="10">
        <v>5</v>
      </c>
      <c r="E1592" s="10">
        <v>18</v>
      </c>
      <c r="F1592" t="s">
        <v>47</v>
      </c>
      <c r="G1592" t="s">
        <v>31</v>
      </c>
      <c r="H1592" t="s">
        <v>26</v>
      </c>
      <c r="I1592" t="s">
        <v>27</v>
      </c>
      <c r="J1592" s="4">
        <v>6.04</v>
      </c>
      <c r="K1592">
        <v>1</v>
      </c>
      <c r="L1592">
        <v>6.04</v>
      </c>
      <c r="M1592">
        <v>6.04</v>
      </c>
      <c r="N1592" s="5">
        <v>0.30613279270146981</v>
      </c>
      <c r="O1592" t="s">
        <v>90</v>
      </c>
      <c r="P1592" t="s">
        <v>340</v>
      </c>
      <c r="Q1592" s="10" t="s">
        <v>24</v>
      </c>
    </row>
    <row r="1593" spans="1:18" hidden="1" x14ac:dyDescent="0.25">
      <c r="A1593" s="9" t="s">
        <v>462</v>
      </c>
      <c r="B1593" s="3" t="s">
        <v>985</v>
      </c>
      <c r="C1593" s="10">
        <v>25</v>
      </c>
      <c r="D1593" s="10">
        <v>5</v>
      </c>
      <c r="E1593" s="10">
        <v>18</v>
      </c>
      <c r="F1593" t="s">
        <v>146</v>
      </c>
      <c r="H1593" t="s">
        <v>49</v>
      </c>
      <c r="I1593" t="s">
        <v>50</v>
      </c>
      <c r="J1593" s="4">
        <v>0.4</v>
      </c>
      <c r="K1593">
        <v>1</v>
      </c>
      <c r="L1593">
        <v>0.4</v>
      </c>
      <c r="M1593">
        <v>0.4</v>
      </c>
      <c r="N1593" s="5">
        <v>2.0273694880892042E-2</v>
      </c>
      <c r="O1593" t="s">
        <v>90</v>
      </c>
      <c r="P1593" t="s">
        <v>340</v>
      </c>
      <c r="Q1593" s="10" t="s">
        <v>24</v>
      </c>
    </row>
    <row r="1594" spans="1:18" hidden="1" x14ac:dyDescent="0.25">
      <c r="A1594" s="9" t="s">
        <v>462</v>
      </c>
      <c r="B1594" s="3" t="s">
        <v>985</v>
      </c>
      <c r="C1594" s="10">
        <v>25</v>
      </c>
      <c r="D1594" s="10">
        <v>5</v>
      </c>
      <c r="E1594" s="10">
        <v>18</v>
      </c>
      <c r="F1594" t="s">
        <v>676</v>
      </c>
      <c r="G1594" t="s">
        <v>39</v>
      </c>
      <c r="H1594" t="s">
        <v>131</v>
      </c>
      <c r="I1594" t="s">
        <v>27</v>
      </c>
      <c r="J1594" s="4">
        <v>5.44</v>
      </c>
      <c r="K1594">
        <v>2</v>
      </c>
      <c r="L1594">
        <v>5.44</v>
      </c>
      <c r="M1594">
        <v>10.88</v>
      </c>
      <c r="N1594" s="5">
        <v>0.55144450076026363</v>
      </c>
      <c r="O1594" t="s">
        <v>90</v>
      </c>
      <c r="P1594" t="s">
        <v>340</v>
      </c>
      <c r="Q1594" s="10" t="s">
        <v>24</v>
      </c>
    </row>
    <row r="1595" spans="1:18" hidden="1" x14ac:dyDescent="0.25">
      <c r="A1595" s="9" t="s">
        <v>462</v>
      </c>
      <c r="B1595" s="3" t="s">
        <v>985</v>
      </c>
      <c r="C1595" s="10">
        <v>25</v>
      </c>
      <c r="D1595" s="10">
        <v>5</v>
      </c>
      <c r="E1595" s="10">
        <v>18</v>
      </c>
      <c r="F1595" t="s">
        <v>484</v>
      </c>
      <c r="G1595" t="s">
        <v>889</v>
      </c>
      <c r="H1595" t="s">
        <v>54</v>
      </c>
      <c r="I1595" t="s">
        <v>27</v>
      </c>
      <c r="J1595" s="4">
        <v>77.5</v>
      </c>
      <c r="K1595">
        <v>0.27600000000000002</v>
      </c>
      <c r="L1595">
        <v>77.5</v>
      </c>
      <c r="M1595">
        <v>21.39</v>
      </c>
      <c r="N1595" s="5">
        <v>1.0841358337557019</v>
      </c>
      <c r="O1595" t="s">
        <v>90</v>
      </c>
      <c r="P1595" t="s">
        <v>340</v>
      </c>
      <c r="Q1595" s="10" t="s">
        <v>24</v>
      </c>
    </row>
    <row r="1596" spans="1:18" hidden="1" x14ac:dyDescent="0.25">
      <c r="A1596" s="9" t="s">
        <v>462</v>
      </c>
      <c r="B1596" s="3" t="s">
        <v>985</v>
      </c>
      <c r="C1596" s="10">
        <v>25</v>
      </c>
      <c r="D1596" s="10">
        <v>5</v>
      </c>
      <c r="E1596" s="10">
        <v>18</v>
      </c>
      <c r="F1596" t="s">
        <v>891</v>
      </c>
      <c r="G1596" t="s">
        <v>889</v>
      </c>
      <c r="H1596" t="s">
        <v>54</v>
      </c>
      <c r="I1596" t="s">
        <v>27</v>
      </c>
      <c r="J1596" s="4">
        <v>13.5</v>
      </c>
      <c r="K1596">
        <v>1</v>
      </c>
      <c r="L1596">
        <v>13.5</v>
      </c>
      <c r="M1596">
        <v>13.5</v>
      </c>
      <c r="N1596" s="5">
        <v>0.68423720223010642</v>
      </c>
      <c r="O1596" t="s">
        <v>90</v>
      </c>
      <c r="P1596" t="s">
        <v>340</v>
      </c>
      <c r="Q1596" s="10" t="s">
        <v>24</v>
      </c>
    </row>
    <row r="1597" spans="1:18" hidden="1" x14ac:dyDescent="0.25">
      <c r="A1597" s="2" t="s">
        <v>462</v>
      </c>
      <c r="B1597" s="3" t="str">
        <f t="shared" ref="B1597:B1617" si="32">CONCATENATE(E1597,"/",D1597,"/",C1597)</f>
        <v>18/5/26</v>
      </c>
      <c r="C1597">
        <v>26</v>
      </c>
      <c r="D1597">
        <v>5</v>
      </c>
      <c r="E1597">
        <v>18</v>
      </c>
      <c r="F1597" t="s">
        <v>203</v>
      </c>
      <c r="H1597" t="s">
        <v>54</v>
      </c>
      <c r="I1597" t="s">
        <v>27</v>
      </c>
      <c r="J1597">
        <v>24</v>
      </c>
      <c r="K1597">
        <v>1</v>
      </c>
      <c r="L1597">
        <v>24</v>
      </c>
      <c r="M1597">
        <v>24</v>
      </c>
      <c r="N1597" s="5">
        <v>1.2072434607645877</v>
      </c>
      <c r="O1597" t="s">
        <v>359</v>
      </c>
      <c r="P1597" t="s">
        <v>340</v>
      </c>
      <c r="Q1597" t="s">
        <v>24</v>
      </c>
    </row>
    <row r="1598" spans="1:18" hidden="1" x14ac:dyDescent="0.25">
      <c r="A1598" s="2" t="s">
        <v>462</v>
      </c>
      <c r="B1598" s="3" t="str">
        <f t="shared" si="32"/>
        <v>18/5/26</v>
      </c>
      <c r="C1598">
        <v>26</v>
      </c>
      <c r="D1598">
        <v>5</v>
      </c>
      <c r="E1598">
        <v>18</v>
      </c>
      <c r="F1598" s="18" t="s">
        <v>483</v>
      </c>
      <c r="H1598" t="s">
        <v>56</v>
      </c>
      <c r="I1598" t="s">
        <v>27</v>
      </c>
      <c r="J1598">
        <v>26</v>
      </c>
      <c r="K1598">
        <v>1</v>
      </c>
      <c r="L1598">
        <v>26</v>
      </c>
      <c r="M1598">
        <v>26</v>
      </c>
      <c r="N1598" s="5">
        <v>1.3078470824949699</v>
      </c>
      <c r="O1598" t="s">
        <v>359</v>
      </c>
      <c r="P1598" t="s">
        <v>340</v>
      </c>
      <c r="Q1598" t="s">
        <v>24</v>
      </c>
    </row>
    <row r="1599" spans="1:18" hidden="1" x14ac:dyDescent="0.25">
      <c r="A1599" s="2" t="s">
        <v>462</v>
      </c>
      <c r="B1599" s="3" t="str">
        <f t="shared" si="32"/>
        <v>18/5/26</v>
      </c>
      <c r="C1599">
        <v>26</v>
      </c>
      <c r="D1599">
        <v>5</v>
      </c>
      <c r="E1599">
        <v>18</v>
      </c>
      <c r="F1599" t="s">
        <v>482</v>
      </c>
      <c r="H1599" t="s">
        <v>54</v>
      </c>
      <c r="I1599" t="s">
        <v>27</v>
      </c>
      <c r="J1599">
        <v>5</v>
      </c>
      <c r="K1599">
        <v>2</v>
      </c>
      <c r="L1599">
        <v>5</v>
      </c>
      <c r="M1599">
        <v>10</v>
      </c>
      <c r="N1599" s="5">
        <v>0.50301810865191154</v>
      </c>
      <c r="O1599" t="s">
        <v>359</v>
      </c>
      <c r="P1599" t="s">
        <v>340</v>
      </c>
      <c r="Q1599" t="s">
        <v>24</v>
      </c>
    </row>
    <row r="1600" spans="1:18" hidden="1" x14ac:dyDescent="0.25">
      <c r="A1600" s="2" t="s">
        <v>462</v>
      </c>
      <c r="B1600" s="3" t="str">
        <f t="shared" si="32"/>
        <v>18/5/26</v>
      </c>
      <c r="C1600">
        <v>26</v>
      </c>
      <c r="D1600">
        <v>5</v>
      </c>
      <c r="E1600">
        <v>18</v>
      </c>
      <c r="F1600" t="s">
        <v>490</v>
      </c>
      <c r="H1600" t="s">
        <v>54</v>
      </c>
      <c r="I1600" t="s">
        <v>27</v>
      </c>
      <c r="J1600">
        <v>17</v>
      </c>
      <c r="K1600">
        <v>1</v>
      </c>
      <c r="L1600">
        <v>17</v>
      </c>
      <c r="M1600">
        <v>17</v>
      </c>
      <c r="N1600" s="5">
        <v>0.85513078470824955</v>
      </c>
      <c r="O1600" t="s">
        <v>39</v>
      </c>
      <c r="Q1600" t="s">
        <v>24</v>
      </c>
    </row>
    <row r="1601" spans="1:18" hidden="1" x14ac:dyDescent="0.25">
      <c r="A1601" s="2" t="s">
        <v>462</v>
      </c>
      <c r="B1601" s="3" t="str">
        <f t="shared" si="32"/>
        <v>18/5/26</v>
      </c>
      <c r="C1601">
        <v>26</v>
      </c>
      <c r="D1601">
        <v>5</v>
      </c>
      <c r="E1601">
        <v>18</v>
      </c>
      <c r="F1601" t="s">
        <v>389</v>
      </c>
      <c r="H1601" t="s">
        <v>21</v>
      </c>
      <c r="I1601" t="s">
        <v>22</v>
      </c>
      <c r="J1601">
        <v>10</v>
      </c>
      <c r="K1601">
        <v>1</v>
      </c>
      <c r="L1601">
        <v>10</v>
      </c>
      <c r="M1601">
        <v>10</v>
      </c>
      <c r="N1601" s="5">
        <v>0.50301810865191154</v>
      </c>
      <c r="O1601" t="s">
        <v>39</v>
      </c>
      <c r="Q1601" t="s">
        <v>24</v>
      </c>
      <c r="R1601" t="s">
        <v>491</v>
      </c>
    </row>
    <row r="1602" spans="1:18" hidden="1" x14ac:dyDescent="0.25">
      <c r="A1602" s="2" t="s">
        <v>462</v>
      </c>
      <c r="B1602" s="3" t="str">
        <f t="shared" si="32"/>
        <v>18/5/27</v>
      </c>
      <c r="C1602">
        <v>27</v>
      </c>
      <c r="D1602">
        <v>5</v>
      </c>
      <c r="E1602">
        <v>18</v>
      </c>
      <c r="F1602" t="s">
        <v>389</v>
      </c>
      <c r="H1602" t="s">
        <v>21</v>
      </c>
      <c r="I1602" t="s">
        <v>22</v>
      </c>
      <c r="J1602">
        <v>250</v>
      </c>
      <c r="K1602">
        <v>2</v>
      </c>
      <c r="L1602">
        <v>250</v>
      </c>
      <c r="M1602">
        <v>500</v>
      </c>
      <c r="N1602" s="5">
        <v>25.150905432595575</v>
      </c>
      <c r="O1602" t="s">
        <v>382</v>
      </c>
      <c r="P1602" t="s">
        <v>340</v>
      </c>
      <c r="Q1602" t="s">
        <v>24</v>
      </c>
      <c r="R1602" t="s">
        <v>492</v>
      </c>
    </row>
    <row r="1603" spans="1:18" hidden="1" x14ac:dyDescent="0.25">
      <c r="A1603" s="2" t="s">
        <v>462</v>
      </c>
      <c r="B1603" s="3" t="str">
        <f t="shared" si="32"/>
        <v>18/5/27</v>
      </c>
      <c r="C1603">
        <v>27</v>
      </c>
      <c r="D1603">
        <v>5</v>
      </c>
      <c r="E1603">
        <v>18</v>
      </c>
      <c r="F1603" t="s">
        <v>141</v>
      </c>
      <c r="H1603" t="s">
        <v>172</v>
      </c>
      <c r="I1603" t="s">
        <v>39</v>
      </c>
      <c r="J1603">
        <v>2</v>
      </c>
      <c r="K1603">
        <v>2</v>
      </c>
      <c r="L1603">
        <v>2</v>
      </c>
      <c r="M1603">
        <v>4</v>
      </c>
      <c r="N1603" s="5">
        <v>0.2012072434607646</v>
      </c>
      <c r="O1603" t="s">
        <v>39</v>
      </c>
      <c r="Q1603" t="s">
        <v>24</v>
      </c>
    </row>
    <row r="1604" spans="1:18" hidden="1" x14ac:dyDescent="0.25">
      <c r="A1604" s="2" t="s">
        <v>462</v>
      </c>
      <c r="B1604" s="3" t="str">
        <f t="shared" si="32"/>
        <v>18/5/29</v>
      </c>
      <c r="C1604">
        <v>29</v>
      </c>
      <c r="D1604">
        <v>5</v>
      </c>
      <c r="E1604">
        <v>18</v>
      </c>
      <c r="F1604" t="s">
        <v>109</v>
      </c>
      <c r="H1604" t="s">
        <v>54</v>
      </c>
      <c r="I1604" t="s">
        <v>27</v>
      </c>
      <c r="J1604">
        <v>15</v>
      </c>
      <c r="K1604">
        <v>1.3</v>
      </c>
      <c r="L1604">
        <v>15</v>
      </c>
      <c r="M1604">
        <v>19.5</v>
      </c>
      <c r="N1604" s="5">
        <v>0.98088531187122741</v>
      </c>
      <c r="O1604" t="s">
        <v>359</v>
      </c>
      <c r="P1604" t="s">
        <v>340</v>
      </c>
      <c r="Q1604" t="s">
        <v>24</v>
      </c>
    </row>
    <row r="1605" spans="1:18" hidden="1" x14ac:dyDescent="0.25">
      <c r="A1605" s="2" t="s">
        <v>462</v>
      </c>
      <c r="B1605" s="3" t="str">
        <f t="shared" si="32"/>
        <v>18/5/29</v>
      </c>
      <c r="C1605">
        <v>29</v>
      </c>
      <c r="D1605">
        <v>5</v>
      </c>
      <c r="E1605">
        <v>18</v>
      </c>
      <c r="F1605" s="18" t="s">
        <v>483</v>
      </c>
      <c r="H1605" t="s">
        <v>56</v>
      </c>
      <c r="I1605" t="s">
        <v>27</v>
      </c>
      <c r="J1605">
        <v>35</v>
      </c>
      <c r="K1605">
        <v>1.3</v>
      </c>
      <c r="L1605">
        <v>35</v>
      </c>
      <c r="M1605">
        <v>45.5</v>
      </c>
      <c r="N1605" s="5">
        <v>2.2887323943661975</v>
      </c>
      <c r="O1605" t="s">
        <v>359</v>
      </c>
      <c r="P1605" t="s">
        <v>340</v>
      </c>
      <c r="Q1605" t="s">
        <v>24</v>
      </c>
    </row>
    <row r="1606" spans="1:18" hidden="1" x14ac:dyDescent="0.25">
      <c r="A1606" s="2" t="s">
        <v>462</v>
      </c>
      <c r="B1606" s="3" t="str">
        <f t="shared" si="32"/>
        <v>18/5/29</v>
      </c>
      <c r="C1606">
        <v>29</v>
      </c>
      <c r="D1606">
        <v>5</v>
      </c>
      <c r="E1606">
        <v>18</v>
      </c>
      <c r="F1606" t="s">
        <v>176</v>
      </c>
      <c r="H1606" t="s">
        <v>176</v>
      </c>
      <c r="I1606" t="s">
        <v>105</v>
      </c>
      <c r="J1606">
        <v>193</v>
      </c>
      <c r="K1606">
        <v>1.3</v>
      </c>
      <c r="L1606">
        <v>193</v>
      </c>
      <c r="M1606">
        <v>250.9</v>
      </c>
      <c r="N1606" s="5">
        <v>12.620724346076459</v>
      </c>
      <c r="O1606" t="s">
        <v>39</v>
      </c>
      <c r="Q1606" t="s">
        <v>24</v>
      </c>
    </row>
    <row r="1607" spans="1:18" hidden="1" x14ac:dyDescent="0.25">
      <c r="A1607" s="2" t="s">
        <v>462</v>
      </c>
      <c r="B1607" s="3" t="str">
        <f t="shared" si="32"/>
        <v>18/5/29</v>
      </c>
      <c r="C1607">
        <v>29</v>
      </c>
      <c r="D1607">
        <v>5</v>
      </c>
      <c r="E1607">
        <v>18</v>
      </c>
      <c r="F1607" t="s">
        <v>94</v>
      </c>
      <c r="I1607" t="s">
        <v>87</v>
      </c>
      <c r="J1607">
        <v>110</v>
      </c>
      <c r="K1607">
        <v>2</v>
      </c>
      <c r="L1607">
        <v>110</v>
      </c>
      <c r="M1607">
        <v>220</v>
      </c>
      <c r="N1607" s="5">
        <v>11.066398390342053</v>
      </c>
      <c r="O1607" t="s">
        <v>493</v>
      </c>
      <c r="P1607" t="s">
        <v>340</v>
      </c>
      <c r="Q1607" t="s">
        <v>24</v>
      </c>
    </row>
    <row r="1608" spans="1:18" hidden="1" x14ac:dyDescent="0.25">
      <c r="A1608" s="2" t="s">
        <v>462</v>
      </c>
      <c r="B1608" s="3" t="str">
        <f t="shared" si="32"/>
        <v>18/5/29</v>
      </c>
      <c r="C1608">
        <v>29</v>
      </c>
      <c r="D1608">
        <v>5</v>
      </c>
      <c r="E1608">
        <v>18</v>
      </c>
      <c r="F1608" t="s">
        <v>94</v>
      </c>
      <c r="I1608" t="s">
        <v>87</v>
      </c>
      <c r="J1608">
        <v>110</v>
      </c>
      <c r="K1608">
        <v>2</v>
      </c>
      <c r="L1608">
        <v>110</v>
      </c>
      <c r="M1608">
        <v>220</v>
      </c>
      <c r="N1608" s="5">
        <v>11.066398390342053</v>
      </c>
      <c r="O1608" t="s">
        <v>495</v>
      </c>
      <c r="P1608" t="s">
        <v>340</v>
      </c>
      <c r="Q1608" t="s">
        <v>24</v>
      </c>
      <c r="R1608" t="s">
        <v>494</v>
      </c>
    </row>
    <row r="1609" spans="1:18" hidden="1" x14ac:dyDescent="0.25">
      <c r="A1609" s="2" t="s">
        <v>462</v>
      </c>
      <c r="B1609" s="3" t="str">
        <f t="shared" si="32"/>
        <v>18/5/3</v>
      </c>
      <c r="C1609">
        <v>3</v>
      </c>
      <c r="D1609">
        <v>5</v>
      </c>
      <c r="E1609">
        <v>18</v>
      </c>
      <c r="F1609" t="s">
        <v>389</v>
      </c>
      <c r="H1609" t="s">
        <v>21</v>
      </c>
      <c r="I1609" t="s">
        <v>22</v>
      </c>
      <c r="J1609">
        <v>4</v>
      </c>
      <c r="K1609">
        <v>2</v>
      </c>
      <c r="L1609">
        <v>4</v>
      </c>
      <c r="M1609">
        <v>8</v>
      </c>
      <c r="N1609" s="5">
        <v>0.4024144869215292</v>
      </c>
      <c r="O1609" t="s">
        <v>354</v>
      </c>
      <c r="P1609" t="s">
        <v>340</v>
      </c>
      <c r="Q1609" t="s">
        <v>24</v>
      </c>
      <c r="R1609" t="s">
        <v>353</v>
      </c>
    </row>
    <row r="1610" spans="1:18" hidden="1" x14ac:dyDescent="0.25">
      <c r="A1610" s="2" t="s">
        <v>462</v>
      </c>
      <c r="B1610" s="3" t="str">
        <f t="shared" si="32"/>
        <v>18/5/3</v>
      </c>
      <c r="C1610">
        <v>3</v>
      </c>
      <c r="D1610">
        <v>5</v>
      </c>
      <c r="E1610">
        <v>18</v>
      </c>
      <c r="F1610" t="s">
        <v>124</v>
      </c>
      <c r="H1610" t="s">
        <v>54</v>
      </c>
      <c r="I1610" t="s">
        <v>27</v>
      </c>
      <c r="J1610">
        <v>66</v>
      </c>
      <c r="K1610">
        <v>0.46800000000000003</v>
      </c>
      <c r="L1610">
        <v>66</v>
      </c>
      <c r="M1610">
        <v>30.89</v>
      </c>
      <c r="N1610" s="5">
        <v>1.5538229376257546</v>
      </c>
      <c r="O1610" t="s">
        <v>100</v>
      </c>
      <c r="P1610" t="s">
        <v>340</v>
      </c>
      <c r="Q1610" t="s">
        <v>24</v>
      </c>
    </row>
    <row r="1611" spans="1:18" hidden="1" x14ac:dyDescent="0.25">
      <c r="A1611" s="2" t="s">
        <v>462</v>
      </c>
      <c r="B1611" s="3" t="str">
        <f t="shared" si="32"/>
        <v>18/5/3</v>
      </c>
      <c r="C1611">
        <v>3</v>
      </c>
      <c r="D1611">
        <v>5</v>
      </c>
      <c r="E1611">
        <v>18</v>
      </c>
      <c r="F1611" t="s">
        <v>108</v>
      </c>
      <c r="H1611" t="s">
        <v>54</v>
      </c>
      <c r="I1611" t="s">
        <v>27</v>
      </c>
      <c r="J1611">
        <v>47</v>
      </c>
      <c r="K1611">
        <v>0.35599999999999998</v>
      </c>
      <c r="L1611">
        <v>47</v>
      </c>
      <c r="M1611">
        <v>16.73</v>
      </c>
      <c r="N1611" s="5">
        <v>0.84154929577464799</v>
      </c>
      <c r="O1611" t="s">
        <v>100</v>
      </c>
      <c r="P1611" t="s">
        <v>340</v>
      </c>
      <c r="Q1611" t="s">
        <v>24</v>
      </c>
    </row>
    <row r="1612" spans="1:18" hidden="1" x14ac:dyDescent="0.25">
      <c r="A1612" s="2" t="s">
        <v>462</v>
      </c>
      <c r="B1612" s="3" t="str">
        <f t="shared" si="32"/>
        <v>18/5/3</v>
      </c>
      <c r="C1612">
        <v>3</v>
      </c>
      <c r="D1612">
        <v>5</v>
      </c>
      <c r="E1612">
        <v>18</v>
      </c>
      <c r="F1612" t="s">
        <v>109</v>
      </c>
      <c r="H1612" t="s">
        <v>54</v>
      </c>
      <c r="I1612" t="s">
        <v>27</v>
      </c>
      <c r="J1612" s="15">
        <v>47</v>
      </c>
      <c r="K1612" s="15">
        <v>0.57999999999999996</v>
      </c>
      <c r="L1612">
        <v>47</v>
      </c>
      <c r="M1612">
        <v>27.26</v>
      </c>
      <c r="N1612" s="5">
        <v>1.3712273641851107</v>
      </c>
      <c r="O1612" t="s">
        <v>100</v>
      </c>
      <c r="P1612" t="s">
        <v>340</v>
      </c>
      <c r="Q1612" t="s">
        <v>24</v>
      </c>
    </row>
    <row r="1613" spans="1:18" hidden="1" x14ac:dyDescent="0.25">
      <c r="A1613" s="2" t="s">
        <v>462</v>
      </c>
      <c r="B1613" s="3" t="str">
        <f t="shared" si="32"/>
        <v>18/5/3</v>
      </c>
      <c r="C1613">
        <v>3</v>
      </c>
      <c r="D1613">
        <v>5</v>
      </c>
      <c r="E1613">
        <v>18</v>
      </c>
      <c r="F1613" t="s">
        <v>122</v>
      </c>
      <c r="H1613" t="s">
        <v>54</v>
      </c>
      <c r="I1613" t="s">
        <v>27</v>
      </c>
      <c r="J1613">
        <v>45</v>
      </c>
      <c r="K1613">
        <v>0.40200000000000002</v>
      </c>
      <c r="L1613">
        <v>45</v>
      </c>
      <c r="M1613">
        <v>18.09</v>
      </c>
      <c r="N1613" s="5">
        <v>0.90995975855130784</v>
      </c>
      <c r="O1613" t="s">
        <v>100</v>
      </c>
      <c r="P1613" t="s">
        <v>340</v>
      </c>
      <c r="Q1613" t="s">
        <v>24</v>
      </c>
    </row>
    <row r="1614" spans="1:18" hidden="1" x14ac:dyDescent="0.25">
      <c r="A1614" s="2" t="s">
        <v>462</v>
      </c>
      <c r="B1614" s="3" t="str">
        <f t="shared" si="32"/>
        <v>18/5/3</v>
      </c>
      <c r="C1614">
        <v>3</v>
      </c>
      <c r="D1614">
        <v>5</v>
      </c>
      <c r="E1614">
        <v>18</v>
      </c>
      <c r="F1614" t="s">
        <v>496</v>
      </c>
      <c r="G1614" t="s">
        <v>33</v>
      </c>
      <c r="H1614" t="s">
        <v>35</v>
      </c>
      <c r="I1614" t="s">
        <v>27</v>
      </c>
      <c r="J1614">
        <v>327.60000000000002</v>
      </c>
      <c r="K1614">
        <v>0.156</v>
      </c>
      <c r="L1614">
        <v>327.60000000000002</v>
      </c>
      <c r="M1614">
        <v>51.11</v>
      </c>
      <c r="N1614" s="5">
        <v>2.5709255533199196</v>
      </c>
      <c r="O1614" t="s">
        <v>100</v>
      </c>
      <c r="P1614" t="s">
        <v>340</v>
      </c>
      <c r="Q1614" t="s">
        <v>24</v>
      </c>
    </row>
    <row r="1615" spans="1:18" hidden="1" x14ac:dyDescent="0.25">
      <c r="A1615" s="2" t="s">
        <v>462</v>
      </c>
      <c r="B1615" s="3" t="str">
        <f t="shared" si="32"/>
        <v>18/5/3</v>
      </c>
      <c r="C1615">
        <v>3</v>
      </c>
      <c r="D1615">
        <v>5</v>
      </c>
      <c r="E1615">
        <v>18</v>
      </c>
      <c r="F1615" t="s">
        <v>292</v>
      </c>
      <c r="H1615" t="s">
        <v>40</v>
      </c>
      <c r="I1615" t="s">
        <v>27</v>
      </c>
      <c r="J1615">
        <v>17</v>
      </c>
      <c r="K1615">
        <v>0.5</v>
      </c>
      <c r="L1615">
        <v>17</v>
      </c>
      <c r="M1615">
        <v>8.5</v>
      </c>
      <c r="N1615" s="5">
        <v>0.42756539235412477</v>
      </c>
      <c r="O1615" t="s">
        <v>100</v>
      </c>
      <c r="P1615" t="s">
        <v>340</v>
      </c>
      <c r="Q1615" t="s">
        <v>24</v>
      </c>
    </row>
    <row r="1616" spans="1:18" hidden="1" x14ac:dyDescent="0.25">
      <c r="A1616" s="2" t="s">
        <v>462</v>
      </c>
      <c r="B1616" s="3" t="str">
        <f t="shared" si="32"/>
        <v>18/5/3</v>
      </c>
      <c r="C1616">
        <v>3</v>
      </c>
      <c r="D1616">
        <v>5</v>
      </c>
      <c r="E1616">
        <v>18</v>
      </c>
      <c r="F1616" t="s">
        <v>99</v>
      </c>
      <c r="H1616" t="s">
        <v>40</v>
      </c>
      <c r="I1616" t="s">
        <v>27</v>
      </c>
      <c r="J1616">
        <v>10</v>
      </c>
      <c r="K1616">
        <v>1</v>
      </c>
      <c r="L1616">
        <v>10</v>
      </c>
      <c r="M1616">
        <v>10</v>
      </c>
      <c r="N1616" s="5">
        <v>0.50301810865191154</v>
      </c>
      <c r="O1616" t="s">
        <v>100</v>
      </c>
      <c r="P1616" t="s">
        <v>340</v>
      </c>
      <c r="Q1616" t="s">
        <v>24</v>
      </c>
    </row>
    <row r="1617" spans="1:18" hidden="1" x14ac:dyDescent="0.25">
      <c r="A1617" s="2" t="s">
        <v>462</v>
      </c>
      <c r="B1617" s="3" t="str">
        <f t="shared" si="32"/>
        <v>18/5/3</v>
      </c>
      <c r="C1617">
        <v>3</v>
      </c>
      <c r="D1617">
        <v>5</v>
      </c>
      <c r="E1617">
        <v>18</v>
      </c>
      <c r="F1617" t="s">
        <v>458</v>
      </c>
      <c r="H1617" t="s">
        <v>44</v>
      </c>
      <c r="I1617" t="s">
        <v>27</v>
      </c>
      <c r="J1617">
        <v>29.2</v>
      </c>
      <c r="K1617">
        <v>1</v>
      </c>
      <c r="L1617">
        <v>29.2</v>
      </c>
      <c r="M1617">
        <v>29.2</v>
      </c>
      <c r="N1617" s="5">
        <v>1.4688128772635816</v>
      </c>
      <c r="O1617" t="s">
        <v>274</v>
      </c>
      <c r="P1617" t="s">
        <v>340</v>
      </c>
      <c r="Q1617" t="s">
        <v>24</v>
      </c>
    </row>
    <row r="1618" spans="1:18" hidden="1" x14ac:dyDescent="0.25">
      <c r="A1618" s="36" t="str">
        <f>IF(D1618=1,"Jan-18",IF(D1618=2,"Feb-18",IF(D1618=3,"Mar-18",IF(D1618=4,"Apr-18",IF(D1618=5,"May-18",IF(D1618=6,"Jun-18",(IF(D1618=7,"Jul-18",IF(D1618=8,"Aug-18",IF(D1618=9,"Sep-18",IF(D1618=10,"Oct-18",IF(D1618=11,"Nov-18",IF(D1618=12,"Dec-18","...")))))))))))))</f>
        <v>May-18</v>
      </c>
      <c r="B1618" s="3" t="s">
        <v>1280</v>
      </c>
      <c r="C1618" s="10">
        <v>3</v>
      </c>
      <c r="D1618" s="10">
        <v>5</v>
      </c>
      <c r="E1618" s="10">
        <v>18</v>
      </c>
      <c r="F1618" t="s">
        <v>108</v>
      </c>
      <c r="G1618" t="s">
        <v>889</v>
      </c>
      <c r="H1618" t="s">
        <v>54</v>
      </c>
      <c r="I1618" t="s">
        <v>27</v>
      </c>
      <c r="J1618" s="4">
        <v>59.95</v>
      </c>
      <c r="K1618">
        <v>0.47399999999999998</v>
      </c>
      <c r="L1618">
        <v>59.95</v>
      </c>
      <c r="M1618">
        <v>28.4163</v>
      </c>
      <c r="N1618" s="5">
        <v>1.4383953880764904</v>
      </c>
      <c r="O1618" t="s">
        <v>1472</v>
      </c>
      <c r="P1618" t="s">
        <v>340</v>
      </c>
      <c r="Q1618" s="10" t="s">
        <v>1102</v>
      </c>
    </row>
    <row r="1619" spans="1:18" hidden="1" x14ac:dyDescent="0.25">
      <c r="A1619" s="2" t="s">
        <v>462</v>
      </c>
      <c r="B1619" s="3" t="str">
        <f>CONCATENATE(E1619,"/",D1619,"/",C1619)</f>
        <v>18/5/30</v>
      </c>
      <c r="C1619">
        <v>30</v>
      </c>
      <c r="D1619">
        <v>5</v>
      </c>
      <c r="E1619">
        <v>18</v>
      </c>
      <c r="F1619" t="s">
        <v>404</v>
      </c>
      <c r="H1619" t="s">
        <v>54</v>
      </c>
      <c r="I1619" t="s">
        <v>27</v>
      </c>
      <c r="J1619">
        <v>20</v>
      </c>
      <c r="K1619">
        <v>1</v>
      </c>
      <c r="L1619">
        <v>20</v>
      </c>
      <c r="M1619">
        <v>20</v>
      </c>
      <c r="N1619" s="5">
        <v>1.0060362173038231</v>
      </c>
      <c r="O1619" t="s">
        <v>39</v>
      </c>
      <c r="Q1619" t="s">
        <v>24</v>
      </c>
    </row>
    <row r="1620" spans="1:18" hidden="1" x14ac:dyDescent="0.25">
      <c r="A1620" s="2" t="s">
        <v>462</v>
      </c>
      <c r="B1620" s="3" t="str">
        <f>CONCATENATE(E1620,"/",D1620,"/",C1620)</f>
        <v>18/5/30</v>
      </c>
      <c r="C1620">
        <v>30</v>
      </c>
      <c r="D1620">
        <v>5</v>
      </c>
      <c r="E1620">
        <v>18</v>
      </c>
      <c r="F1620" t="s">
        <v>141</v>
      </c>
      <c r="H1620" t="s">
        <v>172</v>
      </c>
      <c r="I1620" t="s">
        <v>39</v>
      </c>
      <c r="J1620">
        <v>2</v>
      </c>
      <c r="K1620">
        <v>3</v>
      </c>
      <c r="L1620">
        <v>2</v>
      </c>
      <c r="M1620">
        <v>6</v>
      </c>
      <c r="N1620" s="5">
        <v>0.30181086519114692</v>
      </c>
      <c r="O1620" t="s">
        <v>39</v>
      </c>
      <c r="Q1620" t="s">
        <v>24</v>
      </c>
    </row>
    <row r="1621" spans="1:18" hidden="1" x14ac:dyDescent="0.25">
      <c r="A1621" s="36" t="str">
        <f>IF(D1621=1,"Jan-18",IF(D1621=2,"Feb-18",IF(D1621=3,"Mar-18",IF(D1621=4,"Apr-18",IF(D1621=5,"May-18",IF(D1621=6,"Jun-18",(IF(D1621=7,"Jul-18",IF(D1621=8,"Aug-18",IF(D1621=9,"Sep-18",IF(D1621=10,"Oct-18",IF(D1621=11,"Nov-18",IF(D1621=12,"Dec-18","...")))))))))))))</f>
        <v>May-18</v>
      </c>
      <c r="B1621" s="3" t="s">
        <v>1279</v>
      </c>
      <c r="C1621" s="10">
        <v>30</v>
      </c>
      <c r="D1621" s="10">
        <v>5</v>
      </c>
      <c r="E1621" s="10">
        <v>18</v>
      </c>
      <c r="F1621" t="s">
        <v>744</v>
      </c>
      <c r="G1621" t="s">
        <v>889</v>
      </c>
      <c r="H1621" t="s">
        <v>54</v>
      </c>
      <c r="I1621" t="s">
        <v>27</v>
      </c>
      <c r="J1621" s="4">
        <v>20.9</v>
      </c>
      <c r="K1621">
        <v>0.42599999999999999</v>
      </c>
      <c r="L1621">
        <v>20.9</v>
      </c>
      <c r="M1621">
        <v>8.9033999999999995</v>
      </c>
      <c r="N1621" s="5">
        <v>0.45067829021372324</v>
      </c>
      <c r="O1621" t="s">
        <v>1472</v>
      </c>
      <c r="P1621" t="s">
        <v>340</v>
      </c>
      <c r="Q1621" s="10" t="s">
        <v>1102</v>
      </c>
    </row>
    <row r="1622" spans="1:18" hidden="1" x14ac:dyDescent="0.25">
      <c r="A1622" s="36" t="str">
        <f>IF(D1622=1,"Jan-18",IF(D1622=2,"Feb-18",IF(D1622=3,"Mar-18",IF(D1622=4,"Apr-18",IF(D1622=5,"May-18",IF(D1622=6,"Jun-18",(IF(D1622=7,"Jul-18",IF(D1622=8,"Aug-18",IF(D1622=9,"Sep-18",IF(D1622=10,"Oct-18",IF(D1622=11,"Nov-18",IF(D1622=12,"Dec-18","...")))))))))))))</f>
        <v>May-18</v>
      </c>
      <c r="B1622" s="3" t="s">
        <v>1279</v>
      </c>
      <c r="C1622" s="10">
        <v>30</v>
      </c>
      <c r="D1622" s="10">
        <v>5</v>
      </c>
      <c r="E1622" s="10">
        <v>18</v>
      </c>
      <c r="F1622" t="s">
        <v>55</v>
      </c>
      <c r="G1622" t="s">
        <v>889</v>
      </c>
      <c r="H1622" t="s">
        <v>56</v>
      </c>
      <c r="I1622" t="s">
        <v>27</v>
      </c>
      <c r="J1622" s="4">
        <v>26.99</v>
      </c>
      <c r="K1622">
        <v>1.0840000000000001</v>
      </c>
      <c r="L1622">
        <v>26.99</v>
      </c>
      <c r="M1622">
        <v>29.257159999999999</v>
      </c>
      <c r="N1622" s="5">
        <v>1.4809586051743531</v>
      </c>
      <c r="O1622" t="s">
        <v>1472</v>
      </c>
      <c r="P1622" t="s">
        <v>340</v>
      </c>
      <c r="Q1622" s="10" t="s">
        <v>1102</v>
      </c>
    </row>
    <row r="1623" spans="1:18" hidden="1" x14ac:dyDescent="0.25">
      <c r="A1623" s="36" t="str">
        <f>IF(D1623=1,"Jan-18",IF(D1623=2,"Feb-18",IF(D1623=3,"Mar-18",IF(D1623=4,"Apr-18",IF(D1623=5,"May-18",IF(D1623=6,"Jun-18",(IF(D1623=7,"Jul-18",IF(D1623=8,"Aug-18",IF(D1623=9,"Sep-18",IF(D1623=10,"Oct-18",IF(D1623=11,"Nov-18",IF(D1623=12,"Dec-18","...")))))))))))))</f>
        <v>May-18</v>
      </c>
      <c r="B1623" s="3" t="s">
        <v>1279</v>
      </c>
      <c r="C1623" s="10">
        <v>30</v>
      </c>
      <c r="D1623" s="10">
        <v>5</v>
      </c>
      <c r="E1623" s="10">
        <v>18</v>
      </c>
      <c r="F1623" t="s">
        <v>997</v>
      </c>
      <c r="G1623" t="s">
        <v>889</v>
      </c>
      <c r="H1623" t="s">
        <v>54</v>
      </c>
      <c r="I1623" t="s">
        <v>27</v>
      </c>
      <c r="J1623" s="4">
        <v>36</v>
      </c>
      <c r="K1623">
        <v>8.5999999999999993E-2</v>
      </c>
      <c r="L1623">
        <v>36</v>
      </c>
      <c r="M1623">
        <v>3.0959999999999996</v>
      </c>
      <c r="N1623" s="5">
        <v>0.15671541057367827</v>
      </c>
      <c r="O1623" t="s">
        <v>1472</v>
      </c>
      <c r="P1623" t="s">
        <v>340</v>
      </c>
      <c r="Q1623" s="10" t="s">
        <v>1102</v>
      </c>
    </row>
    <row r="1624" spans="1:18" hidden="1" x14ac:dyDescent="0.25">
      <c r="A1624" s="9" t="s">
        <v>462</v>
      </c>
      <c r="B1624" s="3" t="s">
        <v>1279</v>
      </c>
      <c r="C1624" s="10">
        <v>30</v>
      </c>
      <c r="D1624" s="10">
        <v>5</v>
      </c>
      <c r="E1624" s="10">
        <v>18</v>
      </c>
      <c r="F1624" t="s">
        <v>1323</v>
      </c>
      <c r="G1624" t="s">
        <v>889</v>
      </c>
      <c r="H1624" t="s">
        <v>889</v>
      </c>
      <c r="I1624" t="s">
        <v>87</v>
      </c>
      <c r="J1624" s="4">
        <v>85</v>
      </c>
      <c r="K1624">
        <v>1</v>
      </c>
      <c r="L1624">
        <v>85</v>
      </c>
      <c r="M1624">
        <v>85</v>
      </c>
      <c r="N1624" s="5">
        <v>4.3025871766029242</v>
      </c>
      <c r="O1624" t="s">
        <v>39</v>
      </c>
      <c r="P1624" t="s">
        <v>340</v>
      </c>
      <c r="Q1624" s="10" t="s">
        <v>24</v>
      </c>
    </row>
    <row r="1625" spans="1:18" hidden="1" x14ac:dyDescent="0.25">
      <c r="A1625" s="9" t="s">
        <v>462</v>
      </c>
      <c r="B1625" s="3" t="s">
        <v>1279</v>
      </c>
      <c r="C1625" s="10">
        <v>30</v>
      </c>
      <c r="D1625" s="10">
        <v>5</v>
      </c>
      <c r="E1625" s="10">
        <v>18</v>
      </c>
      <c r="F1625" t="s">
        <v>1323</v>
      </c>
      <c r="G1625" t="s">
        <v>889</v>
      </c>
      <c r="H1625" t="s">
        <v>889</v>
      </c>
      <c r="I1625" t="s">
        <v>87</v>
      </c>
      <c r="J1625" s="4">
        <v>48</v>
      </c>
      <c r="K1625">
        <v>1</v>
      </c>
      <c r="L1625">
        <v>48</v>
      </c>
      <c r="M1625">
        <v>48</v>
      </c>
      <c r="N1625" s="5">
        <v>2.4296962879640045</v>
      </c>
      <c r="O1625" t="s">
        <v>39</v>
      </c>
      <c r="P1625" t="s">
        <v>340</v>
      </c>
      <c r="Q1625" s="10" t="s">
        <v>24</v>
      </c>
      <c r="R1625" t="s">
        <v>1324</v>
      </c>
    </row>
    <row r="1626" spans="1:18" hidden="1" x14ac:dyDescent="0.25">
      <c r="A1626" s="9" t="s">
        <v>462</v>
      </c>
      <c r="B1626" s="3" t="s">
        <v>1279</v>
      </c>
      <c r="C1626" s="10">
        <v>30</v>
      </c>
      <c r="D1626" s="10">
        <v>5</v>
      </c>
      <c r="E1626" s="10">
        <v>18</v>
      </c>
      <c r="F1626" t="s">
        <v>1057</v>
      </c>
      <c r="G1626" t="s">
        <v>889</v>
      </c>
      <c r="H1626" t="s">
        <v>889</v>
      </c>
      <c r="I1626" t="s">
        <v>431</v>
      </c>
      <c r="J1626" s="4">
        <v>199</v>
      </c>
      <c r="K1626">
        <v>1</v>
      </c>
      <c r="L1626">
        <v>199</v>
      </c>
      <c r="M1626">
        <v>199</v>
      </c>
      <c r="N1626" s="5">
        <v>10.073115860517435</v>
      </c>
      <c r="O1626" t="s">
        <v>39</v>
      </c>
      <c r="P1626" t="s">
        <v>340</v>
      </c>
      <c r="Q1626" s="10" t="s">
        <v>24</v>
      </c>
    </row>
    <row r="1627" spans="1:18" hidden="1" x14ac:dyDescent="0.25">
      <c r="A1627" s="9" t="s">
        <v>462</v>
      </c>
      <c r="B1627" s="3" t="s">
        <v>1279</v>
      </c>
      <c r="C1627" s="10">
        <v>30</v>
      </c>
      <c r="D1627" s="10">
        <v>5</v>
      </c>
      <c r="E1627" s="10">
        <v>18</v>
      </c>
      <c r="F1627" t="s">
        <v>1058</v>
      </c>
      <c r="G1627" t="s">
        <v>889</v>
      </c>
      <c r="H1627" t="s">
        <v>889</v>
      </c>
      <c r="I1627" t="s">
        <v>431</v>
      </c>
      <c r="J1627" s="4">
        <v>199</v>
      </c>
      <c r="K1627">
        <v>1</v>
      </c>
      <c r="L1627">
        <v>199</v>
      </c>
      <c r="M1627">
        <v>199</v>
      </c>
      <c r="N1627" s="5">
        <v>10.073115860517435</v>
      </c>
      <c r="O1627" t="s">
        <v>39</v>
      </c>
      <c r="P1627" t="s">
        <v>340</v>
      </c>
      <c r="Q1627" s="10" t="s">
        <v>24</v>
      </c>
    </row>
    <row r="1628" spans="1:18" hidden="1" x14ac:dyDescent="0.25">
      <c r="A1628" s="36" t="str">
        <f>IF(D1628=1,"Jan-18",IF(D1628=2,"Feb-18",IF(D1628=3,"Mar-18",IF(D1628=4,"Apr-18",IF(D1628=5,"May-18",IF(D1628=6,"Jun-18",(IF(D1628=7,"Jul-18",IF(D1628=8,"Aug-18",IF(D1628=9,"Sep-18",IF(D1628=10,"Oct-18",IF(D1628=11,"Nov-18",IF(D1628=12,"Dec-18","...")))))))))))))</f>
        <v>May-18</v>
      </c>
      <c r="B1628" s="3" t="s">
        <v>1279</v>
      </c>
      <c r="C1628" s="10">
        <v>30</v>
      </c>
      <c r="D1628" s="10">
        <v>5</v>
      </c>
      <c r="E1628" s="10">
        <v>18</v>
      </c>
      <c r="F1628" t="s">
        <v>2205</v>
      </c>
      <c r="G1628" t="s">
        <v>889</v>
      </c>
      <c r="H1628" t="s">
        <v>889</v>
      </c>
      <c r="I1628" t="s">
        <v>82</v>
      </c>
      <c r="J1628" s="4">
        <v>798</v>
      </c>
      <c r="K1628">
        <v>1</v>
      </c>
      <c r="L1628">
        <v>798</v>
      </c>
      <c r="M1628">
        <v>798</v>
      </c>
      <c r="N1628" s="5">
        <v>40.446021287379622</v>
      </c>
      <c r="O1628" t="s">
        <v>382</v>
      </c>
      <c r="P1628" t="s">
        <v>340</v>
      </c>
      <c r="Q1628" s="10" t="s">
        <v>24</v>
      </c>
      <c r="R1628" t="s">
        <v>2202</v>
      </c>
    </row>
    <row r="1629" spans="1:18" hidden="1" x14ac:dyDescent="0.25">
      <c r="A1629" s="2" t="s">
        <v>462</v>
      </c>
      <c r="B1629" s="3" t="str">
        <f t="shared" ref="B1629:B1657" si="33">CONCATENATE(E1629,"/",D1629,"/",C1629)</f>
        <v>18/5/31</v>
      </c>
      <c r="C1629">
        <v>31</v>
      </c>
      <c r="D1629">
        <v>5</v>
      </c>
      <c r="E1629">
        <v>18</v>
      </c>
      <c r="F1629" t="s">
        <v>165</v>
      </c>
      <c r="G1629" t="s">
        <v>489</v>
      </c>
      <c r="H1629" t="s">
        <v>1593</v>
      </c>
      <c r="I1629" t="s">
        <v>79</v>
      </c>
      <c r="J1629">
        <v>1860</v>
      </c>
      <c r="K1629">
        <v>1</v>
      </c>
      <c r="L1629" s="14">
        <v>1860</v>
      </c>
      <c r="M1629" s="14">
        <v>1860</v>
      </c>
      <c r="N1629" s="5">
        <v>93.561368209255534</v>
      </c>
      <c r="O1629" t="s">
        <v>39</v>
      </c>
      <c r="Q1629" t="s">
        <v>24</v>
      </c>
      <c r="R1629" t="s">
        <v>1595</v>
      </c>
    </row>
    <row r="1630" spans="1:18" hidden="1" x14ac:dyDescent="0.25">
      <c r="A1630" s="2" t="s">
        <v>462</v>
      </c>
      <c r="B1630" s="3" t="str">
        <f t="shared" si="33"/>
        <v>18/5/4</v>
      </c>
      <c r="C1630">
        <v>4</v>
      </c>
      <c r="D1630">
        <v>5</v>
      </c>
      <c r="E1630">
        <v>18</v>
      </c>
      <c r="F1630" t="s">
        <v>246</v>
      </c>
      <c r="I1630" t="s">
        <v>72</v>
      </c>
      <c r="J1630">
        <v>1660</v>
      </c>
      <c r="K1630">
        <v>1</v>
      </c>
      <c r="L1630" s="14">
        <v>1660</v>
      </c>
      <c r="M1630" s="14">
        <v>1660</v>
      </c>
      <c r="N1630" s="5">
        <v>83.501006036217305</v>
      </c>
      <c r="O1630" t="s">
        <v>231</v>
      </c>
      <c r="P1630" t="s">
        <v>340</v>
      </c>
      <c r="Q1630" t="s">
        <v>24</v>
      </c>
      <c r="R1630" t="s">
        <v>497</v>
      </c>
    </row>
    <row r="1631" spans="1:18" hidden="1" x14ac:dyDescent="0.25">
      <c r="A1631" s="2" t="s">
        <v>462</v>
      </c>
      <c r="B1631" s="3" t="str">
        <f t="shared" si="33"/>
        <v>18/5/4</v>
      </c>
      <c r="C1631">
        <v>4</v>
      </c>
      <c r="D1631">
        <v>5</v>
      </c>
      <c r="E1631">
        <v>18</v>
      </c>
      <c r="F1631" t="s">
        <v>1698</v>
      </c>
      <c r="G1631" t="s">
        <v>304</v>
      </c>
      <c r="H1631" t="s">
        <v>1695</v>
      </c>
      <c r="I1631" t="s">
        <v>79</v>
      </c>
      <c r="J1631">
        <v>800</v>
      </c>
      <c r="K1631">
        <v>1</v>
      </c>
      <c r="L1631">
        <v>800</v>
      </c>
      <c r="M1631">
        <v>800</v>
      </c>
      <c r="N1631" s="5">
        <v>40.241448692152922</v>
      </c>
      <c r="O1631" t="s">
        <v>39</v>
      </c>
      <c r="P1631" t="s">
        <v>340</v>
      </c>
      <c r="Q1631" t="s">
        <v>24</v>
      </c>
      <c r="R1631" t="s">
        <v>498</v>
      </c>
    </row>
    <row r="1632" spans="1:18" hidden="1" x14ac:dyDescent="0.25">
      <c r="A1632" s="2" t="s">
        <v>462</v>
      </c>
      <c r="B1632" s="3" t="str">
        <f t="shared" si="33"/>
        <v>18/5/4</v>
      </c>
      <c r="C1632">
        <v>4</v>
      </c>
      <c r="D1632">
        <v>5</v>
      </c>
      <c r="E1632">
        <v>18</v>
      </c>
      <c r="F1632" t="s">
        <v>141</v>
      </c>
      <c r="H1632" t="s">
        <v>172</v>
      </c>
      <c r="I1632" t="s">
        <v>39</v>
      </c>
      <c r="J1632">
        <v>5</v>
      </c>
      <c r="K1632">
        <v>1</v>
      </c>
      <c r="L1632">
        <v>5</v>
      </c>
      <c r="M1632">
        <v>5</v>
      </c>
      <c r="N1632" s="5">
        <v>0.25150905432595577</v>
      </c>
      <c r="O1632" t="s">
        <v>39</v>
      </c>
      <c r="Q1632" t="s">
        <v>24</v>
      </c>
    </row>
    <row r="1633" spans="1:18" hidden="1" x14ac:dyDescent="0.25">
      <c r="A1633" s="2" t="s">
        <v>462</v>
      </c>
      <c r="B1633" s="3" t="str">
        <f t="shared" si="33"/>
        <v>18/5/4</v>
      </c>
      <c r="C1633">
        <v>4</v>
      </c>
      <c r="D1633">
        <v>5</v>
      </c>
      <c r="E1633">
        <v>18</v>
      </c>
      <c r="F1633" t="s">
        <v>109</v>
      </c>
      <c r="H1633" t="s">
        <v>54</v>
      </c>
      <c r="I1633" t="s">
        <v>27</v>
      </c>
      <c r="J1633">
        <v>29.59</v>
      </c>
      <c r="K1633">
        <v>0.98</v>
      </c>
      <c r="L1633">
        <v>29.59</v>
      </c>
      <c r="M1633">
        <v>29</v>
      </c>
      <c r="N1633" s="5">
        <v>1.4587525150905434</v>
      </c>
      <c r="O1633" t="s">
        <v>51</v>
      </c>
      <c r="P1633" t="s">
        <v>340</v>
      </c>
      <c r="Q1633" t="s">
        <v>24</v>
      </c>
    </row>
    <row r="1634" spans="1:18" hidden="1" x14ac:dyDescent="0.25">
      <c r="A1634" s="2" t="s">
        <v>462</v>
      </c>
      <c r="B1634" s="3" t="str">
        <f t="shared" si="33"/>
        <v>18/5/4</v>
      </c>
      <c r="C1634">
        <v>4</v>
      </c>
      <c r="D1634">
        <v>5</v>
      </c>
      <c r="E1634">
        <v>18</v>
      </c>
      <c r="F1634" t="s">
        <v>426</v>
      </c>
      <c r="H1634" t="s">
        <v>54</v>
      </c>
      <c r="I1634" t="s">
        <v>27</v>
      </c>
      <c r="J1634">
        <v>16.989999999999998</v>
      </c>
      <c r="K1634">
        <v>0.96</v>
      </c>
      <c r="L1634">
        <v>16.989999999999998</v>
      </c>
      <c r="M1634">
        <v>16.309999999999999</v>
      </c>
      <c r="N1634" s="5">
        <v>0.82042253521126762</v>
      </c>
      <c r="O1634" t="s">
        <v>51</v>
      </c>
      <c r="P1634" t="s">
        <v>340</v>
      </c>
      <c r="Q1634" t="s">
        <v>24</v>
      </c>
    </row>
    <row r="1635" spans="1:18" hidden="1" x14ac:dyDescent="0.25">
      <c r="A1635" s="2" t="s">
        <v>462</v>
      </c>
      <c r="B1635" s="3" t="str">
        <f t="shared" si="33"/>
        <v>18/5/4</v>
      </c>
      <c r="C1635">
        <v>4</v>
      </c>
      <c r="D1635">
        <v>5</v>
      </c>
      <c r="E1635">
        <v>18</v>
      </c>
      <c r="F1635" t="s">
        <v>206</v>
      </c>
      <c r="H1635" t="s">
        <v>56</v>
      </c>
      <c r="I1635" t="s">
        <v>27</v>
      </c>
      <c r="J1635" s="15">
        <v>35.9</v>
      </c>
      <c r="K1635" s="15">
        <v>0.45</v>
      </c>
      <c r="L1635">
        <v>35.9</v>
      </c>
      <c r="M1635">
        <v>16.16</v>
      </c>
      <c r="N1635" s="5">
        <v>0.81287726358148893</v>
      </c>
      <c r="O1635" t="s">
        <v>51</v>
      </c>
      <c r="P1635" t="s">
        <v>340</v>
      </c>
      <c r="Q1635" t="s">
        <v>24</v>
      </c>
    </row>
    <row r="1636" spans="1:18" hidden="1" x14ac:dyDescent="0.25">
      <c r="A1636" s="2" t="s">
        <v>462</v>
      </c>
      <c r="B1636" s="3" t="str">
        <f t="shared" si="33"/>
        <v>18/5/4</v>
      </c>
      <c r="C1636">
        <v>4</v>
      </c>
      <c r="D1636">
        <v>5</v>
      </c>
      <c r="E1636">
        <v>18</v>
      </c>
      <c r="F1636" t="s">
        <v>203</v>
      </c>
      <c r="H1636" t="s">
        <v>54</v>
      </c>
      <c r="I1636" t="s">
        <v>27</v>
      </c>
      <c r="J1636">
        <v>25.9</v>
      </c>
      <c r="K1636">
        <v>1.05</v>
      </c>
      <c r="L1636">
        <v>25.9</v>
      </c>
      <c r="M1636">
        <v>27.2</v>
      </c>
      <c r="N1636" s="5">
        <v>1.3682092555331993</v>
      </c>
      <c r="O1636" t="s">
        <v>51</v>
      </c>
      <c r="P1636" t="s">
        <v>340</v>
      </c>
      <c r="Q1636" t="s">
        <v>24</v>
      </c>
    </row>
    <row r="1637" spans="1:18" hidden="1" x14ac:dyDescent="0.25">
      <c r="A1637" s="2" t="s">
        <v>462</v>
      </c>
      <c r="B1637" s="3" t="str">
        <f t="shared" si="33"/>
        <v>18/5/4</v>
      </c>
      <c r="C1637">
        <v>4</v>
      </c>
      <c r="D1637">
        <v>5</v>
      </c>
      <c r="E1637">
        <v>18</v>
      </c>
      <c r="F1637" t="s">
        <v>1238</v>
      </c>
      <c r="H1637" t="s">
        <v>69</v>
      </c>
      <c r="I1637" t="s">
        <v>27</v>
      </c>
      <c r="J1637">
        <v>148.33000000000001</v>
      </c>
      <c r="K1637">
        <v>0.3</v>
      </c>
      <c r="L1637">
        <v>148.33000000000001</v>
      </c>
      <c r="M1637">
        <v>44.5</v>
      </c>
      <c r="N1637" s="5">
        <v>2.2384305835010063</v>
      </c>
      <c r="O1637" t="s">
        <v>51</v>
      </c>
      <c r="P1637" t="s">
        <v>340</v>
      </c>
      <c r="Q1637" t="s">
        <v>24</v>
      </c>
    </row>
    <row r="1638" spans="1:18" hidden="1" x14ac:dyDescent="0.25">
      <c r="A1638" s="2" t="s">
        <v>462</v>
      </c>
      <c r="B1638" s="3" t="str">
        <f t="shared" si="33"/>
        <v>18/5/4</v>
      </c>
      <c r="C1638">
        <v>4</v>
      </c>
      <c r="D1638">
        <v>5</v>
      </c>
      <c r="E1638">
        <v>18</v>
      </c>
      <c r="F1638" t="s">
        <v>177</v>
      </c>
      <c r="H1638" t="s">
        <v>56</v>
      </c>
      <c r="I1638" t="s">
        <v>27</v>
      </c>
      <c r="J1638">
        <v>22.9</v>
      </c>
      <c r="K1638">
        <v>0.94</v>
      </c>
      <c r="L1638">
        <v>22.9</v>
      </c>
      <c r="M1638">
        <v>21.53</v>
      </c>
      <c r="N1638" s="5">
        <v>1.0829979879275655</v>
      </c>
      <c r="O1638" t="s">
        <v>51</v>
      </c>
      <c r="P1638" t="s">
        <v>340</v>
      </c>
      <c r="Q1638" t="s">
        <v>24</v>
      </c>
    </row>
    <row r="1639" spans="1:18" hidden="1" x14ac:dyDescent="0.25">
      <c r="A1639" s="2" t="s">
        <v>462</v>
      </c>
      <c r="B1639" s="3" t="str">
        <f t="shared" si="33"/>
        <v>18/5/4</v>
      </c>
      <c r="C1639">
        <v>4</v>
      </c>
      <c r="D1639">
        <v>5</v>
      </c>
      <c r="E1639">
        <v>18</v>
      </c>
      <c r="F1639" t="s">
        <v>52</v>
      </c>
      <c r="H1639" t="s">
        <v>53</v>
      </c>
      <c r="I1639" t="s">
        <v>27</v>
      </c>
      <c r="J1639">
        <v>32.39</v>
      </c>
      <c r="K1639">
        <v>6</v>
      </c>
      <c r="L1639">
        <v>32.39</v>
      </c>
      <c r="M1639">
        <v>194.34</v>
      </c>
      <c r="N1639" s="5">
        <v>9.775653923541249</v>
      </c>
      <c r="O1639" t="s">
        <v>51</v>
      </c>
      <c r="P1639" t="s">
        <v>340</v>
      </c>
      <c r="Q1639" t="s">
        <v>24</v>
      </c>
    </row>
    <row r="1640" spans="1:18" hidden="1" x14ac:dyDescent="0.25">
      <c r="A1640" s="2" t="s">
        <v>462</v>
      </c>
      <c r="B1640" s="3" t="str">
        <f t="shared" si="33"/>
        <v>18/5/4</v>
      </c>
      <c r="C1640">
        <v>4</v>
      </c>
      <c r="D1640">
        <v>5</v>
      </c>
      <c r="E1640">
        <v>18</v>
      </c>
      <c r="F1640" t="s">
        <v>122</v>
      </c>
      <c r="H1640" t="s">
        <v>54</v>
      </c>
      <c r="I1640" t="s">
        <v>27</v>
      </c>
      <c r="J1640">
        <v>31.8</v>
      </c>
      <c r="K1640">
        <v>0.5</v>
      </c>
      <c r="L1640">
        <v>31.8</v>
      </c>
      <c r="M1640">
        <v>15.9</v>
      </c>
      <c r="N1640" s="5">
        <v>0.79979879275653931</v>
      </c>
      <c r="O1640" t="s">
        <v>51</v>
      </c>
      <c r="P1640" t="s">
        <v>340</v>
      </c>
      <c r="Q1640" t="s">
        <v>24</v>
      </c>
    </row>
    <row r="1641" spans="1:18" hidden="1" x14ac:dyDescent="0.25">
      <c r="A1641" s="2" t="s">
        <v>462</v>
      </c>
      <c r="B1641" s="3" t="str">
        <f t="shared" si="33"/>
        <v>18/5/4</v>
      </c>
      <c r="C1641">
        <v>4</v>
      </c>
      <c r="D1641">
        <v>5</v>
      </c>
      <c r="E1641">
        <v>18</v>
      </c>
      <c r="F1641" t="s">
        <v>112</v>
      </c>
      <c r="H1641" t="s">
        <v>56</v>
      </c>
      <c r="I1641" t="s">
        <v>27</v>
      </c>
      <c r="J1641">
        <v>17.899999999999999</v>
      </c>
      <c r="K1641">
        <v>0.83</v>
      </c>
      <c r="L1641">
        <v>17.899999999999999</v>
      </c>
      <c r="M1641">
        <v>14.86</v>
      </c>
      <c r="N1641" s="5">
        <v>0.7474849094567404</v>
      </c>
      <c r="O1641" t="s">
        <v>51</v>
      </c>
      <c r="P1641" t="s">
        <v>340</v>
      </c>
      <c r="Q1641" t="s">
        <v>24</v>
      </c>
    </row>
    <row r="1642" spans="1:18" hidden="1" x14ac:dyDescent="0.25">
      <c r="A1642" s="2" t="s">
        <v>462</v>
      </c>
      <c r="B1642" s="3" t="str">
        <f t="shared" si="33"/>
        <v>18/5/4</v>
      </c>
      <c r="C1642">
        <v>4</v>
      </c>
      <c r="D1642">
        <v>5</v>
      </c>
      <c r="E1642">
        <v>18</v>
      </c>
      <c r="F1642" s="13" t="s">
        <v>499</v>
      </c>
      <c r="H1642" t="s">
        <v>62</v>
      </c>
      <c r="I1642" t="s">
        <v>27</v>
      </c>
      <c r="J1642">
        <v>8.2799999999999994</v>
      </c>
      <c r="K1642">
        <v>1</v>
      </c>
      <c r="L1642">
        <v>8.2799999999999994</v>
      </c>
      <c r="M1642">
        <v>8.2799999999999994</v>
      </c>
      <c r="N1642" s="5">
        <v>0.4164989939637827</v>
      </c>
      <c r="O1642" t="s">
        <v>51</v>
      </c>
      <c r="P1642" t="s">
        <v>340</v>
      </c>
      <c r="Q1642" t="s">
        <v>24</v>
      </c>
    </row>
    <row r="1643" spans="1:18" hidden="1" x14ac:dyDescent="0.25">
      <c r="A1643" s="2" t="s">
        <v>462</v>
      </c>
      <c r="B1643" s="3" t="str">
        <f t="shared" si="33"/>
        <v>18/5/4</v>
      </c>
      <c r="C1643">
        <v>4</v>
      </c>
      <c r="D1643">
        <v>5</v>
      </c>
      <c r="E1643">
        <v>18</v>
      </c>
      <c r="F1643" t="s">
        <v>500</v>
      </c>
      <c r="G1643" t="s">
        <v>304</v>
      </c>
      <c r="H1643" t="s">
        <v>49</v>
      </c>
      <c r="I1643" t="s">
        <v>79</v>
      </c>
      <c r="J1643">
        <v>39.9</v>
      </c>
      <c r="K1643">
        <v>2</v>
      </c>
      <c r="L1643">
        <v>39.9</v>
      </c>
      <c r="M1643">
        <v>79.8</v>
      </c>
      <c r="N1643" s="5">
        <v>4.0140845070422539</v>
      </c>
      <c r="O1643" t="s">
        <v>51</v>
      </c>
      <c r="P1643" t="s">
        <v>340</v>
      </c>
      <c r="Q1643" t="s">
        <v>24</v>
      </c>
    </row>
    <row r="1644" spans="1:18" hidden="1" x14ac:dyDescent="0.25">
      <c r="A1644" s="2" t="s">
        <v>462</v>
      </c>
      <c r="B1644" s="3" t="str">
        <f t="shared" si="33"/>
        <v>18/5/4</v>
      </c>
      <c r="C1644">
        <v>4</v>
      </c>
      <c r="D1644">
        <v>5</v>
      </c>
      <c r="E1644">
        <v>18</v>
      </c>
      <c r="F1644" t="s">
        <v>73</v>
      </c>
      <c r="H1644" t="s">
        <v>73</v>
      </c>
      <c r="I1644" t="s">
        <v>27</v>
      </c>
      <c r="J1644">
        <v>15.96</v>
      </c>
      <c r="K1644">
        <v>1</v>
      </c>
      <c r="L1644">
        <v>15.96</v>
      </c>
      <c r="M1644">
        <v>15.96</v>
      </c>
      <c r="N1644" s="5">
        <v>0.80281690140845074</v>
      </c>
      <c r="O1644" t="s">
        <v>51</v>
      </c>
      <c r="P1644" t="s">
        <v>340</v>
      </c>
      <c r="Q1644" t="s">
        <v>24</v>
      </c>
    </row>
    <row r="1645" spans="1:18" hidden="1" x14ac:dyDescent="0.25">
      <c r="A1645" s="2" t="s">
        <v>462</v>
      </c>
      <c r="B1645" s="3" t="str">
        <f t="shared" si="33"/>
        <v>18/5/4</v>
      </c>
      <c r="C1645">
        <v>4</v>
      </c>
      <c r="D1645">
        <v>5</v>
      </c>
      <c r="E1645">
        <v>18</v>
      </c>
      <c r="F1645" t="s">
        <v>48</v>
      </c>
      <c r="H1645" t="s">
        <v>49</v>
      </c>
      <c r="I1645" t="s">
        <v>50</v>
      </c>
      <c r="J1645">
        <v>29.9</v>
      </c>
      <c r="K1645">
        <v>1</v>
      </c>
      <c r="L1645">
        <v>29.9</v>
      </c>
      <c r="M1645">
        <v>29.9</v>
      </c>
      <c r="N1645" s="5">
        <v>1.5040241448692153</v>
      </c>
      <c r="O1645" t="s">
        <v>51</v>
      </c>
      <c r="P1645" t="s">
        <v>340</v>
      </c>
      <c r="Q1645" t="s">
        <v>24</v>
      </c>
    </row>
    <row r="1646" spans="1:18" hidden="1" x14ac:dyDescent="0.25">
      <c r="A1646" s="2" t="s">
        <v>462</v>
      </c>
      <c r="B1646" s="3" t="str">
        <f t="shared" si="33"/>
        <v>18/5/4</v>
      </c>
      <c r="C1646">
        <v>4</v>
      </c>
      <c r="D1646">
        <v>5</v>
      </c>
      <c r="E1646">
        <v>18</v>
      </c>
      <c r="F1646" s="7" t="s">
        <v>501</v>
      </c>
      <c r="H1646" t="s">
        <v>62</v>
      </c>
      <c r="I1646" t="s">
        <v>27</v>
      </c>
      <c r="J1646">
        <v>33.799999999999997</v>
      </c>
      <c r="K1646">
        <v>0.5</v>
      </c>
      <c r="L1646">
        <v>33.799999999999997</v>
      </c>
      <c r="M1646">
        <v>16.899999999999999</v>
      </c>
      <c r="N1646" s="5">
        <v>0.85010060362173034</v>
      </c>
      <c r="O1646" t="s">
        <v>51</v>
      </c>
      <c r="P1646" t="s">
        <v>340</v>
      </c>
      <c r="Q1646" t="s">
        <v>24</v>
      </c>
      <c r="R1646" t="s">
        <v>1613</v>
      </c>
    </row>
    <row r="1647" spans="1:18" hidden="1" x14ac:dyDescent="0.25">
      <c r="A1647" s="2" t="s">
        <v>462</v>
      </c>
      <c r="B1647" s="3" t="str">
        <f t="shared" si="33"/>
        <v>18/5/4</v>
      </c>
      <c r="C1647">
        <v>4</v>
      </c>
      <c r="D1647">
        <v>5</v>
      </c>
      <c r="E1647">
        <v>18</v>
      </c>
      <c r="F1647" s="13" t="s">
        <v>502</v>
      </c>
      <c r="H1647" t="s">
        <v>62</v>
      </c>
      <c r="I1647" t="s">
        <v>27</v>
      </c>
      <c r="J1647">
        <v>8.1999999999999993</v>
      </c>
      <c r="K1647">
        <v>1</v>
      </c>
      <c r="L1647">
        <v>8.1999999999999993</v>
      </c>
      <c r="M1647">
        <v>8.1999999999999993</v>
      </c>
      <c r="N1647" s="5">
        <v>0.41247484909456739</v>
      </c>
      <c r="O1647" t="s">
        <v>51</v>
      </c>
      <c r="P1647" t="s">
        <v>340</v>
      </c>
      <c r="Q1647" t="s">
        <v>24</v>
      </c>
    </row>
    <row r="1648" spans="1:18" hidden="1" x14ac:dyDescent="0.25">
      <c r="A1648" s="2" t="s">
        <v>462</v>
      </c>
      <c r="B1648" s="3" t="str">
        <f t="shared" si="33"/>
        <v>18/5/4</v>
      </c>
      <c r="C1648">
        <v>4</v>
      </c>
      <c r="D1648">
        <v>5</v>
      </c>
      <c r="E1648">
        <v>18</v>
      </c>
      <c r="F1648" t="s">
        <v>75</v>
      </c>
      <c r="H1648" t="s">
        <v>65</v>
      </c>
      <c r="I1648" t="s">
        <v>27</v>
      </c>
      <c r="J1648">
        <v>8.59</v>
      </c>
      <c r="K1648">
        <v>7</v>
      </c>
      <c r="L1648">
        <v>8.59</v>
      </c>
      <c r="M1648">
        <v>60.13</v>
      </c>
      <c r="N1648" s="5">
        <v>3.024647887323944</v>
      </c>
      <c r="O1648" t="s">
        <v>51</v>
      </c>
      <c r="P1648" t="s">
        <v>340</v>
      </c>
      <c r="Q1648" t="s">
        <v>24</v>
      </c>
    </row>
    <row r="1649" spans="1:18" hidden="1" x14ac:dyDescent="0.25">
      <c r="A1649" s="2" t="s">
        <v>462</v>
      </c>
      <c r="B1649" s="3" t="str">
        <f t="shared" si="33"/>
        <v>18/5/4</v>
      </c>
      <c r="C1649">
        <v>4</v>
      </c>
      <c r="D1649">
        <v>5</v>
      </c>
      <c r="E1649">
        <v>18</v>
      </c>
      <c r="F1649" t="s">
        <v>503</v>
      </c>
      <c r="G1649" t="s">
        <v>39</v>
      </c>
      <c r="H1649" t="s">
        <v>65</v>
      </c>
      <c r="I1649" t="s">
        <v>27</v>
      </c>
      <c r="J1649">
        <v>14.69</v>
      </c>
      <c r="K1649">
        <v>2</v>
      </c>
      <c r="L1649">
        <v>14.69</v>
      </c>
      <c r="M1649">
        <v>29.38</v>
      </c>
      <c r="N1649" s="5">
        <v>1.4778672032193159</v>
      </c>
      <c r="O1649" t="s">
        <v>51</v>
      </c>
      <c r="P1649" t="s">
        <v>340</v>
      </c>
      <c r="Q1649" t="s">
        <v>24</v>
      </c>
    </row>
    <row r="1650" spans="1:18" hidden="1" x14ac:dyDescent="0.25">
      <c r="A1650" s="2" t="s">
        <v>462</v>
      </c>
      <c r="B1650" s="3" t="str">
        <f t="shared" si="33"/>
        <v>18/5/4</v>
      </c>
      <c r="C1650">
        <v>4</v>
      </c>
      <c r="D1650">
        <v>5</v>
      </c>
      <c r="E1650">
        <v>18</v>
      </c>
      <c r="F1650" t="s">
        <v>504</v>
      </c>
      <c r="G1650" t="s">
        <v>39</v>
      </c>
      <c r="H1650" t="s">
        <v>65</v>
      </c>
      <c r="I1650" t="s">
        <v>27</v>
      </c>
      <c r="J1650">
        <v>22.79</v>
      </c>
      <c r="K1650">
        <v>2</v>
      </c>
      <c r="L1650">
        <v>22.79</v>
      </c>
      <c r="M1650">
        <v>45.58</v>
      </c>
      <c r="N1650" s="5">
        <v>2.2927565392354126</v>
      </c>
      <c r="O1650" t="s">
        <v>51</v>
      </c>
      <c r="P1650" t="s">
        <v>340</v>
      </c>
      <c r="Q1650" t="s">
        <v>24</v>
      </c>
    </row>
    <row r="1651" spans="1:18" hidden="1" x14ac:dyDescent="0.25">
      <c r="A1651" s="2" t="s">
        <v>462</v>
      </c>
      <c r="B1651" s="3" t="str">
        <f t="shared" si="33"/>
        <v>18/5/4</v>
      </c>
      <c r="C1651">
        <v>4</v>
      </c>
      <c r="D1651">
        <v>5</v>
      </c>
      <c r="E1651">
        <v>18</v>
      </c>
      <c r="F1651" t="s">
        <v>505</v>
      </c>
      <c r="H1651" t="s">
        <v>44</v>
      </c>
      <c r="I1651" t="s">
        <v>27</v>
      </c>
      <c r="J1651">
        <v>15.79</v>
      </c>
      <c r="K1651">
        <v>2</v>
      </c>
      <c r="L1651">
        <v>15.79</v>
      </c>
      <c r="M1651">
        <v>31.58</v>
      </c>
      <c r="N1651" s="5">
        <v>1.5885311871227363</v>
      </c>
      <c r="O1651" t="s">
        <v>51</v>
      </c>
      <c r="P1651" t="s">
        <v>340</v>
      </c>
      <c r="Q1651" t="s">
        <v>24</v>
      </c>
    </row>
    <row r="1652" spans="1:18" hidden="1" x14ac:dyDescent="0.25">
      <c r="A1652" s="2" t="s">
        <v>462</v>
      </c>
      <c r="B1652" s="3" t="str">
        <f t="shared" si="33"/>
        <v>18/5/4</v>
      </c>
      <c r="C1652">
        <v>4</v>
      </c>
      <c r="D1652">
        <v>5</v>
      </c>
      <c r="E1652">
        <v>18</v>
      </c>
      <c r="F1652" t="s">
        <v>44</v>
      </c>
      <c r="H1652" t="s">
        <v>44</v>
      </c>
      <c r="I1652" t="s">
        <v>27</v>
      </c>
      <c r="J1652">
        <v>14.99</v>
      </c>
      <c r="K1652">
        <v>8</v>
      </c>
      <c r="L1652">
        <v>14.99</v>
      </c>
      <c r="M1652">
        <v>119.92</v>
      </c>
      <c r="N1652" s="5">
        <v>6.0321931589537225</v>
      </c>
      <c r="O1652" t="s">
        <v>51</v>
      </c>
      <c r="P1652" t="s">
        <v>340</v>
      </c>
      <c r="Q1652" t="s">
        <v>24</v>
      </c>
    </row>
    <row r="1653" spans="1:18" hidden="1" x14ac:dyDescent="0.25">
      <c r="A1653" s="2" t="s">
        <v>462</v>
      </c>
      <c r="B1653" s="3" t="str">
        <f t="shared" si="33"/>
        <v>18/5/4</v>
      </c>
      <c r="C1653">
        <v>4</v>
      </c>
      <c r="D1653">
        <v>5</v>
      </c>
      <c r="E1653">
        <v>18</v>
      </c>
      <c r="F1653" t="s">
        <v>55</v>
      </c>
      <c r="H1653" t="s">
        <v>56</v>
      </c>
      <c r="I1653" t="s">
        <v>27</v>
      </c>
      <c r="J1653">
        <v>29.99</v>
      </c>
      <c r="K1653">
        <v>1.46</v>
      </c>
      <c r="L1653">
        <v>29.99</v>
      </c>
      <c r="M1653">
        <v>43.79</v>
      </c>
      <c r="N1653" s="5">
        <v>2.2027162977867203</v>
      </c>
      <c r="O1653" t="s">
        <v>101</v>
      </c>
      <c r="P1653" t="s">
        <v>340</v>
      </c>
      <c r="Q1653" t="s">
        <v>24</v>
      </c>
    </row>
    <row r="1654" spans="1:18" hidden="1" x14ac:dyDescent="0.25">
      <c r="A1654" s="2" t="s">
        <v>462</v>
      </c>
      <c r="B1654" s="3" t="str">
        <f t="shared" si="33"/>
        <v>18/5/4</v>
      </c>
      <c r="C1654">
        <v>4</v>
      </c>
      <c r="D1654">
        <v>5</v>
      </c>
      <c r="E1654">
        <v>18</v>
      </c>
      <c r="F1654" t="s">
        <v>2242</v>
      </c>
      <c r="G1654" t="s">
        <v>345</v>
      </c>
      <c r="H1654" t="s">
        <v>26</v>
      </c>
      <c r="I1654" t="s">
        <v>27</v>
      </c>
      <c r="J1654">
        <v>6.5</v>
      </c>
      <c r="K1654">
        <v>1</v>
      </c>
      <c r="L1654">
        <v>6.5</v>
      </c>
      <c r="M1654">
        <v>6.5</v>
      </c>
      <c r="N1654" s="5">
        <v>0.32696177062374249</v>
      </c>
      <c r="O1654" t="s">
        <v>101</v>
      </c>
      <c r="P1654" t="s">
        <v>340</v>
      </c>
      <c r="Q1654" t="s">
        <v>24</v>
      </c>
    </row>
    <row r="1655" spans="1:18" hidden="1" x14ac:dyDescent="0.25">
      <c r="A1655" s="2" t="s">
        <v>462</v>
      </c>
      <c r="B1655" s="3" t="str">
        <f t="shared" si="33"/>
        <v>18/5/4</v>
      </c>
      <c r="C1655">
        <v>4</v>
      </c>
      <c r="D1655">
        <v>5</v>
      </c>
      <c r="E1655">
        <v>18</v>
      </c>
      <c r="F1655" t="s">
        <v>75</v>
      </c>
      <c r="H1655" t="s">
        <v>65</v>
      </c>
      <c r="I1655" t="s">
        <v>27</v>
      </c>
      <c r="J1655">
        <v>10</v>
      </c>
      <c r="K1655">
        <v>3</v>
      </c>
      <c r="L1655">
        <v>10</v>
      </c>
      <c r="M1655">
        <v>30</v>
      </c>
      <c r="N1655" s="5">
        <v>1.5090543259557345</v>
      </c>
      <c r="O1655" t="s">
        <v>101</v>
      </c>
      <c r="P1655" t="s">
        <v>340</v>
      </c>
      <c r="Q1655" t="s">
        <v>24</v>
      </c>
    </row>
    <row r="1656" spans="1:18" hidden="1" x14ac:dyDescent="0.25">
      <c r="A1656" s="2" t="s">
        <v>462</v>
      </c>
      <c r="B1656" s="3" t="str">
        <f t="shared" si="33"/>
        <v>18/5/4</v>
      </c>
      <c r="C1656">
        <v>4</v>
      </c>
      <c r="D1656">
        <v>5</v>
      </c>
      <c r="E1656">
        <v>18</v>
      </c>
      <c r="F1656" t="s">
        <v>506</v>
      </c>
      <c r="H1656" t="s">
        <v>364</v>
      </c>
      <c r="I1656" t="s">
        <v>27</v>
      </c>
      <c r="J1656">
        <v>9.9</v>
      </c>
      <c r="K1656">
        <v>1</v>
      </c>
      <c r="L1656">
        <v>9.9</v>
      </c>
      <c r="M1656">
        <v>9.9</v>
      </c>
      <c r="N1656" s="5">
        <v>0.4979879275653924</v>
      </c>
      <c r="O1656" t="s">
        <v>507</v>
      </c>
      <c r="P1656" t="s">
        <v>340</v>
      </c>
      <c r="Q1656" t="s">
        <v>24</v>
      </c>
    </row>
    <row r="1657" spans="1:18" hidden="1" x14ac:dyDescent="0.25">
      <c r="A1657" s="2" t="s">
        <v>462</v>
      </c>
      <c r="B1657" s="3" t="str">
        <f t="shared" si="33"/>
        <v>18/5/4</v>
      </c>
      <c r="C1657">
        <v>4</v>
      </c>
      <c r="D1657">
        <v>5</v>
      </c>
      <c r="E1657">
        <v>18</v>
      </c>
      <c r="F1657" t="s">
        <v>508</v>
      </c>
      <c r="H1657" t="s">
        <v>73</v>
      </c>
      <c r="I1657" t="s">
        <v>27</v>
      </c>
      <c r="J1657">
        <v>21.6</v>
      </c>
      <c r="K1657">
        <v>1</v>
      </c>
      <c r="L1657">
        <v>21.6</v>
      </c>
      <c r="M1657">
        <v>21.6</v>
      </c>
      <c r="N1657" s="5">
        <v>1.086519114688129</v>
      </c>
      <c r="O1657" t="s">
        <v>507</v>
      </c>
      <c r="P1657" t="s">
        <v>340</v>
      </c>
      <c r="Q1657" t="s">
        <v>24</v>
      </c>
    </row>
    <row r="1658" spans="1:18" hidden="1" x14ac:dyDescent="0.25">
      <c r="A1658" s="2" t="s">
        <v>462</v>
      </c>
      <c r="B1658" s="3" t="s">
        <v>1473</v>
      </c>
      <c r="C1658" s="10">
        <v>4</v>
      </c>
      <c r="D1658" s="10">
        <v>5</v>
      </c>
      <c r="E1658" s="10">
        <v>19</v>
      </c>
      <c r="F1658" t="s">
        <v>71</v>
      </c>
      <c r="I1658" t="s">
        <v>72</v>
      </c>
      <c r="J1658" s="4">
        <v>300</v>
      </c>
      <c r="K1658">
        <v>1</v>
      </c>
      <c r="L1658">
        <v>300</v>
      </c>
      <c r="M1658">
        <v>300</v>
      </c>
      <c r="N1658" s="5">
        <v>15.185601799775027</v>
      </c>
      <c r="O1658" t="s">
        <v>231</v>
      </c>
      <c r="P1658" t="s">
        <v>340</v>
      </c>
      <c r="Q1658" s="10" t="s">
        <v>24</v>
      </c>
    </row>
    <row r="1659" spans="1:18" hidden="1" x14ac:dyDescent="0.25">
      <c r="A1659" s="2" t="s">
        <v>462</v>
      </c>
      <c r="B1659" s="3" t="str">
        <f t="shared" ref="B1659:B1675" si="34">CONCATENATE(E1659,"/",D1659,"/",C1659)</f>
        <v>18/5/5</v>
      </c>
      <c r="C1659">
        <v>5</v>
      </c>
      <c r="D1659">
        <v>5</v>
      </c>
      <c r="E1659">
        <v>18</v>
      </c>
      <c r="F1659" t="s">
        <v>86</v>
      </c>
      <c r="H1659" t="s">
        <v>102</v>
      </c>
      <c r="I1659" t="s">
        <v>27</v>
      </c>
      <c r="J1659">
        <v>15</v>
      </c>
      <c r="K1659">
        <v>2</v>
      </c>
      <c r="L1659">
        <v>15</v>
      </c>
      <c r="M1659">
        <v>30</v>
      </c>
      <c r="N1659" s="5">
        <v>1.5090543259557345</v>
      </c>
      <c r="O1659" t="s">
        <v>509</v>
      </c>
      <c r="P1659" t="s">
        <v>340</v>
      </c>
      <c r="Q1659" t="s">
        <v>24</v>
      </c>
    </row>
    <row r="1660" spans="1:18" hidden="1" x14ac:dyDescent="0.25">
      <c r="A1660" s="2" t="s">
        <v>462</v>
      </c>
      <c r="B1660" s="3" t="str">
        <f t="shared" si="34"/>
        <v>18/5/5</v>
      </c>
      <c r="C1660">
        <v>5</v>
      </c>
      <c r="D1660">
        <v>5</v>
      </c>
      <c r="E1660">
        <v>18</v>
      </c>
      <c r="F1660" t="s">
        <v>342</v>
      </c>
      <c r="H1660" t="s">
        <v>56</v>
      </c>
      <c r="I1660" t="s">
        <v>27</v>
      </c>
      <c r="J1660">
        <v>37.99</v>
      </c>
      <c r="K1660">
        <v>0.9</v>
      </c>
      <c r="L1660">
        <v>37.99</v>
      </c>
      <c r="M1660">
        <v>34.19</v>
      </c>
      <c r="N1660" s="5">
        <v>1.7198189134808852</v>
      </c>
      <c r="O1660" t="s">
        <v>101</v>
      </c>
      <c r="P1660" t="s">
        <v>340</v>
      </c>
      <c r="Q1660" t="s">
        <v>24</v>
      </c>
    </row>
    <row r="1661" spans="1:18" hidden="1" x14ac:dyDescent="0.25">
      <c r="A1661" s="2" t="s">
        <v>462</v>
      </c>
      <c r="B1661" s="3" t="str">
        <f t="shared" si="34"/>
        <v>18/5/5</v>
      </c>
      <c r="C1661">
        <v>5</v>
      </c>
      <c r="D1661">
        <v>5</v>
      </c>
      <c r="E1661">
        <v>18</v>
      </c>
      <c r="F1661" t="s">
        <v>1292</v>
      </c>
      <c r="G1661" t="s">
        <v>58</v>
      </c>
      <c r="H1661" t="s">
        <v>59</v>
      </c>
      <c r="I1661" t="s">
        <v>27</v>
      </c>
      <c r="J1661">
        <v>99</v>
      </c>
      <c r="K1661">
        <v>2</v>
      </c>
      <c r="L1661">
        <v>99</v>
      </c>
      <c r="M1661">
        <v>198</v>
      </c>
      <c r="N1661" s="5">
        <v>9.9597585513078482</v>
      </c>
      <c r="O1661" t="s">
        <v>510</v>
      </c>
      <c r="P1661" t="s">
        <v>340</v>
      </c>
      <c r="Q1661" t="s">
        <v>24</v>
      </c>
    </row>
    <row r="1662" spans="1:18" hidden="1" x14ac:dyDescent="0.25">
      <c r="A1662" s="2" t="s">
        <v>462</v>
      </c>
      <c r="B1662" s="3" t="str">
        <f t="shared" si="34"/>
        <v>18/5/7</v>
      </c>
      <c r="C1662">
        <v>7</v>
      </c>
      <c r="D1662">
        <v>5</v>
      </c>
      <c r="E1662">
        <v>18</v>
      </c>
      <c r="F1662" t="s">
        <v>141</v>
      </c>
      <c r="H1662" t="s">
        <v>172</v>
      </c>
      <c r="I1662" t="s">
        <v>39</v>
      </c>
      <c r="J1662">
        <v>2</v>
      </c>
      <c r="K1662">
        <v>2</v>
      </c>
      <c r="L1662">
        <v>2</v>
      </c>
      <c r="M1662">
        <v>4</v>
      </c>
      <c r="N1662" s="5">
        <v>0.2012072434607646</v>
      </c>
      <c r="O1662" t="s">
        <v>39</v>
      </c>
      <c r="Q1662" t="s">
        <v>24</v>
      </c>
    </row>
    <row r="1663" spans="1:18" hidden="1" x14ac:dyDescent="0.25">
      <c r="A1663" s="2" t="s">
        <v>462</v>
      </c>
      <c r="B1663" s="3" t="str">
        <f t="shared" si="34"/>
        <v>18/5/7</v>
      </c>
      <c r="C1663">
        <v>7</v>
      </c>
      <c r="D1663">
        <v>5</v>
      </c>
      <c r="E1663">
        <v>18</v>
      </c>
      <c r="F1663" t="s">
        <v>246</v>
      </c>
      <c r="I1663" t="s">
        <v>72</v>
      </c>
      <c r="J1663">
        <v>2330</v>
      </c>
      <c r="K1663">
        <v>1</v>
      </c>
      <c r="L1663" s="14">
        <v>2330</v>
      </c>
      <c r="M1663" s="14">
        <v>2330</v>
      </c>
      <c r="N1663" s="5">
        <v>117.20321931589538</v>
      </c>
      <c r="O1663" t="s">
        <v>231</v>
      </c>
      <c r="P1663" t="s">
        <v>340</v>
      </c>
      <c r="Q1663" t="s">
        <v>24</v>
      </c>
      <c r="R1663" t="s">
        <v>511</v>
      </c>
    </row>
    <row r="1664" spans="1:18" hidden="1" x14ac:dyDescent="0.25">
      <c r="A1664" s="2" t="s">
        <v>462</v>
      </c>
      <c r="B1664" s="3" t="str">
        <f t="shared" si="34"/>
        <v>18/5/7</v>
      </c>
      <c r="C1664">
        <v>7</v>
      </c>
      <c r="D1664">
        <v>5</v>
      </c>
      <c r="E1664">
        <v>18</v>
      </c>
      <c r="F1664" t="s">
        <v>246</v>
      </c>
      <c r="I1664" t="s">
        <v>72</v>
      </c>
      <c r="J1664">
        <v>960</v>
      </c>
      <c r="K1664">
        <v>1</v>
      </c>
      <c r="L1664">
        <v>960</v>
      </c>
      <c r="M1664">
        <v>960</v>
      </c>
      <c r="N1664" s="5">
        <v>48.289738430583505</v>
      </c>
      <c r="O1664" t="s">
        <v>231</v>
      </c>
      <c r="P1664" t="s">
        <v>340</v>
      </c>
      <c r="Q1664" t="s">
        <v>24</v>
      </c>
      <c r="R1664" t="s">
        <v>512</v>
      </c>
    </row>
    <row r="1665" spans="1:18" hidden="1" x14ac:dyDescent="0.25">
      <c r="A1665" s="2" t="s">
        <v>462</v>
      </c>
      <c r="B1665" s="3" t="str">
        <f t="shared" si="34"/>
        <v>18/5/7</v>
      </c>
      <c r="C1665">
        <v>7</v>
      </c>
      <c r="D1665">
        <v>5</v>
      </c>
      <c r="E1665">
        <v>18</v>
      </c>
      <c r="F1665" t="s">
        <v>44</v>
      </c>
      <c r="H1665" t="s">
        <v>44</v>
      </c>
      <c r="I1665" t="s">
        <v>27</v>
      </c>
      <c r="J1665">
        <v>16</v>
      </c>
      <c r="K1665">
        <v>1</v>
      </c>
      <c r="L1665">
        <v>16</v>
      </c>
      <c r="M1665">
        <v>16</v>
      </c>
      <c r="N1665" s="5">
        <v>0.8048289738430584</v>
      </c>
      <c r="O1665" t="s">
        <v>46</v>
      </c>
      <c r="P1665" t="s">
        <v>340</v>
      </c>
      <c r="Q1665" t="s">
        <v>24</v>
      </c>
    </row>
    <row r="1666" spans="1:18" hidden="1" x14ac:dyDescent="0.25">
      <c r="A1666" s="2" t="s">
        <v>462</v>
      </c>
      <c r="B1666" s="3" t="str">
        <f t="shared" si="34"/>
        <v>18/5/7</v>
      </c>
      <c r="C1666">
        <v>7</v>
      </c>
      <c r="D1666">
        <v>5</v>
      </c>
      <c r="E1666">
        <v>18</v>
      </c>
      <c r="F1666" t="s">
        <v>234</v>
      </c>
      <c r="H1666" t="s">
        <v>53</v>
      </c>
      <c r="I1666" t="s">
        <v>27</v>
      </c>
      <c r="J1666">
        <v>17.899999999999999</v>
      </c>
      <c r="K1666">
        <v>1</v>
      </c>
      <c r="L1666">
        <v>17.899999999999999</v>
      </c>
      <c r="M1666">
        <v>17.899999999999999</v>
      </c>
      <c r="N1666" s="5">
        <v>0.90040241448692149</v>
      </c>
      <c r="O1666" t="s">
        <v>46</v>
      </c>
      <c r="P1666" t="s">
        <v>340</v>
      </c>
      <c r="Q1666" t="s">
        <v>24</v>
      </c>
    </row>
    <row r="1667" spans="1:18" hidden="1" x14ac:dyDescent="0.25">
      <c r="A1667" s="2" t="s">
        <v>513</v>
      </c>
      <c r="B1667" s="3" t="str">
        <f t="shared" si="34"/>
        <v>18/5/8</v>
      </c>
      <c r="C1667">
        <v>8</v>
      </c>
      <c r="D1667">
        <v>5</v>
      </c>
      <c r="E1667">
        <v>18</v>
      </c>
      <c r="F1667" t="s">
        <v>55</v>
      </c>
      <c r="H1667" t="s">
        <v>56</v>
      </c>
      <c r="I1667" t="s">
        <v>27</v>
      </c>
      <c r="J1667">
        <v>23.4</v>
      </c>
      <c r="K1667">
        <v>0.622</v>
      </c>
      <c r="L1667">
        <v>23.4</v>
      </c>
      <c r="M1667">
        <v>14.554799999999998</v>
      </c>
      <c r="N1667" s="5">
        <v>0.7321327967806841</v>
      </c>
      <c r="O1667" t="s">
        <v>90</v>
      </c>
      <c r="P1667" t="s">
        <v>340</v>
      </c>
      <c r="Q1667" t="s">
        <v>24</v>
      </c>
    </row>
    <row r="1668" spans="1:18" hidden="1" x14ac:dyDescent="0.25">
      <c r="A1668" s="2" t="s">
        <v>513</v>
      </c>
      <c r="B1668" s="3" t="str">
        <f t="shared" si="34"/>
        <v>18/5/8</v>
      </c>
      <c r="C1668">
        <v>8</v>
      </c>
      <c r="D1668">
        <v>5</v>
      </c>
      <c r="E1668">
        <v>18</v>
      </c>
      <c r="F1668" t="s">
        <v>119</v>
      </c>
      <c r="H1668" t="s">
        <v>56</v>
      </c>
      <c r="I1668" t="s">
        <v>27</v>
      </c>
      <c r="J1668">
        <v>17.100000000000001</v>
      </c>
      <c r="K1668">
        <v>0.72399999999999998</v>
      </c>
      <c r="L1668">
        <v>17.100000000000001</v>
      </c>
      <c r="M1668">
        <v>12.3804</v>
      </c>
      <c r="N1668" s="5">
        <v>0.62275653923541252</v>
      </c>
      <c r="O1668" t="s">
        <v>90</v>
      </c>
      <c r="P1668" t="s">
        <v>340</v>
      </c>
      <c r="Q1668" t="s">
        <v>24</v>
      </c>
    </row>
    <row r="1669" spans="1:18" hidden="1" x14ac:dyDescent="0.25">
      <c r="A1669" s="2" t="s">
        <v>513</v>
      </c>
      <c r="B1669" s="3" t="str">
        <f t="shared" si="34"/>
        <v>18/5/8</v>
      </c>
      <c r="C1669">
        <v>8</v>
      </c>
      <c r="D1669">
        <v>5</v>
      </c>
      <c r="E1669">
        <v>18</v>
      </c>
      <c r="F1669" t="s">
        <v>514</v>
      </c>
      <c r="H1669" t="s">
        <v>63</v>
      </c>
      <c r="I1669" t="s">
        <v>27</v>
      </c>
      <c r="J1669">
        <v>10</v>
      </c>
      <c r="K1669">
        <v>1</v>
      </c>
      <c r="L1669">
        <v>10</v>
      </c>
      <c r="M1669">
        <v>10</v>
      </c>
      <c r="N1669" s="5">
        <v>0.50301810865191154</v>
      </c>
      <c r="O1669" t="s">
        <v>90</v>
      </c>
      <c r="P1669" t="s">
        <v>340</v>
      </c>
      <c r="Q1669" t="s">
        <v>24</v>
      </c>
    </row>
    <row r="1670" spans="1:18" hidden="1" x14ac:dyDescent="0.25">
      <c r="A1670" s="2" t="s">
        <v>513</v>
      </c>
      <c r="B1670" s="3" t="str">
        <f t="shared" si="34"/>
        <v>18/5/8</v>
      </c>
      <c r="C1670">
        <v>8</v>
      </c>
      <c r="D1670">
        <v>5</v>
      </c>
      <c r="E1670">
        <v>18</v>
      </c>
      <c r="F1670" t="s">
        <v>207</v>
      </c>
      <c r="H1670" t="s">
        <v>56</v>
      </c>
      <c r="I1670" t="s">
        <v>27</v>
      </c>
      <c r="J1670">
        <v>31.5</v>
      </c>
      <c r="K1670">
        <v>0.222</v>
      </c>
      <c r="L1670">
        <v>31.5</v>
      </c>
      <c r="M1670">
        <v>6.9930000000000003</v>
      </c>
      <c r="N1670" s="5">
        <v>0.35176056338028172</v>
      </c>
      <c r="O1670" t="s">
        <v>90</v>
      </c>
      <c r="P1670" t="s">
        <v>340</v>
      </c>
      <c r="Q1670" t="s">
        <v>24</v>
      </c>
    </row>
    <row r="1671" spans="1:18" hidden="1" x14ac:dyDescent="0.25">
      <c r="A1671" s="2" t="s">
        <v>513</v>
      </c>
      <c r="B1671" s="3" t="str">
        <f t="shared" si="34"/>
        <v>18/5/8</v>
      </c>
      <c r="C1671">
        <v>8</v>
      </c>
      <c r="D1671">
        <v>5</v>
      </c>
      <c r="E1671">
        <v>18</v>
      </c>
      <c r="F1671" t="s">
        <v>146</v>
      </c>
      <c r="H1671" t="s">
        <v>49</v>
      </c>
      <c r="I1671" t="s">
        <v>50</v>
      </c>
      <c r="J1671">
        <v>0.6</v>
      </c>
      <c r="K1671">
        <v>1</v>
      </c>
      <c r="L1671">
        <v>0.6</v>
      </c>
      <c r="M1671">
        <v>0.6</v>
      </c>
      <c r="N1671" s="5">
        <v>3.0181086519114688E-2</v>
      </c>
      <c r="O1671" t="s">
        <v>90</v>
      </c>
      <c r="P1671" t="s">
        <v>340</v>
      </c>
      <c r="Q1671" t="s">
        <v>24</v>
      </c>
    </row>
    <row r="1672" spans="1:18" hidden="1" x14ac:dyDescent="0.25">
      <c r="A1672" s="2" t="s">
        <v>513</v>
      </c>
      <c r="B1672" s="3" t="str">
        <f t="shared" si="34"/>
        <v>18/5/8</v>
      </c>
      <c r="C1672">
        <v>8</v>
      </c>
      <c r="D1672">
        <v>5</v>
      </c>
      <c r="E1672">
        <v>18</v>
      </c>
      <c r="F1672" t="s">
        <v>515</v>
      </c>
      <c r="H1672" t="s">
        <v>44</v>
      </c>
      <c r="I1672" t="s">
        <v>27</v>
      </c>
      <c r="J1672">
        <v>16.63</v>
      </c>
      <c r="K1672">
        <v>1</v>
      </c>
      <c r="L1672">
        <v>16.63</v>
      </c>
      <c r="M1672">
        <v>16.63</v>
      </c>
      <c r="N1672" s="5">
        <v>0.83651911468812878</v>
      </c>
      <c r="O1672" t="s">
        <v>90</v>
      </c>
      <c r="P1672" t="s">
        <v>340</v>
      </c>
      <c r="Q1672" t="s">
        <v>24</v>
      </c>
    </row>
    <row r="1673" spans="1:18" hidden="1" x14ac:dyDescent="0.25">
      <c r="A1673" s="2" t="s">
        <v>513</v>
      </c>
      <c r="B1673" s="3" t="str">
        <f t="shared" si="34"/>
        <v>18/5/8</v>
      </c>
      <c r="C1673">
        <v>8</v>
      </c>
      <c r="D1673">
        <v>5</v>
      </c>
      <c r="E1673">
        <v>18</v>
      </c>
      <c r="F1673" t="s">
        <v>516</v>
      </c>
      <c r="H1673" t="s">
        <v>44</v>
      </c>
      <c r="I1673" t="s">
        <v>27</v>
      </c>
      <c r="J1673">
        <v>15.84</v>
      </c>
      <c r="K1673">
        <v>1</v>
      </c>
      <c r="L1673">
        <v>15.84</v>
      </c>
      <c r="M1673">
        <v>15.84</v>
      </c>
      <c r="N1673" s="5">
        <v>0.79678068410462777</v>
      </c>
      <c r="O1673" t="s">
        <v>90</v>
      </c>
      <c r="P1673" t="s">
        <v>340</v>
      </c>
      <c r="Q1673" t="s">
        <v>24</v>
      </c>
    </row>
    <row r="1674" spans="1:18" hidden="1" x14ac:dyDescent="0.25">
      <c r="A1674" s="9" t="s">
        <v>462</v>
      </c>
      <c r="B1674" s="3" t="str">
        <f t="shared" si="34"/>
        <v>18/5/8</v>
      </c>
      <c r="C1674" s="10">
        <v>8</v>
      </c>
      <c r="D1674" s="10">
        <v>5</v>
      </c>
      <c r="E1674" s="10">
        <v>18</v>
      </c>
      <c r="F1674" t="s">
        <v>104</v>
      </c>
      <c r="I1674" t="s">
        <v>72</v>
      </c>
      <c r="J1674">
        <v>12.63</v>
      </c>
      <c r="K1674">
        <v>5</v>
      </c>
      <c r="L1674">
        <v>12.63</v>
      </c>
      <c r="M1674">
        <v>63.150000000000006</v>
      </c>
      <c r="N1674" s="5">
        <v>3.1810931072118218</v>
      </c>
      <c r="O1674" t="s">
        <v>233</v>
      </c>
      <c r="P1674" t="s">
        <v>340</v>
      </c>
      <c r="Q1674" s="10" t="s">
        <v>24</v>
      </c>
      <c r="R1674" t="s">
        <v>232</v>
      </c>
    </row>
    <row r="1675" spans="1:18" hidden="1" x14ac:dyDescent="0.25">
      <c r="A1675" s="9" t="s">
        <v>462</v>
      </c>
      <c r="B1675" s="3" t="str">
        <f t="shared" si="34"/>
        <v>18/5/8</v>
      </c>
      <c r="C1675" s="10">
        <v>8</v>
      </c>
      <c r="D1675" s="10">
        <v>5</v>
      </c>
      <c r="E1675" s="10">
        <v>18</v>
      </c>
      <c r="F1675" t="s">
        <v>104</v>
      </c>
      <c r="I1675" t="s">
        <v>72</v>
      </c>
      <c r="J1675">
        <v>45.5</v>
      </c>
      <c r="K1675">
        <v>1</v>
      </c>
      <c r="L1675">
        <v>45.5</v>
      </c>
      <c r="M1675">
        <v>45.5</v>
      </c>
      <c r="N1675" s="5">
        <v>2.2919989925279158</v>
      </c>
      <c r="O1675" t="s">
        <v>233</v>
      </c>
      <c r="P1675" t="s">
        <v>340</v>
      </c>
      <c r="Q1675" s="10" t="s">
        <v>24</v>
      </c>
      <c r="R1675" t="s">
        <v>423</v>
      </c>
    </row>
    <row r="1676" spans="1:18" hidden="1" x14ac:dyDescent="0.25">
      <c r="A1676" s="9" t="s">
        <v>462</v>
      </c>
      <c r="B1676" s="3" t="s">
        <v>1441</v>
      </c>
      <c r="C1676" s="10">
        <v>9</v>
      </c>
      <c r="D1676" s="10">
        <v>5</v>
      </c>
      <c r="E1676" s="10">
        <v>18</v>
      </c>
      <c r="F1676" t="s">
        <v>1319</v>
      </c>
      <c r="G1676" t="s">
        <v>889</v>
      </c>
      <c r="H1676" t="s">
        <v>131</v>
      </c>
      <c r="I1676" t="s">
        <v>27</v>
      </c>
      <c r="J1676" s="4">
        <v>147</v>
      </c>
      <c r="K1676">
        <v>1</v>
      </c>
      <c r="L1676">
        <v>147</v>
      </c>
      <c r="M1676">
        <v>147</v>
      </c>
      <c r="N1676" s="5">
        <v>7.4409448818897639</v>
      </c>
      <c r="O1676" t="s">
        <v>39</v>
      </c>
      <c r="P1676" t="s">
        <v>340</v>
      </c>
      <c r="Q1676" s="10" t="s">
        <v>24</v>
      </c>
    </row>
    <row r="1677" spans="1:18" hidden="1" x14ac:dyDescent="0.25">
      <c r="A1677" s="2" t="s">
        <v>528</v>
      </c>
      <c r="B1677" s="3" t="str">
        <f t="shared" ref="B1677:B1686" si="35">CONCATENATE(E1677,"/",D1677,"/",C1677)</f>
        <v>18/6/1</v>
      </c>
      <c r="C1677">
        <v>1</v>
      </c>
      <c r="D1677">
        <v>6</v>
      </c>
      <c r="E1677">
        <v>18</v>
      </c>
      <c r="F1677" s="18" t="s">
        <v>483</v>
      </c>
      <c r="H1677" t="s">
        <v>56</v>
      </c>
      <c r="I1677" t="s">
        <v>27</v>
      </c>
      <c r="J1677">
        <v>35</v>
      </c>
      <c r="K1677">
        <v>1</v>
      </c>
      <c r="L1677">
        <v>35</v>
      </c>
      <c r="M1677">
        <v>35</v>
      </c>
      <c r="N1677" s="5">
        <v>1.7605633802816902</v>
      </c>
      <c r="O1677" t="s">
        <v>39</v>
      </c>
      <c r="Q1677" t="s">
        <v>24</v>
      </c>
    </row>
    <row r="1678" spans="1:18" hidden="1" x14ac:dyDescent="0.25">
      <c r="A1678" s="2" t="s">
        <v>528</v>
      </c>
      <c r="B1678" s="3" t="str">
        <f t="shared" si="35"/>
        <v>18/6/1</v>
      </c>
      <c r="C1678">
        <v>1</v>
      </c>
      <c r="D1678">
        <v>6</v>
      </c>
      <c r="E1678">
        <v>18</v>
      </c>
      <c r="F1678" t="s">
        <v>1577</v>
      </c>
      <c r="H1678" t="s">
        <v>63</v>
      </c>
      <c r="I1678" t="s">
        <v>96</v>
      </c>
      <c r="J1678" s="11">
        <f>24.9+3</f>
        <v>27.9</v>
      </c>
      <c r="K1678" s="42">
        <v>1</v>
      </c>
      <c r="L1678">
        <v>472.91</v>
      </c>
      <c r="M1678">
        <v>472.91</v>
      </c>
      <c r="N1678" s="5">
        <v>23.788229376257547</v>
      </c>
      <c r="O1678" t="s">
        <v>530</v>
      </c>
      <c r="P1678" t="s">
        <v>651</v>
      </c>
      <c r="Q1678" t="s">
        <v>24</v>
      </c>
      <c r="R1678" t="s">
        <v>529</v>
      </c>
    </row>
    <row r="1679" spans="1:18" hidden="1" x14ac:dyDescent="0.25">
      <c r="A1679" s="2" t="s">
        <v>528</v>
      </c>
      <c r="B1679" s="3" t="str">
        <f t="shared" si="35"/>
        <v>18/6/1</v>
      </c>
      <c r="C1679">
        <v>1</v>
      </c>
      <c r="D1679">
        <v>6</v>
      </c>
      <c r="E1679">
        <v>18</v>
      </c>
      <c r="F1679" t="s">
        <v>1580</v>
      </c>
      <c r="H1679" t="s">
        <v>63</v>
      </c>
      <c r="I1679" t="s">
        <v>50</v>
      </c>
      <c r="J1679" s="11">
        <f>8.32+3</f>
        <v>11.32</v>
      </c>
      <c r="K1679" s="42">
        <v>2</v>
      </c>
      <c r="L1679">
        <v>191.87</v>
      </c>
      <c r="M1679">
        <v>383.75</v>
      </c>
      <c r="N1679" s="5">
        <v>19.303319919517104</v>
      </c>
      <c r="O1679" t="s">
        <v>530</v>
      </c>
      <c r="P1679" t="s">
        <v>651</v>
      </c>
      <c r="Q1679" t="s">
        <v>24</v>
      </c>
      <c r="R1679" t="s">
        <v>531</v>
      </c>
    </row>
    <row r="1680" spans="1:18" hidden="1" x14ac:dyDescent="0.25">
      <c r="A1680" s="2" t="s">
        <v>528</v>
      </c>
      <c r="B1680" s="3" t="str">
        <f t="shared" si="35"/>
        <v>18/6/1</v>
      </c>
      <c r="C1680">
        <v>1</v>
      </c>
      <c r="D1680">
        <v>6</v>
      </c>
      <c r="E1680">
        <v>18</v>
      </c>
      <c r="F1680" t="s">
        <v>1580</v>
      </c>
      <c r="H1680" t="s">
        <v>63</v>
      </c>
      <c r="I1680" t="s">
        <v>50</v>
      </c>
      <c r="J1680" s="11">
        <f>9.42+3</f>
        <v>12.42</v>
      </c>
      <c r="K1680" s="42">
        <v>1</v>
      </c>
      <c r="L1680">
        <v>210.52</v>
      </c>
      <c r="M1680">
        <v>210.52</v>
      </c>
      <c r="N1680" s="5">
        <v>10.589537223340042</v>
      </c>
      <c r="O1680" t="s">
        <v>530</v>
      </c>
      <c r="P1680" t="s">
        <v>651</v>
      </c>
      <c r="Q1680" t="s">
        <v>24</v>
      </c>
      <c r="R1680" t="s">
        <v>531</v>
      </c>
    </row>
    <row r="1681" spans="1:18" hidden="1" x14ac:dyDescent="0.25">
      <c r="A1681" s="2" t="s">
        <v>528</v>
      </c>
      <c r="B1681" s="3" t="str">
        <f t="shared" si="35"/>
        <v>18/6/1</v>
      </c>
      <c r="C1681">
        <v>1</v>
      </c>
      <c r="D1681">
        <v>6</v>
      </c>
      <c r="E1681">
        <v>18</v>
      </c>
      <c r="F1681" t="s">
        <v>1579</v>
      </c>
      <c r="H1681" t="s">
        <v>63</v>
      </c>
      <c r="I1681" t="s">
        <v>50</v>
      </c>
      <c r="J1681" s="11">
        <f>12.99+1.5</f>
        <v>14.49</v>
      </c>
      <c r="K1681" s="42">
        <v>2</v>
      </c>
      <c r="L1681">
        <v>245.61</v>
      </c>
      <c r="M1681">
        <v>491.21</v>
      </c>
      <c r="N1681" s="5">
        <v>24.708752515090545</v>
      </c>
      <c r="O1681" t="s">
        <v>530</v>
      </c>
      <c r="P1681" t="s">
        <v>651</v>
      </c>
      <c r="Q1681" t="s">
        <v>24</v>
      </c>
      <c r="R1681" t="s">
        <v>532</v>
      </c>
    </row>
    <row r="1682" spans="1:18" hidden="1" x14ac:dyDescent="0.25">
      <c r="A1682" s="2" t="s">
        <v>528</v>
      </c>
      <c r="B1682" s="3" t="str">
        <f t="shared" si="35"/>
        <v>18/6/1</v>
      </c>
      <c r="C1682">
        <v>1</v>
      </c>
      <c r="D1682">
        <v>6</v>
      </c>
      <c r="E1682">
        <v>18</v>
      </c>
      <c r="F1682" t="s">
        <v>1610</v>
      </c>
      <c r="H1682" t="s">
        <v>308</v>
      </c>
      <c r="I1682" t="s">
        <v>22</v>
      </c>
      <c r="J1682" s="11">
        <f>6.49+3</f>
        <v>9.49</v>
      </c>
      <c r="K1682" s="42">
        <v>1</v>
      </c>
      <c r="L1682">
        <v>160.86000000000001</v>
      </c>
      <c r="M1682">
        <v>160.86000000000001</v>
      </c>
      <c r="N1682" s="5">
        <v>8.0915492957746498</v>
      </c>
      <c r="O1682" t="s">
        <v>530</v>
      </c>
      <c r="P1682" t="s">
        <v>651</v>
      </c>
      <c r="Q1682" t="s">
        <v>24</v>
      </c>
      <c r="R1682" t="s">
        <v>1606</v>
      </c>
    </row>
    <row r="1683" spans="1:18" hidden="1" x14ac:dyDescent="0.25">
      <c r="A1683" s="2" t="s">
        <v>528</v>
      </c>
      <c r="B1683" s="3" t="str">
        <f t="shared" si="35"/>
        <v>18/6/1</v>
      </c>
      <c r="C1683">
        <v>1</v>
      </c>
      <c r="D1683">
        <v>6</v>
      </c>
      <c r="E1683">
        <v>18</v>
      </c>
      <c r="F1683" t="s">
        <v>486</v>
      </c>
      <c r="H1683" t="s">
        <v>63</v>
      </c>
      <c r="I1683" t="s">
        <v>96</v>
      </c>
      <c r="J1683" s="11">
        <f>30.56+3</f>
        <v>33.56</v>
      </c>
      <c r="K1683" s="42">
        <v>1</v>
      </c>
      <c r="L1683">
        <v>568.84</v>
      </c>
      <c r="M1683">
        <v>568.84</v>
      </c>
      <c r="N1683" s="5">
        <v>28.613682092555337</v>
      </c>
      <c r="O1683" t="s">
        <v>530</v>
      </c>
      <c r="P1683" t="s">
        <v>651</v>
      </c>
      <c r="Q1683" t="s">
        <v>24</v>
      </c>
      <c r="R1683" t="s">
        <v>533</v>
      </c>
    </row>
    <row r="1684" spans="1:18" hidden="1" x14ac:dyDescent="0.25">
      <c r="A1684" s="2" t="s">
        <v>528</v>
      </c>
      <c r="B1684" s="3" t="str">
        <f t="shared" si="35"/>
        <v>18/6/1</v>
      </c>
      <c r="C1684">
        <v>1</v>
      </c>
      <c r="D1684">
        <v>6</v>
      </c>
      <c r="E1684">
        <v>18</v>
      </c>
      <c r="F1684" t="s">
        <v>2242</v>
      </c>
      <c r="G1684" t="s">
        <v>345</v>
      </c>
      <c r="H1684" t="s">
        <v>26</v>
      </c>
      <c r="I1684" t="s">
        <v>27</v>
      </c>
      <c r="J1684">
        <v>5.95</v>
      </c>
      <c r="K1684">
        <v>1</v>
      </c>
      <c r="L1684">
        <v>5.95</v>
      </c>
      <c r="M1684">
        <v>5.95</v>
      </c>
      <c r="N1684" s="5">
        <v>0.29929577464788737</v>
      </c>
      <c r="O1684" t="s">
        <v>1472</v>
      </c>
      <c r="P1684" t="s">
        <v>340</v>
      </c>
      <c r="Q1684" t="s">
        <v>24</v>
      </c>
    </row>
    <row r="1685" spans="1:18" hidden="1" x14ac:dyDescent="0.25">
      <c r="A1685" s="2" t="s">
        <v>528</v>
      </c>
      <c r="B1685" s="3" t="str">
        <f t="shared" si="35"/>
        <v>18/6/1</v>
      </c>
      <c r="C1685">
        <v>1</v>
      </c>
      <c r="D1685">
        <v>6</v>
      </c>
      <c r="E1685">
        <v>18</v>
      </c>
      <c r="F1685" t="s">
        <v>55</v>
      </c>
      <c r="H1685" t="s">
        <v>56</v>
      </c>
      <c r="I1685" t="s">
        <v>27</v>
      </c>
      <c r="J1685">
        <v>24.04</v>
      </c>
      <c r="K1685">
        <v>1.6080000000000001</v>
      </c>
      <c r="L1685">
        <v>24.04</v>
      </c>
      <c r="M1685">
        <v>38.659999999999997</v>
      </c>
      <c r="N1685" s="5">
        <v>1.9446680080482897</v>
      </c>
      <c r="O1685" t="s">
        <v>1472</v>
      </c>
      <c r="P1685" t="s">
        <v>340</v>
      </c>
      <c r="Q1685" t="s">
        <v>24</v>
      </c>
    </row>
    <row r="1686" spans="1:18" hidden="1" x14ac:dyDescent="0.25">
      <c r="A1686" s="2" t="s">
        <v>528</v>
      </c>
      <c r="B1686" s="3" t="str">
        <f t="shared" si="35"/>
        <v>18/6/10</v>
      </c>
      <c r="C1686">
        <v>10</v>
      </c>
      <c r="D1686">
        <v>6</v>
      </c>
      <c r="E1686">
        <v>18</v>
      </c>
      <c r="F1686" t="s">
        <v>534</v>
      </c>
      <c r="H1686" t="s">
        <v>54</v>
      </c>
      <c r="I1686" t="s">
        <v>27</v>
      </c>
      <c r="J1686">
        <v>7</v>
      </c>
      <c r="K1686">
        <v>1</v>
      </c>
      <c r="L1686">
        <v>7</v>
      </c>
      <c r="M1686">
        <v>7</v>
      </c>
      <c r="N1686" s="5">
        <v>0.35211267605633806</v>
      </c>
      <c r="O1686" t="s">
        <v>39</v>
      </c>
      <c r="Q1686" t="s">
        <v>24</v>
      </c>
    </row>
    <row r="1687" spans="1:18" hidden="1" x14ac:dyDescent="0.25">
      <c r="A1687" s="9" t="s">
        <v>528</v>
      </c>
      <c r="B1687" s="3" t="s">
        <v>1328</v>
      </c>
      <c r="C1687" s="10">
        <v>10</v>
      </c>
      <c r="D1687" s="10">
        <v>6</v>
      </c>
      <c r="E1687" s="10">
        <v>18</v>
      </c>
      <c r="F1687" t="s">
        <v>389</v>
      </c>
      <c r="G1687" t="s">
        <v>889</v>
      </c>
      <c r="H1687" t="s">
        <v>21</v>
      </c>
      <c r="I1687" t="s">
        <v>22</v>
      </c>
      <c r="J1687" s="4">
        <v>4</v>
      </c>
      <c r="K1687">
        <v>2</v>
      </c>
      <c r="L1687">
        <v>4</v>
      </c>
      <c r="M1687">
        <v>8</v>
      </c>
      <c r="N1687" s="5">
        <v>0.40494938132733405</v>
      </c>
      <c r="O1687" t="s">
        <v>1320</v>
      </c>
      <c r="P1687" t="s">
        <v>340</v>
      </c>
      <c r="Q1687" s="10" t="s">
        <v>24</v>
      </c>
      <c r="R1687" t="s">
        <v>353</v>
      </c>
    </row>
    <row r="1688" spans="1:18" hidden="1" x14ac:dyDescent="0.25">
      <c r="A1688" s="2" t="s">
        <v>528</v>
      </c>
      <c r="B1688" s="3" t="str">
        <f t="shared" ref="B1688:B1702" si="36">CONCATENATE(E1688,"/",D1688,"/",C1688)</f>
        <v>18/6/11</v>
      </c>
      <c r="C1688">
        <v>11</v>
      </c>
      <c r="D1688">
        <v>6</v>
      </c>
      <c r="E1688">
        <v>18</v>
      </c>
      <c r="F1688" t="s">
        <v>484</v>
      </c>
      <c r="H1688" t="s">
        <v>54</v>
      </c>
      <c r="I1688" t="s">
        <v>27</v>
      </c>
      <c r="J1688">
        <v>16</v>
      </c>
      <c r="K1688">
        <v>1</v>
      </c>
      <c r="L1688">
        <v>16</v>
      </c>
      <c r="M1688">
        <v>16</v>
      </c>
      <c r="N1688" s="5">
        <v>0.8048289738430584</v>
      </c>
      <c r="O1688" t="s">
        <v>39</v>
      </c>
      <c r="Q1688" t="s">
        <v>24</v>
      </c>
    </row>
    <row r="1689" spans="1:18" hidden="1" x14ac:dyDescent="0.25">
      <c r="A1689" s="2" t="s">
        <v>528</v>
      </c>
      <c r="B1689" s="3" t="str">
        <f t="shared" si="36"/>
        <v>18/6/11</v>
      </c>
      <c r="C1689">
        <v>11</v>
      </c>
      <c r="D1689">
        <v>6</v>
      </c>
      <c r="E1689">
        <v>18</v>
      </c>
      <c r="F1689" t="s">
        <v>535</v>
      </c>
      <c r="H1689" t="s">
        <v>54</v>
      </c>
      <c r="I1689" t="s">
        <v>27</v>
      </c>
      <c r="J1689">
        <v>25</v>
      </c>
      <c r="K1689">
        <v>1</v>
      </c>
      <c r="L1689">
        <v>25</v>
      </c>
      <c r="M1689">
        <v>25</v>
      </c>
      <c r="N1689" s="5">
        <v>1.2575452716297788</v>
      </c>
      <c r="O1689" t="s">
        <v>39</v>
      </c>
      <c r="Q1689" t="s">
        <v>24</v>
      </c>
    </row>
    <row r="1690" spans="1:18" hidden="1" x14ac:dyDescent="0.25">
      <c r="A1690" s="2" t="s">
        <v>528</v>
      </c>
      <c r="B1690" s="3" t="str">
        <f t="shared" si="36"/>
        <v>18/6/11</v>
      </c>
      <c r="C1690">
        <v>11</v>
      </c>
      <c r="D1690">
        <v>6</v>
      </c>
      <c r="E1690">
        <v>18</v>
      </c>
      <c r="F1690" t="s">
        <v>404</v>
      </c>
      <c r="H1690" t="s">
        <v>54</v>
      </c>
      <c r="I1690" t="s">
        <v>27</v>
      </c>
      <c r="J1690">
        <v>30</v>
      </c>
      <c r="K1690">
        <v>1</v>
      </c>
      <c r="L1690">
        <v>30</v>
      </c>
      <c r="M1690">
        <v>30</v>
      </c>
      <c r="N1690" s="5">
        <v>1.5090543259557345</v>
      </c>
      <c r="O1690" t="s">
        <v>39</v>
      </c>
      <c r="Q1690" t="s">
        <v>24</v>
      </c>
    </row>
    <row r="1691" spans="1:18" hidden="1" x14ac:dyDescent="0.25">
      <c r="A1691" s="2" t="s">
        <v>528</v>
      </c>
      <c r="B1691" s="3" t="str">
        <f t="shared" si="36"/>
        <v>18/6/11</v>
      </c>
      <c r="C1691">
        <v>11</v>
      </c>
      <c r="D1691">
        <v>6</v>
      </c>
      <c r="E1691">
        <v>18</v>
      </c>
      <c r="F1691" t="s">
        <v>536</v>
      </c>
      <c r="H1691" t="s">
        <v>56</v>
      </c>
      <c r="I1691" t="s">
        <v>27</v>
      </c>
      <c r="J1691">
        <v>14</v>
      </c>
      <c r="K1691">
        <v>1</v>
      </c>
      <c r="L1691">
        <v>14</v>
      </c>
      <c r="M1691">
        <v>14</v>
      </c>
      <c r="N1691" s="5">
        <v>0.70422535211267612</v>
      </c>
      <c r="O1691" t="s">
        <v>39</v>
      </c>
      <c r="Q1691" t="s">
        <v>24</v>
      </c>
    </row>
    <row r="1692" spans="1:18" hidden="1" x14ac:dyDescent="0.25">
      <c r="A1692" s="2" t="s">
        <v>528</v>
      </c>
      <c r="B1692" s="3" t="str">
        <f t="shared" si="36"/>
        <v>18/6/11</v>
      </c>
      <c r="C1692">
        <v>11</v>
      </c>
      <c r="D1692">
        <v>6</v>
      </c>
      <c r="E1692">
        <v>18</v>
      </c>
      <c r="F1692" s="18" t="s">
        <v>483</v>
      </c>
      <c r="H1692" t="s">
        <v>56</v>
      </c>
      <c r="I1692" t="s">
        <v>27</v>
      </c>
      <c r="J1692">
        <v>48</v>
      </c>
      <c r="K1692">
        <v>1</v>
      </c>
      <c r="L1692">
        <v>48</v>
      </c>
      <c r="M1692">
        <v>48</v>
      </c>
      <c r="N1692" s="5">
        <v>2.4144869215291753</v>
      </c>
      <c r="O1692" t="s">
        <v>39</v>
      </c>
      <c r="Q1692" t="s">
        <v>24</v>
      </c>
    </row>
    <row r="1693" spans="1:18" hidden="1" x14ac:dyDescent="0.25">
      <c r="A1693" s="2" t="s">
        <v>528</v>
      </c>
      <c r="B1693" s="3" t="str">
        <f t="shared" si="36"/>
        <v>18/6/11</v>
      </c>
      <c r="C1693">
        <v>11</v>
      </c>
      <c r="D1693">
        <v>6</v>
      </c>
      <c r="E1693">
        <v>18</v>
      </c>
      <c r="F1693" t="s">
        <v>536</v>
      </c>
      <c r="H1693" t="s">
        <v>56</v>
      </c>
      <c r="I1693" t="s">
        <v>27</v>
      </c>
      <c r="J1693">
        <v>40</v>
      </c>
      <c r="K1693">
        <v>0.63</v>
      </c>
      <c r="L1693">
        <v>40</v>
      </c>
      <c r="M1693">
        <v>25.2</v>
      </c>
      <c r="N1693" s="5">
        <v>1.267605633802817</v>
      </c>
      <c r="O1693" t="s">
        <v>39</v>
      </c>
      <c r="Q1693" t="s">
        <v>24</v>
      </c>
    </row>
    <row r="1694" spans="1:18" hidden="1" x14ac:dyDescent="0.25">
      <c r="A1694" s="2" t="s">
        <v>528</v>
      </c>
      <c r="B1694" s="3" t="str">
        <f t="shared" si="36"/>
        <v>18/6/11</v>
      </c>
      <c r="C1694">
        <v>11</v>
      </c>
      <c r="D1694">
        <v>6</v>
      </c>
      <c r="E1694">
        <v>18</v>
      </c>
      <c r="F1694" t="s">
        <v>537</v>
      </c>
      <c r="H1694" t="s">
        <v>56</v>
      </c>
      <c r="I1694" t="s">
        <v>27</v>
      </c>
      <c r="J1694">
        <v>20</v>
      </c>
      <c r="K1694">
        <v>0.5</v>
      </c>
      <c r="L1694">
        <v>20</v>
      </c>
      <c r="M1694">
        <v>10</v>
      </c>
      <c r="N1694" s="5">
        <v>0.50301810865191154</v>
      </c>
      <c r="O1694" t="s">
        <v>39</v>
      </c>
      <c r="Q1694" t="s">
        <v>24</v>
      </c>
    </row>
    <row r="1695" spans="1:18" hidden="1" x14ac:dyDescent="0.25">
      <c r="A1695" s="2" t="s">
        <v>528</v>
      </c>
      <c r="B1695" s="3" t="str">
        <f t="shared" si="36"/>
        <v>18/6/12</v>
      </c>
      <c r="C1695">
        <v>12</v>
      </c>
      <c r="D1695">
        <v>6</v>
      </c>
      <c r="E1695">
        <v>18</v>
      </c>
      <c r="F1695" t="s">
        <v>538</v>
      </c>
      <c r="H1695" t="s">
        <v>54</v>
      </c>
      <c r="I1695" t="s">
        <v>27</v>
      </c>
      <c r="J1695">
        <v>10</v>
      </c>
      <c r="K1695">
        <v>1</v>
      </c>
      <c r="L1695">
        <v>10</v>
      </c>
      <c r="M1695">
        <v>10</v>
      </c>
      <c r="N1695" s="5">
        <v>0.50301810865191154</v>
      </c>
      <c r="O1695" t="s">
        <v>39</v>
      </c>
      <c r="Q1695" t="s">
        <v>24</v>
      </c>
    </row>
    <row r="1696" spans="1:18" hidden="1" x14ac:dyDescent="0.25">
      <c r="A1696" s="2" t="s">
        <v>528</v>
      </c>
      <c r="B1696" s="3" t="str">
        <f t="shared" si="36"/>
        <v>18/6/12</v>
      </c>
      <c r="C1696">
        <v>12</v>
      </c>
      <c r="D1696">
        <v>6</v>
      </c>
      <c r="E1696">
        <v>18</v>
      </c>
      <c r="F1696" t="s">
        <v>1487</v>
      </c>
      <c r="I1696" t="s">
        <v>431</v>
      </c>
      <c r="J1696">
        <v>23.16</v>
      </c>
      <c r="K1696">
        <v>1</v>
      </c>
      <c r="L1696" s="8">
        <v>392.56</v>
      </c>
      <c r="M1696" s="8">
        <v>392.56</v>
      </c>
      <c r="N1696" s="5">
        <v>19.746478873239436</v>
      </c>
      <c r="O1696" t="s">
        <v>530</v>
      </c>
      <c r="P1696" t="s">
        <v>651</v>
      </c>
      <c r="Q1696" t="s">
        <v>24</v>
      </c>
    </row>
    <row r="1697" spans="1:18" hidden="1" x14ac:dyDescent="0.25">
      <c r="A1697" s="2" t="s">
        <v>528</v>
      </c>
      <c r="B1697" s="3" t="str">
        <f t="shared" si="36"/>
        <v>18/6/12</v>
      </c>
      <c r="C1697">
        <v>12</v>
      </c>
      <c r="D1697">
        <v>6</v>
      </c>
      <c r="E1697">
        <v>18</v>
      </c>
      <c r="F1697" t="s">
        <v>1487</v>
      </c>
      <c r="I1697" t="s">
        <v>431</v>
      </c>
      <c r="J1697">
        <v>16.93</v>
      </c>
      <c r="K1697">
        <v>1</v>
      </c>
      <c r="L1697" s="8">
        <v>286.95999999999998</v>
      </c>
      <c r="M1697" s="8">
        <v>286.95999999999998</v>
      </c>
      <c r="N1697" s="5">
        <v>14.434607645875252</v>
      </c>
      <c r="O1697" t="s">
        <v>530</v>
      </c>
      <c r="P1697" t="s">
        <v>651</v>
      </c>
      <c r="Q1697" t="s">
        <v>24</v>
      </c>
    </row>
    <row r="1698" spans="1:18" hidden="1" x14ac:dyDescent="0.25">
      <c r="A1698" s="2" t="s">
        <v>528</v>
      </c>
      <c r="B1698" s="3" t="str">
        <f t="shared" si="36"/>
        <v>18/6/12</v>
      </c>
      <c r="C1698">
        <v>12</v>
      </c>
      <c r="D1698">
        <v>6</v>
      </c>
      <c r="E1698">
        <v>18</v>
      </c>
      <c r="F1698" t="s">
        <v>1600</v>
      </c>
      <c r="H1698" t="s">
        <v>308</v>
      </c>
      <c r="I1698" t="s">
        <v>22</v>
      </c>
      <c r="J1698">
        <v>7.63</v>
      </c>
      <c r="K1698">
        <v>1</v>
      </c>
      <c r="L1698">
        <v>129.33000000000001</v>
      </c>
      <c r="M1698">
        <v>129.33000000000001</v>
      </c>
      <c r="N1698" s="5">
        <v>6.5055331991951721</v>
      </c>
      <c r="O1698" t="s">
        <v>530</v>
      </c>
      <c r="P1698" t="s">
        <v>651</v>
      </c>
      <c r="Q1698" t="s">
        <v>24</v>
      </c>
    </row>
    <row r="1699" spans="1:18" hidden="1" x14ac:dyDescent="0.25">
      <c r="A1699" s="2" t="s">
        <v>528</v>
      </c>
      <c r="B1699" s="3" t="str">
        <f t="shared" si="36"/>
        <v>18/6/12</v>
      </c>
      <c r="C1699">
        <v>12</v>
      </c>
      <c r="D1699">
        <v>6</v>
      </c>
      <c r="E1699">
        <v>18</v>
      </c>
      <c r="F1699" t="s">
        <v>1578</v>
      </c>
      <c r="H1699" t="s">
        <v>63</v>
      </c>
      <c r="I1699" t="s">
        <v>50</v>
      </c>
      <c r="J1699">
        <v>9.18</v>
      </c>
      <c r="K1699">
        <v>1</v>
      </c>
      <c r="L1699">
        <v>155.6</v>
      </c>
      <c r="M1699" s="8">
        <v>155.6</v>
      </c>
      <c r="N1699" s="5">
        <v>7.8269617706237424</v>
      </c>
      <c r="O1699" t="s">
        <v>530</v>
      </c>
      <c r="P1699" t="s">
        <v>651</v>
      </c>
      <c r="Q1699" t="s">
        <v>24</v>
      </c>
      <c r="R1699" t="s">
        <v>539</v>
      </c>
    </row>
    <row r="1700" spans="1:18" hidden="1" x14ac:dyDescent="0.25">
      <c r="A1700" s="2" t="s">
        <v>528</v>
      </c>
      <c r="B1700" s="3" t="str">
        <f t="shared" si="36"/>
        <v>18/6/12</v>
      </c>
      <c r="C1700">
        <v>12</v>
      </c>
      <c r="D1700">
        <v>6</v>
      </c>
      <c r="E1700">
        <v>18</v>
      </c>
      <c r="F1700" t="s">
        <v>540</v>
      </c>
      <c r="H1700" t="s">
        <v>63</v>
      </c>
      <c r="I1700" t="s">
        <v>50</v>
      </c>
      <c r="J1700">
        <v>23.19</v>
      </c>
      <c r="K1700">
        <v>3</v>
      </c>
      <c r="L1700">
        <v>393.07</v>
      </c>
      <c r="M1700" s="8">
        <v>1179.21</v>
      </c>
      <c r="N1700" s="5">
        <v>59.316398390342059</v>
      </c>
      <c r="O1700" t="s">
        <v>530</v>
      </c>
      <c r="P1700" t="s">
        <v>651</v>
      </c>
      <c r="Q1700" t="s">
        <v>24</v>
      </c>
      <c r="R1700" t="s">
        <v>541</v>
      </c>
    </row>
    <row r="1701" spans="1:18" hidden="1" x14ac:dyDescent="0.25">
      <c r="A1701" s="2" t="s">
        <v>528</v>
      </c>
      <c r="B1701" s="3" t="str">
        <f t="shared" si="36"/>
        <v>18/6/13</v>
      </c>
      <c r="C1701">
        <v>13</v>
      </c>
      <c r="D1701">
        <v>6</v>
      </c>
      <c r="E1701">
        <v>18</v>
      </c>
      <c r="F1701" t="s">
        <v>485</v>
      </c>
      <c r="H1701" t="s">
        <v>54</v>
      </c>
      <c r="I1701" t="s">
        <v>27</v>
      </c>
      <c r="J1701">
        <v>5</v>
      </c>
      <c r="K1701">
        <v>1</v>
      </c>
      <c r="L1701">
        <v>5</v>
      </c>
      <c r="M1701">
        <v>5</v>
      </c>
      <c r="N1701" s="5">
        <v>0.25150905432595577</v>
      </c>
      <c r="O1701" t="s">
        <v>39</v>
      </c>
      <c r="Q1701" t="s">
        <v>24</v>
      </c>
    </row>
    <row r="1702" spans="1:18" hidden="1" x14ac:dyDescent="0.25">
      <c r="A1702" s="2" t="s">
        <v>528</v>
      </c>
      <c r="B1702" s="3" t="str">
        <f t="shared" si="36"/>
        <v>18/6/13</v>
      </c>
      <c r="C1702">
        <v>13</v>
      </c>
      <c r="D1702">
        <v>6</v>
      </c>
      <c r="E1702">
        <v>18</v>
      </c>
      <c r="F1702" t="s">
        <v>389</v>
      </c>
      <c r="H1702" t="s">
        <v>21</v>
      </c>
      <c r="I1702" t="s">
        <v>22</v>
      </c>
      <c r="J1702">
        <v>4</v>
      </c>
      <c r="K1702">
        <v>2</v>
      </c>
      <c r="L1702">
        <v>4</v>
      </c>
      <c r="M1702">
        <v>8</v>
      </c>
      <c r="N1702" s="5">
        <v>0.4024144869215292</v>
      </c>
      <c r="O1702" t="s">
        <v>354</v>
      </c>
      <c r="P1702" t="s">
        <v>340</v>
      </c>
      <c r="Q1702" t="s">
        <v>24</v>
      </c>
      <c r="R1702" t="s">
        <v>353</v>
      </c>
    </row>
    <row r="1703" spans="1:18" hidden="1" x14ac:dyDescent="0.25">
      <c r="A1703" s="9" t="s">
        <v>528</v>
      </c>
      <c r="B1703" s="3" t="s">
        <v>1315</v>
      </c>
      <c r="C1703" s="10">
        <v>13</v>
      </c>
      <c r="D1703" s="10">
        <v>6</v>
      </c>
      <c r="E1703" s="10">
        <v>18</v>
      </c>
      <c r="F1703" t="s">
        <v>234</v>
      </c>
      <c r="G1703" t="s">
        <v>889</v>
      </c>
      <c r="H1703" t="s">
        <v>53</v>
      </c>
      <c r="I1703" t="s">
        <v>27</v>
      </c>
      <c r="J1703" s="4">
        <v>17.899999999999999</v>
      </c>
      <c r="K1703">
        <v>1</v>
      </c>
      <c r="L1703">
        <v>17.899999999999999</v>
      </c>
      <c r="M1703">
        <v>17.899999999999999</v>
      </c>
      <c r="N1703" s="5">
        <v>0.90607424071990994</v>
      </c>
      <c r="O1703" t="s">
        <v>46</v>
      </c>
      <c r="P1703" t="s">
        <v>340</v>
      </c>
      <c r="Q1703" s="10" t="s">
        <v>1102</v>
      </c>
    </row>
    <row r="1704" spans="1:18" hidden="1" x14ac:dyDescent="0.25">
      <c r="A1704" s="9" t="s">
        <v>528</v>
      </c>
      <c r="B1704" s="3" t="s">
        <v>1315</v>
      </c>
      <c r="C1704" s="10">
        <v>13</v>
      </c>
      <c r="D1704" s="10">
        <v>6</v>
      </c>
      <c r="E1704" s="10">
        <v>18</v>
      </c>
      <c r="F1704" t="s">
        <v>372</v>
      </c>
      <c r="G1704" t="s">
        <v>373</v>
      </c>
      <c r="H1704" t="s">
        <v>65</v>
      </c>
      <c r="I1704" t="s">
        <v>27</v>
      </c>
      <c r="J1704" s="4">
        <v>7.7</v>
      </c>
      <c r="K1704">
        <v>2</v>
      </c>
      <c r="L1704">
        <v>7.7</v>
      </c>
      <c r="M1704">
        <v>15.4</v>
      </c>
      <c r="N1704" s="5">
        <v>0.77952755905511806</v>
      </c>
      <c r="O1704" t="s">
        <v>46</v>
      </c>
      <c r="P1704" t="s">
        <v>340</v>
      </c>
      <c r="Q1704" s="10" t="s">
        <v>1102</v>
      </c>
    </row>
    <row r="1705" spans="1:18" hidden="1" x14ac:dyDescent="0.25">
      <c r="A1705" s="9" t="s">
        <v>528</v>
      </c>
      <c r="B1705" s="3" t="s">
        <v>1315</v>
      </c>
      <c r="C1705" s="10">
        <v>13</v>
      </c>
      <c r="D1705" s="10">
        <v>6</v>
      </c>
      <c r="E1705" s="10">
        <v>18</v>
      </c>
      <c r="F1705" t="s">
        <v>1288</v>
      </c>
      <c r="G1705" t="s">
        <v>889</v>
      </c>
      <c r="H1705" t="s">
        <v>65</v>
      </c>
      <c r="I1705" t="s">
        <v>27</v>
      </c>
      <c r="J1705" s="4">
        <v>9.65</v>
      </c>
      <c r="K1705">
        <v>6</v>
      </c>
      <c r="L1705">
        <v>9.65</v>
      </c>
      <c r="M1705">
        <v>57.900000000000006</v>
      </c>
      <c r="N1705" s="5">
        <v>2.9308211473565806</v>
      </c>
      <c r="O1705" t="s">
        <v>46</v>
      </c>
      <c r="P1705" t="s">
        <v>340</v>
      </c>
      <c r="Q1705" s="10" t="s">
        <v>1102</v>
      </c>
    </row>
    <row r="1706" spans="1:18" hidden="1" x14ac:dyDescent="0.25">
      <c r="A1706" s="2" t="s">
        <v>528</v>
      </c>
      <c r="B1706" s="3" t="str">
        <f t="shared" ref="B1706:B1722" si="37">CONCATENATE(E1706,"/",D1706,"/",C1706)</f>
        <v>18/6/14</v>
      </c>
      <c r="C1706">
        <v>14</v>
      </c>
      <c r="D1706">
        <v>6</v>
      </c>
      <c r="E1706">
        <v>18</v>
      </c>
      <c r="F1706" t="s">
        <v>542</v>
      </c>
      <c r="H1706" t="s">
        <v>54</v>
      </c>
      <c r="I1706" t="s">
        <v>27</v>
      </c>
      <c r="J1706">
        <v>8</v>
      </c>
      <c r="K1706">
        <v>1</v>
      </c>
      <c r="L1706">
        <v>8</v>
      </c>
      <c r="M1706">
        <v>8</v>
      </c>
      <c r="N1706" s="5">
        <v>0.4024144869215292</v>
      </c>
      <c r="O1706" t="s">
        <v>39</v>
      </c>
      <c r="Q1706" t="s">
        <v>24</v>
      </c>
    </row>
    <row r="1707" spans="1:18" hidden="1" x14ac:dyDescent="0.25">
      <c r="A1707" s="2" t="s">
        <v>528</v>
      </c>
      <c r="B1707" s="3" t="str">
        <f t="shared" si="37"/>
        <v>18/6/14</v>
      </c>
      <c r="C1707">
        <v>14</v>
      </c>
      <c r="D1707">
        <v>6</v>
      </c>
      <c r="E1707">
        <v>18</v>
      </c>
      <c r="F1707" t="s">
        <v>174</v>
      </c>
      <c r="H1707" t="s">
        <v>54</v>
      </c>
      <c r="I1707" t="s">
        <v>27</v>
      </c>
      <c r="J1707">
        <v>5</v>
      </c>
      <c r="K1707">
        <v>1</v>
      </c>
      <c r="L1707">
        <v>5</v>
      </c>
      <c r="M1707">
        <v>5</v>
      </c>
      <c r="N1707" s="5">
        <v>0.25150905432595577</v>
      </c>
      <c r="O1707" t="s">
        <v>39</v>
      </c>
      <c r="Q1707" t="s">
        <v>24</v>
      </c>
    </row>
    <row r="1708" spans="1:18" hidden="1" x14ac:dyDescent="0.25">
      <c r="A1708" s="2" t="s">
        <v>528</v>
      </c>
      <c r="B1708" s="3" t="str">
        <f t="shared" si="37"/>
        <v>18/6/14</v>
      </c>
      <c r="C1708">
        <v>14</v>
      </c>
      <c r="D1708">
        <v>6</v>
      </c>
      <c r="E1708">
        <v>18</v>
      </c>
      <c r="F1708" t="s">
        <v>485</v>
      </c>
      <c r="H1708" t="s">
        <v>54</v>
      </c>
      <c r="I1708" t="s">
        <v>27</v>
      </c>
      <c r="J1708">
        <v>5</v>
      </c>
      <c r="K1708">
        <v>1</v>
      </c>
      <c r="L1708">
        <v>5</v>
      </c>
      <c r="M1708">
        <v>5</v>
      </c>
      <c r="N1708" s="5">
        <v>0.25150905432595577</v>
      </c>
      <c r="O1708" t="s">
        <v>39</v>
      </c>
      <c r="Q1708" t="s">
        <v>24</v>
      </c>
    </row>
    <row r="1709" spans="1:18" hidden="1" x14ac:dyDescent="0.25">
      <c r="A1709" s="2" t="s">
        <v>528</v>
      </c>
      <c r="B1709" s="3" t="str">
        <f t="shared" si="37"/>
        <v>18/6/14</v>
      </c>
      <c r="C1709">
        <v>14</v>
      </c>
      <c r="D1709">
        <v>6</v>
      </c>
      <c r="E1709">
        <v>18</v>
      </c>
      <c r="F1709" t="s">
        <v>484</v>
      </c>
      <c r="H1709" t="s">
        <v>54</v>
      </c>
      <c r="I1709" t="s">
        <v>27</v>
      </c>
      <c r="J1709">
        <v>5</v>
      </c>
      <c r="K1709">
        <v>1</v>
      </c>
      <c r="L1709">
        <v>5</v>
      </c>
      <c r="M1709">
        <v>5</v>
      </c>
      <c r="N1709" s="5">
        <v>0.25150905432595577</v>
      </c>
      <c r="O1709" t="s">
        <v>39</v>
      </c>
      <c r="Q1709" t="s">
        <v>24</v>
      </c>
    </row>
    <row r="1710" spans="1:18" hidden="1" x14ac:dyDescent="0.25">
      <c r="A1710" s="2" t="s">
        <v>528</v>
      </c>
      <c r="B1710" s="3" t="str">
        <f t="shared" si="37"/>
        <v>18/6/14</v>
      </c>
      <c r="C1710">
        <v>14</v>
      </c>
      <c r="D1710">
        <v>6</v>
      </c>
      <c r="E1710">
        <v>18</v>
      </c>
      <c r="F1710" t="s">
        <v>482</v>
      </c>
      <c r="H1710" t="s">
        <v>54</v>
      </c>
      <c r="I1710" t="s">
        <v>27</v>
      </c>
      <c r="J1710">
        <v>5</v>
      </c>
      <c r="K1710">
        <v>1</v>
      </c>
      <c r="L1710">
        <v>5</v>
      </c>
      <c r="M1710">
        <v>5</v>
      </c>
      <c r="N1710" s="5">
        <v>0.25150905432595577</v>
      </c>
      <c r="O1710" t="s">
        <v>39</v>
      </c>
      <c r="Q1710" t="s">
        <v>24</v>
      </c>
    </row>
    <row r="1711" spans="1:18" hidden="1" x14ac:dyDescent="0.25">
      <c r="A1711" s="2" t="s">
        <v>528</v>
      </c>
      <c r="B1711" s="3" t="str">
        <f t="shared" si="37"/>
        <v>18/6/14</v>
      </c>
      <c r="C1711">
        <v>14</v>
      </c>
      <c r="D1711">
        <v>6</v>
      </c>
      <c r="E1711">
        <v>18</v>
      </c>
      <c r="F1711" s="18" t="s">
        <v>483</v>
      </c>
      <c r="H1711" t="s">
        <v>56</v>
      </c>
      <c r="I1711" t="s">
        <v>27</v>
      </c>
      <c r="J1711">
        <v>30</v>
      </c>
      <c r="K1711">
        <v>1</v>
      </c>
      <c r="L1711">
        <v>30</v>
      </c>
      <c r="M1711">
        <v>30</v>
      </c>
      <c r="N1711" s="5">
        <v>1.5090543259557345</v>
      </c>
      <c r="O1711" t="s">
        <v>39</v>
      </c>
      <c r="Q1711" t="s">
        <v>24</v>
      </c>
    </row>
    <row r="1712" spans="1:18" hidden="1" x14ac:dyDescent="0.25">
      <c r="A1712" s="2" t="s">
        <v>528</v>
      </c>
      <c r="B1712" s="3" t="str">
        <f t="shared" si="37"/>
        <v>18/6/14</v>
      </c>
      <c r="C1712">
        <v>14</v>
      </c>
      <c r="D1712">
        <v>6</v>
      </c>
      <c r="E1712">
        <v>18</v>
      </c>
      <c r="F1712" t="s">
        <v>543</v>
      </c>
      <c r="H1712" t="s">
        <v>54</v>
      </c>
      <c r="I1712" t="s">
        <v>27</v>
      </c>
      <c r="J1712">
        <v>28</v>
      </c>
      <c r="K1712">
        <v>1</v>
      </c>
      <c r="L1712">
        <v>28</v>
      </c>
      <c r="M1712">
        <v>28</v>
      </c>
      <c r="N1712" s="5">
        <v>1.4084507042253522</v>
      </c>
      <c r="O1712" t="s">
        <v>39</v>
      </c>
      <c r="Q1712" t="s">
        <v>24</v>
      </c>
    </row>
    <row r="1713" spans="1:18" hidden="1" x14ac:dyDescent="0.25">
      <c r="A1713" s="2" t="s">
        <v>528</v>
      </c>
      <c r="B1713" s="3" t="str">
        <f t="shared" si="37"/>
        <v>18/6/14</v>
      </c>
      <c r="C1713">
        <v>14</v>
      </c>
      <c r="D1713">
        <v>6</v>
      </c>
      <c r="E1713">
        <v>18</v>
      </c>
      <c r="F1713" t="s">
        <v>538</v>
      </c>
      <c r="H1713" t="s">
        <v>54</v>
      </c>
      <c r="I1713" t="s">
        <v>27</v>
      </c>
      <c r="J1713">
        <v>15</v>
      </c>
      <c r="K1713">
        <v>1</v>
      </c>
      <c r="L1713">
        <v>15</v>
      </c>
      <c r="M1713">
        <v>15</v>
      </c>
      <c r="N1713" s="5">
        <v>0.75452716297786726</v>
      </c>
      <c r="O1713" t="s">
        <v>39</v>
      </c>
      <c r="Q1713" t="s">
        <v>24</v>
      </c>
    </row>
    <row r="1714" spans="1:18" hidden="1" x14ac:dyDescent="0.25">
      <c r="A1714" s="2" t="s">
        <v>528</v>
      </c>
      <c r="B1714" s="3" t="str">
        <f t="shared" si="37"/>
        <v>18/6/14</v>
      </c>
      <c r="C1714">
        <v>14</v>
      </c>
      <c r="D1714">
        <v>6</v>
      </c>
      <c r="E1714">
        <v>18</v>
      </c>
      <c r="F1714" t="s">
        <v>544</v>
      </c>
      <c r="H1714" t="s">
        <v>56</v>
      </c>
      <c r="I1714" t="s">
        <v>27</v>
      </c>
      <c r="J1714">
        <v>25</v>
      </c>
      <c r="K1714">
        <v>1</v>
      </c>
      <c r="L1714">
        <v>25</v>
      </c>
      <c r="M1714">
        <v>25</v>
      </c>
      <c r="N1714" s="5">
        <v>1.2575452716297788</v>
      </c>
      <c r="O1714" t="s">
        <v>39</v>
      </c>
      <c r="Q1714" t="s">
        <v>24</v>
      </c>
    </row>
    <row r="1715" spans="1:18" hidden="1" x14ac:dyDescent="0.25">
      <c r="A1715" s="2" t="s">
        <v>528</v>
      </c>
      <c r="B1715" s="3" t="str">
        <f t="shared" si="37"/>
        <v>18/6/14</v>
      </c>
      <c r="C1715">
        <v>14</v>
      </c>
      <c r="D1715">
        <v>6</v>
      </c>
      <c r="E1715">
        <v>18</v>
      </c>
      <c r="F1715" t="s">
        <v>545</v>
      </c>
      <c r="H1715" t="s">
        <v>56</v>
      </c>
      <c r="I1715" t="s">
        <v>27</v>
      </c>
      <c r="J1715">
        <v>25</v>
      </c>
      <c r="K1715">
        <v>1</v>
      </c>
      <c r="L1715">
        <v>25</v>
      </c>
      <c r="M1715">
        <v>25</v>
      </c>
      <c r="N1715" s="5">
        <v>1.2575452716297788</v>
      </c>
      <c r="O1715" t="s">
        <v>39</v>
      </c>
      <c r="Q1715" t="s">
        <v>24</v>
      </c>
    </row>
    <row r="1716" spans="1:18" hidden="1" x14ac:dyDescent="0.25">
      <c r="A1716" s="2" t="s">
        <v>528</v>
      </c>
      <c r="B1716" s="3" t="str">
        <f t="shared" si="37"/>
        <v>18/6/14</v>
      </c>
      <c r="C1716" s="10">
        <v>14</v>
      </c>
      <c r="D1716" s="10">
        <v>6</v>
      </c>
      <c r="E1716" s="10">
        <v>18</v>
      </c>
      <c r="F1716" t="s">
        <v>168</v>
      </c>
      <c r="H1716" t="s">
        <v>168</v>
      </c>
      <c r="I1716" t="s">
        <v>105</v>
      </c>
      <c r="J1716">
        <v>223</v>
      </c>
      <c r="K1716">
        <v>1</v>
      </c>
      <c r="L1716">
        <v>223</v>
      </c>
      <c r="M1716">
        <v>223</v>
      </c>
      <c r="N1716" s="5">
        <v>11.217303822937627</v>
      </c>
      <c r="O1716" t="s">
        <v>39</v>
      </c>
      <c r="Q1716" s="10" t="s">
        <v>24</v>
      </c>
    </row>
    <row r="1717" spans="1:18" hidden="1" x14ac:dyDescent="0.25">
      <c r="A1717" s="2" t="s">
        <v>528</v>
      </c>
      <c r="B1717" s="3" t="str">
        <f t="shared" si="37"/>
        <v>18/6/14</v>
      </c>
      <c r="C1717" s="10">
        <v>14</v>
      </c>
      <c r="D1717" s="10">
        <v>6</v>
      </c>
      <c r="E1717" s="10">
        <v>18</v>
      </c>
      <c r="F1717" t="s">
        <v>179</v>
      </c>
      <c r="H1717" t="s">
        <v>179</v>
      </c>
      <c r="I1717" t="s">
        <v>105</v>
      </c>
      <c r="J1717">
        <v>77</v>
      </c>
      <c r="K1717">
        <v>1</v>
      </c>
      <c r="L1717">
        <v>77</v>
      </c>
      <c r="M1717">
        <v>77</v>
      </c>
      <c r="N1717" s="5">
        <v>3.8732394366197185</v>
      </c>
      <c r="O1717" t="s">
        <v>39</v>
      </c>
      <c r="Q1717" s="10" t="s">
        <v>24</v>
      </c>
    </row>
    <row r="1718" spans="1:18" hidden="1" x14ac:dyDescent="0.25">
      <c r="A1718" s="2" t="s">
        <v>528</v>
      </c>
      <c r="B1718" s="3" t="str">
        <f t="shared" si="37"/>
        <v>18/6/15</v>
      </c>
      <c r="C1718">
        <v>15</v>
      </c>
      <c r="D1718">
        <v>6</v>
      </c>
      <c r="E1718">
        <v>18</v>
      </c>
      <c r="F1718" t="s">
        <v>404</v>
      </c>
      <c r="H1718" t="s">
        <v>54</v>
      </c>
      <c r="I1718" t="s">
        <v>27</v>
      </c>
      <c r="J1718">
        <v>26</v>
      </c>
      <c r="K1718">
        <v>1</v>
      </c>
      <c r="L1718">
        <v>26</v>
      </c>
      <c r="M1718">
        <v>26</v>
      </c>
      <c r="N1718" s="5">
        <v>1.3078470824949699</v>
      </c>
      <c r="O1718" t="s">
        <v>39</v>
      </c>
      <c r="Q1718" t="s">
        <v>24</v>
      </c>
    </row>
    <row r="1719" spans="1:18" hidden="1" x14ac:dyDescent="0.25">
      <c r="A1719" s="2" t="s">
        <v>528</v>
      </c>
      <c r="B1719" s="3" t="str">
        <f t="shared" si="37"/>
        <v>18/6/15</v>
      </c>
      <c r="C1719">
        <v>15</v>
      </c>
      <c r="D1719">
        <v>6</v>
      </c>
      <c r="E1719">
        <v>18</v>
      </c>
      <c r="F1719" t="s">
        <v>141</v>
      </c>
      <c r="H1719" t="s">
        <v>172</v>
      </c>
      <c r="I1719" t="s">
        <v>39</v>
      </c>
      <c r="J1719">
        <v>2</v>
      </c>
      <c r="K1719">
        <v>1</v>
      </c>
      <c r="L1719">
        <v>2</v>
      </c>
      <c r="M1719">
        <v>2</v>
      </c>
      <c r="N1719" s="5">
        <v>0.1006036217303823</v>
      </c>
      <c r="O1719" t="s">
        <v>39</v>
      </c>
      <c r="Q1719" t="s">
        <v>24</v>
      </c>
    </row>
    <row r="1720" spans="1:18" hidden="1" x14ac:dyDescent="0.25">
      <c r="A1720" s="2" t="s">
        <v>528</v>
      </c>
      <c r="B1720" s="3" t="str">
        <f t="shared" si="37"/>
        <v>18/6/15</v>
      </c>
      <c r="C1720">
        <v>15</v>
      </c>
      <c r="D1720">
        <v>6</v>
      </c>
      <c r="E1720">
        <v>18</v>
      </c>
      <c r="F1720" t="s">
        <v>430</v>
      </c>
      <c r="I1720" t="s">
        <v>431</v>
      </c>
      <c r="J1720" s="4">
        <v>120</v>
      </c>
      <c r="K1720" s="4">
        <v>1</v>
      </c>
      <c r="L1720" s="8">
        <v>120</v>
      </c>
      <c r="M1720" s="8">
        <v>120</v>
      </c>
      <c r="N1720" s="5">
        <v>6.0362173038229381</v>
      </c>
      <c r="O1720" t="s">
        <v>39</v>
      </c>
      <c r="Q1720" t="s">
        <v>24</v>
      </c>
    </row>
    <row r="1721" spans="1:18" hidden="1" x14ac:dyDescent="0.25">
      <c r="A1721" s="2" t="s">
        <v>528</v>
      </c>
      <c r="B1721" s="3" t="str">
        <f t="shared" si="37"/>
        <v>18/6/15</v>
      </c>
      <c r="C1721">
        <v>15</v>
      </c>
      <c r="D1721">
        <v>6</v>
      </c>
      <c r="E1721">
        <v>18</v>
      </c>
      <c r="F1721" t="s">
        <v>430</v>
      </c>
      <c r="I1721" t="s">
        <v>431</v>
      </c>
      <c r="J1721" s="4">
        <v>120</v>
      </c>
      <c r="K1721" s="4">
        <v>1</v>
      </c>
      <c r="L1721" s="8">
        <v>120</v>
      </c>
      <c r="M1721" s="8">
        <v>120</v>
      </c>
      <c r="N1721" s="5">
        <v>6.0362173038229381</v>
      </c>
      <c r="O1721" t="s">
        <v>39</v>
      </c>
      <c r="Q1721" t="s">
        <v>24</v>
      </c>
    </row>
    <row r="1722" spans="1:18" hidden="1" x14ac:dyDescent="0.25">
      <c r="A1722" s="2" t="s">
        <v>528</v>
      </c>
      <c r="B1722" s="3" t="str">
        <f t="shared" si="37"/>
        <v>18/6/15</v>
      </c>
      <c r="C1722">
        <v>15</v>
      </c>
      <c r="D1722">
        <v>6</v>
      </c>
      <c r="E1722">
        <v>18</v>
      </c>
      <c r="F1722" t="s">
        <v>546</v>
      </c>
      <c r="I1722" t="s">
        <v>431</v>
      </c>
      <c r="J1722">
        <v>300</v>
      </c>
      <c r="K1722">
        <v>1</v>
      </c>
      <c r="L1722" s="8">
        <v>300</v>
      </c>
      <c r="M1722" s="8">
        <v>300</v>
      </c>
      <c r="N1722" s="5">
        <v>15.090543259557345</v>
      </c>
      <c r="O1722" t="s">
        <v>547</v>
      </c>
      <c r="Q1722" t="s">
        <v>24</v>
      </c>
      <c r="R1722" t="s">
        <v>548</v>
      </c>
    </row>
    <row r="1723" spans="1:18" hidden="1" x14ac:dyDescent="0.25">
      <c r="A1723" s="9" t="s">
        <v>528</v>
      </c>
      <c r="B1723" s="3" t="s">
        <v>1446</v>
      </c>
      <c r="C1723" s="10">
        <v>15</v>
      </c>
      <c r="D1723" s="10">
        <v>6</v>
      </c>
      <c r="E1723" s="10">
        <v>18</v>
      </c>
      <c r="F1723" t="s">
        <v>1444</v>
      </c>
      <c r="G1723" t="s">
        <v>889</v>
      </c>
      <c r="H1723" t="s">
        <v>889</v>
      </c>
      <c r="I1723" t="s">
        <v>431</v>
      </c>
      <c r="J1723" s="4">
        <v>537</v>
      </c>
      <c r="K1723">
        <v>1</v>
      </c>
      <c r="L1723">
        <v>537</v>
      </c>
      <c r="M1723">
        <v>537</v>
      </c>
      <c r="N1723" s="5">
        <v>27.182227221597298</v>
      </c>
      <c r="O1723" t="s">
        <v>1445</v>
      </c>
      <c r="P1723" t="s">
        <v>340</v>
      </c>
      <c r="Q1723" s="10" t="s">
        <v>24</v>
      </c>
    </row>
    <row r="1724" spans="1:18" hidden="1" x14ac:dyDescent="0.25">
      <c r="A1724" s="2" t="s">
        <v>528</v>
      </c>
      <c r="B1724" s="3" t="str">
        <f t="shared" ref="B1724:B1737" si="38">CONCATENATE(E1724,"/",D1724,"/",C1724)</f>
        <v>18/6/16</v>
      </c>
      <c r="C1724">
        <v>16</v>
      </c>
      <c r="D1724">
        <v>6</v>
      </c>
      <c r="E1724">
        <v>18</v>
      </c>
      <c r="F1724" t="s">
        <v>543</v>
      </c>
      <c r="H1724" t="s">
        <v>54</v>
      </c>
      <c r="I1724" t="s">
        <v>27</v>
      </c>
      <c r="J1724">
        <v>33</v>
      </c>
      <c r="K1724">
        <v>1</v>
      </c>
      <c r="L1724">
        <v>33</v>
      </c>
      <c r="M1724">
        <v>33</v>
      </c>
      <c r="N1724" s="5">
        <v>1.659959758551308</v>
      </c>
      <c r="O1724" t="s">
        <v>39</v>
      </c>
      <c r="Q1724" t="s">
        <v>24</v>
      </c>
    </row>
    <row r="1725" spans="1:18" hidden="1" x14ac:dyDescent="0.25">
      <c r="A1725" s="2" t="s">
        <v>528</v>
      </c>
      <c r="B1725" s="3" t="str">
        <f t="shared" si="38"/>
        <v>18/6/17</v>
      </c>
      <c r="C1725" s="13">
        <v>17</v>
      </c>
      <c r="D1725">
        <v>6</v>
      </c>
      <c r="E1725">
        <v>18</v>
      </c>
      <c r="F1725" t="s">
        <v>549</v>
      </c>
      <c r="H1725" t="s">
        <v>364</v>
      </c>
      <c r="I1725" t="s">
        <v>27</v>
      </c>
      <c r="J1725">
        <v>65</v>
      </c>
      <c r="K1725">
        <v>1</v>
      </c>
      <c r="L1725">
        <v>65</v>
      </c>
      <c r="M1725">
        <v>65</v>
      </c>
      <c r="N1725" s="5">
        <v>3.2696177062374248</v>
      </c>
      <c r="O1725" t="s">
        <v>39</v>
      </c>
      <c r="Q1725" t="s">
        <v>24</v>
      </c>
    </row>
    <row r="1726" spans="1:18" hidden="1" x14ac:dyDescent="0.25">
      <c r="A1726" s="2" t="s">
        <v>528</v>
      </c>
      <c r="B1726" s="3" t="str">
        <f t="shared" si="38"/>
        <v>18/6/17</v>
      </c>
      <c r="C1726">
        <v>17</v>
      </c>
      <c r="D1726">
        <v>6</v>
      </c>
      <c r="E1726">
        <v>18</v>
      </c>
      <c r="F1726" t="s">
        <v>550</v>
      </c>
      <c r="H1726" t="s">
        <v>69</v>
      </c>
      <c r="I1726" t="s">
        <v>27</v>
      </c>
      <c r="J1726">
        <v>367.4</v>
      </c>
      <c r="K1726">
        <v>1</v>
      </c>
      <c r="L1726">
        <v>367.4</v>
      </c>
      <c r="M1726">
        <v>367.4</v>
      </c>
      <c r="N1726" s="5">
        <v>18.480885311871226</v>
      </c>
      <c r="O1726" t="s">
        <v>39</v>
      </c>
      <c r="Q1726" t="s">
        <v>24</v>
      </c>
    </row>
    <row r="1727" spans="1:18" hidden="1" x14ac:dyDescent="0.25">
      <c r="A1727" s="2" t="s">
        <v>528</v>
      </c>
      <c r="B1727" s="3" t="str">
        <f t="shared" si="38"/>
        <v>18/6/17</v>
      </c>
      <c r="C1727">
        <v>17</v>
      </c>
      <c r="D1727">
        <v>6</v>
      </c>
      <c r="E1727">
        <v>18</v>
      </c>
      <c r="F1727" t="s">
        <v>551</v>
      </c>
      <c r="H1727" t="s">
        <v>69</v>
      </c>
      <c r="I1727" t="s">
        <v>27</v>
      </c>
      <c r="J1727">
        <v>551.1</v>
      </c>
      <c r="K1727">
        <v>1</v>
      </c>
      <c r="L1727">
        <v>551.1</v>
      </c>
      <c r="M1727">
        <v>551.1</v>
      </c>
      <c r="N1727" s="5">
        <v>27.721327967806843</v>
      </c>
      <c r="O1727" t="s">
        <v>39</v>
      </c>
      <c r="Q1727" t="s">
        <v>24</v>
      </c>
    </row>
    <row r="1728" spans="1:18" hidden="1" x14ac:dyDescent="0.25">
      <c r="A1728" s="2" t="s">
        <v>528</v>
      </c>
      <c r="B1728" s="3" t="str">
        <f t="shared" si="38"/>
        <v>18/6/17</v>
      </c>
      <c r="C1728">
        <v>17</v>
      </c>
      <c r="D1728">
        <v>6</v>
      </c>
      <c r="E1728">
        <v>18</v>
      </c>
      <c r="F1728" t="s">
        <v>552</v>
      </c>
      <c r="G1728" t="s">
        <v>67</v>
      </c>
      <c r="H1728" t="s">
        <v>59</v>
      </c>
      <c r="I1728" t="s">
        <v>27</v>
      </c>
      <c r="J1728">
        <v>165</v>
      </c>
      <c r="K1728">
        <v>1</v>
      </c>
      <c r="L1728">
        <v>165</v>
      </c>
      <c r="M1728">
        <v>165</v>
      </c>
      <c r="N1728" s="5">
        <v>8.2997987927565404</v>
      </c>
      <c r="O1728" t="s">
        <v>39</v>
      </c>
      <c r="Q1728" t="s">
        <v>24</v>
      </c>
    </row>
    <row r="1729" spans="1:17" hidden="1" x14ac:dyDescent="0.25">
      <c r="A1729" s="2" t="s">
        <v>528</v>
      </c>
      <c r="B1729" s="3" t="str">
        <f t="shared" si="38"/>
        <v>18/6/17</v>
      </c>
      <c r="C1729">
        <v>17</v>
      </c>
      <c r="D1729">
        <v>6</v>
      </c>
      <c r="E1729">
        <v>18</v>
      </c>
      <c r="F1729" t="s">
        <v>553</v>
      </c>
      <c r="G1729" t="s">
        <v>67</v>
      </c>
      <c r="H1729" t="s">
        <v>59</v>
      </c>
      <c r="I1729" t="s">
        <v>27</v>
      </c>
      <c r="J1729">
        <v>88</v>
      </c>
      <c r="K1729">
        <v>1</v>
      </c>
      <c r="L1729">
        <v>88</v>
      </c>
      <c r="M1729">
        <v>88</v>
      </c>
      <c r="N1729" s="5">
        <v>4.4265593561368215</v>
      </c>
      <c r="O1729" t="s">
        <v>39</v>
      </c>
      <c r="Q1729" t="s">
        <v>24</v>
      </c>
    </row>
    <row r="1730" spans="1:17" hidden="1" x14ac:dyDescent="0.25">
      <c r="A1730" s="2" t="s">
        <v>528</v>
      </c>
      <c r="B1730" s="3" t="str">
        <f t="shared" si="38"/>
        <v>18/6/18</v>
      </c>
      <c r="C1730" s="13">
        <v>18</v>
      </c>
      <c r="D1730">
        <v>6</v>
      </c>
      <c r="E1730">
        <v>18</v>
      </c>
      <c r="F1730" t="s">
        <v>554</v>
      </c>
      <c r="H1730" t="s">
        <v>364</v>
      </c>
      <c r="I1730" t="s">
        <v>27</v>
      </c>
      <c r="J1730">
        <v>125</v>
      </c>
      <c r="K1730">
        <v>1</v>
      </c>
      <c r="L1730">
        <v>125</v>
      </c>
      <c r="M1730">
        <v>125</v>
      </c>
      <c r="N1730" s="5">
        <v>6.2877263581488938</v>
      </c>
      <c r="O1730" t="s">
        <v>39</v>
      </c>
      <c r="Q1730" t="s">
        <v>24</v>
      </c>
    </row>
    <row r="1731" spans="1:17" hidden="1" x14ac:dyDescent="0.25">
      <c r="A1731" s="2" t="s">
        <v>528</v>
      </c>
      <c r="B1731" s="3" t="str">
        <f t="shared" si="38"/>
        <v>18/6/18</v>
      </c>
      <c r="C1731">
        <v>18</v>
      </c>
      <c r="D1731">
        <v>6</v>
      </c>
      <c r="E1731">
        <v>18</v>
      </c>
      <c r="F1731" t="s">
        <v>141</v>
      </c>
      <c r="H1731" t="s">
        <v>172</v>
      </c>
      <c r="I1731" t="s">
        <v>39</v>
      </c>
      <c r="J1731">
        <v>3</v>
      </c>
      <c r="K1731">
        <v>2</v>
      </c>
      <c r="L1731">
        <v>3</v>
      </c>
      <c r="M1731">
        <v>6</v>
      </c>
      <c r="N1731" s="5">
        <v>0.30181086519114692</v>
      </c>
      <c r="O1731" t="s">
        <v>39</v>
      </c>
      <c r="Q1731" t="s">
        <v>24</v>
      </c>
    </row>
    <row r="1732" spans="1:17" hidden="1" x14ac:dyDescent="0.25">
      <c r="A1732" s="2" t="s">
        <v>528</v>
      </c>
      <c r="B1732" s="3" t="str">
        <f t="shared" si="38"/>
        <v>18/6/18</v>
      </c>
      <c r="C1732">
        <v>18</v>
      </c>
      <c r="D1732">
        <v>6</v>
      </c>
      <c r="E1732">
        <v>18</v>
      </c>
      <c r="F1732" s="18" t="s">
        <v>483</v>
      </c>
      <c r="H1732" t="s">
        <v>56</v>
      </c>
      <c r="I1732" t="s">
        <v>27</v>
      </c>
      <c r="J1732">
        <v>45</v>
      </c>
      <c r="K1732">
        <v>1.42</v>
      </c>
      <c r="L1732">
        <v>45</v>
      </c>
      <c r="M1732">
        <v>63.9</v>
      </c>
      <c r="N1732" s="5">
        <v>3.2142857142857144</v>
      </c>
      <c r="O1732" t="s">
        <v>39</v>
      </c>
      <c r="Q1732" t="s">
        <v>24</v>
      </c>
    </row>
    <row r="1733" spans="1:17" hidden="1" x14ac:dyDescent="0.25">
      <c r="A1733" s="2" t="s">
        <v>528</v>
      </c>
      <c r="B1733" s="3" t="str">
        <f t="shared" si="38"/>
        <v>18/6/18</v>
      </c>
      <c r="C1733">
        <v>18</v>
      </c>
      <c r="D1733">
        <v>6</v>
      </c>
      <c r="E1733">
        <v>18</v>
      </c>
      <c r="F1733" t="s">
        <v>482</v>
      </c>
      <c r="H1733" t="s">
        <v>54</v>
      </c>
      <c r="I1733" t="s">
        <v>27</v>
      </c>
      <c r="J1733">
        <v>5</v>
      </c>
      <c r="K1733">
        <v>1</v>
      </c>
      <c r="L1733">
        <v>5</v>
      </c>
      <c r="M1733">
        <v>5</v>
      </c>
      <c r="N1733" s="5">
        <v>0.25150905432595577</v>
      </c>
      <c r="O1733" t="s">
        <v>39</v>
      </c>
      <c r="Q1733" t="s">
        <v>24</v>
      </c>
    </row>
    <row r="1734" spans="1:17" hidden="1" x14ac:dyDescent="0.25">
      <c r="A1734" s="2" t="s">
        <v>528</v>
      </c>
      <c r="B1734" s="3" t="str">
        <f t="shared" si="38"/>
        <v>18/6/18</v>
      </c>
      <c r="C1734">
        <v>18</v>
      </c>
      <c r="D1734">
        <v>6</v>
      </c>
      <c r="E1734">
        <v>18</v>
      </c>
      <c r="F1734" t="s">
        <v>174</v>
      </c>
      <c r="H1734" t="s">
        <v>54</v>
      </c>
      <c r="I1734" t="s">
        <v>27</v>
      </c>
      <c r="J1734">
        <v>6</v>
      </c>
      <c r="K1734">
        <v>1</v>
      </c>
      <c r="L1734">
        <v>6</v>
      </c>
      <c r="M1734">
        <v>6</v>
      </c>
      <c r="N1734" s="5">
        <v>0.30181086519114692</v>
      </c>
      <c r="O1734" t="s">
        <v>39</v>
      </c>
      <c r="Q1734" t="s">
        <v>24</v>
      </c>
    </row>
    <row r="1735" spans="1:17" hidden="1" x14ac:dyDescent="0.25">
      <c r="A1735" s="2" t="s">
        <v>528</v>
      </c>
      <c r="B1735" s="3" t="str">
        <f t="shared" si="38"/>
        <v>18/6/18</v>
      </c>
      <c r="C1735">
        <v>18</v>
      </c>
      <c r="D1735">
        <v>6</v>
      </c>
      <c r="E1735">
        <v>18</v>
      </c>
      <c r="F1735" t="s">
        <v>555</v>
      </c>
      <c r="H1735" t="s">
        <v>54</v>
      </c>
      <c r="I1735" t="s">
        <v>27</v>
      </c>
      <c r="J1735">
        <v>22</v>
      </c>
      <c r="K1735">
        <v>1</v>
      </c>
      <c r="L1735">
        <v>22</v>
      </c>
      <c r="M1735">
        <v>22</v>
      </c>
      <c r="N1735" s="5">
        <v>1.1066398390342054</v>
      </c>
      <c r="O1735" t="s">
        <v>39</v>
      </c>
      <c r="Q1735" t="s">
        <v>24</v>
      </c>
    </row>
    <row r="1736" spans="1:17" hidden="1" x14ac:dyDescent="0.25">
      <c r="A1736" s="2" t="s">
        <v>528</v>
      </c>
      <c r="B1736" s="3" t="str">
        <f t="shared" si="38"/>
        <v>18/6/18</v>
      </c>
      <c r="C1736">
        <v>18</v>
      </c>
      <c r="D1736">
        <v>6</v>
      </c>
      <c r="E1736">
        <v>18</v>
      </c>
      <c r="F1736" t="s">
        <v>556</v>
      </c>
      <c r="G1736" t="s">
        <v>56</v>
      </c>
      <c r="H1736" t="s">
        <v>54</v>
      </c>
      <c r="I1736" t="s">
        <v>27</v>
      </c>
      <c r="J1736">
        <v>20</v>
      </c>
      <c r="K1736">
        <v>1</v>
      </c>
      <c r="L1736">
        <v>20</v>
      </c>
      <c r="M1736">
        <v>20</v>
      </c>
      <c r="N1736" s="5">
        <v>1.0060362173038231</v>
      </c>
      <c r="O1736" t="s">
        <v>39</v>
      </c>
      <c r="Q1736" t="s">
        <v>24</v>
      </c>
    </row>
    <row r="1737" spans="1:17" hidden="1" x14ac:dyDescent="0.25">
      <c r="A1737" s="2" t="s">
        <v>528</v>
      </c>
      <c r="B1737" s="3" t="str">
        <f t="shared" si="38"/>
        <v>18/6/18</v>
      </c>
      <c r="C1737" s="10">
        <v>18</v>
      </c>
      <c r="D1737" s="10">
        <v>6</v>
      </c>
      <c r="E1737" s="10">
        <v>18</v>
      </c>
      <c r="F1737" t="s">
        <v>169</v>
      </c>
      <c r="H1737" t="s">
        <v>170</v>
      </c>
      <c r="I1737" t="s">
        <v>105</v>
      </c>
      <c r="J1737">
        <v>210</v>
      </c>
      <c r="K1737">
        <v>1</v>
      </c>
      <c r="L1737">
        <v>210</v>
      </c>
      <c r="M1737">
        <v>210</v>
      </c>
      <c r="N1737" s="5">
        <v>10.563380281690142</v>
      </c>
      <c r="O1737" t="s">
        <v>39</v>
      </c>
      <c r="Q1737" s="10" t="s">
        <v>24</v>
      </c>
    </row>
    <row r="1738" spans="1:17" hidden="1" x14ac:dyDescent="0.25">
      <c r="A1738" s="9" t="s">
        <v>528</v>
      </c>
      <c r="B1738" s="3" t="s">
        <v>1306</v>
      </c>
      <c r="C1738" s="10">
        <v>18</v>
      </c>
      <c r="D1738" s="10">
        <v>6</v>
      </c>
      <c r="E1738" s="10">
        <v>18</v>
      </c>
      <c r="F1738" t="s">
        <v>206</v>
      </c>
      <c r="G1738" t="s">
        <v>889</v>
      </c>
      <c r="H1738" t="s">
        <v>56</v>
      </c>
      <c r="I1738" t="s">
        <v>27</v>
      </c>
      <c r="J1738" s="4">
        <v>35.99</v>
      </c>
      <c r="K1738">
        <v>0.42199999999999999</v>
      </c>
      <c r="L1738">
        <v>35.99</v>
      </c>
      <c r="M1738">
        <v>15.18778</v>
      </c>
      <c r="N1738" s="5">
        <v>0.76878526434195726</v>
      </c>
      <c r="O1738" t="s">
        <v>829</v>
      </c>
      <c r="P1738" t="s">
        <v>340</v>
      </c>
      <c r="Q1738" s="10" t="s">
        <v>1102</v>
      </c>
    </row>
    <row r="1739" spans="1:17" hidden="1" x14ac:dyDescent="0.25">
      <c r="A1739" s="9" t="s">
        <v>528</v>
      </c>
      <c r="B1739" s="3" t="s">
        <v>1306</v>
      </c>
      <c r="C1739" s="10">
        <v>18</v>
      </c>
      <c r="D1739" s="10">
        <v>6</v>
      </c>
      <c r="E1739" s="10">
        <v>18</v>
      </c>
      <c r="F1739" t="s">
        <v>124</v>
      </c>
      <c r="G1739" t="s">
        <v>404</v>
      </c>
      <c r="H1739" t="s">
        <v>54</v>
      </c>
      <c r="I1739" t="s">
        <v>27</v>
      </c>
      <c r="J1739" s="4">
        <v>29.99</v>
      </c>
      <c r="K1739">
        <v>0.34399999999999997</v>
      </c>
      <c r="L1739">
        <v>29.99</v>
      </c>
      <c r="M1739">
        <v>10.316559999999999</v>
      </c>
      <c r="N1739" s="5">
        <v>0.52221057367829016</v>
      </c>
      <c r="O1739" t="s">
        <v>829</v>
      </c>
      <c r="P1739" t="s">
        <v>340</v>
      </c>
      <c r="Q1739" s="10" t="s">
        <v>1102</v>
      </c>
    </row>
    <row r="1740" spans="1:17" hidden="1" x14ac:dyDescent="0.25">
      <c r="A1740" s="9" t="s">
        <v>528</v>
      </c>
      <c r="B1740" s="3" t="s">
        <v>1306</v>
      </c>
      <c r="C1740" s="10">
        <v>18</v>
      </c>
      <c r="D1740" s="10">
        <v>6</v>
      </c>
      <c r="E1740" s="10">
        <v>18</v>
      </c>
      <c r="F1740" t="s">
        <v>556</v>
      </c>
      <c r="G1740" t="s">
        <v>889</v>
      </c>
      <c r="H1740" t="s">
        <v>56</v>
      </c>
      <c r="I1740" t="s">
        <v>27</v>
      </c>
      <c r="J1740" s="4">
        <v>44.99</v>
      </c>
      <c r="K1740">
        <v>0.53400000000000003</v>
      </c>
      <c r="L1740">
        <v>44.99</v>
      </c>
      <c r="M1740">
        <v>24.024660000000001</v>
      </c>
      <c r="N1740" s="5">
        <v>1.2160964004499437</v>
      </c>
      <c r="O1740" t="s">
        <v>829</v>
      </c>
      <c r="P1740" t="s">
        <v>340</v>
      </c>
      <c r="Q1740" s="10" t="s">
        <v>1102</v>
      </c>
    </row>
    <row r="1741" spans="1:17" hidden="1" x14ac:dyDescent="0.25">
      <c r="A1741" s="9" t="s">
        <v>528</v>
      </c>
      <c r="B1741" s="3" t="s">
        <v>1306</v>
      </c>
      <c r="C1741" s="10">
        <v>18</v>
      </c>
      <c r="D1741" s="10">
        <v>6</v>
      </c>
      <c r="E1741" s="10">
        <v>18</v>
      </c>
      <c r="F1741" t="s">
        <v>1301</v>
      </c>
      <c r="G1741" t="s">
        <v>889</v>
      </c>
      <c r="H1741" t="s">
        <v>56</v>
      </c>
      <c r="I1741" t="s">
        <v>27</v>
      </c>
      <c r="J1741" s="4">
        <v>49.99</v>
      </c>
      <c r="K1741">
        <v>0.58799999999999997</v>
      </c>
      <c r="L1741">
        <v>49.99</v>
      </c>
      <c r="M1741">
        <v>29.394120000000001</v>
      </c>
      <c r="N1741" s="5">
        <v>1.4878913385826771</v>
      </c>
      <c r="O1741" t="s">
        <v>829</v>
      </c>
      <c r="P1741" t="s">
        <v>340</v>
      </c>
      <c r="Q1741" s="10" t="s">
        <v>1102</v>
      </c>
    </row>
    <row r="1742" spans="1:17" hidden="1" x14ac:dyDescent="0.25">
      <c r="A1742" s="9" t="s">
        <v>528</v>
      </c>
      <c r="B1742" s="3" t="s">
        <v>1306</v>
      </c>
      <c r="C1742" s="10">
        <v>18</v>
      </c>
      <c r="D1742" s="10">
        <v>6</v>
      </c>
      <c r="E1742" s="10">
        <v>18</v>
      </c>
      <c r="F1742" t="s">
        <v>55</v>
      </c>
      <c r="G1742" t="s">
        <v>889</v>
      </c>
      <c r="H1742" t="s">
        <v>56</v>
      </c>
      <c r="I1742" t="s">
        <v>27</v>
      </c>
      <c r="J1742" s="4">
        <v>20.99</v>
      </c>
      <c r="K1742">
        <v>1.8939999999999999</v>
      </c>
      <c r="L1742">
        <v>20.99</v>
      </c>
      <c r="M1742">
        <v>39.755059999999993</v>
      </c>
      <c r="N1742" s="5">
        <v>2.0123483689538801</v>
      </c>
      <c r="O1742" t="s">
        <v>829</v>
      </c>
      <c r="P1742" t="s">
        <v>340</v>
      </c>
      <c r="Q1742" s="10" t="s">
        <v>1102</v>
      </c>
    </row>
    <row r="1743" spans="1:17" hidden="1" x14ac:dyDescent="0.25">
      <c r="A1743" s="2" t="s">
        <v>528</v>
      </c>
      <c r="B1743" s="3" t="str">
        <f t="shared" ref="B1743:B1774" si="39">CONCATENATE(E1743,"/",D1743,"/",C1743)</f>
        <v>18/6/19</v>
      </c>
      <c r="C1743" s="13">
        <v>19</v>
      </c>
      <c r="D1743">
        <v>6</v>
      </c>
      <c r="E1743">
        <v>18</v>
      </c>
      <c r="F1743" t="s">
        <v>279</v>
      </c>
      <c r="H1743" t="s">
        <v>364</v>
      </c>
      <c r="I1743" t="s">
        <v>27</v>
      </c>
      <c r="J1743">
        <v>130</v>
      </c>
      <c r="K1743">
        <v>1</v>
      </c>
      <c r="L1743">
        <v>130</v>
      </c>
      <c r="M1743">
        <v>130</v>
      </c>
      <c r="N1743" s="5">
        <v>6.5392354124748495</v>
      </c>
      <c r="O1743" t="s">
        <v>39</v>
      </c>
      <c r="Q1743" t="s">
        <v>24</v>
      </c>
    </row>
    <row r="1744" spans="1:17" hidden="1" x14ac:dyDescent="0.25">
      <c r="A1744" s="2" t="s">
        <v>528</v>
      </c>
      <c r="B1744" s="3" t="str">
        <f t="shared" si="39"/>
        <v>18/6/2</v>
      </c>
      <c r="C1744">
        <v>2</v>
      </c>
      <c r="D1744">
        <v>6</v>
      </c>
      <c r="E1744">
        <v>18</v>
      </c>
      <c r="F1744" s="18" t="s">
        <v>483</v>
      </c>
      <c r="H1744" t="s">
        <v>56</v>
      </c>
      <c r="I1744" t="s">
        <v>27</v>
      </c>
      <c r="J1744">
        <v>35</v>
      </c>
      <c r="K1744">
        <v>1.1399999999999999</v>
      </c>
      <c r="L1744">
        <v>35</v>
      </c>
      <c r="M1744">
        <v>39.9</v>
      </c>
      <c r="N1744" s="5">
        <v>2.007042253521127</v>
      </c>
      <c r="O1744" t="s">
        <v>39</v>
      </c>
      <c r="Q1744" t="s">
        <v>24</v>
      </c>
    </row>
    <row r="1745" spans="1:17" hidden="1" x14ac:dyDescent="0.25">
      <c r="A1745" s="2" t="s">
        <v>528</v>
      </c>
      <c r="B1745" s="3" t="str">
        <f t="shared" si="39"/>
        <v>18/6/2</v>
      </c>
      <c r="C1745" s="10">
        <v>2</v>
      </c>
      <c r="D1745" s="10">
        <v>6</v>
      </c>
      <c r="E1745" s="10">
        <v>18</v>
      </c>
      <c r="F1745" t="s">
        <v>557</v>
      </c>
      <c r="G1745" t="s">
        <v>304</v>
      </c>
      <c r="H1745" t="s">
        <v>63</v>
      </c>
      <c r="I1745" t="s">
        <v>79</v>
      </c>
      <c r="J1745" s="11">
        <v>3.63</v>
      </c>
      <c r="K1745" s="42">
        <v>2</v>
      </c>
      <c r="L1745">
        <v>62.181899999999992</v>
      </c>
      <c r="M1745">
        <v>124.36379999999998</v>
      </c>
      <c r="N1745" s="5">
        <v>6.255724346076458</v>
      </c>
      <c r="O1745" t="s">
        <v>39</v>
      </c>
      <c r="Q1745" t="s">
        <v>24</v>
      </c>
    </row>
    <row r="1746" spans="1:17" hidden="1" x14ac:dyDescent="0.25">
      <c r="A1746" s="2" t="s">
        <v>528</v>
      </c>
      <c r="B1746" s="3" t="str">
        <f t="shared" si="39"/>
        <v>18/6/2</v>
      </c>
      <c r="C1746" s="10">
        <v>2</v>
      </c>
      <c r="D1746" s="10">
        <v>6</v>
      </c>
      <c r="E1746" s="10">
        <v>18</v>
      </c>
      <c r="F1746" t="s">
        <v>557</v>
      </c>
      <c r="G1746" t="s">
        <v>489</v>
      </c>
      <c r="H1746" t="s">
        <v>63</v>
      </c>
      <c r="I1746" t="s">
        <v>79</v>
      </c>
      <c r="J1746" s="11">
        <v>10.14</v>
      </c>
      <c r="K1746" s="42">
        <v>1</v>
      </c>
      <c r="L1746">
        <v>173.69819999999999</v>
      </c>
      <c r="M1746">
        <v>173.69819999999999</v>
      </c>
      <c r="N1746" s="5">
        <v>8.7373340040241452</v>
      </c>
      <c r="O1746" t="s">
        <v>39</v>
      </c>
      <c r="Q1746" t="s">
        <v>84</v>
      </c>
    </row>
    <row r="1747" spans="1:17" hidden="1" x14ac:dyDescent="0.25">
      <c r="A1747" s="2" t="s">
        <v>528</v>
      </c>
      <c r="B1747" s="3" t="str">
        <f t="shared" si="39"/>
        <v>18/6/20</v>
      </c>
      <c r="C1747" s="13">
        <v>20</v>
      </c>
      <c r="D1747">
        <v>6</v>
      </c>
      <c r="E1747">
        <v>18</v>
      </c>
      <c r="F1747" t="s">
        <v>280</v>
      </c>
      <c r="H1747" t="s">
        <v>364</v>
      </c>
      <c r="I1747" t="s">
        <v>27</v>
      </c>
      <c r="J1747">
        <v>29</v>
      </c>
      <c r="K1747">
        <v>1</v>
      </c>
      <c r="L1747">
        <v>29</v>
      </c>
      <c r="M1747">
        <v>29</v>
      </c>
      <c r="N1747" s="5">
        <v>1.4587525150905434</v>
      </c>
      <c r="O1747" t="s">
        <v>39</v>
      </c>
      <c r="Q1747" t="s">
        <v>24</v>
      </c>
    </row>
    <row r="1748" spans="1:17" hidden="1" x14ac:dyDescent="0.25">
      <c r="A1748" s="2" t="s">
        <v>528</v>
      </c>
      <c r="B1748" s="3" t="str">
        <f t="shared" si="39"/>
        <v>18/6/21</v>
      </c>
      <c r="C1748">
        <v>21</v>
      </c>
      <c r="D1748">
        <v>6</v>
      </c>
      <c r="E1748">
        <v>18</v>
      </c>
      <c r="F1748" t="s">
        <v>558</v>
      </c>
      <c r="H1748" t="s">
        <v>44</v>
      </c>
      <c r="I1748" t="s">
        <v>27</v>
      </c>
      <c r="J1748">
        <v>70</v>
      </c>
      <c r="K1748">
        <v>1</v>
      </c>
      <c r="L1748">
        <v>70</v>
      </c>
      <c r="M1748">
        <v>70</v>
      </c>
      <c r="N1748" s="5">
        <v>3.5211267605633805</v>
      </c>
      <c r="O1748" t="s">
        <v>39</v>
      </c>
      <c r="Q1748" t="s">
        <v>24</v>
      </c>
    </row>
    <row r="1749" spans="1:17" hidden="1" x14ac:dyDescent="0.25">
      <c r="A1749" s="2" t="s">
        <v>528</v>
      </c>
      <c r="B1749" s="3" t="str">
        <f t="shared" si="39"/>
        <v>18/6/21</v>
      </c>
      <c r="C1749">
        <v>21</v>
      </c>
      <c r="D1749">
        <v>6</v>
      </c>
      <c r="E1749">
        <v>18</v>
      </c>
      <c r="F1749" t="s">
        <v>372</v>
      </c>
      <c r="G1749" t="s">
        <v>373</v>
      </c>
      <c r="H1749" t="s">
        <v>65</v>
      </c>
      <c r="I1749" t="s">
        <v>27</v>
      </c>
      <c r="J1749">
        <v>9</v>
      </c>
      <c r="K1749">
        <v>3</v>
      </c>
      <c r="L1749">
        <v>9</v>
      </c>
      <c r="M1749">
        <v>27</v>
      </c>
      <c r="N1749" s="5">
        <v>1.3581488933601611</v>
      </c>
      <c r="O1749" t="s">
        <v>100</v>
      </c>
      <c r="P1749" t="s">
        <v>340</v>
      </c>
      <c r="Q1749" t="s">
        <v>24</v>
      </c>
    </row>
    <row r="1750" spans="1:17" hidden="1" x14ac:dyDescent="0.25">
      <c r="A1750" s="2" t="s">
        <v>528</v>
      </c>
      <c r="B1750" s="3" t="str">
        <f t="shared" si="39"/>
        <v>18/6/21</v>
      </c>
      <c r="C1750">
        <v>21</v>
      </c>
      <c r="D1750">
        <v>6</v>
      </c>
      <c r="E1750">
        <v>18</v>
      </c>
      <c r="F1750" t="s">
        <v>118</v>
      </c>
      <c r="H1750" t="s">
        <v>40</v>
      </c>
      <c r="I1750" t="s">
        <v>27</v>
      </c>
      <c r="J1750">
        <v>10</v>
      </c>
      <c r="K1750">
        <v>1</v>
      </c>
      <c r="L1750">
        <v>10</v>
      </c>
      <c r="M1750">
        <v>10</v>
      </c>
      <c r="N1750" s="5">
        <v>0.50301810865191154</v>
      </c>
      <c r="O1750" t="s">
        <v>100</v>
      </c>
      <c r="P1750" t="s">
        <v>340</v>
      </c>
      <c r="Q1750" t="s">
        <v>24</v>
      </c>
    </row>
    <row r="1751" spans="1:17" hidden="1" x14ac:dyDescent="0.25">
      <c r="A1751" s="2" t="s">
        <v>528</v>
      </c>
      <c r="B1751" s="3" t="str">
        <f t="shared" si="39"/>
        <v>18/6/21</v>
      </c>
      <c r="C1751">
        <v>21</v>
      </c>
      <c r="D1751">
        <v>6</v>
      </c>
      <c r="E1751">
        <v>18</v>
      </c>
      <c r="F1751" t="s">
        <v>146</v>
      </c>
      <c r="H1751" t="s">
        <v>49</v>
      </c>
      <c r="I1751" t="s">
        <v>50</v>
      </c>
      <c r="J1751">
        <v>0.75</v>
      </c>
      <c r="K1751">
        <v>1</v>
      </c>
      <c r="L1751">
        <v>0.75</v>
      </c>
      <c r="M1751">
        <v>0.75</v>
      </c>
      <c r="N1751" s="5">
        <v>3.7726358148893364E-2</v>
      </c>
      <c r="O1751" t="s">
        <v>100</v>
      </c>
      <c r="P1751" t="s">
        <v>340</v>
      </c>
      <c r="Q1751" t="s">
        <v>24</v>
      </c>
    </row>
    <row r="1752" spans="1:17" hidden="1" x14ac:dyDescent="0.25">
      <c r="A1752" s="2" t="s">
        <v>528</v>
      </c>
      <c r="B1752" s="3" t="str">
        <f t="shared" si="39"/>
        <v>18/6/21</v>
      </c>
      <c r="C1752">
        <v>21</v>
      </c>
      <c r="D1752">
        <v>6</v>
      </c>
      <c r="E1752">
        <v>18</v>
      </c>
      <c r="F1752" t="s">
        <v>221</v>
      </c>
      <c r="G1752" t="s">
        <v>155</v>
      </c>
      <c r="H1752" t="s">
        <v>131</v>
      </c>
      <c r="I1752" t="s">
        <v>27</v>
      </c>
      <c r="J1752">
        <v>48.75</v>
      </c>
      <c r="K1752">
        <v>1</v>
      </c>
      <c r="L1752">
        <v>48.75</v>
      </c>
      <c r="M1752">
        <v>48.75</v>
      </c>
      <c r="N1752" s="5">
        <v>2.4522132796780687</v>
      </c>
      <c r="O1752" t="s">
        <v>100</v>
      </c>
      <c r="P1752" t="s">
        <v>340</v>
      </c>
      <c r="Q1752" t="s">
        <v>24</v>
      </c>
    </row>
    <row r="1753" spans="1:17" hidden="1" x14ac:dyDescent="0.25">
      <c r="A1753" s="9" t="s">
        <v>528</v>
      </c>
      <c r="B1753" s="3" t="str">
        <f t="shared" si="39"/>
        <v>18/6/22</v>
      </c>
      <c r="C1753" s="10">
        <v>22</v>
      </c>
      <c r="D1753" s="10">
        <v>6</v>
      </c>
      <c r="E1753" s="10">
        <v>18</v>
      </c>
      <c r="F1753" t="s">
        <v>387</v>
      </c>
      <c r="H1753" t="s">
        <v>44</v>
      </c>
      <c r="I1753" t="s">
        <v>27</v>
      </c>
      <c r="J1753">
        <v>14.99</v>
      </c>
      <c r="K1753">
        <v>10</v>
      </c>
      <c r="L1753">
        <v>14.99</v>
      </c>
      <c r="M1753">
        <v>149.9</v>
      </c>
      <c r="N1753" s="5">
        <v>7.6182775827019027</v>
      </c>
      <c r="O1753" t="s">
        <v>51</v>
      </c>
      <c r="P1753" t="s">
        <v>340</v>
      </c>
      <c r="Q1753" s="10" t="s">
        <v>24</v>
      </c>
    </row>
    <row r="1754" spans="1:17" hidden="1" x14ac:dyDescent="0.25">
      <c r="A1754" s="9" t="s">
        <v>528</v>
      </c>
      <c r="B1754" s="3" t="str">
        <f t="shared" si="39"/>
        <v>18/6/22</v>
      </c>
      <c r="C1754" s="10">
        <v>22</v>
      </c>
      <c r="D1754" s="10">
        <v>6</v>
      </c>
      <c r="E1754" s="10">
        <v>18</v>
      </c>
      <c r="F1754" t="s">
        <v>387</v>
      </c>
      <c r="H1754" t="s">
        <v>44</v>
      </c>
      <c r="I1754" t="s">
        <v>27</v>
      </c>
      <c r="J1754">
        <v>15.79</v>
      </c>
      <c r="K1754">
        <v>2</v>
      </c>
      <c r="L1754">
        <v>15.79</v>
      </c>
      <c r="M1754">
        <v>31.58</v>
      </c>
      <c r="N1754" s="5">
        <v>1.6049713546479389</v>
      </c>
      <c r="O1754" t="s">
        <v>51</v>
      </c>
      <c r="P1754" t="s">
        <v>340</v>
      </c>
      <c r="Q1754" s="10" t="s">
        <v>24</v>
      </c>
    </row>
    <row r="1755" spans="1:17" hidden="1" x14ac:dyDescent="0.25">
      <c r="A1755" s="9" t="s">
        <v>528</v>
      </c>
      <c r="B1755" s="3" t="str">
        <f t="shared" si="39"/>
        <v>18/6/22</v>
      </c>
      <c r="C1755" s="10">
        <v>22</v>
      </c>
      <c r="D1755" s="10">
        <v>6</v>
      </c>
      <c r="E1755" s="10">
        <v>18</v>
      </c>
      <c r="F1755" t="s">
        <v>508</v>
      </c>
      <c r="H1755" t="s">
        <v>73</v>
      </c>
      <c r="I1755" t="s">
        <v>27</v>
      </c>
      <c r="J1755">
        <v>21.84</v>
      </c>
      <c r="K1755">
        <v>2</v>
      </c>
      <c r="L1755">
        <v>21.84</v>
      </c>
      <c r="M1755">
        <v>43.68</v>
      </c>
      <c r="N1755" s="5">
        <v>2.2199223803363517</v>
      </c>
      <c r="O1755" t="s">
        <v>51</v>
      </c>
      <c r="P1755" t="s">
        <v>340</v>
      </c>
      <c r="Q1755" s="10" t="s">
        <v>24</v>
      </c>
    </row>
    <row r="1756" spans="1:17" hidden="1" x14ac:dyDescent="0.25">
      <c r="A1756" s="9" t="s">
        <v>528</v>
      </c>
      <c r="B1756" s="3" t="str">
        <f t="shared" si="39"/>
        <v>18/6/22</v>
      </c>
      <c r="C1756" s="10">
        <v>22</v>
      </c>
      <c r="D1756" s="10">
        <v>6</v>
      </c>
      <c r="E1756" s="10">
        <v>18</v>
      </c>
      <c r="F1756" t="s">
        <v>52</v>
      </c>
      <c r="H1756" t="s">
        <v>53</v>
      </c>
      <c r="I1756" t="s">
        <v>27</v>
      </c>
      <c r="J1756">
        <v>29.99</v>
      </c>
      <c r="K1756">
        <v>4</v>
      </c>
      <c r="L1756">
        <v>29.99</v>
      </c>
      <c r="M1756">
        <v>119.96</v>
      </c>
      <c r="N1756" s="5">
        <v>6.0966549621142105</v>
      </c>
      <c r="O1756" t="s">
        <v>51</v>
      </c>
      <c r="P1756" t="s">
        <v>340</v>
      </c>
      <c r="Q1756" s="10" t="s">
        <v>24</v>
      </c>
    </row>
    <row r="1757" spans="1:17" hidden="1" x14ac:dyDescent="0.25">
      <c r="A1757" s="9" t="s">
        <v>528</v>
      </c>
      <c r="B1757" s="3" t="str">
        <f t="shared" si="39"/>
        <v>18/6/22</v>
      </c>
      <c r="C1757" s="10">
        <v>22</v>
      </c>
      <c r="D1757" s="10">
        <v>6</v>
      </c>
      <c r="E1757" s="10">
        <v>18</v>
      </c>
      <c r="F1757" t="s">
        <v>55</v>
      </c>
      <c r="H1757" t="s">
        <v>56</v>
      </c>
      <c r="I1757" t="s">
        <v>27</v>
      </c>
      <c r="J1757">
        <v>21.79</v>
      </c>
      <c r="K1757">
        <v>0.84</v>
      </c>
      <c r="L1757">
        <v>21.79</v>
      </c>
      <c r="M1757">
        <v>18.303599999999999</v>
      </c>
      <c r="N1757" s="5">
        <v>0.93023285899094421</v>
      </c>
      <c r="O1757" t="s">
        <v>51</v>
      </c>
      <c r="P1757" t="s">
        <v>340</v>
      </c>
      <c r="Q1757" s="10" t="s">
        <v>24</v>
      </c>
    </row>
    <row r="1758" spans="1:17" hidden="1" x14ac:dyDescent="0.25">
      <c r="A1758" s="9" t="s">
        <v>528</v>
      </c>
      <c r="B1758" s="3" t="str">
        <f t="shared" si="39"/>
        <v>18/6/22</v>
      </c>
      <c r="C1758" s="10">
        <v>22</v>
      </c>
      <c r="D1758" s="10">
        <v>6</v>
      </c>
      <c r="E1758" s="10">
        <v>18</v>
      </c>
      <c r="F1758" t="s">
        <v>483</v>
      </c>
      <c r="H1758" t="s">
        <v>56</v>
      </c>
      <c r="I1758" t="s">
        <v>27</v>
      </c>
      <c r="J1758">
        <v>39</v>
      </c>
      <c r="K1758">
        <v>1.33</v>
      </c>
      <c r="L1758">
        <v>39</v>
      </c>
      <c r="M1758">
        <v>51.870000000000005</v>
      </c>
      <c r="N1758" s="5">
        <v>2.6361578266494177</v>
      </c>
      <c r="O1758" t="s">
        <v>51</v>
      </c>
      <c r="P1758" t="s">
        <v>340</v>
      </c>
      <c r="Q1758" s="10" t="s">
        <v>24</v>
      </c>
    </row>
    <row r="1759" spans="1:17" hidden="1" x14ac:dyDescent="0.25">
      <c r="A1759" s="9" t="s">
        <v>528</v>
      </c>
      <c r="B1759" s="3" t="str">
        <f t="shared" si="39"/>
        <v>18/6/22</v>
      </c>
      <c r="C1759" s="10">
        <v>22</v>
      </c>
      <c r="D1759" s="10">
        <v>6</v>
      </c>
      <c r="E1759" s="10">
        <v>18</v>
      </c>
      <c r="F1759" t="s">
        <v>571</v>
      </c>
      <c r="H1759" t="s">
        <v>59</v>
      </c>
      <c r="I1759" t="s">
        <v>27</v>
      </c>
      <c r="J1759">
        <v>209</v>
      </c>
      <c r="K1759">
        <v>1</v>
      </c>
      <c r="L1759">
        <v>209</v>
      </c>
      <c r="M1759">
        <v>209</v>
      </c>
      <c r="N1759" s="5">
        <v>10.62188135279985</v>
      </c>
      <c r="O1759" t="s">
        <v>51</v>
      </c>
      <c r="P1759" t="s">
        <v>340</v>
      </c>
      <c r="Q1759" s="10" t="s">
        <v>24</v>
      </c>
    </row>
    <row r="1760" spans="1:17" hidden="1" x14ac:dyDescent="0.25">
      <c r="A1760" s="9" t="s">
        <v>528</v>
      </c>
      <c r="B1760" s="3" t="str">
        <f t="shared" si="39"/>
        <v>18/6/22</v>
      </c>
      <c r="C1760" s="10">
        <v>22</v>
      </c>
      <c r="D1760" s="10">
        <v>6</v>
      </c>
      <c r="E1760" s="10">
        <v>18</v>
      </c>
      <c r="F1760" t="s">
        <v>75</v>
      </c>
      <c r="H1760" t="s">
        <v>65</v>
      </c>
      <c r="I1760" t="s">
        <v>27</v>
      </c>
      <c r="J1760">
        <v>7.25</v>
      </c>
      <c r="K1760">
        <v>11</v>
      </c>
      <c r="L1760">
        <v>7.25</v>
      </c>
      <c r="M1760">
        <v>79.75</v>
      </c>
      <c r="N1760" s="5">
        <v>4.0530863056736273</v>
      </c>
      <c r="O1760" t="s">
        <v>51</v>
      </c>
      <c r="P1760" t="s">
        <v>340</v>
      </c>
      <c r="Q1760" s="10" t="s">
        <v>24</v>
      </c>
    </row>
    <row r="1761" spans="1:18" hidden="1" x14ac:dyDescent="0.25">
      <c r="A1761" s="2" t="s">
        <v>528</v>
      </c>
      <c r="B1761" s="3" t="str">
        <f t="shared" si="39"/>
        <v>18/6/22</v>
      </c>
      <c r="C1761" s="10">
        <v>22</v>
      </c>
      <c r="D1761" s="10">
        <v>6</v>
      </c>
      <c r="E1761" s="10">
        <v>18</v>
      </c>
      <c r="F1761" t="s">
        <v>503</v>
      </c>
      <c r="H1761" t="s">
        <v>65</v>
      </c>
      <c r="I1761" t="s">
        <v>27</v>
      </c>
      <c r="J1761">
        <v>14.69</v>
      </c>
      <c r="K1761">
        <v>4</v>
      </c>
      <c r="L1761">
        <v>14.69</v>
      </c>
      <c r="M1761">
        <v>58.76</v>
      </c>
      <c r="N1761" s="5">
        <v>2.986324154500092</v>
      </c>
      <c r="O1761" t="s">
        <v>51</v>
      </c>
      <c r="P1761" t="s">
        <v>340</v>
      </c>
      <c r="Q1761" s="10" t="s">
        <v>24</v>
      </c>
    </row>
    <row r="1762" spans="1:18" hidden="1" x14ac:dyDescent="0.25">
      <c r="A1762" s="9" t="s">
        <v>528</v>
      </c>
      <c r="B1762" s="3" t="str">
        <f t="shared" si="39"/>
        <v>18/6/22</v>
      </c>
      <c r="C1762" s="10">
        <v>22</v>
      </c>
      <c r="D1762" s="10">
        <v>6</v>
      </c>
      <c r="E1762" s="10">
        <v>18</v>
      </c>
      <c r="F1762" t="s">
        <v>66</v>
      </c>
      <c r="H1762" t="s">
        <v>59</v>
      </c>
      <c r="I1762" t="s">
        <v>27</v>
      </c>
      <c r="J1762">
        <v>149</v>
      </c>
      <c r="K1762">
        <v>2</v>
      </c>
      <c r="L1762">
        <v>149</v>
      </c>
      <c r="M1762">
        <v>298</v>
      </c>
      <c r="N1762" s="5">
        <v>15.145074847532801</v>
      </c>
      <c r="O1762" t="s">
        <v>51</v>
      </c>
      <c r="P1762" t="s">
        <v>340</v>
      </c>
      <c r="Q1762" s="10" t="s">
        <v>24</v>
      </c>
    </row>
    <row r="1763" spans="1:18" hidden="1" x14ac:dyDescent="0.25">
      <c r="A1763" s="9" t="s">
        <v>528</v>
      </c>
      <c r="B1763" s="3" t="str">
        <f t="shared" si="39"/>
        <v>18/6/22</v>
      </c>
      <c r="C1763" s="10">
        <v>22</v>
      </c>
      <c r="D1763" s="10">
        <v>6</v>
      </c>
      <c r="E1763" s="10">
        <v>18</v>
      </c>
      <c r="F1763" t="s">
        <v>1692</v>
      </c>
      <c r="H1763" t="s">
        <v>49</v>
      </c>
      <c r="I1763" t="s">
        <v>50</v>
      </c>
      <c r="J1763">
        <v>21.9</v>
      </c>
      <c r="K1763">
        <v>2</v>
      </c>
      <c r="L1763">
        <v>21.9</v>
      </c>
      <c r="M1763">
        <v>43.8</v>
      </c>
      <c r="N1763" s="5">
        <v>2.2260210681944184</v>
      </c>
      <c r="O1763" t="s">
        <v>51</v>
      </c>
      <c r="P1763" t="s">
        <v>340</v>
      </c>
      <c r="Q1763" s="10" t="s">
        <v>24</v>
      </c>
    </row>
    <row r="1764" spans="1:18" hidden="1" x14ac:dyDescent="0.25">
      <c r="A1764" s="9" t="s">
        <v>528</v>
      </c>
      <c r="B1764" s="3" t="str">
        <f t="shared" si="39"/>
        <v>18/6/22</v>
      </c>
      <c r="C1764" s="10">
        <v>22</v>
      </c>
      <c r="D1764" s="10">
        <v>6</v>
      </c>
      <c r="E1764" s="10">
        <v>18</v>
      </c>
      <c r="F1764" s="7" t="s">
        <v>501</v>
      </c>
      <c r="H1764" t="s">
        <v>62</v>
      </c>
      <c r="I1764" t="s">
        <v>27</v>
      </c>
      <c r="J1764">
        <v>11.79</v>
      </c>
      <c r="K1764">
        <v>1</v>
      </c>
      <c r="L1764">
        <v>11.79</v>
      </c>
      <c r="M1764">
        <v>11.79</v>
      </c>
      <c r="N1764" s="5">
        <v>0.59919608205507291</v>
      </c>
      <c r="O1764" t="s">
        <v>51</v>
      </c>
      <c r="P1764" t="s">
        <v>340</v>
      </c>
      <c r="Q1764" s="10" t="s">
        <v>24</v>
      </c>
    </row>
    <row r="1765" spans="1:18" hidden="1" x14ac:dyDescent="0.25">
      <c r="A1765" s="2" t="s">
        <v>528</v>
      </c>
      <c r="B1765" s="3" t="str">
        <f t="shared" si="39"/>
        <v>18/6/22</v>
      </c>
      <c r="C1765">
        <v>22</v>
      </c>
      <c r="D1765">
        <v>6</v>
      </c>
      <c r="E1765">
        <v>18</v>
      </c>
      <c r="F1765" t="s">
        <v>44</v>
      </c>
      <c r="H1765" t="s">
        <v>44</v>
      </c>
      <c r="I1765" t="s">
        <v>27</v>
      </c>
      <c r="J1765">
        <v>80</v>
      </c>
      <c r="K1765">
        <v>1</v>
      </c>
      <c r="L1765">
        <v>80</v>
      </c>
      <c r="M1765">
        <v>80</v>
      </c>
      <c r="N1765" s="5">
        <v>4.0241448692152924</v>
      </c>
      <c r="O1765" t="s">
        <v>39</v>
      </c>
      <c r="Q1765" t="s">
        <v>24</v>
      </c>
    </row>
    <row r="1766" spans="1:18" hidden="1" x14ac:dyDescent="0.25">
      <c r="A1766" s="2" t="s">
        <v>528</v>
      </c>
      <c r="B1766" s="3" t="str">
        <f t="shared" si="39"/>
        <v>18/6/23</v>
      </c>
      <c r="C1766">
        <v>23</v>
      </c>
      <c r="D1766">
        <v>6</v>
      </c>
      <c r="E1766">
        <v>18</v>
      </c>
      <c r="F1766" t="s">
        <v>508</v>
      </c>
      <c r="H1766" t="s">
        <v>73</v>
      </c>
      <c r="I1766" t="s">
        <v>27</v>
      </c>
      <c r="J1766">
        <v>20</v>
      </c>
      <c r="K1766">
        <v>1</v>
      </c>
      <c r="L1766">
        <v>20</v>
      </c>
      <c r="M1766">
        <v>20</v>
      </c>
      <c r="N1766" s="5">
        <v>1.0060362173038231</v>
      </c>
      <c r="O1766" t="s">
        <v>39</v>
      </c>
      <c r="Q1766" t="s">
        <v>24</v>
      </c>
    </row>
    <row r="1767" spans="1:18" hidden="1" x14ac:dyDescent="0.25">
      <c r="A1767" s="2" t="s">
        <v>528</v>
      </c>
      <c r="B1767" s="3" t="str">
        <f t="shared" si="39"/>
        <v>18/6/24</v>
      </c>
      <c r="C1767">
        <v>24</v>
      </c>
      <c r="D1767">
        <v>6</v>
      </c>
      <c r="E1767">
        <v>18</v>
      </c>
      <c r="F1767" t="s">
        <v>1237</v>
      </c>
      <c r="H1767" t="s">
        <v>69</v>
      </c>
      <c r="I1767" t="s">
        <v>27</v>
      </c>
      <c r="J1767">
        <v>43.8</v>
      </c>
      <c r="K1767">
        <v>1</v>
      </c>
      <c r="L1767">
        <v>43.8</v>
      </c>
      <c r="M1767">
        <v>43.8</v>
      </c>
      <c r="N1767" s="5">
        <v>2.2032193158953723</v>
      </c>
      <c r="O1767" t="s">
        <v>39</v>
      </c>
      <c r="Q1767" t="s">
        <v>24</v>
      </c>
    </row>
    <row r="1768" spans="1:18" hidden="1" x14ac:dyDescent="0.25">
      <c r="A1768" s="2" t="s">
        <v>528</v>
      </c>
      <c r="B1768" s="3" t="str">
        <f t="shared" si="39"/>
        <v>18/6/24</v>
      </c>
      <c r="C1768">
        <v>24</v>
      </c>
      <c r="D1768">
        <v>6</v>
      </c>
      <c r="E1768">
        <v>18</v>
      </c>
      <c r="F1768" t="s">
        <v>53</v>
      </c>
      <c r="H1768" t="s">
        <v>53</v>
      </c>
      <c r="I1768" t="s">
        <v>27</v>
      </c>
      <c r="J1768">
        <v>12</v>
      </c>
      <c r="K1768">
        <v>1</v>
      </c>
      <c r="L1768">
        <v>12</v>
      </c>
      <c r="M1768">
        <v>12</v>
      </c>
      <c r="N1768" s="5">
        <v>0.60362173038229383</v>
      </c>
      <c r="O1768" t="s">
        <v>39</v>
      </c>
      <c r="Q1768" t="s">
        <v>24</v>
      </c>
    </row>
    <row r="1769" spans="1:18" hidden="1" x14ac:dyDescent="0.25">
      <c r="A1769" s="2" t="s">
        <v>528</v>
      </c>
      <c r="B1769" s="3" t="str">
        <f t="shared" si="39"/>
        <v>18/6/24</v>
      </c>
      <c r="C1769">
        <v>24</v>
      </c>
      <c r="D1769">
        <v>6</v>
      </c>
      <c r="E1769">
        <v>18</v>
      </c>
      <c r="F1769" t="s">
        <v>224</v>
      </c>
      <c r="G1769" t="s">
        <v>224</v>
      </c>
      <c r="H1769" t="s">
        <v>131</v>
      </c>
      <c r="I1769" t="s">
        <v>27</v>
      </c>
      <c r="J1769">
        <v>13</v>
      </c>
      <c r="K1769">
        <v>1</v>
      </c>
      <c r="L1769">
        <v>13</v>
      </c>
      <c r="M1769">
        <v>13</v>
      </c>
      <c r="N1769" s="5">
        <v>0.65392354124748497</v>
      </c>
      <c r="O1769" t="s">
        <v>39</v>
      </c>
      <c r="Q1769" t="s">
        <v>24</v>
      </c>
    </row>
    <row r="1770" spans="1:18" hidden="1" x14ac:dyDescent="0.25">
      <c r="A1770" s="2" t="s">
        <v>528</v>
      </c>
      <c r="B1770" s="3" t="str">
        <f t="shared" si="39"/>
        <v>18/6/24</v>
      </c>
      <c r="C1770">
        <v>24</v>
      </c>
      <c r="D1770">
        <v>6</v>
      </c>
      <c r="E1770">
        <v>18</v>
      </c>
      <c r="F1770" t="s">
        <v>184</v>
      </c>
      <c r="G1770" t="s">
        <v>304</v>
      </c>
      <c r="H1770" t="s">
        <v>184</v>
      </c>
      <c r="I1770" t="s">
        <v>79</v>
      </c>
      <c r="J1770">
        <v>70</v>
      </c>
      <c r="K1770">
        <v>1</v>
      </c>
      <c r="L1770">
        <v>70</v>
      </c>
      <c r="M1770">
        <v>70</v>
      </c>
      <c r="N1770" s="5">
        <v>3.5211267605633805</v>
      </c>
      <c r="O1770" t="s">
        <v>39</v>
      </c>
      <c r="Q1770" t="s">
        <v>24</v>
      </c>
    </row>
    <row r="1771" spans="1:18" hidden="1" x14ac:dyDescent="0.25">
      <c r="A1771" s="2" t="s">
        <v>528</v>
      </c>
      <c r="B1771" s="3" t="str">
        <f t="shared" si="39"/>
        <v>18/6/24</v>
      </c>
      <c r="C1771">
        <v>24</v>
      </c>
      <c r="D1771">
        <v>6</v>
      </c>
      <c r="E1771">
        <v>18</v>
      </c>
      <c r="F1771" t="s">
        <v>78</v>
      </c>
      <c r="G1771" t="s">
        <v>304</v>
      </c>
      <c r="H1771" t="s">
        <v>78</v>
      </c>
      <c r="I1771" t="s">
        <v>79</v>
      </c>
      <c r="J1771">
        <v>19.02</v>
      </c>
      <c r="K1771">
        <v>45.22</v>
      </c>
      <c r="L1771">
        <v>19.02</v>
      </c>
      <c r="M1771">
        <v>841.99</v>
      </c>
      <c r="N1771" s="5">
        <v>42.353621730382294</v>
      </c>
      <c r="O1771" t="s">
        <v>39</v>
      </c>
      <c r="Q1771" t="s">
        <v>24</v>
      </c>
    </row>
    <row r="1772" spans="1:18" hidden="1" x14ac:dyDescent="0.25">
      <c r="A1772" s="2" t="s">
        <v>528</v>
      </c>
      <c r="B1772" s="3" t="str">
        <f t="shared" si="39"/>
        <v>18/6/24</v>
      </c>
      <c r="C1772">
        <v>24</v>
      </c>
      <c r="D1772">
        <v>6</v>
      </c>
      <c r="E1772">
        <v>18</v>
      </c>
      <c r="F1772" t="s">
        <v>99</v>
      </c>
      <c r="H1772" t="s">
        <v>40</v>
      </c>
      <c r="I1772" t="s">
        <v>27</v>
      </c>
      <c r="J1772">
        <v>10</v>
      </c>
      <c r="K1772">
        <v>1</v>
      </c>
      <c r="L1772">
        <v>10</v>
      </c>
      <c r="M1772">
        <v>10</v>
      </c>
      <c r="N1772" s="5">
        <v>0.50301810865191154</v>
      </c>
      <c r="O1772" t="s">
        <v>100</v>
      </c>
      <c r="P1772" t="s">
        <v>340</v>
      </c>
      <c r="Q1772" t="s">
        <v>24</v>
      </c>
    </row>
    <row r="1773" spans="1:18" hidden="1" x14ac:dyDescent="0.25">
      <c r="A1773" s="2" t="s">
        <v>528</v>
      </c>
      <c r="B1773" s="3" t="str">
        <f t="shared" si="39"/>
        <v>18/6/24</v>
      </c>
      <c r="C1773">
        <v>24</v>
      </c>
      <c r="D1773">
        <v>6</v>
      </c>
      <c r="E1773">
        <v>18</v>
      </c>
      <c r="F1773" t="s">
        <v>292</v>
      </c>
      <c r="H1773" t="s">
        <v>40</v>
      </c>
      <c r="I1773" t="s">
        <v>27</v>
      </c>
      <c r="J1773">
        <v>17</v>
      </c>
      <c r="K1773">
        <v>1</v>
      </c>
      <c r="L1773">
        <v>17</v>
      </c>
      <c r="M1773">
        <v>17</v>
      </c>
      <c r="N1773" s="5">
        <v>0.85513078470824955</v>
      </c>
      <c r="O1773" t="s">
        <v>100</v>
      </c>
      <c r="P1773" t="s">
        <v>340</v>
      </c>
      <c r="Q1773" t="s">
        <v>24</v>
      </c>
    </row>
    <row r="1774" spans="1:18" hidden="1" x14ac:dyDescent="0.25">
      <c r="A1774" s="2" t="s">
        <v>528</v>
      </c>
      <c r="B1774" s="3" t="str">
        <f t="shared" si="39"/>
        <v>18/6/25</v>
      </c>
      <c r="C1774">
        <v>25</v>
      </c>
      <c r="D1774">
        <v>6</v>
      </c>
      <c r="E1774">
        <v>18</v>
      </c>
      <c r="F1774" t="s">
        <v>1233</v>
      </c>
      <c r="H1774" t="s">
        <v>69</v>
      </c>
      <c r="I1774" t="s">
        <v>27</v>
      </c>
      <c r="J1774">
        <v>144.1</v>
      </c>
      <c r="K1774">
        <v>1</v>
      </c>
      <c r="L1774">
        <v>144.1</v>
      </c>
      <c r="M1774">
        <v>144.1</v>
      </c>
      <c r="N1774" s="5">
        <v>7.2484909456740443</v>
      </c>
      <c r="O1774" t="s">
        <v>39</v>
      </c>
      <c r="Q1774" t="s">
        <v>24</v>
      </c>
    </row>
    <row r="1775" spans="1:18" hidden="1" x14ac:dyDescent="0.25">
      <c r="A1775" s="2" t="s">
        <v>528</v>
      </c>
      <c r="B1775" s="3" t="str">
        <f t="shared" ref="B1775:B1806" si="40">CONCATENATE(E1775,"/",D1775,"/",C1775)</f>
        <v>18/6/25</v>
      </c>
      <c r="C1775">
        <v>25</v>
      </c>
      <c r="D1775">
        <v>6</v>
      </c>
      <c r="E1775">
        <v>18</v>
      </c>
      <c r="F1775" t="s">
        <v>86</v>
      </c>
      <c r="H1775" t="s">
        <v>102</v>
      </c>
      <c r="I1775" t="s">
        <v>27</v>
      </c>
      <c r="J1775">
        <v>15</v>
      </c>
      <c r="K1775">
        <v>1</v>
      </c>
      <c r="L1775">
        <v>15</v>
      </c>
      <c r="M1775">
        <v>15</v>
      </c>
      <c r="N1775" s="5">
        <v>0.75452716297786726</v>
      </c>
      <c r="O1775" t="s">
        <v>39</v>
      </c>
      <c r="Q1775" t="s">
        <v>24</v>
      </c>
      <c r="R1775" t="s">
        <v>1575</v>
      </c>
    </row>
    <row r="1776" spans="1:18" hidden="1" x14ac:dyDescent="0.25">
      <c r="A1776" s="2" t="s">
        <v>528</v>
      </c>
      <c r="B1776" s="3" t="str">
        <f t="shared" si="40"/>
        <v>18/6/25</v>
      </c>
      <c r="C1776">
        <v>25</v>
      </c>
      <c r="D1776">
        <v>6</v>
      </c>
      <c r="E1776">
        <v>18</v>
      </c>
      <c r="F1776" t="s">
        <v>71</v>
      </c>
      <c r="I1776" t="s">
        <v>72</v>
      </c>
      <c r="J1776">
        <v>200</v>
      </c>
      <c r="K1776">
        <v>1</v>
      </c>
      <c r="L1776">
        <v>200</v>
      </c>
      <c r="M1776">
        <v>200</v>
      </c>
      <c r="N1776" s="5">
        <v>10.06036217303823</v>
      </c>
      <c r="O1776" t="s">
        <v>39</v>
      </c>
      <c r="Q1776" t="s">
        <v>24</v>
      </c>
    </row>
    <row r="1777" spans="1:18" hidden="1" x14ac:dyDescent="0.25">
      <c r="A1777" s="9" t="s">
        <v>528</v>
      </c>
      <c r="B1777" s="3" t="str">
        <f t="shared" si="40"/>
        <v>18/6/25</v>
      </c>
      <c r="C1777" s="10">
        <v>25</v>
      </c>
      <c r="D1777" s="10">
        <v>6</v>
      </c>
      <c r="E1777" s="10">
        <v>18</v>
      </c>
      <c r="F1777" t="s">
        <v>104</v>
      </c>
      <c r="I1777" t="s">
        <v>72</v>
      </c>
      <c r="J1777">
        <v>40.5</v>
      </c>
      <c r="K1777">
        <v>1</v>
      </c>
      <c r="L1777">
        <v>40.5</v>
      </c>
      <c r="M1777">
        <v>40.5</v>
      </c>
      <c r="N1777" s="5">
        <v>2.0401309713710019</v>
      </c>
      <c r="O1777" t="s">
        <v>243</v>
      </c>
      <c r="P1777" t="s">
        <v>340</v>
      </c>
      <c r="Q1777" s="10" t="s">
        <v>24</v>
      </c>
      <c r="R1777" t="s">
        <v>563</v>
      </c>
    </row>
    <row r="1778" spans="1:18" hidden="1" x14ac:dyDescent="0.25">
      <c r="A1778" s="2" t="s">
        <v>528</v>
      </c>
      <c r="B1778" s="3" t="str">
        <f t="shared" si="40"/>
        <v>18/6/26</v>
      </c>
      <c r="C1778">
        <v>26</v>
      </c>
      <c r="D1778">
        <v>6</v>
      </c>
      <c r="E1778">
        <v>18</v>
      </c>
      <c r="F1778" t="s">
        <v>1233</v>
      </c>
      <c r="H1778" t="s">
        <v>69</v>
      </c>
      <c r="I1778" t="s">
        <v>27</v>
      </c>
      <c r="J1778">
        <v>77.5</v>
      </c>
      <c r="K1778">
        <v>1</v>
      </c>
      <c r="L1778">
        <v>77.5</v>
      </c>
      <c r="M1778">
        <v>77.5</v>
      </c>
      <c r="N1778" s="5">
        <v>3.8983903420523141</v>
      </c>
      <c r="O1778" t="s">
        <v>39</v>
      </c>
      <c r="Q1778" t="s">
        <v>24</v>
      </c>
    </row>
    <row r="1779" spans="1:18" hidden="1" x14ac:dyDescent="0.25">
      <c r="A1779" s="2" t="s">
        <v>528</v>
      </c>
      <c r="B1779" s="3" t="str">
        <f t="shared" si="40"/>
        <v>18/6/26</v>
      </c>
      <c r="C1779">
        <v>26</v>
      </c>
      <c r="D1779">
        <v>6</v>
      </c>
      <c r="E1779">
        <v>18</v>
      </c>
      <c r="F1779" t="s">
        <v>118</v>
      </c>
      <c r="H1779" t="s">
        <v>40</v>
      </c>
      <c r="I1779" t="s">
        <v>27</v>
      </c>
      <c r="J1779">
        <v>10</v>
      </c>
      <c r="K1779">
        <v>1</v>
      </c>
      <c r="L1779">
        <v>10</v>
      </c>
      <c r="M1779">
        <v>10</v>
      </c>
      <c r="N1779" s="5">
        <v>0.50301810865191154</v>
      </c>
      <c r="O1779" t="s">
        <v>100</v>
      </c>
      <c r="P1779" t="s">
        <v>340</v>
      </c>
      <c r="Q1779" t="s">
        <v>24</v>
      </c>
    </row>
    <row r="1780" spans="1:18" hidden="1" x14ac:dyDescent="0.25">
      <c r="A1780" s="2" t="s">
        <v>528</v>
      </c>
      <c r="B1780" s="3" t="str">
        <f t="shared" si="40"/>
        <v>18/6/26</v>
      </c>
      <c r="C1780">
        <v>26</v>
      </c>
      <c r="D1780">
        <v>6</v>
      </c>
      <c r="E1780">
        <v>18</v>
      </c>
      <c r="F1780" t="s">
        <v>258</v>
      </c>
      <c r="H1780" t="s">
        <v>65</v>
      </c>
      <c r="I1780" t="s">
        <v>27</v>
      </c>
      <c r="J1780">
        <v>35.25</v>
      </c>
      <c r="K1780">
        <v>1</v>
      </c>
      <c r="L1780">
        <v>35.25</v>
      </c>
      <c r="M1780">
        <v>35.25</v>
      </c>
      <c r="N1780" s="5">
        <v>1.773138832997988</v>
      </c>
      <c r="O1780" t="s">
        <v>100</v>
      </c>
      <c r="P1780" t="s">
        <v>340</v>
      </c>
      <c r="Q1780" t="s">
        <v>24</v>
      </c>
    </row>
    <row r="1781" spans="1:18" hidden="1" x14ac:dyDescent="0.25">
      <c r="A1781" s="2" t="s">
        <v>528</v>
      </c>
      <c r="B1781" s="3" t="str">
        <f t="shared" si="40"/>
        <v>18/6/26</v>
      </c>
      <c r="C1781">
        <v>26</v>
      </c>
      <c r="D1781">
        <v>6</v>
      </c>
      <c r="E1781">
        <v>18</v>
      </c>
      <c r="F1781" t="s">
        <v>464</v>
      </c>
      <c r="G1781" t="s">
        <v>465</v>
      </c>
      <c r="H1781" t="s">
        <v>35</v>
      </c>
      <c r="I1781" t="s">
        <v>27</v>
      </c>
      <c r="J1781">
        <v>96.25</v>
      </c>
      <c r="K1781">
        <v>1.014</v>
      </c>
      <c r="L1781">
        <v>96.25</v>
      </c>
      <c r="M1781">
        <v>97.6</v>
      </c>
      <c r="N1781" s="5">
        <v>4.9094567404426561</v>
      </c>
      <c r="O1781" t="s">
        <v>100</v>
      </c>
      <c r="P1781" t="s">
        <v>340</v>
      </c>
      <c r="Q1781" t="s">
        <v>24</v>
      </c>
    </row>
    <row r="1782" spans="1:18" hidden="1" x14ac:dyDescent="0.25">
      <c r="A1782" s="2" t="s">
        <v>528</v>
      </c>
      <c r="B1782" s="3" t="str">
        <f t="shared" si="40"/>
        <v>18/6/26</v>
      </c>
      <c r="C1782">
        <v>26</v>
      </c>
      <c r="D1782">
        <v>6</v>
      </c>
      <c r="E1782">
        <v>18</v>
      </c>
      <c r="F1782" s="18" t="s">
        <v>559</v>
      </c>
      <c r="H1782" t="s">
        <v>39</v>
      </c>
      <c r="I1782" t="s">
        <v>27</v>
      </c>
      <c r="J1782">
        <v>24</v>
      </c>
      <c r="K1782">
        <v>1</v>
      </c>
      <c r="L1782">
        <v>24</v>
      </c>
      <c r="M1782">
        <v>24</v>
      </c>
      <c r="N1782" s="5">
        <v>1.2072434607645877</v>
      </c>
      <c r="O1782" t="s">
        <v>100</v>
      </c>
      <c r="P1782" t="s">
        <v>340</v>
      </c>
      <c r="Q1782" t="s">
        <v>24</v>
      </c>
    </row>
    <row r="1783" spans="1:18" hidden="1" x14ac:dyDescent="0.25">
      <c r="A1783" s="2" t="s">
        <v>528</v>
      </c>
      <c r="B1783" s="3" t="str">
        <f t="shared" si="40"/>
        <v>18/6/26</v>
      </c>
      <c r="C1783">
        <v>26</v>
      </c>
      <c r="D1783">
        <v>6</v>
      </c>
      <c r="E1783">
        <v>18</v>
      </c>
      <c r="F1783" t="s">
        <v>98</v>
      </c>
      <c r="H1783" t="s">
        <v>26</v>
      </c>
      <c r="I1783" t="s">
        <v>27</v>
      </c>
      <c r="J1783">
        <v>71</v>
      </c>
      <c r="K1783">
        <v>1</v>
      </c>
      <c r="L1783">
        <v>71</v>
      </c>
      <c r="M1783">
        <v>71</v>
      </c>
      <c r="N1783" s="5">
        <v>3.5714285714285716</v>
      </c>
      <c r="O1783" t="s">
        <v>100</v>
      </c>
      <c r="P1783" t="s">
        <v>340</v>
      </c>
      <c r="Q1783" t="s">
        <v>24</v>
      </c>
      <c r="R1783" t="s">
        <v>1257</v>
      </c>
    </row>
    <row r="1784" spans="1:18" hidden="1" x14ac:dyDescent="0.25">
      <c r="A1784" s="2" t="s">
        <v>528</v>
      </c>
      <c r="B1784" s="3" t="str">
        <f t="shared" si="40"/>
        <v>18/6/26</v>
      </c>
      <c r="C1784" s="10">
        <v>26</v>
      </c>
      <c r="D1784" s="10">
        <v>6</v>
      </c>
      <c r="E1784" s="10">
        <v>18</v>
      </c>
      <c r="F1784" t="s">
        <v>176</v>
      </c>
      <c r="H1784" t="s">
        <v>176</v>
      </c>
      <c r="I1784" t="s">
        <v>105</v>
      </c>
      <c r="J1784">
        <v>229</v>
      </c>
      <c r="K1784">
        <v>1</v>
      </c>
      <c r="L1784">
        <v>229</v>
      </c>
      <c r="M1784">
        <v>229</v>
      </c>
      <c r="N1784" s="5">
        <v>11.519114688128774</v>
      </c>
      <c r="O1784" t="s">
        <v>39</v>
      </c>
      <c r="Q1784" s="10" t="s">
        <v>24</v>
      </c>
    </row>
    <row r="1785" spans="1:18" hidden="1" x14ac:dyDescent="0.25">
      <c r="A1785" s="9" t="s">
        <v>528</v>
      </c>
      <c r="B1785" s="3" t="str">
        <f t="shared" si="40"/>
        <v>18/6/27</v>
      </c>
      <c r="C1785" s="10">
        <v>27</v>
      </c>
      <c r="D1785" s="10">
        <v>6</v>
      </c>
      <c r="E1785" s="10">
        <v>18</v>
      </c>
      <c r="F1785" t="s">
        <v>389</v>
      </c>
      <c r="H1785" t="s">
        <v>21</v>
      </c>
      <c r="I1785" t="s">
        <v>22</v>
      </c>
      <c r="J1785">
        <v>4</v>
      </c>
      <c r="K1785">
        <v>2</v>
      </c>
      <c r="L1785">
        <v>4</v>
      </c>
      <c r="M1785">
        <v>8</v>
      </c>
      <c r="N1785" s="5">
        <v>0.4029888338510621</v>
      </c>
      <c r="O1785" t="s">
        <v>354</v>
      </c>
      <c r="P1785" t="s">
        <v>340</v>
      </c>
      <c r="Q1785" s="10" t="s">
        <v>24</v>
      </c>
      <c r="R1785" t="s">
        <v>353</v>
      </c>
    </row>
    <row r="1786" spans="1:18" hidden="1" x14ac:dyDescent="0.25">
      <c r="A1786" s="2" t="s">
        <v>528</v>
      </c>
      <c r="B1786" s="3" t="str">
        <f t="shared" si="40"/>
        <v>18/6/27</v>
      </c>
      <c r="C1786">
        <v>27</v>
      </c>
      <c r="D1786">
        <v>6</v>
      </c>
      <c r="E1786">
        <v>18</v>
      </c>
      <c r="F1786" t="s">
        <v>1236</v>
      </c>
      <c r="H1786" t="s">
        <v>69</v>
      </c>
      <c r="I1786" t="s">
        <v>27</v>
      </c>
      <c r="J1786">
        <v>76.3</v>
      </c>
      <c r="K1786">
        <v>1</v>
      </c>
      <c r="L1786">
        <v>76.3</v>
      </c>
      <c r="M1786">
        <v>76.3</v>
      </c>
      <c r="N1786" s="5">
        <v>3.8380281690140845</v>
      </c>
      <c r="O1786" t="s">
        <v>39</v>
      </c>
      <c r="Q1786" t="s">
        <v>24</v>
      </c>
    </row>
    <row r="1787" spans="1:18" hidden="1" x14ac:dyDescent="0.25">
      <c r="A1787" s="2" t="s">
        <v>528</v>
      </c>
      <c r="B1787" s="3" t="str">
        <f t="shared" si="40"/>
        <v>18/6/28</v>
      </c>
      <c r="C1787">
        <v>28</v>
      </c>
      <c r="D1787">
        <v>6</v>
      </c>
      <c r="E1787">
        <v>18</v>
      </c>
      <c r="F1787" t="s">
        <v>506</v>
      </c>
      <c r="H1787" t="s">
        <v>364</v>
      </c>
      <c r="I1787" t="s">
        <v>27</v>
      </c>
      <c r="J1787">
        <v>80</v>
      </c>
      <c r="K1787">
        <v>0.2</v>
      </c>
      <c r="L1787">
        <v>80</v>
      </c>
      <c r="M1787">
        <v>16</v>
      </c>
      <c r="N1787" s="5">
        <v>0.8048289738430584</v>
      </c>
      <c r="O1787" t="s">
        <v>39</v>
      </c>
      <c r="Q1787" t="s">
        <v>24</v>
      </c>
    </row>
    <row r="1788" spans="1:18" hidden="1" x14ac:dyDescent="0.25">
      <c r="A1788" s="2" t="s">
        <v>528</v>
      </c>
      <c r="B1788" s="3" t="str">
        <f t="shared" si="40"/>
        <v>18/6/29</v>
      </c>
      <c r="C1788">
        <v>29</v>
      </c>
      <c r="D1788">
        <v>6</v>
      </c>
      <c r="E1788">
        <v>18</v>
      </c>
      <c r="F1788" t="s">
        <v>174</v>
      </c>
      <c r="H1788" t="s">
        <v>54</v>
      </c>
      <c r="I1788" t="s">
        <v>27</v>
      </c>
      <c r="J1788">
        <v>10</v>
      </c>
      <c r="K1788">
        <v>2.5</v>
      </c>
      <c r="L1788">
        <v>10</v>
      </c>
      <c r="M1788">
        <v>25</v>
      </c>
      <c r="N1788" s="5">
        <v>1.2575452716297788</v>
      </c>
      <c r="O1788" t="s">
        <v>39</v>
      </c>
      <c r="Q1788" t="s">
        <v>24</v>
      </c>
    </row>
    <row r="1789" spans="1:18" hidden="1" x14ac:dyDescent="0.25">
      <c r="A1789" s="2" t="s">
        <v>528</v>
      </c>
      <c r="B1789" s="3" t="str">
        <f t="shared" si="40"/>
        <v>18/6/29</v>
      </c>
      <c r="C1789">
        <v>29</v>
      </c>
      <c r="D1789">
        <v>6</v>
      </c>
      <c r="E1789">
        <v>18</v>
      </c>
      <c r="F1789" t="s">
        <v>536</v>
      </c>
      <c r="H1789" t="s">
        <v>56</v>
      </c>
      <c r="I1789" t="s">
        <v>27</v>
      </c>
      <c r="J1789">
        <v>35</v>
      </c>
      <c r="K1789">
        <v>1</v>
      </c>
      <c r="L1789">
        <v>35</v>
      </c>
      <c r="M1789">
        <v>35</v>
      </c>
      <c r="N1789" s="5">
        <v>1.7605633802816902</v>
      </c>
      <c r="O1789" t="s">
        <v>39</v>
      </c>
      <c r="Q1789" t="s">
        <v>24</v>
      </c>
    </row>
    <row r="1790" spans="1:18" hidden="1" x14ac:dyDescent="0.25">
      <c r="A1790" s="2" t="s">
        <v>528</v>
      </c>
      <c r="B1790" s="3" t="str">
        <f t="shared" si="40"/>
        <v>18/6/3</v>
      </c>
      <c r="C1790">
        <v>3</v>
      </c>
      <c r="D1790">
        <v>6</v>
      </c>
      <c r="E1790">
        <v>18</v>
      </c>
      <c r="F1790" t="s">
        <v>174</v>
      </c>
      <c r="H1790" t="s">
        <v>54</v>
      </c>
      <c r="I1790" t="s">
        <v>27</v>
      </c>
      <c r="J1790">
        <v>13</v>
      </c>
      <c r="K1790">
        <v>1</v>
      </c>
      <c r="L1790">
        <v>13</v>
      </c>
      <c r="M1790">
        <v>13</v>
      </c>
      <c r="N1790" s="5">
        <v>0.65392354124748497</v>
      </c>
      <c r="O1790" t="s">
        <v>39</v>
      </c>
      <c r="Q1790" t="s">
        <v>24</v>
      </c>
    </row>
    <row r="1791" spans="1:18" hidden="1" x14ac:dyDescent="0.25">
      <c r="A1791" s="2" t="s">
        <v>528</v>
      </c>
      <c r="B1791" s="3" t="str">
        <f t="shared" si="40"/>
        <v>18/6/3</v>
      </c>
      <c r="C1791">
        <v>3</v>
      </c>
      <c r="D1791">
        <v>6</v>
      </c>
      <c r="E1791">
        <v>18</v>
      </c>
      <c r="F1791" t="s">
        <v>184</v>
      </c>
      <c r="G1791" t="s">
        <v>304</v>
      </c>
      <c r="H1791" t="s">
        <v>184</v>
      </c>
      <c r="I1791" t="s">
        <v>79</v>
      </c>
      <c r="J1791">
        <v>30</v>
      </c>
      <c r="K1791">
        <v>1</v>
      </c>
      <c r="L1791">
        <v>30</v>
      </c>
      <c r="M1791">
        <v>30</v>
      </c>
      <c r="N1791" s="5">
        <v>1.5090543259557345</v>
      </c>
      <c r="O1791" t="s">
        <v>39</v>
      </c>
      <c r="Q1791" t="s">
        <v>24</v>
      </c>
    </row>
    <row r="1792" spans="1:18" hidden="1" x14ac:dyDescent="0.25">
      <c r="A1792" s="9" t="s">
        <v>528</v>
      </c>
      <c r="B1792" s="3" t="str">
        <f t="shared" si="40"/>
        <v>18/6/30</v>
      </c>
      <c r="C1792" s="10">
        <v>30</v>
      </c>
      <c r="D1792" s="10">
        <v>6</v>
      </c>
      <c r="E1792" s="10">
        <v>18</v>
      </c>
      <c r="F1792" t="s">
        <v>662</v>
      </c>
      <c r="H1792" t="s">
        <v>56</v>
      </c>
      <c r="I1792" t="s">
        <v>27</v>
      </c>
      <c r="J1792">
        <v>18.2</v>
      </c>
      <c r="K1792">
        <v>1.6879999999999999</v>
      </c>
      <c r="L1792">
        <v>18.2</v>
      </c>
      <c r="M1792">
        <v>30.721599999999999</v>
      </c>
      <c r="N1792" s="5">
        <v>1.5475577197548487</v>
      </c>
      <c r="O1792" t="s">
        <v>90</v>
      </c>
      <c r="P1792" t="s">
        <v>340</v>
      </c>
      <c r="Q1792" s="10" t="s">
        <v>24</v>
      </c>
    </row>
    <row r="1793" spans="1:18" hidden="1" x14ac:dyDescent="0.25">
      <c r="A1793" s="9" t="s">
        <v>528</v>
      </c>
      <c r="B1793" s="3" t="str">
        <f t="shared" si="40"/>
        <v>18/6/30</v>
      </c>
      <c r="C1793" s="10">
        <v>30</v>
      </c>
      <c r="D1793" s="10">
        <v>6</v>
      </c>
      <c r="E1793" s="10">
        <v>18</v>
      </c>
      <c r="F1793" t="s">
        <v>75</v>
      </c>
      <c r="H1793" t="s">
        <v>65</v>
      </c>
      <c r="I1793" t="s">
        <v>27</v>
      </c>
      <c r="J1793">
        <v>18.239999999999998</v>
      </c>
      <c r="K1793">
        <v>1</v>
      </c>
      <c r="L1793">
        <v>18.239999999999998</v>
      </c>
      <c r="M1793">
        <v>18.239999999999998</v>
      </c>
      <c r="N1793" s="5">
        <v>0.9188145411804215</v>
      </c>
      <c r="O1793" t="s">
        <v>90</v>
      </c>
      <c r="P1793" t="s">
        <v>340</v>
      </c>
      <c r="Q1793" s="10" t="s">
        <v>24</v>
      </c>
    </row>
    <row r="1794" spans="1:18" hidden="1" x14ac:dyDescent="0.25">
      <c r="A1794" s="9" t="s">
        <v>528</v>
      </c>
      <c r="B1794" s="3" t="str">
        <f t="shared" si="40"/>
        <v>18/6/30</v>
      </c>
      <c r="C1794" s="10">
        <v>30</v>
      </c>
      <c r="D1794" s="10">
        <v>6</v>
      </c>
      <c r="E1794" s="10">
        <v>18</v>
      </c>
      <c r="F1794" t="s">
        <v>75</v>
      </c>
      <c r="H1794" t="s">
        <v>65</v>
      </c>
      <c r="I1794" t="s">
        <v>27</v>
      </c>
      <c r="J1794">
        <v>13.39</v>
      </c>
      <c r="K1794">
        <v>1</v>
      </c>
      <c r="L1794">
        <v>13.39</v>
      </c>
      <c r="M1794">
        <v>13.39</v>
      </c>
      <c r="N1794" s="5">
        <v>0.67450256065821523</v>
      </c>
      <c r="O1794" t="s">
        <v>90</v>
      </c>
      <c r="P1794" t="s">
        <v>340</v>
      </c>
      <c r="Q1794" s="10" t="s">
        <v>24</v>
      </c>
      <c r="R1794" t="s">
        <v>517</v>
      </c>
    </row>
    <row r="1795" spans="1:18" hidden="1" x14ac:dyDescent="0.25">
      <c r="A1795" s="9" t="s">
        <v>528</v>
      </c>
      <c r="B1795" s="3" t="str">
        <f t="shared" si="40"/>
        <v>18/6/30</v>
      </c>
      <c r="C1795" s="10">
        <v>30</v>
      </c>
      <c r="D1795" s="10">
        <v>6</v>
      </c>
      <c r="E1795" s="10">
        <v>18</v>
      </c>
      <c r="F1795" t="s">
        <v>895</v>
      </c>
      <c r="H1795" t="s">
        <v>26</v>
      </c>
      <c r="I1795" t="s">
        <v>27</v>
      </c>
      <c r="J1795">
        <v>71.680000000000007</v>
      </c>
      <c r="K1795">
        <v>2</v>
      </c>
      <c r="L1795">
        <v>71.680000000000007</v>
      </c>
      <c r="M1795">
        <v>143.36000000000001</v>
      </c>
      <c r="N1795" s="5">
        <v>7.221559902611034</v>
      </c>
      <c r="O1795" t="s">
        <v>90</v>
      </c>
      <c r="P1795" t="s">
        <v>340</v>
      </c>
      <c r="Q1795" s="10" t="s">
        <v>24</v>
      </c>
      <c r="R1795" t="s">
        <v>517</v>
      </c>
    </row>
    <row r="1796" spans="1:18" hidden="1" x14ac:dyDescent="0.25">
      <c r="A1796" s="9" t="s">
        <v>528</v>
      </c>
      <c r="B1796" s="3" t="str">
        <f t="shared" si="40"/>
        <v>18/6/30</v>
      </c>
      <c r="C1796" s="10">
        <v>30</v>
      </c>
      <c r="D1796" s="10">
        <v>6</v>
      </c>
      <c r="E1796" s="10">
        <v>18</v>
      </c>
      <c r="F1796" t="s">
        <v>2242</v>
      </c>
      <c r="H1796" t="s">
        <v>26</v>
      </c>
      <c r="I1796" t="s">
        <v>27</v>
      </c>
      <c r="J1796">
        <v>5.92</v>
      </c>
      <c r="K1796">
        <v>1</v>
      </c>
      <c r="L1796">
        <v>5.92</v>
      </c>
      <c r="M1796">
        <v>5.92</v>
      </c>
      <c r="N1796" s="5">
        <v>0.29821173704978599</v>
      </c>
      <c r="O1796" t="s">
        <v>90</v>
      </c>
      <c r="P1796" t="s">
        <v>340</v>
      </c>
      <c r="Q1796" s="10" t="s">
        <v>24</v>
      </c>
      <c r="R1796" t="s">
        <v>517</v>
      </c>
    </row>
    <row r="1797" spans="1:18" hidden="1" x14ac:dyDescent="0.25">
      <c r="A1797" s="9" t="s">
        <v>528</v>
      </c>
      <c r="B1797" s="3" t="str">
        <f t="shared" si="40"/>
        <v>18/6/30</v>
      </c>
      <c r="C1797" s="10">
        <v>30</v>
      </c>
      <c r="D1797" s="10">
        <v>6</v>
      </c>
      <c r="E1797" s="10">
        <v>18</v>
      </c>
      <c r="F1797" t="s">
        <v>896</v>
      </c>
      <c r="H1797" t="s">
        <v>39</v>
      </c>
      <c r="I1797" t="s">
        <v>27</v>
      </c>
      <c r="J1797">
        <v>38.99</v>
      </c>
      <c r="K1797">
        <v>1</v>
      </c>
      <c r="L1797">
        <v>38.99</v>
      </c>
      <c r="M1797">
        <v>38.99</v>
      </c>
      <c r="N1797" s="5">
        <v>1.9640668289816141</v>
      </c>
      <c r="O1797" t="s">
        <v>90</v>
      </c>
      <c r="P1797" t="s">
        <v>340</v>
      </c>
      <c r="Q1797" s="10" t="s">
        <v>24</v>
      </c>
      <c r="R1797" t="s">
        <v>517</v>
      </c>
    </row>
    <row r="1798" spans="1:18" hidden="1" x14ac:dyDescent="0.25">
      <c r="A1798" s="9" t="s">
        <v>528</v>
      </c>
      <c r="B1798" s="3" t="str">
        <f t="shared" si="40"/>
        <v>18/6/30</v>
      </c>
      <c r="C1798" s="10">
        <v>30</v>
      </c>
      <c r="D1798" s="10">
        <v>6</v>
      </c>
      <c r="E1798" s="10">
        <v>18</v>
      </c>
      <c r="F1798" t="s">
        <v>897</v>
      </c>
      <c r="H1798" t="s">
        <v>62</v>
      </c>
      <c r="I1798" t="s">
        <v>27</v>
      </c>
      <c r="J1798">
        <v>44.04</v>
      </c>
      <c r="K1798">
        <v>1</v>
      </c>
      <c r="L1798">
        <v>44.04</v>
      </c>
      <c r="M1798">
        <v>44.04</v>
      </c>
      <c r="N1798" s="5">
        <v>2.218453530350097</v>
      </c>
      <c r="O1798" t="s">
        <v>90</v>
      </c>
      <c r="P1798" t="s">
        <v>340</v>
      </c>
      <c r="Q1798" s="10" t="s">
        <v>24</v>
      </c>
      <c r="R1798" t="s">
        <v>517</v>
      </c>
    </row>
    <row r="1799" spans="1:18" hidden="1" x14ac:dyDescent="0.25">
      <c r="A1799" s="9" t="s">
        <v>528</v>
      </c>
      <c r="B1799" s="3" t="str">
        <f t="shared" si="40"/>
        <v>18/6/30</v>
      </c>
      <c r="C1799" s="10">
        <v>30</v>
      </c>
      <c r="D1799" s="10">
        <v>6</v>
      </c>
      <c r="E1799" s="10">
        <v>18</v>
      </c>
      <c r="F1799" t="s">
        <v>521</v>
      </c>
      <c r="H1799" t="s">
        <v>56</v>
      </c>
      <c r="I1799" t="s">
        <v>27</v>
      </c>
      <c r="J1799">
        <v>22.8</v>
      </c>
      <c r="K1799">
        <v>0.74</v>
      </c>
      <c r="L1799">
        <v>22.8</v>
      </c>
      <c r="M1799">
        <v>16.872</v>
      </c>
      <c r="N1799" s="5">
        <v>0.84990345059188999</v>
      </c>
      <c r="O1799" t="s">
        <v>90</v>
      </c>
      <c r="P1799" t="s">
        <v>340</v>
      </c>
      <c r="Q1799" s="10" t="s">
        <v>24</v>
      </c>
      <c r="R1799" t="s">
        <v>517</v>
      </c>
    </row>
    <row r="1800" spans="1:18" hidden="1" x14ac:dyDescent="0.25">
      <c r="A1800" s="9" t="s">
        <v>528</v>
      </c>
      <c r="B1800" s="3" t="str">
        <f t="shared" si="40"/>
        <v>18/6/30</v>
      </c>
      <c r="C1800" s="10">
        <v>30</v>
      </c>
      <c r="D1800" s="10">
        <v>6</v>
      </c>
      <c r="E1800" s="10">
        <v>18</v>
      </c>
      <c r="F1800" t="s">
        <v>898</v>
      </c>
      <c r="H1800" t="s">
        <v>39</v>
      </c>
      <c r="I1800" t="s">
        <v>27</v>
      </c>
      <c r="J1800">
        <v>24.44</v>
      </c>
      <c r="K1800">
        <v>1</v>
      </c>
      <c r="L1800">
        <v>24.44</v>
      </c>
      <c r="M1800">
        <v>24.44</v>
      </c>
      <c r="N1800" s="5">
        <v>1.2311308874149949</v>
      </c>
      <c r="O1800" t="s">
        <v>90</v>
      </c>
      <c r="P1800" t="s">
        <v>340</v>
      </c>
      <c r="Q1800" s="10" t="s">
        <v>24</v>
      </c>
      <c r="R1800" t="s">
        <v>517</v>
      </c>
    </row>
    <row r="1801" spans="1:18" hidden="1" x14ac:dyDescent="0.25">
      <c r="A1801" s="9" t="s">
        <v>528</v>
      </c>
      <c r="B1801" s="3" t="str">
        <f t="shared" si="40"/>
        <v>18/6/30</v>
      </c>
      <c r="C1801" s="10">
        <v>30</v>
      </c>
      <c r="D1801" s="10">
        <v>6</v>
      </c>
      <c r="E1801" s="10">
        <v>18</v>
      </c>
      <c r="F1801" t="s">
        <v>38</v>
      </c>
      <c r="H1801" t="s">
        <v>39</v>
      </c>
      <c r="I1801" t="s">
        <v>27</v>
      </c>
      <c r="J1801">
        <v>25.03</v>
      </c>
      <c r="K1801">
        <v>1</v>
      </c>
      <c r="L1801">
        <v>25.03</v>
      </c>
      <c r="M1801">
        <v>25.03</v>
      </c>
      <c r="N1801" s="5">
        <v>1.2608513139115107</v>
      </c>
      <c r="O1801" t="s">
        <v>90</v>
      </c>
      <c r="P1801" t="s">
        <v>340</v>
      </c>
      <c r="Q1801" s="10" t="s">
        <v>24</v>
      </c>
      <c r="R1801" t="s">
        <v>517</v>
      </c>
    </row>
    <row r="1802" spans="1:18" hidden="1" x14ac:dyDescent="0.25">
      <c r="A1802" s="9" t="s">
        <v>528</v>
      </c>
      <c r="B1802" s="3" t="str">
        <f t="shared" si="40"/>
        <v>18/6/30</v>
      </c>
      <c r="C1802" s="10">
        <v>30</v>
      </c>
      <c r="D1802" s="10">
        <v>6</v>
      </c>
      <c r="E1802" s="10">
        <v>18</v>
      </c>
      <c r="F1802" t="s">
        <v>73</v>
      </c>
      <c r="H1802" t="s">
        <v>73</v>
      </c>
      <c r="I1802" t="s">
        <v>27</v>
      </c>
      <c r="J1802">
        <v>18.239999999999998</v>
      </c>
      <c r="K1802">
        <v>1</v>
      </c>
      <c r="L1802">
        <v>18.239999999999998</v>
      </c>
      <c r="M1802">
        <v>18.239999999999998</v>
      </c>
      <c r="N1802" s="5">
        <v>0.9188145411804215</v>
      </c>
      <c r="O1802" t="s">
        <v>90</v>
      </c>
      <c r="P1802" t="s">
        <v>340</v>
      </c>
      <c r="Q1802" s="10" t="s">
        <v>24</v>
      </c>
      <c r="R1802" t="s">
        <v>517</v>
      </c>
    </row>
    <row r="1803" spans="1:18" hidden="1" x14ac:dyDescent="0.25">
      <c r="A1803" s="9" t="s">
        <v>528</v>
      </c>
      <c r="B1803" s="3" t="str">
        <f t="shared" si="40"/>
        <v>18/6/30</v>
      </c>
      <c r="C1803" s="10">
        <v>30</v>
      </c>
      <c r="D1803" s="10">
        <v>6</v>
      </c>
      <c r="E1803" s="10">
        <v>18</v>
      </c>
      <c r="F1803" t="s">
        <v>508</v>
      </c>
      <c r="H1803" t="s">
        <v>73</v>
      </c>
      <c r="I1803" t="s">
        <v>27</v>
      </c>
      <c r="J1803">
        <v>23.47</v>
      </c>
      <c r="K1803">
        <v>1</v>
      </c>
      <c r="L1803">
        <v>23.47</v>
      </c>
      <c r="M1803">
        <v>23.47</v>
      </c>
      <c r="N1803" s="5">
        <v>1.1822684913105534</v>
      </c>
      <c r="O1803" t="s">
        <v>90</v>
      </c>
      <c r="P1803" t="s">
        <v>340</v>
      </c>
      <c r="Q1803" s="10" t="s">
        <v>24</v>
      </c>
      <c r="R1803" t="s">
        <v>517</v>
      </c>
    </row>
    <row r="1804" spans="1:18" hidden="1" x14ac:dyDescent="0.25">
      <c r="A1804" s="9" t="s">
        <v>528</v>
      </c>
      <c r="B1804" s="3" t="str">
        <f t="shared" si="40"/>
        <v>18/6/30</v>
      </c>
      <c r="C1804" s="10">
        <v>30</v>
      </c>
      <c r="D1804" s="10">
        <v>6</v>
      </c>
      <c r="E1804" s="10">
        <v>18</v>
      </c>
      <c r="F1804" t="s">
        <v>483</v>
      </c>
      <c r="H1804" t="s">
        <v>56</v>
      </c>
      <c r="I1804" t="s">
        <v>27</v>
      </c>
      <c r="J1804">
        <v>60.5</v>
      </c>
      <c r="K1804">
        <v>0.58399999999999996</v>
      </c>
      <c r="L1804">
        <v>60.5</v>
      </c>
      <c r="M1804">
        <v>35.332000000000001</v>
      </c>
      <c r="N1804" s="5">
        <v>1.7798001847032159</v>
      </c>
      <c r="O1804" t="s">
        <v>90</v>
      </c>
      <c r="P1804" t="s">
        <v>340</v>
      </c>
      <c r="Q1804" s="10" t="s">
        <v>24</v>
      </c>
      <c r="R1804" t="s">
        <v>517</v>
      </c>
    </row>
    <row r="1805" spans="1:18" hidden="1" x14ac:dyDescent="0.25">
      <c r="A1805" s="9" t="s">
        <v>528</v>
      </c>
      <c r="B1805" s="3" t="str">
        <f t="shared" si="40"/>
        <v>18/6/30</v>
      </c>
      <c r="C1805" s="10">
        <v>30</v>
      </c>
      <c r="D1805" s="10">
        <v>6</v>
      </c>
      <c r="E1805" s="10">
        <v>18</v>
      </c>
      <c r="F1805" t="s">
        <v>55</v>
      </c>
      <c r="H1805" t="s">
        <v>56</v>
      </c>
      <c r="I1805" t="s">
        <v>27</v>
      </c>
      <c r="J1805">
        <v>21.2</v>
      </c>
      <c r="K1805">
        <v>1.1220000000000001</v>
      </c>
      <c r="L1805">
        <v>21.2</v>
      </c>
      <c r="M1805">
        <v>23.7864</v>
      </c>
      <c r="N1805" s="5">
        <v>1.198206699689363</v>
      </c>
      <c r="O1805" t="s">
        <v>90</v>
      </c>
      <c r="P1805" t="s">
        <v>340</v>
      </c>
      <c r="Q1805" s="10" t="s">
        <v>24</v>
      </c>
      <c r="R1805" t="s">
        <v>517</v>
      </c>
    </row>
    <row r="1806" spans="1:18" hidden="1" x14ac:dyDescent="0.25">
      <c r="A1806" s="2" t="s">
        <v>528</v>
      </c>
      <c r="B1806" s="3" t="str">
        <f t="shared" si="40"/>
        <v>18/6/30</v>
      </c>
      <c r="C1806">
        <v>30</v>
      </c>
      <c r="D1806">
        <v>6</v>
      </c>
      <c r="E1806">
        <v>18</v>
      </c>
      <c r="F1806" t="s">
        <v>560</v>
      </c>
      <c r="H1806" t="s">
        <v>69</v>
      </c>
      <c r="I1806" t="s">
        <v>27</v>
      </c>
      <c r="J1806">
        <v>225</v>
      </c>
      <c r="K1806">
        <v>0.26200000000000001</v>
      </c>
      <c r="L1806">
        <v>225</v>
      </c>
      <c r="M1806">
        <v>58.95</v>
      </c>
      <c r="N1806" s="5">
        <v>2.9652917505030185</v>
      </c>
      <c r="O1806" t="s">
        <v>2239</v>
      </c>
      <c r="P1806" t="s">
        <v>340</v>
      </c>
      <c r="Q1806" t="s">
        <v>24</v>
      </c>
    </row>
    <row r="1807" spans="1:18" hidden="1" x14ac:dyDescent="0.25">
      <c r="A1807" s="2" t="s">
        <v>528</v>
      </c>
      <c r="B1807" s="3" t="str">
        <f t="shared" ref="B1807:B1827" si="41">CONCATENATE(E1807,"/",D1807,"/",C1807)</f>
        <v>18/6/30</v>
      </c>
      <c r="C1807">
        <v>30</v>
      </c>
      <c r="D1807">
        <v>6</v>
      </c>
      <c r="E1807">
        <v>18</v>
      </c>
      <c r="F1807" t="s">
        <v>1232</v>
      </c>
      <c r="H1807" t="s">
        <v>69</v>
      </c>
      <c r="I1807" t="s">
        <v>27</v>
      </c>
      <c r="J1807">
        <v>53.9</v>
      </c>
      <c r="K1807">
        <v>0.84599999999999997</v>
      </c>
      <c r="L1807">
        <v>53.9</v>
      </c>
      <c r="M1807">
        <v>45.599399999999996</v>
      </c>
      <c r="N1807" s="5">
        <v>2.2937323943661969</v>
      </c>
      <c r="O1807" t="s">
        <v>2239</v>
      </c>
      <c r="P1807" t="s">
        <v>340</v>
      </c>
      <c r="Q1807" t="s">
        <v>24</v>
      </c>
    </row>
    <row r="1808" spans="1:18" hidden="1" x14ac:dyDescent="0.25">
      <c r="A1808" s="2" t="s">
        <v>528</v>
      </c>
      <c r="B1808" s="3" t="str">
        <f t="shared" si="41"/>
        <v>18/6/4</v>
      </c>
      <c r="C1808">
        <v>4</v>
      </c>
      <c r="D1808">
        <v>6</v>
      </c>
      <c r="E1808">
        <v>18</v>
      </c>
      <c r="F1808" t="s">
        <v>535</v>
      </c>
      <c r="H1808" t="s">
        <v>54</v>
      </c>
      <c r="I1808" t="s">
        <v>27</v>
      </c>
      <c r="J1808">
        <v>20</v>
      </c>
      <c r="K1808">
        <v>1</v>
      </c>
      <c r="L1808">
        <v>20</v>
      </c>
      <c r="M1808">
        <v>20</v>
      </c>
      <c r="N1808" s="5">
        <v>1.0060362173038231</v>
      </c>
      <c r="O1808" t="s">
        <v>39</v>
      </c>
      <c r="Q1808" t="s">
        <v>24</v>
      </c>
    </row>
    <row r="1809" spans="1:18" hidden="1" x14ac:dyDescent="0.25">
      <c r="A1809" s="2" t="s">
        <v>528</v>
      </c>
      <c r="B1809" s="3" t="str">
        <f t="shared" si="41"/>
        <v>18/6/4</v>
      </c>
      <c r="C1809">
        <v>4</v>
      </c>
      <c r="D1809">
        <v>6</v>
      </c>
      <c r="E1809">
        <v>18</v>
      </c>
      <c r="F1809" t="s">
        <v>1358</v>
      </c>
      <c r="G1809" t="s">
        <v>155</v>
      </c>
      <c r="H1809" t="s">
        <v>131</v>
      </c>
      <c r="I1809" t="s">
        <v>27</v>
      </c>
      <c r="J1809">
        <v>67.5</v>
      </c>
      <c r="K1809">
        <v>1</v>
      </c>
      <c r="L1809">
        <v>67.5</v>
      </c>
      <c r="M1809">
        <v>67.5</v>
      </c>
      <c r="N1809" s="5">
        <v>3.3953722334004026</v>
      </c>
      <c r="O1809" t="s">
        <v>36</v>
      </c>
      <c r="P1809" t="s">
        <v>340</v>
      </c>
      <c r="Q1809" t="s">
        <v>84</v>
      </c>
    </row>
    <row r="1810" spans="1:18" hidden="1" x14ac:dyDescent="0.25">
      <c r="A1810" s="2" t="s">
        <v>528</v>
      </c>
      <c r="B1810" s="3" t="str">
        <f t="shared" si="41"/>
        <v>18/6/4</v>
      </c>
      <c r="C1810">
        <v>4</v>
      </c>
      <c r="D1810">
        <v>6</v>
      </c>
      <c r="E1810">
        <v>18</v>
      </c>
      <c r="F1810" t="s">
        <v>99</v>
      </c>
      <c r="H1810" t="s">
        <v>40</v>
      </c>
      <c r="I1810" t="s">
        <v>27</v>
      </c>
      <c r="J1810">
        <v>10</v>
      </c>
      <c r="K1810">
        <v>1</v>
      </c>
      <c r="L1810">
        <v>10</v>
      </c>
      <c r="M1810">
        <v>10</v>
      </c>
      <c r="N1810" s="5">
        <v>0.50301810865191154</v>
      </c>
      <c r="O1810" t="s">
        <v>36</v>
      </c>
      <c r="P1810" t="s">
        <v>340</v>
      </c>
      <c r="Q1810" t="s">
        <v>24</v>
      </c>
    </row>
    <row r="1811" spans="1:18" hidden="1" x14ac:dyDescent="0.25">
      <c r="A1811" s="2" t="s">
        <v>528</v>
      </c>
      <c r="B1811" s="3" t="str">
        <f t="shared" si="41"/>
        <v>18/6/4</v>
      </c>
      <c r="C1811">
        <v>4</v>
      </c>
      <c r="D1811">
        <v>6</v>
      </c>
      <c r="E1811">
        <v>18</v>
      </c>
      <c r="F1811" t="s">
        <v>561</v>
      </c>
      <c r="H1811" t="s">
        <v>21</v>
      </c>
      <c r="I1811" t="s">
        <v>22</v>
      </c>
      <c r="J1811">
        <f>Spending_raw[[#This Row],[Price, lei]]</f>
        <v>50</v>
      </c>
      <c r="K1811">
        <v>1</v>
      </c>
      <c r="L1811">
        <v>50</v>
      </c>
      <c r="M1811" s="13">
        <v>50</v>
      </c>
      <c r="N1811" s="5">
        <v>2.5150905432595576</v>
      </c>
      <c r="O1811" t="s">
        <v>39</v>
      </c>
      <c r="Q1811" t="s">
        <v>24</v>
      </c>
    </row>
    <row r="1812" spans="1:18" hidden="1" x14ac:dyDescent="0.25">
      <c r="A1812" s="2" t="s">
        <v>528</v>
      </c>
      <c r="B1812" s="3" t="str">
        <f t="shared" si="41"/>
        <v>18/6/5</v>
      </c>
      <c r="C1812">
        <v>5</v>
      </c>
      <c r="D1812">
        <v>6</v>
      </c>
      <c r="E1812">
        <v>18</v>
      </c>
      <c r="F1812" t="s">
        <v>203</v>
      </c>
      <c r="H1812" t="s">
        <v>54</v>
      </c>
      <c r="I1812" t="s">
        <v>27</v>
      </c>
      <c r="J1812">
        <v>17</v>
      </c>
      <c r="K1812">
        <v>1</v>
      </c>
      <c r="L1812">
        <v>17</v>
      </c>
      <c r="M1812">
        <v>17</v>
      </c>
      <c r="N1812" s="5">
        <v>0.85513078470824955</v>
      </c>
      <c r="O1812" t="s">
        <v>39</v>
      </c>
      <c r="Q1812" t="s">
        <v>24</v>
      </c>
    </row>
    <row r="1813" spans="1:18" hidden="1" x14ac:dyDescent="0.25">
      <c r="A1813" s="2" t="s">
        <v>528</v>
      </c>
      <c r="B1813" s="3" t="str">
        <f t="shared" si="41"/>
        <v>18/6/5</v>
      </c>
      <c r="C1813">
        <v>5</v>
      </c>
      <c r="D1813">
        <v>6</v>
      </c>
      <c r="E1813">
        <v>18</v>
      </c>
      <c r="F1813" t="s">
        <v>108</v>
      </c>
      <c r="H1813" t="s">
        <v>54</v>
      </c>
      <c r="I1813" t="s">
        <v>27</v>
      </c>
      <c r="J1813">
        <v>25</v>
      </c>
      <c r="K1813">
        <v>1.25</v>
      </c>
      <c r="L1813">
        <v>25</v>
      </c>
      <c r="M1813">
        <v>31.25</v>
      </c>
      <c r="N1813" s="5">
        <v>1.5719315895372235</v>
      </c>
      <c r="O1813" t="s">
        <v>39</v>
      </c>
      <c r="Q1813" t="s">
        <v>84</v>
      </c>
    </row>
    <row r="1814" spans="1:18" hidden="1" x14ac:dyDescent="0.25">
      <c r="A1814" s="2" t="s">
        <v>528</v>
      </c>
      <c r="B1814" s="3" t="str">
        <f t="shared" si="41"/>
        <v>18/6/5</v>
      </c>
      <c r="C1814">
        <v>5</v>
      </c>
      <c r="D1814">
        <v>6</v>
      </c>
      <c r="E1814">
        <v>18</v>
      </c>
      <c r="F1814" t="s">
        <v>71</v>
      </c>
      <c r="I1814" t="s">
        <v>72</v>
      </c>
      <c r="J1814">
        <v>600</v>
      </c>
      <c r="K1814">
        <v>1</v>
      </c>
      <c r="L1814">
        <v>600</v>
      </c>
      <c r="M1814">
        <v>600</v>
      </c>
      <c r="N1814" s="5">
        <v>30.18108651911469</v>
      </c>
      <c r="O1814" t="s">
        <v>562</v>
      </c>
      <c r="P1814" t="s">
        <v>340</v>
      </c>
      <c r="Q1814" t="s">
        <v>24</v>
      </c>
      <c r="R1814" t="s">
        <v>574</v>
      </c>
    </row>
    <row r="1815" spans="1:18" hidden="1" x14ac:dyDescent="0.25">
      <c r="A1815" s="2" t="s">
        <v>528</v>
      </c>
      <c r="B1815" s="3" t="str">
        <f t="shared" si="41"/>
        <v>18/6/5</v>
      </c>
      <c r="C1815">
        <v>5</v>
      </c>
      <c r="D1815">
        <v>6</v>
      </c>
      <c r="E1815">
        <v>18</v>
      </c>
      <c r="F1815" t="s">
        <v>246</v>
      </c>
      <c r="I1815" t="s">
        <v>72</v>
      </c>
      <c r="J1815">
        <v>320</v>
      </c>
      <c r="K1815">
        <v>1</v>
      </c>
      <c r="L1815">
        <v>320</v>
      </c>
      <c r="M1815">
        <v>320</v>
      </c>
      <c r="N1815" s="5">
        <v>16.096579476861169</v>
      </c>
      <c r="O1815" t="s">
        <v>562</v>
      </c>
      <c r="P1815" t="s">
        <v>340</v>
      </c>
      <c r="Q1815" t="s">
        <v>24</v>
      </c>
    </row>
    <row r="1816" spans="1:18" hidden="1" x14ac:dyDescent="0.25">
      <c r="A1816" s="2" t="s">
        <v>528</v>
      </c>
      <c r="B1816" s="3" t="str">
        <f t="shared" si="41"/>
        <v>18/6/5</v>
      </c>
      <c r="C1816">
        <v>5</v>
      </c>
      <c r="D1816">
        <v>6</v>
      </c>
      <c r="E1816">
        <v>18</v>
      </c>
      <c r="F1816" t="s">
        <v>104</v>
      </c>
      <c r="I1816" t="s">
        <v>72</v>
      </c>
      <c r="J1816">
        <v>36.15</v>
      </c>
      <c r="K1816">
        <v>1</v>
      </c>
      <c r="L1816">
        <v>36.15</v>
      </c>
      <c r="M1816">
        <v>36.15</v>
      </c>
      <c r="N1816" s="5">
        <v>1.81841046277666</v>
      </c>
      <c r="O1816" t="s">
        <v>39</v>
      </c>
      <c r="Q1816" t="s">
        <v>24</v>
      </c>
      <c r="R1816" t="s">
        <v>563</v>
      </c>
    </row>
    <row r="1817" spans="1:18" hidden="1" x14ac:dyDescent="0.25">
      <c r="A1817" s="2" t="s">
        <v>528</v>
      </c>
      <c r="B1817" s="3" t="str">
        <f t="shared" si="41"/>
        <v>18/6/5</v>
      </c>
      <c r="C1817">
        <v>5</v>
      </c>
      <c r="D1817">
        <v>6</v>
      </c>
      <c r="E1817">
        <v>18</v>
      </c>
      <c r="F1817" t="s">
        <v>1666</v>
      </c>
      <c r="I1817" t="s">
        <v>72</v>
      </c>
      <c r="J1817">
        <v>66.75</v>
      </c>
      <c r="K1817">
        <v>1</v>
      </c>
      <c r="L1817">
        <v>66.75</v>
      </c>
      <c r="M1817">
        <v>66.75</v>
      </c>
      <c r="N1817" s="5">
        <v>3.3576458752515093</v>
      </c>
      <c r="O1817" t="s">
        <v>39</v>
      </c>
      <c r="Q1817" t="s">
        <v>24</v>
      </c>
      <c r="R1817" t="s">
        <v>564</v>
      </c>
    </row>
    <row r="1818" spans="1:18" hidden="1" x14ac:dyDescent="0.25">
      <c r="A1818" s="2" t="s">
        <v>528</v>
      </c>
      <c r="B1818" s="3" t="str">
        <f t="shared" si="41"/>
        <v>18/6/5</v>
      </c>
      <c r="C1818">
        <v>5</v>
      </c>
      <c r="D1818">
        <v>6</v>
      </c>
      <c r="E1818">
        <v>18</v>
      </c>
      <c r="F1818" t="s">
        <v>104</v>
      </c>
      <c r="I1818" t="s">
        <v>72</v>
      </c>
      <c r="J1818">
        <v>198.35</v>
      </c>
      <c r="K1818">
        <v>1</v>
      </c>
      <c r="L1818">
        <v>198.35</v>
      </c>
      <c r="M1818">
        <v>198.35</v>
      </c>
      <c r="N1818" s="5">
        <v>9.9773641851106643</v>
      </c>
      <c r="O1818" t="s">
        <v>39</v>
      </c>
      <c r="Q1818" t="s">
        <v>24</v>
      </c>
      <c r="R1818" t="s">
        <v>347</v>
      </c>
    </row>
    <row r="1819" spans="1:18" hidden="1" x14ac:dyDescent="0.25">
      <c r="A1819" s="2" t="s">
        <v>528</v>
      </c>
      <c r="B1819" s="3" t="str">
        <f t="shared" si="41"/>
        <v>18/6/5</v>
      </c>
      <c r="C1819">
        <v>5</v>
      </c>
      <c r="D1819">
        <v>6</v>
      </c>
      <c r="E1819">
        <v>18</v>
      </c>
      <c r="F1819" t="s">
        <v>104</v>
      </c>
      <c r="I1819" t="s">
        <v>72</v>
      </c>
      <c r="J1819">
        <v>35.5</v>
      </c>
      <c r="K1819">
        <v>1</v>
      </c>
      <c r="L1819">
        <v>35.5</v>
      </c>
      <c r="M1819">
        <v>35.5</v>
      </c>
      <c r="N1819" s="5">
        <v>1.7857142857142858</v>
      </c>
      <c r="O1819" t="s">
        <v>39</v>
      </c>
      <c r="Q1819" t="s">
        <v>24</v>
      </c>
      <c r="R1819" t="s">
        <v>444</v>
      </c>
    </row>
    <row r="1820" spans="1:18" hidden="1" x14ac:dyDescent="0.25">
      <c r="A1820" s="2" t="s">
        <v>528</v>
      </c>
      <c r="B1820" s="3" t="str">
        <f t="shared" si="41"/>
        <v>18/6/5</v>
      </c>
      <c r="C1820">
        <v>5</v>
      </c>
      <c r="D1820">
        <v>6</v>
      </c>
      <c r="E1820">
        <v>18</v>
      </c>
      <c r="F1820" t="s">
        <v>104</v>
      </c>
      <c r="I1820" t="s">
        <v>72</v>
      </c>
      <c r="J1820">
        <v>154.25</v>
      </c>
      <c r="K1820">
        <v>1</v>
      </c>
      <c r="L1820">
        <v>154.25</v>
      </c>
      <c r="M1820">
        <v>154.25</v>
      </c>
      <c r="N1820" s="5">
        <v>7.7590543259557352</v>
      </c>
      <c r="O1820" t="s">
        <v>39</v>
      </c>
      <c r="Q1820" t="s">
        <v>24</v>
      </c>
      <c r="R1820" t="s">
        <v>565</v>
      </c>
    </row>
    <row r="1821" spans="1:18" hidden="1" x14ac:dyDescent="0.25">
      <c r="A1821" s="2" t="s">
        <v>528</v>
      </c>
      <c r="B1821" s="3" t="str">
        <f t="shared" si="41"/>
        <v>18/6/6</v>
      </c>
      <c r="C1821">
        <v>6</v>
      </c>
      <c r="D1821">
        <v>6</v>
      </c>
      <c r="E1821">
        <v>18</v>
      </c>
      <c r="F1821" t="s">
        <v>566</v>
      </c>
      <c r="H1821" t="s">
        <v>54</v>
      </c>
      <c r="I1821" t="s">
        <v>27</v>
      </c>
      <c r="J1821">
        <v>11</v>
      </c>
      <c r="K1821">
        <v>1</v>
      </c>
      <c r="L1821">
        <v>11</v>
      </c>
      <c r="M1821">
        <v>11</v>
      </c>
      <c r="N1821" s="5">
        <v>0.55331991951710269</v>
      </c>
      <c r="O1821" t="s">
        <v>39</v>
      </c>
      <c r="Q1821" t="s">
        <v>24</v>
      </c>
    </row>
    <row r="1822" spans="1:18" hidden="1" x14ac:dyDescent="0.25">
      <c r="A1822" s="2" t="s">
        <v>528</v>
      </c>
      <c r="B1822" s="3" t="str">
        <f t="shared" si="41"/>
        <v>18/6/6</v>
      </c>
      <c r="C1822">
        <v>6</v>
      </c>
      <c r="D1822">
        <v>6</v>
      </c>
      <c r="E1822">
        <v>18</v>
      </c>
      <c r="F1822" t="s">
        <v>246</v>
      </c>
      <c r="I1822" t="s">
        <v>72</v>
      </c>
      <c r="J1822">
        <v>640</v>
      </c>
      <c r="K1822">
        <v>1</v>
      </c>
      <c r="L1822">
        <v>640</v>
      </c>
      <c r="M1822">
        <v>640</v>
      </c>
      <c r="N1822" s="5">
        <v>32.193158953722339</v>
      </c>
      <c r="O1822" t="s">
        <v>567</v>
      </c>
      <c r="P1822" t="s">
        <v>340</v>
      </c>
      <c r="Q1822" t="s">
        <v>24</v>
      </c>
      <c r="R1822" t="s">
        <v>1491</v>
      </c>
    </row>
    <row r="1823" spans="1:18" hidden="1" x14ac:dyDescent="0.25">
      <c r="A1823" s="2" t="s">
        <v>528</v>
      </c>
      <c r="B1823" s="3" t="str">
        <f t="shared" si="41"/>
        <v>18/6/6</v>
      </c>
      <c r="C1823">
        <v>6</v>
      </c>
      <c r="D1823">
        <v>6</v>
      </c>
      <c r="E1823">
        <v>18</v>
      </c>
      <c r="F1823" t="s">
        <v>568</v>
      </c>
      <c r="H1823" t="s">
        <v>39</v>
      </c>
      <c r="I1823" t="s">
        <v>105</v>
      </c>
      <c r="J1823">
        <v>389.37</v>
      </c>
      <c r="K1823">
        <v>1</v>
      </c>
      <c r="L1823">
        <v>389.37</v>
      </c>
      <c r="M1823">
        <v>389.37</v>
      </c>
      <c r="N1823" s="5">
        <v>19.586016096579478</v>
      </c>
      <c r="O1823" t="s">
        <v>569</v>
      </c>
      <c r="P1823" t="s">
        <v>340</v>
      </c>
      <c r="Q1823" t="s">
        <v>24</v>
      </c>
    </row>
    <row r="1824" spans="1:18" hidden="1" x14ac:dyDescent="0.25">
      <c r="A1824" s="2" t="s">
        <v>528</v>
      </c>
      <c r="B1824" s="3" t="str">
        <f t="shared" si="41"/>
        <v>18/6/6</v>
      </c>
      <c r="C1824">
        <v>6</v>
      </c>
      <c r="D1824">
        <v>6</v>
      </c>
      <c r="E1824">
        <v>18</v>
      </c>
      <c r="F1824" t="s">
        <v>389</v>
      </c>
      <c r="H1824" t="s">
        <v>21</v>
      </c>
      <c r="I1824" t="s">
        <v>22</v>
      </c>
      <c r="J1824">
        <v>4</v>
      </c>
      <c r="K1824">
        <v>2</v>
      </c>
      <c r="L1824">
        <v>4</v>
      </c>
      <c r="M1824" s="13">
        <v>8</v>
      </c>
      <c r="N1824" s="5">
        <v>0.4024144869215292</v>
      </c>
      <c r="O1824" t="s">
        <v>354</v>
      </c>
      <c r="P1824" t="s">
        <v>340</v>
      </c>
      <c r="Q1824" t="s">
        <v>24</v>
      </c>
      <c r="R1824" t="s">
        <v>353</v>
      </c>
    </row>
    <row r="1825" spans="1:18" hidden="1" x14ac:dyDescent="0.25">
      <c r="A1825" s="2" t="s">
        <v>528</v>
      </c>
      <c r="B1825" s="3" t="str">
        <f t="shared" si="41"/>
        <v>18/6/6</v>
      </c>
      <c r="C1825">
        <v>6</v>
      </c>
      <c r="D1825">
        <v>6</v>
      </c>
      <c r="E1825">
        <v>18</v>
      </c>
      <c r="F1825" s="18" t="s">
        <v>483</v>
      </c>
      <c r="H1825" t="s">
        <v>56</v>
      </c>
      <c r="I1825" t="s">
        <v>27</v>
      </c>
      <c r="J1825">
        <v>30</v>
      </c>
      <c r="K1825">
        <v>1.35</v>
      </c>
      <c r="L1825">
        <v>30</v>
      </c>
      <c r="M1825">
        <v>40.5</v>
      </c>
      <c r="N1825" s="5">
        <v>2.0372233400402417</v>
      </c>
      <c r="O1825" t="s">
        <v>39</v>
      </c>
      <c r="Q1825" t="s">
        <v>24</v>
      </c>
    </row>
    <row r="1826" spans="1:18" hidden="1" x14ac:dyDescent="0.25">
      <c r="A1826" s="2" t="s">
        <v>528</v>
      </c>
      <c r="B1826" s="3" t="str">
        <f t="shared" si="41"/>
        <v>18/6/7</v>
      </c>
      <c r="C1826">
        <v>7</v>
      </c>
      <c r="D1826">
        <v>6</v>
      </c>
      <c r="E1826">
        <v>18</v>
      </c>
      <c r="F1826" t="s">
        <v>482</v>
      </c>
      <c r="H1826" t="s">
        <v>54</v>
      </c>
      <c r="I1826" t="s">
        <v>27</v>
      </c>
      <c r="J1826">
        <v>5</v>
      </c>
      <c r="K1826">
        <v>1</v>
      </c>
      <c r="L1826">
        <v>5</v>
      </c>
      <c r="M1826">
        <v>5</v>
      </c>
      <c r="N1826" s="5">
        <v>0.25150905432595577</v>
      </c>
      <c r="O1826" t="s">
        <v>39</v>
      </c>
      <c r="Q1826" t="s">
        <v>24</v>
      </c>
    </row>
    <row r="1827" spans="1:18" hidden="1" x14ac:dyDescent="0.25">
      <c r="A1827" s="2" t="s">
        <v>528</v>
      </c>
      <c r="B1827" s="3" t="str">
        <f t="shared" si="41"/>
        <v>18/6/7</v>
      </c>
      <c r="C1827">
        <v>7</v>
      </c>
      <c r="D1827">
        <v>6</v>
      </c>
      <c r="E1827">
        <v>18</v>
      </c>
      <c r="F1827" t="s">
        <v>165</v>
      </c>
      <c r="G1827" t="s">
        <v>304</v>
      </c>
      <c r="H1827" t="s">
        <v>1593</v>
      </c>
      <c r="I1827" t="s">
        <v>79</v>
      </c>
      <c r="J1827">
        <v>300</v>
      </c>
      <c r="K1827">
        <v>1</v>
      </c>
      <c r="L1827">
        <v>300</v>
      </c>
      <c r="M1827">
        <v>300</v>
      </c>
      <c r="N1827" s="5">
        <v>15.090543259557345</v>
      </c>
      <c r="O1827" t="s">
        <v>39</v>
      </c>
      <c r="Q1827" t="s">
        <v>24</v>
      </c>
      <c r="R1827" t="s">
        <v>1587</v>
      </c>
    </row>
    <row r="1828" spans="1:18" hidden="1" x14ac:dyDescent="0.25">
      <c r="A1828" s="9" t="s">
        <v>528</v>
      </c>
      <c r="B1828" s="3" t="s">
        <v>1308</v>
      </c>
      <c r="C1828" s="10">
        <v>7</v>
      </c>
      <c r="D1828" s="10">
        <v>6</v>
      </c>
      <c r="E1828" s="10">
        <v>18</v>
      </c>
      <c r="F1828" t="s">
        <v>55</v>
      </c>
      <c r="G1828" t="s">
        <v>889</v>
      </c>
      <c r="H1828" t="s">
        <v>56</v>
      </c>
      <c r="I1828" t="s">
        <v>27</v>
      </c>
      <c r="J1828" s="4">
        <v>22.99</v>
      </c>
      <c r="K1828">
        <v>1.53</v>
      </c>
      <c r="L1828">
        <v>22.99</v>
      </c>
      <c r="M1828">
        <v>35.174700000000001</v>
      </c>
      <c r="N1828" s="5">
        <v>1.7804966254218222</v>
      </c>
      <c r="O1828" t="s">
        <v>829</v>
      </c>
      <c r="P1828" t="s">
        <v>340</v>
      </c>
      <c r="Q1828" s="10" t="s">
        <v>1102</v>
      </c>
    </row>
    <row r="1829" spans="1:18" hidden="1" x14ac:dyDescent="0.25">
      <c r="A1829" s="9" t="s">
        <v>528</v>
      </c>
      <c r="B1829" s="3" t="s">
        <v>1308</v>
      </c>
      <c r="C1829" s="10">
        <v>7</v>
      </c>
      <c r="D1829" s="10">
        <v>6</v>
      </c>
      <c r="E1829" s="10">
        <v>18</v>
      </c>
      <c r="F1829" t="s">
        <v>404</v>
      </c>
      <c r="G1829" t="s">
        <v>889</v>
      </c>
      <c r="H1829" t="s">
        <v>54</v>
      </c>
      <c r="I1829" t="s">
        <v>27</v>
      </c>
      <c r="J1829" s="4">
        <v>22.99</v>
      </c>
      <c r="K1829">
        <v>0.81599999999999995</v>
      </c>
      <c r="L1829">
        <v>22.99</v>
      </c>
      <c r="M1829">
        <v>18.759839999999997</v>
      </c>
      <c r="N1829" s="5">
        <v>0.94959820022497166</v>
      </c>
      <c r="O1829" t="s">
        <v>829</v>
      </c>
      <c r="P1829" t="s">
        <v>340</v>
      </c>
      <c r="Q1829" s="10" t="s">
        <v>1102</v>
      </c>
    </row>
    <row r="1830" spans="1:18" hidden="1" x14ac:dyDescent="0.25">
      <c r="A1830" s="9" t="s">
        <v>528</v>
      </c>
      <c r="B1830" s="3" t="s">
        <v>1308</v>
      </c>
      <c r="C1830" s="10">
        <v>7</v>
      </c>
      <c r="D1830" s="10">
        <v>6</v>
      </c>
      <c r="E1830" s="10">
        <v>18</v>
      </c>
      <c r="F1830" t="s">
        <v>1304</v>
      </c>
      <c r="G1830" t="s">
        <v>889</v>
      </c>
      <c r="H1830" t="s">
        <v>56</v>
      </c>
      <c r="I1830" t="s">
        <v>27</v>
      </c>
      <c r="J1830" s="4">
        <v>54.99</v>
      </c>
      <c r="K1830">
        <v>0.26200000000000001</v>
      </c>
      <c r="L1830">
        <v>54.99</v>
      </c>
      <c r="M1830">
        <v>14.407380000000002</v>
      </c>
      <c r="N1830" s="5">
        <v>0.72928245219347587</v>
      </c>
      <c r="O1830" t="s">
        <v>829</v>
      </c>
      <c r="P1830" t="s">
        <v>340</v>
      </c>
      <c r="Q1830" s="10" t="s">
        <v>1102</v>
      </c>
    </row>
    <row r="1831" spans="1:18" hidden="1" x14ac:dyDescent="0.25">
      <c r="A1831" s="9" t="s">
        <v>528</v>
      </c>
      <c r="B1831" s="3" t="s">
        <v>1308</v>
      </c>
      <c r="C1831" s="10">
        <v>7</v>
      </c>
      <c r="D1831" s="10">
        <v>6</v>
      </c>
      <c r="E1831" s="10">
        <v>18</v>
      </c>
      <c r="F1831" t="s">
        <v>997</v>
      </c>
      <c r="G1831" t="s">
        <v>889</v>
      </c>
      <c r="H1831" t="s">
        <v>54</v>
      </c>
      <c r="I1831" t="s">
        <v>27</v>
      </c>
      <c r="J1831" s="4">
        <v>29.99</v>
      </c>
      <c r="K1831">
        <v>0.128</v>
      </c>
      <c r="L1831">
        <v>29.99</v>
      </c>
      <c r="M1831">
        <v>3.8387199999999999</v>
      </c>
      <c r="N1831" s="5">
        <v>0.19431091113610796</v>
      </c>
      <c r="O1831" t="s">
        <v>829</v>
      </c>
      <c r="P1831" t="s">
        <v>340</v>
      </c>
      <c r="Q1831" s="10" t="s">
        <v>1102</v>
      </c>
    </row>
    <row r="1832" spans="1:18" hidden="1" x14ac:dyDescent="0.25">
      <c r="A1832" s="9" t="s">
        <v>528</v>
      </c>
      <c r="B1832" s="3" t="s">
        <v>1308</v>
      </c>
      <c r="C1832" s="10">
        <v>7</v>
      </c>
      <c r="D1832" s="10">
        <v>6</v>
      </c>
      <c r="E1832" s="10">
        <v>18</v>
      </c>
      <c r="F1832" t="s">
        <v>202</v>
      </c>
      <c r="G1832" t="s">
        <v>889</v>
      </c>
      <c r="H1832" t="s">
        <v>54</v>
      </c>
      <c r="I1832" t="s">
        <v>27</v>
      </c>
      <c r="J1832" s="4">
        <v>79.989999999999995</v>
      </c>
      <c r="K1832">
        <v>0.17199999999999999</v>
      </c>
      <c r="L1832">
        <v>79.989999999999995</v>
      </c>
      <c r="M1832">
        <v>13.758279999999997</v>
      </c>
      <c r="N1832" s="5">
        <v>0.6964258717660291</v>
      </c>
      <c r="O1832" t="s">
        <v>829</v>
      </c>
      <c r="P1832" t="s">
        <v>340</v>
      </c>
      <c r="Q1832" s="10" t="s">
        <v>1102</v>
      </c>
    </row>
    <row r="1833" spans="1:18" hidden="1" x14ac:dyDescent="0.25">
      <c r="A1833" s="9" t="s">
        <v>528</v>
      </c>
      <c r="B1833" s="3" t="s">
        <v>1308</v>
      </c>
      <c r="C1833" s="10">
        <v>7</v>
      </c>
      <c r="D1833" s="10">
        <v>6</v>
      </c>
      <c r="E1833" s="10">
        <v>18</v>
      </c>
      <c r="F1833" t="s">
        <v>483</v>
      </c>
      <c r="G1833" t="s">
        <v>889</v>
      </c>
      <c r="H1833" t="s">
        <v>56</v>
      </c>
      <c r="I1833" t="s">
        <v>27</v>
      </c>
      <c r="J1833" s="4">
        <v>54.99</v>
      </c>
      <c r="K1833">
        <v>0.49</v>
      </c>
      <c r="L1833">
        <v>54.99</v>
      </c>
      <c r="M1833">
        <v>26.9451</v>
      </c>
      <c r="N1833" s="5">
        <v>1.3639251968503936</v>
      </c>
      <c r="O1833" t="s">
        <v>829</v>
      </c>
      <c r="P1833" t="s">
        <v>340</v>
      </c>
      <c r="Q1833" s="10" t="s">
        <v>1102</v>
      </c>
    </row>
    <row r="1834" spans="1:18" hidden="1" x14ac:dyDescent="0.25">
      <c r="A1834" s="9" t="s">
        <v>528</v>
      </c>
      <c r="B1834" s="3" t="s">
        <v>1308</v>
      </c>
      <c r="C1834" s="10">
        <v>7</v>
      </c>
      <c r="D1834" s="10">
        <v>6</v>
      </c>
      <c r="E1834" s="10">
        <v>18</v>
      </c>
      <c r="F1834" t="s">
        <v>25</v>
      </c>
      <c r="G1834" t="s">
        <v>25</v>
      </c>
      <c r="H1834" t="s">
        <v>26</v>
      </c>
      <c r="I1834" t="s">
        <v>27</v>
      </c>
      <c r="J1834" s="4">
        <v>23</v>
      </c>
      <c r="K1834">
        <v>1</v>
      </c>
      <c r="L1834">
        <v>23</v>
      </c>
      <c r="M1834">
        <v>23</v>
      </c>
      <c r="N1834" s="5">
        <v>1.1642294713160855</v>
      </c>
      <c r="O1834" t="s">
        <v>829</v>
      </c>
      <c r="P1834" t="s">
        <v>340</v>
      </c>
      <c r="Q1834" s="10" t="s">
        <v>1102</v>
      </c>
    </row>
    <row r="1835" spans="1:18" hidden="1" x14ac:dyDescent="0.25">
      <c r="A1835" s="9" t="s">
        <v>528</v>
      </c>
      <c r="B1835" s="3" t="s">
        <v>1308</v>
      </c>
      <c r="C1835" s="10">
        <v>7</v>
      </c>
      <c r="D1835" s="10">
        <v>6</v>
      </c>
      <c r="E1835" s="10">
        <v>18</v>
      </c>
      <c r="F1835" t="s">
        <v>2242</v>
      </c>
      <c r="G1835" t="s">
        <v>345</v>
      </c>
      <c r="H1835" t="s">
        <v>26</v>
      </c>
      <c r="I1835" t="s">
        <v>27</v>
      </c>
      <c r="J1835" s="4">
        <v>5.9</v>
      </c>
      <c r="K1835">
        <v>1</v>
      </c>
      <c r="L1835">
        <v>5.9</v>
      </c>
      <c r="M1835">
        <v>5.9</v>
      </c>
      <c r="N1835" s="5">
        <v>0.29865016872890887</v>
      </c>
      <c r="O1835" t="s">
        <v>829</v>
      </c>
      <c r="P1835" t="s">
        <v>340</v>
      </c>
      <c r="Q1835" s="10" t="s">
        <v>1102</v>
      </c>
    </row>
    <row r="1836" spans="1:18" hidden="1" x14ac:dyDescent="0.25">
      <c r="A1836" s="9" t="s">
        <v>528</v>
      </c>
      <c r="B1836" s="3" t="s">
        <v>1308</v>
      </c>
      <c r="C1836" s="10">
        <v>7</v>
      </c>
      <c r="D1836" s="10">
        <v>6</v>
      </c>
      <c r="E1836" s="10">
        <v>18</v>
      </c>
      <c r="F1836" t="s">
        <v>146</v>
      </c>
      <c r="H1836" t="s">
        <v>49</v>
      </c>
      <c r="I1836" t="s">
        <v>50</v>
      </c>
      <c r="J1836" s="4">
        <v>1.2</v>
      </c>
      <c r="K1836">
        <v>1</v>
      </c>
      <c r="L1836">
        <v>1.2</v>
      </c>
      <c r="M1836">
        <v>1.2</v>
      </c>
      <c r="N1836" s="5">
        <v>6.074240719910011E-2</v>
      </c>
      <c r="O1836" t="s">
        <v>829</v>
      </c>
      <c r="P1836" t="s">
        <v>340</v>
      </c>
      <c r="Q1836" s="10" t="s">
        <v>1102</v>
      </c>
    </row>
    <row r="1837" spans="1:18" hidden="1" x14ac:dyDescent="0.25">
      <c r="A1837" s="2" t="s">
        <v>528</v>
      </c>
      <c r="B1837" s="3" t="str">
        <f>CONCATENATE(E1837,"/",D1837,"/",C1837)</f>
        <v>18/6/8</v>
      </c>
      <c r="C1837">
        <v>8</v>
      </c>
      <c r="D1837">
        <v>6</v>
      </c>
      <c r="E1837">
        <v>18</v>
      </c>
      <c r="F1837" t="s">
        <v>115</v>
      </c>
      <c r="H1837" t="s">
        <v>364</v>
      </c>
      <c r="I1837" t="s">
        <v>27</v>
      </c>
      <c r="J1837">
        <v>5</v>
      </c>
      <c r="K1837">
        <v>1</v>
      </c>
      <c r="L1837">
        <v>5</v>
      </c>
      <c r="M1837">
        <v>5</v>
      </c>
      <c r="N1837" s="5">
        <v>0.25150905432595577</v>
      </c>
      <c r="O1837" t="s">
        <v>39</v>
      </c>
      <c r="Q1837" t="s">
        <v>24</v>
      </c>
    </row>
    <row r="1838" spans="1:18" hidden="1" x14ac:dyDescent="0.25">
      <c r="A1838" s="2" t="s">
        <v>528</v>
      </c>
      <c r="B1838" s="3" t="str">
        <f>CONCATENATE(E1838,"/",D1838,"/",C1838)</f>
        <v>18/6/8</v>
      </c>
      <c r="C1838">
        <v>8</v>
      </c>
      <c r="D1838">
        <v>6</v>
      </c>
      <c r="E1838">
        <v>18</v>
      </c>
      <c r="F1838" s="18" t="s">
        <v>483</v>
      </c>
      <c r="H1838" t="s">
        <v>56</v>
      </c>
      <c r="I1838" t="s">
        <v>27</v>
      </c>
      <c r="J1838">
        <v>30</v>
      </c>
      <c r="K1838">
        <v>1.1000000000000001</v>
      </c>
      <c r="L1838">
        <v>30</v>
      </c>
      <c r="M1838">
        <v>33</v>
      </c>
      <c r="N1838" s="5">
        <v>1.659959758551308</v>
      </c>
      <c r="O1838" t="s">
        <v>39</v>
      </c>
      <c r="Q1838" t="s">
        <v>24</v>
      </c>
    </row>
    <row r="1839" spans="1:18" hidden="1" x14ac:dyDescent="0.25">
      <c r="A1839" s="2" t="s">
        <v>528</v>
      </c>
      <c r="B1839" s="3" t="str">
        <f>CONCATENATE(E1839,"/",D1839,"/",C1839)</f>
        <v>18/6/9</v>
      </c>
      <c r="C1839">
        <v>9</v>
      </c>
      <c r="D1839">
        <v>6</v>
      </c>
      <c r="E1839">
        <v>18</v>
      </c>
      <c r="F1839" t="s">
        <v>1205</v>
      </c>
      <c r="H1839" t="s">
        <v>54</v>
      </c>
      <c r="I1839" t="s">
        <v>27</v>
      </c>
      <c r="J1839">
        <v>5</v>
      </c>
      <c r="K1839">
        <v>1</v>
      </c>
      <c r="L1839">
        <v>5</v>
      </c>
      <c r="M1839">
        <v>5</v>
      </c>
      <c r="N1839" s="5">
        <v>0.25150905432595577</v>
      </c>
      <c r="O1839" t="s">
        <v>593</v>
      </c>
      <c r="Q1839" t="s">
        <v>24</v>
      </c>
    </row>
    <row r="1840" spans="1:18" hidden="1" x14ac:dyDescent="0.25">
      <c r="A1840" s="9" t="s">
        <v>528</v>
      </c>
      <c r="B1840" s="3" t="str">
        <f>CONCATENATE(E1840,"/",D1840,"/",C1840)</f>
        <v>18/6/9</v>
      </c>
      <c r="C1840" s="10">
        <v>9</v>
      </c>
      <c r="D1840" s="10">
        <v>6</v>
      </c>
      <c r="E1840" s="10">
        <v>18</v>
      </c>
      <c r="F1840" t="s">
        <v>104</v>
      </c>
      <c r="I1840" t="s">
        <v>72</v>
      </c>
      <c r="J1840">
        <v>44.53</v>
      </c>
      <c r="K1840">
        <v>1</v>
      </c>
      <c r="L1840">
        <v>44.53</v>
      </c>
      <c r="M1840">
        <v>44.53</v>
      </c>
      <c r="N1840" s="5">
        <v>2.2431365964234744</v>
      </c>
      <c r="O1840" t="s">
        <v>233</v>
      </c>
      <c r="P1840" t="s">
        <v>340</v>
      </c>
      <c r="Q1840" s="10" t="s">
        <v>24</v>
      </c>
      <c r="R1840" t="s">
        <v>444</v>
      </c>
    </row>
    <row r="1841" spans="1:18" hidden="1" x14ac:dyDescent="0.25">
      <c r="A1841" s="9" t="s">
        <v>528</v>
      </c>
      <c r="B1841" s="3" t="str">
        <f>CONCATENATE(E1841,"/",D1841,"/",C1841)</f>
        <v>18/6/9</v>
      </c>
      <c r="C1841" s="10">
        <v>9</v>
      </c>
      <c r="D1841" s="10">
        <v>6</v>
      </c>
      <c r="E1841" s="10">
        <v>18</v>
      </c>
      <c r="F1841" t="s">
        <v>104</v>
      </c>
      <c r="I1841" t="s">
        <v>72</v>
      </c>
      <c r="J1841">
        <v>39.659999999999997</v>
      </c>
      <c r="K1841">
        <v>1</v>
      </c>
      <c r="L1841">
        <v>39.659999999999997</v>
      </c>
      <c r="M1841">
        <v>39.659999999999997</v>
      </c>
      <c r="N1841" s="5">
        <v>1.9978171438166403</v>
      </c>
      <c r="O1841" t="s">
        <v>233</v>
      </c>
      <c r="P1841" t="s">
        <v>340</v>
      </c>
      <c r="Q1841" s="10" t="s">
        <v>24</v>
      </c>
      <c r="R1841" t="s">
        <v>570</v>
      </c>
    </row>
    <row r="1842" spans="1:18" hidden="1" x14ac:dyDescent="0.25">
      <c r="A1842" s="36" t="str">
        <f>IF(D1842=1,"Jan-18",IF(D1842=2,"Feb-18",IF(D1842=3,"Mar-18",IF(D1842=4,"Apr-18",IF(D1842=5,"May-18",IF(D1842=6,"Jun-18",(IF(D1842=7,"Jul-18",IF(D1842=8,"Aug-18",IF(D1842=9,"Sep-18",IF(D1842=10,"Oct-18",IF(D1842=11,"Nov-18",IF(D1842=12,"Dec-18","...")))))))))))))</f>
        <v>Jun-18</v>
      </c>
      <c r="B1842" s="3" t="s">
        <v>1276</v>
      </c>
      <c r="C1842" s="10">
        <v>9</v>
      </c>
      <c r="D1842" s="10">
        <v>6</v>
      </c>
      <c r="E1842" s="10">
        <v>18</v>
      </c>
      <c r="F1842" t="s">
        <v>580</v>
      </c>
      <c r="G1842" t="s">
        <v>889</v>
      </c>
      <c r="H1842" t="s">
        <v>54</v>
      </c>
      <c r="I1842" t="s">
        <v>27</v>
      </c>
      <c r="J1842" s="4">
        <v>29.9</v>
      </c>
      <c r="K1842">
        <v>1</v>
      </c>
      <c r="L1842">
        <v>29.9</v>
      </c>
      <c r="M1842">
        <v>29.9</v>
      </c>
      <c r="N1842" s="5">
        <v>1.513498312710911</v>
      </c>
      <c r="O1842" t="s">
        <v>1472</v>
      </c>
      <c r="P1842" t="s">
        <v>340</v>
      </c>
      <c r="Q1842" s="10" t="s">
        <v>1102</v>
      </c>
    </row>
    <row r="1843" spans="1:18" hidden="1" x14ac:dyDescent="0.25">
      <c r="A1843" s="9" t="s">
        <v>528</v>
      </c>
      <c r="B1843" s="3" t="s">
        <v>1276</v>
      </c>
      <c r="C1843" s="10">
        <v>9</v>
      </c>
      <c r="D1843" s="10">
        <v>6</v>
      </c>
      <c r="E1843" s="10">
        <v>18</v>
      </c>
      <c r="F1843" t="s">
        <v>358</v>
      </c>
      <c r="G1843" t="s">
        <v>889</v>
      </c>
      <c r="H1843" t="s">
        <v>63</v>
      </c>
      <c r="I1843" t="s">
        <v>50</v>
      </c>
      <c r="J1843" s="4">
        <v>59</v>
      </c>
      <c r="K1843">
        <v>1</v>
      </c>
      <c r="L1843">
        <v>59</v>
      </c>
      <c r="M1843">
        <v>59</v>
      </c>
      <c r="N1843" s="5">
        <v>2.9865016872890888</v>
      </c>
      <c r="O1843" t="s">
        <v>187</v>
      </c>
      <c r="P1843" t="s">
        <v>340</v>
      </c>
      <c r="Q1843" s="10" t="s">
        <v>24</v>
      </c>
    </row>
    <row r="1844" spans="1:18" hidden="1" x14ac:dyDescent="0.25">
      <c r="A1844" s="9" t="s">
        <v>528</v>
      </c>
      <c r="B1844" s="3" t="s">
        <v>1276</v>
      </c>
      <c r="C1844" s="10">
        <v>9</v>
      </c>
      <c r="D1844" s="10">
        <v>6</v>
      </c>
      <c r="E1844" s="10">
        <v>18</v>
      </c>
      <c r="F1844" t="s">
        <v>81</v>
      </c>
      <c r="G1844" t="s">
        <v>889</v>
      </c>
      <c r="H1844" t="s">
        <v>63</v>
      </c>
      <c r="I1844" t="s">
        <v>50</v>
      </c>
      <c r="J1844" s="4">
        <v>913</v>
      </c>
      <c r="K1844">
        <v>2</v>
      </c>
      <c r="L1844">
        <v>913</v>
      </c>
      <c r="M1844">
        <v>1826</v>
      </c>
      <c r="N1844" s="5">
        <v>92.429696287964006</v>
      </c>
      <c r="O1844" t="s">
        <v>187</v>
      </c>
      <c r="P1844" t="s">
        <v>340</v>
      </c>
      <c r="Q1844" s="10" t="s">
        <v>84</v>
      </c>
      <c r="R1844" t="s">
        <v>1425</v>
      </c>
    </row>
    <row r="1845" spans="1:18" hidden="1" x14ac:dyDescent="0.25">
      <c r="A1845" s="9" t="s">
        <v>528</v>
      </c>
      <c r="B1845" s="3" t="s">
        <v>1276</v>
      </c>
      <c r="C1845" s="10">
        <v>9</v>
      </c>
      <c r="D1845" s="10">
        <v>6</v>
      </c>
      <c r="E1845" s="10">
        <v>18</v>
      </c>
      <c r="F1845" t="s">
        <v>102</v>
      </c>
      <c r="H1845" t="s">
        <v>102</v>
      </c>
      <c r="I1845" t="s">
        <v>27</v>
      </c>
      <c r="J1845" s="4">
        <v>30.22</v>
      </c>
      <c r="K1845">
        <v>1</v>
      </c>
      <c r="L1845">
        <v>30.22</v>
      </c>
      <c r="M1845">
        <v>30.22</v>
      </c>
      <c r="N1845" s="5">
        <v>1.5296962879640044</v>
      </c>
      <c r="O1845" t="s">
        <v>233</v>
      </c>
      <c r="P1845" t="s">
        <v>340</v>
      </c>
      <c r="Q1845" s="10" t="s">
        <v>24</v>
      </c>
      <c r="R1845" t="s">
        <v>1031</v>
      </c>
    </row>
    <row r="1846" spans="1:18" hidden="1" x14ac:dyDescent="0.25">
      <c r="A1846" s="9" t="s">
        <v>528</v>
      </c>
      <c r="B1846" s="3" t="s">
        <v>1276</v>
      </c>
      <c r="C1846" s="10">
        <v>9</v>
      </c>
      <c r="D1846" s="10">
        <v>6</v>
      </c>
      <c r="E1846" s="10">
        <v>18</v>
      </c>
      <c r="F1846" t="s">
        <v>102</v>
      </c>
      <c r="H1846" t="s">
        <v>102</v>
      </c>
      <c r="I1846" t="s">
        <v>27</v>
      </c>
      <c r="J1846" s="4">
        <v>30.22</v>
      </c>
      <c r="K1846">
        <v>1</v>
      </c>
      <c r="L1846">
        <v>30.22</v>
      </c>
      <c r="M1846">
        <v>30.22</v>
      </c>
      <c r="N1846" s="5">
        <v>1.5296962879640044</v>
      </c>
      <c r="O1846" t="s">
        <v>233</v>
      </c>
      <c r="P1846" t="s">
        <v>340</v>
      </c>
      <c r="Q1846" s="10" t="s">
        <v>24</v>
      </c>
      <c r="R1846" t="s">
        <v>1426</v>
      </c>
    </row>
    <row r="1847" spans="1:18" hidden="1" x14ac:dyDescent="0.25">
      <c r="A1847" s="2" t="s">
        <v>572</v>
      </c>
      <c r="B1847" s="3" t="str">
        <f>CONCATENATE(E1847,"/",D1847,"/",C1847)</f>
        <v>18/7/10</v>
      </c>
      <c r="C1847">
        <v>10</v>
      </c>
      <c r="D1847">
        <v>7</v>
      </c>
      <c r="E1847">
        <v>18</v>
      </c>
      <c r="F1847" t="s">
        <v>573</v>
      </c>
      <c r="I1847" t="s">
        <v>72</v>
      </c>
      <c r="J1847">
        <v>110</v>
      </c>
      <c r="K1847">
        <v>1</v>
      </c>
      <c r="L1847">
        <v>110</v>
      </c>
      <c r="M1847">
        <v>110</v>
      </c>
      <c r="N1847" s="5">
        <v>5.5331991951710267</v>
      </c>
      <c r="O1847" t="s">
        <v>39</v>
      </c>
      <c r="Q1847" t="s">
        <v>24</v>
      </c>
    </row>
    <row r="1848" spans="1:18" hidden="1" x14ac:dyDescent="0.25">
      <c r="A1848" s="2" t="s">
        <v>572</v>
      </c>
      <c r="B1848" s="3" t="str">
        <f>CONCATENATE(E1848,"/",D1848,"/",C1848)</f>
        <v>18/7/11</v>
      </c>
      <c r="C1848" s="10">
        <v>11</v>
      </c>
      <c r="D1848" s="10">
        <v>7</v>
      </c>
      <c r="E1848">
        <v>18</v>
      </c>
      <c r="F1848" t="s">
        <v>71</v>
      </c>
      <c r="I1848" t="s">
        <v>72</v>
      </c>
      <c r="J1848">
        <v>450</v>
      </c>
      <c r="K1848">
        <v>1</v>
      </c>
      <c r="L1848">
        <v>450</v>
      </c>
      <c r="M1848">
        <v>450</v>
      </c>
      <c r="N1848" s="5">
        <v>22.668121904122245</v>
      </c>
      <c r="O1848" t="s">
        <v>562</v>
      </c>
      <c r="P1848" t="s">
        <v>340</v>
      </c>
      <c r="Q1848" s="10" t="s">
        <v>24</v>
      </c>
      <c r="R1848" t="s">
        <v>574</v>
      </c>
    </row>
    <row r="1849" spans="1:18" hidden="1" x14ac:dyDescent="0.25">
      <c r="A1849" s="9" t="s">
        <v>572</v>
      </c>
      <c r="B1849" s="3" t="s">
        <v>1307</v>
      </c>
      <c r="C1849" s="10">
        <v>11</v>
      </c>
      <c r="D1849" s="10">
        <v>7</v>
      </c>
      <c r="E1849" s="10">
        <v>18</v>
      </c>
      <c r="F1849" t="s">
        <v>47</v>
      </c>
      <c r="G1849" t="s">
        <v>31</v>
      </c>
      <c r="H1849" t="s">
        <v>26</v>
      </c>
      <c r="I1849" t="s">
        <v>27</v>
      </c>
      <c r="J1849" s="4">
        <v>6.2</v>
      </c>
      <c r="K1849">
        <v>1</v>
      </c>
      <c r="L1849">
        <v>6.2</v>
      </c>
      <c r="M1849">
        <v>6.2</v>
      </c>
      <c r="N1849" s="5">
        <v>0.31383577052868389</v>
      </c>
      <c r="O1849" t="s">
        <v>829</v>
      </c>
      <c r="P1849" t="s">
        <v>340</v>
      </c>
      <c r="Q1849" s="10" t="s">
        <v>1102</v>
      </c>
    </row>
    <row r="1850" spans="1:18" hidden="1" x14ac:dyDescent="0.25">
      <c r="A1850" s="9" t="s">
        <v>572</v>
      </c>
      <c r="B1850" s="3" t="s">
        <v>1307</v>
      </c>
      <c r="C1850" s="10">
        <v>11</v>
      </c>
      <c r="D1850" s="10">
        <v>7</v>
      </c>
      <c r="E1850" s="10">
        <v>18</v>
      </c>
      <c r="F1850" t="s">
        <v>166</v>
      </c>
      <c r="G1850" t="s">
        <v>77</v>
      </c>
      <c r="H1850" t="s">
        <v>26</v>
      </c>
      <c r="I1850" t="s">
        <v>27</v>
      </c>
      <c r="J1850" s="4">
        <v>18</v>
      </c>
      <c r="K1850">
        <v>1</v>
      </c>
      <c r="L1850">
        <v>18</v>
      </c>
      <c r="M1850">
        <v>18</v>
      </c>
      <c r="N1850" s="5">
        <v>0.91113610798650169</v>
      </c>
      <c r="O1850" t="s">
        <v>829</v>
      </c>
      <c r="P1850" t="s">
        <v>340</v>
      </c>
      <c r="Q1850" s="10" t="s">
        <v>1102</v>
      </c>
    </row>
    <row r="1851" spans="1:18" hidden="1" x14ac:dyDescent="0.25">
      <c r="A1851" s="9" t="s">
        <v>572</v>
      </c>
      <c r="B1851" s="3" t="s">
        <v>1307</v>
      </c>
      <c r="C1851" s="10">
        <v>11</v>
      </c>
      <c r="D1851" s="10">
        <v>7</v>
      </c>
      <c r="E1851" s="10">
        <v>18</v>
      </c>
      <c r="F1851" t="s">
        <v>202</v>
      </c>
      <c r="G1851" t="s">
        <v>889</v>
      </c>
      <c r="H1851" t="s">
        <v>54</v>
      </c>
      <c r="I1851" t="s">
        <v>27</v>
      </c>
      <c r="J1851" s="4">
        <v>79.989999999999995</v>
      </c>
      <c r="K1851">
        <v>0.33400000000000002</v>
      </c>
      <c r="L1851">
        <v>79.989999999999995</v>
      </c>
      <c r="M1851">
        <v>26.716660000000001</v>
      </c>
      <c r="N1851" s="5">
        <v>1.3523618672665916</v>
      </c>
      <c r="O1851" t="s">
        <v>829</v>
      </c>
      <c r="P1851" t="s">
        <v>340</v>
      </c>
      <c r="Q1851" s="10" t="s">
        <v>1102</v>
      </c>
    </row>
    <row r="1852" spans="1:18" hidden="1" x14ac:dyDescent="0.25">
      <c r="A1852" s="9" t="s">
        <v>572</v>
      </c>
      <c r="B1852" s="3" t="s">
        <v>1307</v>
      </c>
      <c r="C1852" s="10">
        <v>11</v>
      </c>
      <c r="D1852" s="10">
        <v>7</v>
      </c>
      <c r="E1852" s="10">
        <v>18</v>
      </c>
      <c r="F1852" t="s">
        <v>555</v>
      </c>
      <c r="G1852" t="s">
        <v>889</v>
      </c>
      <c r="H1852" t="s">
        <v>54</v>
      </c>
      <c r="I1852" t="s">
        <v>27</v>
      </c>
      <c r="J1852" s="4">
        <v>24.99</v>
      </c>
      <c r="K1852">
        <v>0.27800000000000002</v>
      </c>
      <c r="L1852">
        <v>24.99</v>
      </c>
      <c r="M1852">
        <v>6.9472200000000006</v>
      </c>
      <c r="N1852" s="5">
        <v>0.35165905511811024</v>
      </c>
      <c r="O1852" t="s">
        <v>829</v>
      </c>
      <c r="P1852" t="s">
        <v>340</v>
      </c>
      <c r="Q1852" s="10" t="s">
        <v>1102</v>
      </c>
    </row>
    <row r="1853" spans="1:18" hidden="1" x14ac:dyDescent="0.25">
      <c r="A1853" s="9" t="s">
        <v>572</v>
      </c>
      <c r="B1853" s="3" t="s">
        <v>1307</v>
      </c>
      <c r="C1853" s="10">
        <v>11</v>
      </c>
      <c r="D1853" s="10">
        <v>7</v>
      </c>
      <c r="E1853" s="10">
        <v>18</v>
      </c>
      <c r="F1853" t="s">
        <v>590</v>
      </c>
      <c r="G1853" t="s">
        <v>31</v>
      </c>
      <c r="H1853" t="s">
        <v>26</v>
      </c>
      <c r="I1853" t="s">
        <v>27</v>
      </c>
      <c r="J1853" s="4">
        <v>12</v>
      </c>
      <c r="K1853">
        <v>1</v>
      </c>
      <c r="L1853">
        <v>12</v>
      </c>
      <c r="M1853">
        <v>12</v>
      </c>
      <c r="N1853" s="5">
        <v>0.60742407199100112</v>
      </c>
      <c r="O1853" t="s">
        <v>829</v>
      </c>
      <c r="P1853" t="s">
        <v>340</v>
      </c>
      <c r="Q1853" s="10" t="s">
        <v>1102</v>
      </c>
    </row>
    <row r="1854" spans="1:18" hidden="1" x14ac:dyDescent="0.25">
      <c r="A1854" s="9" t="s">
        <v>572</v>
      </c>
      <c r="B1854" s="3" t="s">
        <v>1307</v>
      </c>
      <c r="C1854" s="10">
        <v>11</v>
      </c>
      <c r="D1854" s="10">
        <v>7</v>
      </c>
      <c r="E1854" s="10">
        <v>18</v>
      </c>
      <c r="F1854" t="s">
        <v>109</v>
      </c>
      <c r="G1854" t="s">
        <v>889</v>
      </c>
      <c r="H1854" t="s">
        <v>54</v>
      </c>
      <c r="I1854" t="s">
        <v>27</v>
      </c>
      <c r="J1854" s="4">
        <v>10.99</v>
      </c>
      <c r="K1854">
        <v>0.16600000000000001</v>
      </c>
      <c r="L1854">
        <v>10.99</v>
      </c>
      <c r="M1854">
        <v>1.8243400000000001</v>
      </c>
      <c r="N1854" s="5">
        <v>9.2345669291338583E-2</v>
      </c>
      <c r="O1854" t="s">
        <v>829</v>
      </c>
      <c r="P1854" t="s">
        <v>340</v>
      </c>
      <c r="Q1854" s="10" t="s">
        <v>1102</v>
      </c>
    </row>
    <row r="1855" spans="1:18" hidden="1" x14ac:dyDescent="0.25">
      <c r="A1855" s="9" t="s">
        <v>572</v>
      </c>
      <c r="B1855" s="3" t="s">
        <v>1307</v>
      </c>
      <c r="C1855" s="10">
        <v>11</v>
      </c>
      <c r="D1855" s="10">
        <v>7</v>
      </c>
      <c r="E1855" s="10">
        <v>18</v>
      </c>
      <c r="F1855" t="s">
        <v>1302</v>
      </c>
      <c r="G1855" t="s">
        <v>889</v>
      </c>
      <c r="H1855" t="s">
        <v>39</v>
      </c>
      <c r="I1855" t="s">
        <v>27</v>
      </c>
      <c r="J1855" s="4">
        <v>20</v>
      </c>
      <c r="K1855">
        <v>1</v>
      </c>
      <c r="L1855">
        <v>20</v>
      </c>
      <c r="M1855">
        <v>20</v>
      </c>
      <c r="N1855" s="5">
        <v>1.0123734533183351</v>
      </c>
      <c r="O1855" t="s">
        <v>829</v>
      </c>
      <c r="P1855" t="s">
        <v>340</v>
      </c>
      <c r="Q1855" s="10" t="s">
        <v>1102</v>
      </c>
    </row>
    <row r="1856" spans="1:18" hidden="1" x14ac:dyDescent="0.25">
      <c r="A1856" s="9" t="s">
        <v>572</v>
      </c>
      <c r="B1856" s="3" t="s">
        <v>1307</v>
      </c>
      <c r="C1856" s="10">
        <v>11</v>
      </c>
      <c r="D1856" s="10">
        <v>7</v>
      </c>
      <c r="E1856" s="10">
        <v>18</v>
      </c>
      <c r="F1856" t="s">
        <v>401</v>
      </c>
      <c r="G1856" t="s">
        <v>889</v>
      </c>
      <c r="H1856" t="s">
        <v>39</v>
      </c>
      <c r="I1856" t="s">
        <v>27</v>
      </c>
      <c r="J1856" s="4">
        <v>26.5</v>
      </c>
      <c r="K1856">
        <v>1</v>
      </c>
      <c r="L1856">
        <v>26.5</v>
      </c>
      <c r="M1856">
        <v>26.5</v>
      </c>
      <c r="N1856" s="5">
        <v>1.341394825646794</v>
      </c>
      <c r="O1856" t="s">
        <v>829</v>
      </c>
      <c r="P1856" t="s">
        <v>340</v>
      </c>
      <c r="Q1856" s="10" t="s">
        <v>1102</v>
      </c>
    </row>
    <row r="1857" spans="1:18" hidden="1" x14ac:dyDescent="0.25">
      <c r="A1857" s="9" t="s">
        <v>572</v>
      </c>
      <c r="B1857" s="3" t="s">
        <v>1307</v>
      </c>
      <c r="C1857" s="10">
        <v>11</v>
      </c>
      <c r="D1857" s="10">
        <v>7</v>
      </c>
      <c r="E1857" s="10">
        <v>18</v>
      </c>
      <c r="F1857" t="s">
        <v>1303</v>
      </c>
      <c r="G1857" t="s">
        <v>889</v>
      </c>
      <c r="H1857" t="s">
        <v>39</v>
      </c>
      <c r="I1857" t="s">
        <v>27</v>
      </c>
      <c r="J1857" s="4">
        <v>18.5</v>
      </c>
      <c r="K1857">
        <v>1</v>
      </c>
      <c r="L1857">
        <v>18.5</v>
      </c>
      <c r="M1857">
        <v>18.5</v>
      </c>
      <c r="N1857" s="5">
        <v>0.93644544431945997</v>
      </c>
      <c r="O1857" t="s">
        <v>829</v>
      </c>
      <c r="P1857" t="s">
        <v>340</v>
      </c>
      <c r="Q1857" s="10" t="s">
        <v>1102</v>
      </c>
    </row>
    <row r="1858" spans="1:18" hidden="1" x14ac:dyDescent="0.25">
      <c r="A1858" s="9" t="s">
        <v>572</v>
      </c>
      <c r="B1858" s="3" t="s">
        <v>1307</v>
      </c>
      <c r="C1858" s="10">
        <v>11</v>
      </c>
      <c r="D1858" s="10">
        <v>7</v>
      </c>
      <c r="E1858" s="10">
        <v>18</v>
      </c>
      <c r="F1858" t="s">
        <v>1288</v>
      </c>
      <c r="G1858" t="s">
        <v>889</v>
      </c>
      <c r="H1858" t="s">
        <v>65</v>
      </c>
      <c r="I1858" t="s">
        <v>27</v>
      </c>
      <c r="J1858" s="4">
        <v>9.65</v>
      </c>
      <c r="K1858">
        <v>4</v>
      </c>
      <c r="L1858">
        <v>9.65</v>
      </c>
      <c r="M1858">
        <v>38.6</v>
      </c>
      <c r="N1858" s="5">
        <v>1.953880764904387</v>
      </c>
      <c r="O1858" t="s">
        <v>46</v>
      </c>
      <c r="P1858" t="s">
        <v>340</v>
      </c>
      <c r="Q1858" s="10" t="s">
        <v>1102</v>
      </c>
    </row>
    <row r="1859" spans="1:18" hidden="1" x14ac:dyDescent="0.25">
      <c r="A1859" s="2" t="s">
        <v>572</v>
      </c>
      <c r="B1859" s="3" t="str">
        <f t="shared" ref="B1859:B1896" si="42">CONCATENATE(E1859,"/",D1859,"/",C1859)</f>
        <v>18/7/12</v>
      </c>
      <c r="C1859" s="18">
        <v>12</v>
      </c>
      <c r="D1859" s="18">
        <v>7</v>
      </c>
      <c r="E1859">
        <v>18</v>
      </c>
      <c r="F1859" t="s">
        <v>52</v>
      </c>
      <c r="H1859" t="s">
        <v>53</v>
      </c>
      <c r="I1859" t="s">
        <v>27</v>
      </c>
      <c r="J1859">
        <v>29.99</v>
      </c>
      <c r="K1859">
        <v>4</v>
      </c>
      <c r="L1859" s="12">
        <v>29.99</v>
      </c>
      <c r="M1859" s="21">
        <v>119.96</v>
      </c>
      <c r="N1859" s="22">
        <v>6.0342052313883299</v>
      </c>
      <c r="O1859" s="6" t="s">
        <v>51</v>
      </c>
      <c r="P1859" t="s">
        <v>340</v>
      </c>
      <c r="Q1859" s="6" t="s">
        <v>24</v>
      </c>
      <c r="R1859" s="6"/>
    </row>
    <row r="1860" spans="1:18" hidden="1" x14ac:dyDescent="0.25">
      <c r="A1860" s="2" t="s">
        <v>572</v>
      </c>
      <c r="B1860" s="3" t="str">
        <f t="shared" si="42"/>
        <v>18/7/12</v>
      </c>
      <c r="C1860" s="18">
        <v>12</v>
      </c>
      <c r="D1860" s="18">
        <v>7</v>
      </c>
      <c r="E1860">
        <v>18</v>
      </c>
      <c r="F1860" s="18" t="s">
        <v>75</v>
      </c>
      <c r="H1860" t="s">
        <v>65</v>
      </c>
      <c r="I1860" t="s">
        <v>27</v>
      </c>
      <c r="J1860">
        <v>10.75</v>
      </c>
      <c r="K1860">
        <v>1</v>
      </c>
      <c r="L1860" s="12">
        <v>10.75</v>
      </c>
      <c r="M1860" s="21">
        <v>10.75</v>
      </c>
      <c r="N1860" s="22">
        <v>0.5407444668008049</v>
      </c>
      <c r="O1860" s="6" t="s">
        <v>100</v>
      </c>
      <c r="P1860" t="s">
        <v>340</v>
      </c>
      <c r="Q1860" s="6" t="s">
        <v>24</v>
      </c>
      <c r="R1860" s="6"/>
    </row>
    <row r="1861" spans="1:18" hidden="1" x14ac:dyDescent="0.25">
      <c r="A1861" s="2" t="s">
        <v>572</v>
      </c>
      <c r="B1861" s="3" t="str">
        <f t="shared" si="42"/>
        <v>18/7/12</v>
      </c>
      <c r="C1861" s="18">
        <v>12</v>
      </c>
      <c r="D1861" s="18">
        <v>7</v>
      </c>
      <c r="E1861">
        <v>18</v>
      </c>
      <c r="F1861" t="s">
        <v>372</v>
      </c>
      <c r="G1861" t="s">
        <v>373</v>
      </c>
      <c r="H1861" t="s">
        <v>65</v>
      </c>
      <c r="I1861" t="s">
        <v>27</v>
      </c>
      <c r="J1861">
        <v>9</v>
      </c>
      <c r="K1861">
        <v>3</v>
      </c>
      <c r="L1861" s="12">
        <v>9</v>
      </c>
      <c r="M1861" s="21">
        <v>27</v>
      </c>
      <c r="N1861" s="22">
        <v>1.3581488933601611</v>
      </c>
      <c r="O1861" s="6" t="s">
        <v>100</v>
      </c>
      <c r="P1861" t="s">
        <v>340</v>
      </c>
      <c r="Q1861" s="6" t="s">
        <v>24</v>
      </c>
      <c r="R1861" s="6"/>
    </row>
    <row r="1862" spans="1:18" hidden="1" x14ac:dyDescent="0.25">
      <c r="A1862" s="2" t="s">
        <v>572</v>
      </c>
      <c r="B1862" s="3" t="str">
        <f t="shared" si="42"/>
        <v>18/7/12</v>
      </c>
      <c r="C1862" s="18">
        <v>12</v>
      </c>
      <c r="D1862" s="18">
        <v>7</v>
      </c>
      <c r="E1862">
        <v>18</v>
      </c>
      <c r="F1862" t="s">
        <v>118</v>
      </c>
      <c r="H1862" t="s">
        <v>40</v>
      </c>
      <c r="I1862" t="s">
        <v>27</v>
      </c>
      <c r="J1862">
        <v>10</v>
      </c>
      <c r="K1862">
        <v>1</v>
      </c>
      <c r="L1862" s="12">
        <v>10</v>
      </c>
      <c r="M1862" s="21">
        <v>10</v>
      </c>
      <c r="N1862" s="22">
        <v>0.50301810865191154</v>
      </c>
      <c r="O1862" s="6" t="s">
        <v>100</v>
      </c>
      <c r="P1862" t="s">
        <v>340</v>
      </c>
      <c r="Q1862" s="6" t="s">
        <v>24</v>
      </c>
      <c r="R1862" s="6"/>
    </row>
    <row r="1863" spans="1:18" hidden="1" x14ac:dyDescent="0.25">
      <c r="A1863" s="2" t="s">
        <v>572</v>
      </c>
      <c r="B1863" s="3" t="str">
        <f t="shared" si="42"/>
        <v>18/7/12</v>
      </c>
      <c r="C1863" s="18">
        <v>12</v>
      </c>
      <c r="D1863" s="18">
        <v>7</v>
      </c>
      <c r="E1863">
        <v>18</v>
      </c>
      <c r="F1863" t="s">
        <v>575</v>
      </c>
      <c r="G1863" t="s">
        <v>31</v>
      </c>
      <c r="H1863" t="s">
        <v>26</v>
      </c>
      <c r="I1863" t="s">
        <v>27</v>
      </c>
      <c r="J1863">
        <v>12.9</v>
      </c>
      <c r="K1863">
        <v>1</v>
      </c>
      <c r="L1863" s="12">
        <v>12.9</v>
      </c>
      <c r="M1863" s="21">
        <v>12.9</v>
      </c>
      <c r="N1863" s="22">
        <v>0.64889336016096588</v>
      </c>
      <c r="O1863" s="6" t="s">
        <v>100</v>
      </c>
      <c r="P1863" t="s">
        <v>340</v>
      </c>
      <c r="Q1863" s="6" t="s">
        <v>24</v>
      </c>
      <c r="R1863" s="6"/>
    </row>
    <row r="1864" spans="1:18" hidden="1" x14ac:dyDescent="0.25">
      <c r="A1864" s="2" t="s">
        <v>572</v>
      </c>
      <c r="B1864" s="3" t="str">
        <f t="shared" si="42"/>
        <v>18/7/12</v>
      </c>
      <c r="C1864" s="18">
        <v>12</v>
      </c>
      <c r="D1864" s="18">
        <v>7</v>
      </c>
      <c r="E1864">
        <v>18</v>
      </c>
      <c r="F1864" s="7" t="s">
        <v>576</v>
      </c>
      <c r="H1864" t="s">
        <v>63</v>
      </c>
      <c r="I1864" t="s">
        <v>50</v>
      </c>
      <c r="J1864">
        <v>33.479999999999997</v>
      </c>
      <c r="K1864">
        <v>1</v>
      </c>
      <c r="L1864" s="12">
        <v>33.479999999999997</v>
      </c>
      <c r="M1864" s="21">
        <v>33.479999999999997</v>
      </c>
      <c r="N1864" s="22">
        <v>1.6841046277665994</v>
      </c>
      <c r="O1864" s="6" t="s">
        <v>51</v>
      </c>
      <c r="P1864" t="s">
        <v>340</v>
      </c>
      <c r="Q1864" s="6" t="s">
        <v>24</v>
      </c>
      <c r="R1864" s="6"/>
    </row>
    <row r="1865" spans="1:18" hidden="1" x14ac:dyDescent="0.25">
      <c r="A1865" s="2" t="s">
        <v>572</v>
      </c>
      <c r="B1865" s="3" t="str">
        <f t="shared" si="42"/>
        <v>18/7/12</v>
      </c>
      <c r="C1865" s="18">
        <v>12</v>
      </c>
      <c r="D1865" s="18">
        <v>7</v>
      </c>
      <c r="E1865">
        <v>18</v>
      </c>
      <c r="F1865" s="7" t="s">
        <v>577</v>
      </c>
      <c r="H1865" t="s">
        <v>49</v>
      </c>
      <c r="I1865" t="s">
        <v>50</v>
      </c>
      <c r="J1865">
        <v>167.88</v>
      </c>
      <c r="K1865">
        <v>1</v>
      </c>
      <c r="L1865" s="12">
        <v>167.88</v>
      </c>
      <c r="M1865" s="21">
        <v>167.88</v>
      </c>
      <c r="N1865" s="22">
        <v>8.4446680080482892</v>
      </c>
      <c r="O1865" s="6" t="s">
        <v>51</v>
      </c>
      <c r="P1865" t="s">
        <v>340</v>
      </c>
      <c r="Q1865" s="6" t="s">
        <v>24</v>
      </c>
      <c r="R1865" s="6"/>
    </row>
    <row r="1866" spans="1:18" hidden="1" x14ac:dyDescent="0.25">
      <c r="A1866" s="2" t="s">
        <v>572</v>
      </c>
      <c r="B1866" s="3" t="str">
        <f t="shared" si="42"/>
        <v>18/7/12</v>
      </c>
      <c r="C1866" s="18">
        <v>12</v>
      </c>
      <c r="D1866" s="18">
        <v>7</v>
      </c>
      <c r="E1866">
        <v>18</v>
      </c>
      <c r="F1866" s="7" t="s">
        <v>578</v>
      </c>
      <c r="H1866" t="s">
        <v>49</v>
      </c>
      <c r="I1866" t="s">
        <v>50</v>
      </c>
      <c r="J1866">
        <v>19.899999999999999</v>
      </c>
      <c r="K1866">
        <v>1</v>
      </c>
      <c r="L1866" s="12">
        <v>19.899999999999999</v>
      </c>
      <c r="M1866" s="21">
        <v>19.899999999999999</v>
      </c>
      <c r="N1866" s="22">
        <v>1.0010060362173039</v>
      </c>
      <c r="O1866" s="6" t="s">
        <v>51</v>
      </c>
      <c r="P1866" t="s">
        <v>340</v>
      </c>
      <c r="Q1866" s="6" t="s">
        <v>24</v>
      </c>
      <c r="R1866" s="6"/>
    </row>
    <row r="1867" spans="1:18" hidden="1" x14ac:dyDescent="0.25">
      <c r="A1867" s="2" t="s">
        <v>572</v>
      </c>
      <c r="B1867" s="3" t="str">
        <f t="shared" si="42"/>
        <v>18/7/12</v>
      </c>
      <c r="C1867" s="18">
        <v>12</v>
      </c>
      <c r="D1867" s="18">
        <v>7</v>
      </c>
      <c r="E1867">
        <v>18</v>
      </c>
      <c r="F1867" t="s">
        <v>388</v>
      </c>
      <c r="H1867" t="s">
        <v>49</v>
      </c>
      <c r="I1867" t="s">
        <v>50</v>
      </c>
      <c r="J1867">
        <v>45.9</v>
      </c>
      <c r="K1867">
        <v>1</v>
      </c>
      <c r="L1867" s="12">
        <v>45.9</v>
      </c>
      <c r="M1867" s="21">
        <v>45.9</v>
      </c>
      <c r="N1867" s="22">
        <v>2.3088531187122738</v>
      </c>
      <c r="O1867" s="6" t="s">
        <v>51</v>
      </c>
      <c r="P1867" t="s">
        <v>340</v>
      </c>
      <c r="Q1867" s="6" t="s">
        <v>24</v>
      </c>
      <c r="R1867" s="6" t="s">
        <v>1511</v>
      </c>
    </row>
    <row r="1868" spans="1:18" hidden="1" x14ac:dyDescent="0.25">
      <c r="A1868" s="2" t="s">
        <v>572</v>
      </c>
      <c r="B1868" s="3" t="str">
        <f t="shared" si="42"/>
        <v>18/7/12</v>
      </c>
      <c r="C1868" s="18">
        <v>12</v>
      </c>
      <c r="D1868" s="18">
        <v>7</v>
      </c>
      <c r="E1868">
        <v>18</v>
      </c>
      <c r="F1868" s="18" t="s">
        <v>75</v>
      </c>
      <c r="H1868" t="s">
        <v>65</v>
      </c>
      <c r="I1868" t="s">
        <v>27</v>
      </c>
      <c r="J1868">
        <v>8.59</v>
      </c>
      <c r="K1868">
        <v>10</v>
      </c>
      <c r="L1868" s="12">
        <v>8.59</v>
      </c>
      <c r="M1868" s="21">
        <v>85.9</v>
      </c>
      <c r="N1868" s="22">
        <v>4.3209255533199205</v>
      </c>
      <c r="O1868" s="6" t="s">
        <v>51</v>
      </c>
      <c r="P1868" t="s">
        <v>340</v>
      </c>
      <c r="Q1868" s="6" t="s">
        <v>24</v>
      </c>
      <c r="R1868" s="6"/>
    </row>
    <row r="1869" spans="1:18" hidden="1" x14ac:dyDescent="0.25">
      <c r="A1869" s="2" t="s">
        <v>572</v>
      </c>
      <c r="B1869" s="3" t="str">
        <f t="shared" si="42"/>
        <v>18/7/12</v>
      </c>
      <c r="C1869" s="18">
        <v>12</v>
      </c>
      <c r="D1869" s="18">
        <v>7</v>
      </c>
      <c r="E1869">
        <v>18</v>
      </c>
      <c r="F1869" s="7" t="s">
        <v>576</v>
      </c>
      <c r="H1869" t="s">
        <v>63</v>
      </c>
      <c r="I1869" t="s">
        <v>50</v>
      </c>
      <c r="J1869">
        <v>89.9</v>
      </c>
      <c r="K1869">
        <v>1</v>
      </c>
      <c r="L1869" s="12">
        <v>89.9</v>
      </c>
      <c r="M1869" s="21">
        <v>89.9</v>
      </c>
      <c r="N1869" s="22">
        <v>4.522132796780685</v>
      </c>
      <c r="O1869" s="6" t="s">
        <v>51</v>
      </c>
      <c r="P1869" t="s">
        <v>340</v>
      </c>
      <c r="Q1869" s="6" t="s">
        <v>24</v>
      </c>
      <c r="R1869" s="6"/>
    </row>
    <row r="1870" spans="1:18" hidden="1" x14ac:dyDescent="0.25">
      <c r="A1870" s="2" t="s">
        <v>572</v>
      </c>
      <c r="B1870" s="3" t="str">
        <f t="shared" si="42"/>
        <v>18/7/12</v>
      </c>
      <c r="C1870" s="18">
        <v>12</v>
      </c>
      <c r="D1870" s="18">
        <v>7</v>
      </c>
      <c r="E1870">
        <v>18</v>
      </c>
      <c r="F1870" t="s">
        <v>81</v>
      </c>
      <c r="H1870" t="s">
        <v>63</v>
      </c>
      <c r="I1870" t="s">
        <v>50</v>
      </c>
      <c r="J1870">
        <v>28.9</v>
      </c>
      <c r="K1870">
        <v>3</v>
      </c>
      <c r="L1870" s="12">
        <v>28.9</v>
      </c>
      <c r="M1870" s="21">
        <v>86.699999999999989</v>
      </c>
      <c r="N1870" s="22">
        <v>4.3611670020120723</v>
      </c>
      <c r="O1870" s="6" t="s">
        <v>51</v>
      </c>
      <c r="P1870" t="s">
        <v>340</v>
      </c>
      <c r="Q1870" s="6" t="s">
        <v>84</v>
      </c>
      <c r="R1870" s="7" t="s">
        <v>579</v>
      </c>
    </row>
    <row r="1871" spans="1:18" hidden="1" x14ac:dyDescent="0.25">
      <c r="A1871" s="2" t="s">
        <v>572</v>
      </c>
      <c r="B1871" s="3" t="str">
        <f t="shared" si="42"/>
        <v>18/7/12</v>
      </c>
      <c r="C1871" s="18">
        <v>12</v>
      </c>
      <c r="D1871" s="18">
        <v>7</v>
      </c>
      <c r="E1871">
        <v>18</v>
      </c>
      <c r="F1871" s="18" t="s">
        <v>109</v>
      </c>
      <c r="H1871" t="s">
        <v>54</v>
      </c>
      <c r="I1871" t="s">
        <v>27</v>
      </c>
      <c r="J1871">
        <v>12.29</v>
      </c>
      <c r="K1871">
        <v>0.57999999999999996</v>
      </c>
      <c r="L1871" s="12">
        <v>12.29</v>
      </c>
      <c r="M1871" s="21">
        <v>7.1281999999999988</v>
      </c>
      <c r="N1871" s="22">
        <v>0.35856136820925549</v>
      </c>
      <c r="O1871" s="6" t="s">
        <v>51</v>
      </c>
      <c r="P1871" t="s">
        <v>340</v>
      </c>
      <c r="Q1871" s="6" t="s">
        <v>24</v>
      </c>
      <c r="R1871" s="6"/>
    </row>
    <row r="1872" spans="1:18" hidden="1" x14ac:dyDescent="0.25">
      <c r="A1872" s="2" t="s">
        <v>572</v>
      </c>
      <c r="B1872" s="3" t="str">
        <f t="shared" si="42"/>
        <v>18/7/12</v>
      </c>
      <c r="C1872" s="18">
        <v>12</v>
      </c>
      <c r="D1872" s="18">
        <v>7</v>
      </c>
      <c r="E1872">
        <v>18</v>
      </c>
      <c r="F1872" s="18" t="s">
        <v>580</v>
      </c>
      <c r="H1872" t="s">
        <v>54</v>
      </c>
      <c r="I1872" t="s">
        <v>27</v>
      </c>
      <c r="J1872">
        <v>43.86</v>
      </c>
      <c r="K1872">
        <v>0.75</v>
      </c>
      <c r="L1872" s="12">
        <v>43.86</v>
      </c>
      <c r="M1872" s="21">
        <v>32.894999999999996</v>
      </c>
      <c r="N1872" s="22">
        <v>1.6546780684104627</v>
      </c>
      <c r="O1872" s="6" t="s">
        <v>51</v>
      </c>
      <c r="P1872" t="s">
        <v>340</v>
      </c>
      <c r="Q1872" s="6" t="s">
        <v>24</v>
      </c>
      <c r="R1872" s="6"/>
    </row>
    <row r="1873" spans="1:18" hidden="1" x14ac:dyDescent="0.25">
      <c r="A1873" s="2" t="s">
        <v>572</v>
      </c>
      <c r="B1873" s="3" t="str">
        <f t="shared" si="42"/>
        <v>18/7/12</v>
      </c>
      <c r="C1873" s="18">
        <v>12</v>
      </c>
      <c r="D1873" s="18">
        <v>7</v>
      </c>
      <c r="E1873">
        <v>18</v>
      </c>
      <c r="F1873" t="s">
        <v>521</v>
      </c>
      <c r="H1873" t="s">
        <v>56</v>
      </c>
      <c r="I1873" t="s">
        <v>27</v>
      </c>
      <c r="J1873">
        <v>26.9</v>
      </c>
      <c r="K1873">
        <v>0.66</v>
      </c>
      <c r="L1873" s="12">
        <v>26.9</v>
      </c>
      <c r="M1873" s="21">
        <v>17.754000000000001</v>
      </c>
      <c r="N1873" s="22">
        <v>0.89305835010060375</v>
      </c>
      <c r="O1873" s="6" t="s">
        <v>51</v>
      </c>
      <c r="P1873" t="s">
        <v>340</v>
      </c>
      <c r="Q1873" s="6" t="s">
        <v>24</v>
      </c>
      <c r="R1873" s="6"/>
    </row>
    <row r="1874" spans="1:18" hidden="1" x14ac:dyDescent="0.25">
      <c r="A1874" s="2" t="s">
        <v>572</v>
      </c>
      <c r="B1874" s="3" t="str">
        <f t="shared" si="42"/>
        <v>18/7/12</v>
      </c>
      <c r="C1874" s="18">
        <v>12</v>
      </c>
      <c r="D1874" s="18">
        <v>7</v>
      </c>
      <c r="E1874">
        <v>18</v>
      </c>
      <c r="F1874" s="7" t="s">
        <v>166</v>
      </c>
      <c r="G1874" t="s">
        <v>77</v>
      </c>
      <c r="H1874" t="s">
        <v>26</v>
      </c>
      <c r="I1874" t="s">
        <v>27</v>
      </c>
      <c r="J1874">
        <v>17.899999999999999</v>
      </c>
      <c r="K1874">
        <v>1</v>
      </c>
      <c r="L1874" s="12">
        <v>17.899999999999999</v>
      </c>
      <c r="M1874" s="21">
        <v>17.899999999999999</v>
      </c>
      <c r="N1874" s="22">
        <v>0.90040241448692149</v>
      </c>
      <c r="O1874" s="6" t="s">
        <v>51</v>
      </c>
      <c r="P1874" t="s">
        <v>340</v>
      </c>
      <c r="Q1874" s="6" t="s">
        <v>24</v>
      </c>
      <c r="R1874" s="6"/>
    </row>
    <row r="1875" spans="1:18" hidden="1" x14ac:dyDescent="0.25">
      <c r="A1875" s="2" t="s">
        <v>572</v>
      </c>
      <c r="B1875" s="3" t="str">
        <f t="shared" si="42"/>
        <v>18/7/12</v>
      </c>
      <c r="C1875" s="18">
        <v>12</v>
      </c>
      <c r="D1875" s="18">
        <v>7</v>
      </c>
      <c r="E1875">
        <v>18</v>
      </c>
      <c r="F1875" t="s">
        <v>47</v>
      </c>
      <c r="G1875" t="s">
        <v>31</v>
      </c>
      <c r="H1875" t="s">
        <v>26</v>
      </c>
      <c r="I1875" t="s">
        <v>27</v>
      </c>
      <c r="J1875">
        <v>6</v>
      </c>
      <c r="K1875">
        <v>2</v>
      </c>
      <c r="L1875" s="12">
        <v>6</v>
      </c>
      <c r="M1875" s="21">
        <v>12</v>
      </c>
      <c r="N1875" s="22">
        <v>0.60362173038229383</v>
      </c>
      <c r="O1875" s="6" t="s">
        <v>51</v>
      </c>
      <c r="P1875" t="s">
        <v>340</v>
      </c>
      <c r="Q1875" s="6" t="s">
        <v>24</v>
      </c>
      <c r="R1875" s="6"/>
    </row>
    <row r="1876" spans="1:18" hidden="1" x14ac:dyDescent="0.25">
      <c r="A1876" s="2" t="s">
        <v>572</v>
      </c>
      <c r="B1876" s="3" t="str">
        <f t="shared" si="42"/>
        <v>18/7/12</v>
      </c>
      <c r="C1876" s="18">
        <v>12</v>
      </c>
      <c r="D1876" s="18">
        <v>7</v>
      </c>
      <c r="E1876">
        <v>18</v>
      </c>
      <c r="F1876" s="7" t="s">
        <v>140</v>
      </c>
      <c r="H1876" t="s">
        <v>49</v>
      </c>
      <c r="I1876" t="s">
        <v>50</v>
      </c>
      <c r="J1876">
        <v>21.12</v>
      </c>
      <c r="K1876">
        <v>1</v>
      </c>
      <c r="L1876" s="12">
        <v>21.12</v>
      </c>
      <c r="M1876" s="21">
        <v>21.12</v>
      </c>
      <c r="N1876" s="22">
        <v>1.0623742454728371</v>
      </c>
      <c r="O1876" s="6" t="s">
        <v>51</v>
      </c>
      <c r="P1876" t="s">
        <v>340</v>
      </c>
      <c r="Q1876" s="6" t="s">
        <v>24</v>
      </c>
      <c r="R1876" s="6"/>
    </row>
    <row r="1877" spans="1:18" hidden="1" x14ac:dyDescent="0.25">
      <c r="A1877" s="2" t="s">
        <v>572</v>
      </c>
      <c r="B1877" s="3" t="str">
        <f t="shared" si="42"/>
        <v>18/7/12</v>
      </c>
      <c r="C1877" s="18">
        <v>12</v>
      </c>
      <c r="D1877" s="18">
        <v>7</v>
      </c>
      <c r="E1877">
        <v>18</v>
      </c>
      <c r="F1877" s="18" t="s">
        <v>55</v>
      </c>
      <c r="H1877" t="s">
        <v>56</v>
      </c>
      <c r="I1877" t="s">
        <v>27</v>
      </c>
      <c r="J1877">
        <v>20.5</v>
      </c>
      <c r="K1877">
        <v>0.93</v>
      </c>
      <c r="L1877" s="12">
        <v>20.5</v>
      </c>
      <c r="M1877" s="21">
        <v>19.065000000000001</v>
      </c>
      <c r="N1877" s="22">
        <v>0.95900402414486929</v>
      </c>
      <c r="O1877" s="6" t="s">
        <v>51</v>
      </c>
      <c r="P1877" t="s">
        <v>340</v>
      </c>
      <c r="Q1877" s="6" t="s">
        <v>24</v>
      </c>
      <c r="R1877" s="6"/>
    </row>
    <row r="1878" spans="1:18" hidden="1" x14ac:dyDescent="0.25">
      <c r="A1878" s="2" t="s">
        <v>572</v>
      </c>
      <c r="B1878" s="3" t="str">
        <f t="shared" si="42"/>
        <v>18/7/12</v>
      </c>
      <c r="C1878" s="18">
        <v>12</v>
      </c>
      <c r="D1878" s="18">
        <v>7</v>
      </c>
      <c r="E1878">
        <v>18</v>
      </c>
      <c r="F1878" s="7" t="s">
        <v>581</v>
      </c>
      <c r="H1878" t="s">
        <v>63</v>
      </c>
      <c r="I1878" t="s">
        <v>50</v>
      </c>
      <c r="J1878">
        <v>57.59</v>
      </c>
      <c r="K1878">
        <v>1</v>
      </c>
      <c r="L1878" s="12">
        <v>57.59</v>
      </c>
      <c r="M1878" s="21">
        <v>57.59</v>
      </c>
      <c r="N1878" s="22">
        <v>2.8968812877263583</v>
      </c>
      <c r="O1878" s="6" t="s">
        <v>51</v>
      </c>
      <c r="P1878" t="s">
        <v>340</v>
      </c>
      <c r="Q1878" s="6" t="s">
        <v>24</v>
      </c>
      <c r="R1878" s="6"/>
    </row>
    <row r="1879" spans="1:18" hidden="1" x14ac:dyDescent="0.25">
      <c r="A1879" s="2" t="s">
        <v>572</v>
      </c>
      <c r="B1879" s="3" t="str">
        <f t="shared" si="42"/>
        <v>18/7/12</v>
      </c>
      <c r="C1879" s="18">
        <v>12</v>
      </c>
      <c r="D1879" s="18">
        <v>7</v>
      </c>
      <c r="E1879">
        <v>18</v>
      </c>
      <c r="F1879" s="18" t="s">
        <v>108</v>
      </c>
      <c r="H1879" t="s">
        <v>54</v>
      </c>
      <c r="I1879" t="s">
        <v>27</v>
      </c>
      <c r="J1879">
        <v>15.29</v>
      </c>
      <c r="K1879">
        <v>0.77</v>
      </c>
      <c r="L1879" s="12">
        <v>15.29</v>
      </c>
      <c r="M1879" s="21">
        <v>11.773299999999999</v>
      </c>
      <c r="N1879" s="22">
        <v>0.59221830985915491</v>
      </c>
      <c r="O1879" s="6" t="s">
        <v>51</v>
      </c>
      <c r="P1879" t="s">
        <v>340</v>
      </c>
      <c r="Q1879" s="6" t="s">
        <v>24</v>
      </c>
      <c r="R1879" s="6"/>
    </row>
    <row r="1880" spans="1:18" hidden="1" x14ac:dyDescent="0.25">
      <c r="A1880" s="2" t="s">
        <v>572</v>
      </c>
      <c r="B1880" s="3" t="str">
        <f t="shared" si="42"/>
        <v>18/7/12</v>
      </c>
      <c r="C1880" s="10">
        <v>12</v>
      </c>
      <c r="D1880" s="10">
        <v>7</v>
      </c>
      <c r="E1880">
        <v>18</v>
      </c>
      <c r="F1880" t="s">
        <v>71</v>
      </c>
      <c r="I1880" t="s">
        <v>72</v>
      </c>
      <c r="J1880">
        <v>100</v>
      </c>
      <c r="K1880">
        <v>1</v>
      </c>
      <c r="L1880">
        <v>100</v>
      </c>
      <c r="M1880">
        <v>100</v>
      </c>
      <c r="N1880" s="5">
        <v>5.037360423138276</v>
      </c>
      <c r="O1880" t="s">
        <v>562</v>
      </c>
      <c r="P1880" t="s">
        <v>340</v>
      </c>
      <c r="Q1880" s="10" t="s">
        <v>24</v>
      </c>
      <c r="R1880" t="s">
        <v>517</v>
      </c>
    </row>
    <row r="1881" spans="1:18" hidden="1" x14ac:dyDescent="0.25">
      <c r="A1881" s="2" t="s">
        <v>572</v>
      </c>
      <c r="B1881" s="3" t="str">
        <f t="shared" si="42"/>
        <v>18/7/12</v>
      </c>
      <c r="C1881" s="10">
        <v>12</v>
      </c>
      <c r="D1881" s="10">
        <v>7</v>
      </c>
      <c r="E1881">
        <v>18</v>
      </c>
      <c r="F1881" t="s">
        <v>104</v>
      </c>
      <c r="I1881" t="s">
        <v>72</v>
      </c>
      <c r="J1881">
        <v>163.9</v>
      </c>
      <c r="K1881">
        <v>1</v>
      </c>
      <c r="L1881">
        <v>163.9</v>
      </c>
      <c r="M1881">
        <v>163.9</v>
      </c>
      <c r="N1881" s="5">
        <v>8.2562337335236347</v>
      </c>
      <c r="O1881" t="s">
        <v>243</v>
      </c>
      <c r="P1881" t="s">
        <v>340</v>
      </c>
      <c r="Q1881" s="10" t="s">
        <v>24</v>
      </c>
      <c r="R1881" t="s">
        <v>582</v>
      </c>
    </row>
    <row r="1882" spans="1:18" hidden="1" x14ac:dyDescent="0.25">
      <c r="A1882" s="2" t="s">
        <v>572</v>
      </c>
      <c r="B1882" s="3" t="str">
        <f t="shared" si="42"/>
        <v>18/7/12</v>
      </c>
      <c r="C1882" s="10">
        <v>12</v>
      </c>
      <c r="D1882" s="10">
        <v>7</v>
      </c>
      <c r="E1882">
        <v>18</v>
      </c>
      <c r="F1882" t="s">
        <v>104</v>
      </c>
      <c r="I1882" t="s">
        <v>72</v>
      </c>
      <c r="J1882">
        <v>153.35</v>
      </c>
      <c r="K1882">
        <v>1</v>
      </c>
      <c r="L1882">
        <v>153.35</v>
      </c>
      <c r="M1882">
        <v>153.35</v>
      </c>
      <c r="N1882" s="5">
        <v>7.7247922088825467</v>
      </c>
      <c r="O1882" t="s">
        <v>243</v>
      </c>
      <c r="P1882" t="s">
        <v>340</v>
      </c>
      <c r="Q1882" s="10" t="s">
        <v>24</v>
      </c>
      <c r="R1882" t="s">
        <v>565</v>
      </c>
    </row>
    <row r="1883" spans="1:18" hidden="1" x14ac:dyDescent="0.25">
      <c r="A1883" s="2" t="s">
        <v>572</v>
      </c>
      <c r="B1883" s="3" t="str">
        <f t="shared" si="42"/>
        <v>18/7/13</v>
      </c>
      <c r="C1883" s="18">
        <v>13</v>
      </c>
      <c r="D1883" s="18">
        <v>7</v>
      </c>
      <c r="E1883">
        <v>18</v>
      </c>
      <c r="F1883" s="7" t="s">
        <v>561</v>
      </c>
      <c r="G1883" s="12"/>
      <c r="H1883" t="s">
        <v>21</v>
      </c>
      <c r="I1883" s="12" t="s">
        <v>22</v>
      </c>
      <c r="J1883" s="18">
        <v>50</v>
      </c>
      <c r="K1883" s="18">
        <v>1</v>
      </c>
      <c r="L1883" s="12">
        <v>50</v>
      </c>
      <c r="M1883" s="38">
        <v>50</v>
      </c>
      <c r="N1883" s="22">
        <v>2.5150905432595576</v>
      </c>
      <c r="O1883" s="7" t="s">
        <v>39</v>
      </c>
      <c r="P1883" s="12"/>
      <c r="Q1883" s="12" t="s">
        <v>24</v>
      </c>
      <c r="R1883" s="12"/>
    </row>
    <row r="1884" spans="1:18" hidden="1" x14ac:dyDescent="0.25">
      <c r="A1884" s="2" t="s">
        <v>572</v>
      </c>
      <c r="B1884" s="3" t="str">
        <f t="shared" si="42"/>
        <v>18/7/13</v>
      </c>
      <c r="C1884" s="18">
        <v>13</v>
      </c>
      <c r="D1884" s="18">
        <v>7</v>
      </c>
      <c r="E1884">
        <v>18</v>
      </c>
      <c r="F1884" t="s">
        <v>1078</v>
      </c>
      <c r="G1884" s="12"/>
      <c r="H1884" t="s">
        <v>65</v>
      </c>
      <c r="I1884" s="12" t="s">
        <v>27</v>
      </c>
      <c r="J1884" s="7">
        <v>20</v>
      </c>
      <c r="K1884" s="7">
        <v>1</v>
      </c>
      <c r="L1884" s="37">
        <v>20</v>
      </c>
      <c r="M1884" s="22">
        <v>20</v>
      </c>
      <c r="N1884" s="22">
        <v>1.0060362173038231</v>
      </c>
      <c r="O1884" s="7" t="s">
        <v>39</v>
      </c>
      <c r="P1884" s="12"/>
      <c r="Q1884" s="12" t="s">
        <v>24</v>
      </c>
      <c r="R1884" s="12"/>
    </row>
    <row r="1885" spans="1:18" hidden="1" x14ac:dyDescent="0.25">
      <c r="A1885" s="2" t="s">
        <v>572</v>
      </c>
      <c r="B1885" s="3" t="str">
        <f t="shared" si="42"/>
        <v>18/7/13</v>
      </c>
      <c r="C1885" s="10">
        <v>13</v>
      </c>
      <c r="D1885" s="10">
        <v>7</v>
      </c>
      <c r="E1885">
        <v>18</v>
      </c>
      <c r="F1885" t="s">
        <v>71</v>
      </c>
      <c r="I1885" t="s">
        <v>72</v>
      </c>
      <c r="J1885">
        <v>100</v>
      </c>
      <c r="K1885">
        <v>1</v>
      </c>
      <c r="L1885">
        <v>100</v>
      </c>
      <c r="M1885">
        <v>100</v>
      </c>
      <c r="N1885" s="5">
        <v>5.037360423138276</v>
      </c>
      <c r="O1885" t="s">
        <v>562</v>
      </c>
      <c r="P1885" t="s">
        <v>340</v>
      </c>
      <c r="Q1885" s="10" t="s">
        <v>24</v>
      </c>
      <c r="R1885" t="s">
        <v>517</v>
      </c>
    </row>
    <row r="1886" spans="1:18" hidden="1" x14ac:dyDescent="0.25">
      <c r="A1886" s="2" t="s">
        <v>572</v>
      </c>
      <c r="B1886" s="3" t="str">
        <f t="shared" si="42"/>
        <v>18/7/14</v>
      </c>
      <c r="C1886" s="18">
        <v>14</v>
      </c>
      <c r="D1886" s="18">
        <v>7</v>
      </c>
      <c r="E1886">
        <v>18</v>
      </c>
      <c r="F1886" t="s">
        <v>94</v>
      </c>
      <c r="I1886" t="s">
        <v>87</v>
      </c>
      <c r="J1886">
        <f>Spending_raw[[#This Row],[Price, lei]]</f>
        <v>150</v>
      </c>
      <c r="K1886">
        <v>1</v>
      </c>
      <c r="L1886" s="12">
        <v>150</v>
      </c>
      <c r="M1886" s="21">
        <v>150</v>
      </c>
      <c r="N1886" s="22">
        <v>7.5452716297786724</v>
      </c>
      <c r="O1886" s="6" t="s">
        <v>583</v>
      </c>
      <c r="P1886" t="s">
        <v>340</v>
      </c>
      <c r="Q1886" s="6" t="s">
        <v>24</v>
      </c>
      <c r="R1886" s="6"/>
    </row>
    <row r="1887" spans="1:18" hidden="1" x14ac:dyDescent="0.25">
      <c r="A1887" s="2" t="s">
        <v>572</v>
      </c>
      <c r="B1887" s="3" t="str">
        <f t="shared" si="42"/>
        <v>18/7/14</v>
      </c>
      <c r="C1887" s="18">
        <v>14</v>
      </c>
      <c r="D1887" s="18">
        <v>7</v>
      </c>
      <c r="E1887">
        <v>18</v>
      </c>
      <c r="F1887" s="18" t="s">
        <v>584</v>
      </c>
      <c r="H1887" t="s">
        <v>56</v>
      </c>
      <c r="I1887" s="12" t="s">
        <v>27</v>
      </c>
      <c r="J1887">
        <v>296</v>
      </c>
      <c r="K1887">
        <v>0.125</v>
      </c>
      <c r="L1887" s="12">
        <v>296</v>
      </c>
      <c r="M1887" s="22">
        <v>37</v>
      </c>
      <c r="N1887" s="22">
        <v>1.8611670020120725</v>
      </c>
      <c r="O1887" t="s">
        <v>1472</v>
      </c>
      <c r="P1887" t="s">
        <v>340</v>
      </c>
      <c r="Q1887" s="12" t="s">
        <v>24</v>
      </c>
      <c r="R1887" s="12"/>
    </row>
    <row r="1888" spans="1:18" hidden="1" x14ac:dyDescent="0.25">
      <c r="A1888" s="2" t="s">
        <v>572</v>
      </c>
      <c r="B1888" s="3" t="str">
        <f t="shared" si="42"/>
        <v>18/7/14</v>
      </c>
      <c r="C1888" s="18">
        <v>14</v>
      </c>
      <c r="D1888" s="18">
        <v>7</v>
      </c>
      <c r="E1888">
        <v>18</v>
      </c>
      <c r="F1888" t="s">
        <v>330</v>
      </c>
      <c r="G1888" t="s">
        <v>75</v>
      </c>
      <c r="H1888" t="s">
        <v>65</v>
      </c>
      <c r="I1888" s="12" t="s">
        <v>27</v>
      </c>
      <c r="J1888">
        <v>217.52</v>
      </c>
      <c r="K1888">
        <v>0.28599999999999998</v>
      </c>
      <c r="L1888" s="12">
        <v>217.52</v>
      </c>
      <c r="M1888" s="22">
        <v>62.210719999999995</v>
      </c>
      <c r="N1888" s="22">
        <v>3.129311871227364</v>
      </c>
      <c r="O1888" t="s">
        <v>1472</v>
      </c>
      <c r="P1888" t="s">
        <v>340</v>
      </c>
      <c r="Q1888" s="12" t="s">
        <v>24</v>
      </c>
      <c r="R1888" s="12"/>
    </row>
    <row r="1889" spans="1:18" hidden="1" x14ac:dyDescent="0.25">
      <c r="A1889" s="2" t="s">
        <v>572</v>
      </c>
      <c r="B1889" s="3" t="str">
        <f t="shared" si="42"/>
        <v>18/7/14</v>
      </c>
      <c r="C1889" s="18">
        <v>14</v>
      </c>
      <c r="D1889" s="18">
        <v>7</v>
      </c>
      <c r="E1889">
        <v>18</v>
      </c>
      <c r="F1889" t="s">
        <v>1078</v>
      </c>
      <c r="G1889" s="12"/>
      <c r="H1889" t="s">
        <v>65</v>
      </c>
      <c r="I1889" s="12" t="s">
        <v>27</v>
      </c>
      <c r="J1889" s="13">
        <v>370.27</v>
      </c>
      <c r="K1889" s="13">
        <v>0.39400000000000002</v>
      </c>
      <c r="L1889" s="37">
        <v>370.27</v>
      </c>
      <c r="M1889" s="22">
        <v>145.88638</v>
      </c>
      <c r="N1889" s="22">
        <v>7.3383490945674046</v>
      </c>
      <c r="O1889" t="s">
        <v>1472</v>
      </c>
      <c r="P1889" t="s">
        <v>340</v>
      </c>
      <c r="Q1889" s="12" t="s">
        <v>24</v>
      </c>
      <c r="R1889" s="12"/>
    </row>
    <row r="1890" spans="1:18" hidden="1" x14ac:dyDescent="0.25">
      <c r="A1890" s="2" t="s">
        <v>572</v>
      </c>
      <c r="B1890" s="3" t="str">
        <f t="shared" si="42"/>
        <v>18/7/14</v>
      </c>
      <c r="C1890" s="18">
        <v>14</v>
      </c>
      <c r="D1890" s="18">
        <v>7</v>
      </c>
      <c r="E1890">
        <v>18</v>
      </c>
      <c r="F1890" t="s">
        <v>273</v>
      </c>
      <c r="H1890" s="12" t="s">
        <v>332</v>
      </c>
      <c r="I1890" s="12" t="s">
        <v>27</v>
      </c>
      <c r="J1890">
        <v>307.94</v>
      </c>
      <c r="K1890">
        <v>0.26800000000000002</v>
      </c>
      <c r="L1890" s="12">
        <v>307.94</v>
      </c>
      <c r="M1890" s="22">
        <v>82.527920000000009</v>
      </c>
      <c r="N1890" s="22">
        <v>4.151303822937626</v>
      </c>
      <c r="O1890" t="s">
        <v>1472</v>
      </c>
      <c r="P1890" t="s">
        <v>340</v>
      </c>
      <c r="Q1890" s="12" t="s">
        <v>24</v>
      </c>
      <c r="R1890" s="12"/>
    </row>
    <row r="1891" spans="1:18" hidden="1" x14ac:dyDescent="0.25">
      <c r="A1891" s="2" t="s">
        <v>572</v>
      </c>
      <c r="B1891" s="3" t="str">
        <f t="shared" si="42"/>
        <v>18/7/14</v>
      </c>
      <c r="C1891" s="18">
        <v>14</v>
      </c>
      <c r="D1891" s="18">
        <v>7</v>
      </c>
      <c r="E1891">
        <v>18</v>
      </c>
      <c r="F1891" t="s">
        <v>269</v>
      </c>
      <c r="H1891" s="12" t="s">
        <v>332</v>
      </c>
      <c r="I1891" s="12" t="s">
        <v>27</v>
      </c>
      <c r="J1891" s="18">
        <v>222.64</v>
      </c>
      <c r="K1891" s="18">
        <v>0.38200000000000001</v>
      </c>
      <c r="L1891" s="12">
        <v>222.64</v>
      </c>
      <c r="M1891" s="22">
        <v>85.048479999999998</v>
      </c>
      <c r="N1891" s="22">
        <v>4.278092555331992</v>
      </c>
      <c r="O1891" t="s">
        <v>1472</v>
      </c>
      <c r="P1891" t="s">
        <v>340</v>
      </c>
      <c r="Q1891" s="12" t="s">
        <v>24</v>
      </c>
      <c r="R1891" s="12"/>
    </row>
    <row r="1892" spans="1:18" hidden="1" x14ac:dyDescent="0.25">
      <c r="A1892" s="2" t="s">
        <v>572</v>
      </c>
      <c r="B1892" s="3" t="str">
        <f t="shared" si="42"/>
        <v>18/7/14</v>
      </c>
      <c r="C1892" s="18">
        <v>14</v>
      </c>
      <c r="D1892" s="18">
        <v>7</v>
      </c>
      <c r="E1892">
        <v>18</v>
      </c>
      <c r="F1892" s="12" t="s">
        <v>585</v>
      </c>
      <c r="H1892" s="12" t="s">
        <v>332</v>
      </c>
      <c r="I1892" s="12" t="s">
        <v>27</v>
      </c>
      <c r="J1892" s="18">
        <v>173.43</v>
      </c>
      <c r="K1892" s="18">
        <v>0.2</v>
      </c>
      <c r="L1892" s="12">
        <v>173.43</v>
      </c>
      <c r="M1892" s="22">
        <v>34.686</v>
      </c>
      <c r="N1892" s="22">
        <v>1.7447686116700203</v>
      </c>
      <c r="O1892" t="s">
        <v>1472</v>
      </c>
      <c r="P1892" t="s">
        <v>340</v>
      </c>
      <c r="Q1892" s="12" t="s">
        <v>24</v>
      </c>
      <c r="R1892" s="12"/>
    </row>
    <row r="1893" spans="1:18" hidden="1" x14ac:dyDescent="0.25">
      <c r="A1893" s="2" t="s">
        <v>572</v>
      </c>
      <c r="B1893" s="3" t="str">
        <f t="shared" si="42"/>
        <v>18/7/14</v>
      </c>
      <c r="C1893" s="18">
        <v>14</v>
      </c>
      <c r="D1893" s="18">
        <v>7</v>
      </c>
      <c r="E1893">
        <v>18</v>
      </c>
      <c r="F1893" s="7" t="s">
        <v>1617</v>
      </c>
      <c r="H1893" t="s">
        <v>62</v>
      </c>
      <c r="I1893" s="12" t="s">
        <v>27</v>
      </c>
      <c r="J1893" s="18">
        <v>57.43</v>
      </c>
      <c r="K1893" s="18">
        <v>1</v>
      </c>
      <c r="L1893" s="12">
        <v>57.43</v>
      </c>
      <c r="M1893" s="22">
        <v>57.43</v>
      </c>
      <c r="N1893" s="22">
        <v>2.8888329979879277</v>
      </c>
      <c r="O1893" t="s">
        <v>1472</v>
      </c>
      <c r="P1893" t="s">
        <v>340</v>
      </c>
      <c r="Q1893" s="12" t="s">
        <v>24</v>
      </c>
      <c r="R1893" s="12" t="s">
        <v>1615</v>
      </c>
    </row>
    <row r="1894" spans="1:18" hidden="1" x14ac:dyDescent="0.25">
      <c r="A1894" s="2" t="s">
        <v>572</v>
      </c>
      <c r="B1894" s="3" t="str">
        <f t="shared" si="42"/>
        <v>18/7/14</v>
      </c>
      <c r="C1894" s="18">
        <v>14</v>
      </c>
      <c r="D1894" s="18">
        <v>7</v>
      </c>
      <c r="E1894">
        <v>18</v>
      </c>
      <c r="F1894" s="7" t="s">
        <v>1617</v>
      </c>
      <c r="H1894" t="s">
        <v>62</v>
      </c>
      <c r="I1894" s="12" t="s">
        <v>27</v>
      </c>
      <c r="J1894" s="18">
        <v>46.44</v>
      </c>
      <c r="K1894" s="18">
        <v>1</v>
      </c>
      <c r="L1894" s="12">
        <v>46.44</v>
      </c>
      <c r="M1894" s="22">
        <v>46.44</v>
      </c>
      <c r="N1894" s="22">
        <v>2.3360160965794767</v>
      </c>
      <c r="O1894" t="s">
        <v>1472</v>
      </c>
      <c r="P1894" t="s">
        <v>340</v>
      </c>
      <c r="Q1894" s="12" t="s">
        <v>24</v>
      </c>
      <c r="R1894" s="12" t="s">
        <v>1614</v>
      </c>
    </row>
    <row r="1895" spans="1:18" hidden="1" x14ac:dyDescent="0.25">
      <c r="A1895" s="2" t="s">
        <v>572</v>
      </c>
      <c r="B1895" s="3" t="str">
        <f t="shared" si="42"/>
        <v>18/7/14</v>
      </c>
      <c r="C1895" s="18">
        <v>14</v>
      </c>
      <c r="D1895" s="18">
        <v>7</v>
      </c>
      <c r="E1895">
        <v>18</v>
      </c>
      <c r="F1895" s="7" t="s">
        <v>146</v>
      </c>
      <c r="H1895" t="s">
        <v>49</v>
      </c>
      <c r="I1895" s="12" t="s">
        <v>50</v>
      </c>
      <c r="J1895" s="18">
        <v>1</v>
      </c>
      <c r="K1895" s="18">
        <v>1</v>
      </c>
      <c r="L1895" s="12">
        <v>1</v>
      </c>
      <c r="M1895" s="22">
        <v>1</v>
      </c>
      <c r="N1895" s="22">
        <v>5.030181086519115E-2</v>
      </c>
      <c r="O1895" t="s">
        <v>1472</v>
      </c>
      <c r="P1895" t="s">
        <v>340</v>
      </c>
      <c r="Q1895" s="12" t="s">
        <v>24</v>
      </c>
      <c r="R1895" s="12"/>
    </row>
    <row r="1896" spans="1:18" hidden="1" x14ac:dyDescent="0.25">
      <c r="A1896" s="2" t="s">
        <v>572</v>
      </c>
      <c r="B1896" s="3" t="str">
        <f t="shared" si="42"/>
        <v>18/7/14</v>
      </c>
      <c r="C1896" s="10">
        <v>14</v>
      </c>
      <c r="D1896" s="10">
        <v>7</v>
      </c>
      <c r="E1896">
        <v>18</v>
      </c>
      <c r="F1896" t="s">
        <v>71</v>
      </c>
      <c r="I1896" t="s">
        <v>72</v>
      </c>
      <c r="J1896">
        <v>100</v>
      </c>
      <c r="K1896">
        <v>1</v>
      </c>
      <c r="L1896">
        <v>100</v>
      </c>
      <c r="M1896">
        <v>100</v>
      </c>
      <c r="N1896" s="5">
        <v>5.037360423138276</v>
      </c>
      <c r="O1896" t="s">
        <v>562</v>
      </c>
      <c r="P1896" t="s">
        <v>340</v>
      </c>
      <c r="Q1896" s="10" t="s">
        <v>24</v>
      </c>
      <c r="R1896" t="s">
        <v>517</v>
      </c>
    </row>
    <row r="1897" spans="1:18" hidden="1" x14ac:dyDescent="0.25">
      <c r="A1897" s="9" t="s">
        <v>572</v>
      </c>
      <c r="B1897" s="3" t="s">
        <v>1317</v>
      </c>
      <c r="C1897" s="10">
        <v>14</v>
      </c>
      <c r="D1897" s="10">
        <v>7</v>
      </c>
      <c r="E1897" s="10">
        <v>18</v>
      </c>
      <c r="F1897" t="s">
        <v>60</v>
      </c>
      <c r="G1897" t="s">
        <v>31</v>
      </c>
      <c r="H1897" t="s">
        <v>26</v>
      </c>
      <c r="I1897" t="s">
        <v>27</v>
      </c>
      <c r="J1897" s="4">
        <v>13.35</v>
      </c>
      <c r="K1897">
        <v>1</v>
      </c>
      <c r="L1897">
        <v>13.35</v>
      </c>
      <c r="M1897">
        <v>13.35</v>
      </c>
      <c r="N1897" s="5">
        <v>0.67575928008998876</v>
      </c>
      <c r="O1897" t="s">
        <v>597</v>
      </c>
      <c r="P1897" t="s">
        <v>340</v>
      </c>
      <c r="Q1897" s="10" t="s">
        <v>1102</v>
      </c>
    </row>
    <row r="1898" spans="1:18" hidden="1" x14ac:dyDescent="0.25">
      <c r="A1898" s="9" t="s">
        <v>572</v>
      </c>
      <c r="B1898" s="3" t="s">
        <v>1317</v>
      </c>
      <c r="C1898" s="10">
        <v>14</v>
      </c>
      <c r="D1898" s="10">
        <v>7</v>
      </c>
      <c r="E1898" s="10">
        <v>18</v>
      </c>
      <c r="F1898" t="s">
        <v>2242</v>
      </c>
      <c r="G1898" t="s">
        <v>345</v>
      </c>
      <c r="H1898" t="s">
        <v>26</v>
      </c>
      <c r="I1898" t="s">
        <v>27</v>
      </c>
      <c r="J1898" s="4">
        <v>6.1</v>
      </c>
      <c r="K1898">
        <v>1</v>
      </c>
      <c r="L1898">
        <v>6.1</v>
      </c>
      <c r="M1898">
        <v>6.1</v>
      </c>
      <c r="N1898" s="5">
        <v>0.3087739032620922</v>
      </c>
      <c r="O1898" t="s">
        <v>597</v>
      </c>
      <c r="P1898" t="s">
        <v>340</v>
      </c>
      <c r="Q1898" s="10" t="s">
        <v>1102</v>
      </c>
    </row>
    <row r="1899" spans="1:18" hidden="1" x14ac:dyDescent="0.25">
      <c r="A1899" s="9" t="s">
        <v>572</v>
      </c>
      <c r="B1899" s="3" t="s">
        <v>1317</v>
      </c>
      <c r="C1899" s="10">
        <v>14</v>
      </c>
      <c r="D1899" s="10">
        <v>7</v>
      </c>
      <c r="E1899" s="10">
        <v>18</v>
      </c>
      <c r="F1899" t="s">
        <v>586</v>
      </c>
      <c r="G1899" t="s">
        <v>31</v>
      </c>
      <c r="H1899" t="s">
        <v>26</v>
      </c>
      <c r="I1899" t="s">
        <v>27</v>
      </c>
      <c r="J1899" s="4">
        <v>4.75</v>
      </c>
      <c r="K1899">
        <v>2</v>
      </c>
      <c r="L1899">
        <v>4.75</v>
      </c>
      <c r="M1899">
        <v>9.5</v>
      </c>
      <c r="N1899" s="5">
        <v>0.48087739032620919</v>
      </c>
      <c r="O1899" t="s">
        <v>597</v>
      </c>
      <c r="P1899" t="s">
        <v>340</v>
      </c>
      <c r="Q1899" s="10" t="s">
        <v>1102</v>
      </c>
    </row>
    <row r="1900" spans="1:18" hidden="1" x14ac:dyDescent="0.25">
      <c r="A1900" s="9" t="s">
        <v>572</v>
      </c>
      <c r="B1900" s="3" t="s">
        <v>1317</v>
      </c>
      <c r="C1900" s="10">
        <v>14</v>
      </c>
      <c r="D1900" s="10">
        <v>7</v>
      </c>
      <c r="E1900" s="10">
        <v>18</v>
      </c>
      <c r="F1900" t="s">
        <v>25</v>
      </c>
      <c r="G1900" t="s">
        <v>25</v>
      </c>
      <c r="H1900" t="s">
        <v>26</v>
      </c>
      <c r="I1900" t="s">
        <v>27</v>
      </c>
      <c r="J1900" s="4">
        <v>11.7</v>
      </c>
      <c r="K1900">
        <v>1</v>
      </c>
      <c r="L1900">
        <v>11.7</v>
      </c>
      <c r="M1900">
        <v>11.7</v>
      </c>
      <c r="N1900" s="5">
        <v>0.592238470191226</v>
      </c>
      <c r="O1900" t="s">
        <v>597</v>
      </c>
      <c r="P1900" t="s">
        <v>340</v>
      </c>
      <c r="Q1900" s="10" t="s">
        <v>1102</v>
      </c>
    </row>
    <row r="1901" spans="1:18" hidden="1" x14ac:dyDescent="0.25">
      <c r="A1901" s="9" t="s">
        <v>572</v>
      </c>
      <c r="B1901" s="3" t="s">
        <v>1317</v>
      </c>
      <c r="C1901" s="10">
        <v>14</v>
      </c>
      <c r="D1901" s="10">
        <v>7</v>
      </c>
      <c r="E1901" s="10">
        <v>18</v>
      </c>
      <c r="F1901" t="s">
        <v>432</v>
      </c>
      <c r="G1901" t="s">
        <v>889</v>
      </c>
      <c r="H1901" t="s">
        <v>889</v>
      </c>
      <c r="I1901" t="s">
        <v>431</v>
      </c>
      <c r="J1901" s="4">
        <v>76</v>
      </c>
      <c r="K1901">
        <v>1</v>
      </c>
      <c r="L1901">
        <v>76</v>
      </c>
      <c r="M1901">
        <v>76</v>
      </c>
      <c r="N1901" s="5">
        <v>3.8470191226096735</v>
      </c>
      <c r="O1901" t="s">
        <v>39</v>
      </c>
      <c r="P1901" t="s">
        <v>340</v>
      </c>
      <c r="Q1901" s="10" t="s">
        <v>24</v>
      </c>
    </row>
    <row r="1902" spans="1:18" hidden="1" x14ac:dyDescent="0.25">
      <c r="A1902" s="9" t="s">
        <v>572</v>
      </c>
      <c r="B1902" s="3" t="str">
        <f t="shared" ref="B1902:B1910" si="43">CONCATENATE(E1902,"/",D1902,"/",C1902)</f>
        <v>18/7/15</v>
      </c>
      <c r="C1902" s="10">
        <v>15</v>
      </c>
      <c r="D1902" s="10">
        <v>7</v>
      </c>
      <c r="E1902" s="10">
        <v>18</v>
      </c>
      <c r="F1902" t="s">
        <v>60</v>
      </c>
      <c r="G1902" t="s">
        <v>31</v>
      </c>
      <c r="H1902" t="s">
        <v>26</v>
      </c>
      <c r="I1902" t="s">
        <v>27</v>
      </c>
      <c r="J1902">
        <v>6.75</v>
      </c>
      <c r="K1902">
        <v>1</v>
      </c>
      <c r="L1902">
        <v>6.75</v>
      </c>
      <c r="M1902">
        <v>6.75</v>
      </c>
      <c r="N1902" s="5">
        <v>0.34002182856183366</v>
      </c>
      <c r="O1902" t="s">
        <v>101</v>
      </c>
      <c r="P1902" t="s">
        <v>340</v>
      </c>
      <c r="Q1902" s="10" t="s">
        <v>24</v>
      </c>
      <c r="R1902" t="s">
        <v>517</v>
      </c>
    </row>
    <row r="1903" spans="1:18" hidden="1" x14ac:dyDescent="0.25">
      <c r="A1903" s="9" t="s">
        <v>572</v>
      </c>
      <c r="B1903" s="3" t="str">
        <f t="shared" si="43"/>
        <v>18/7/15</v>
      </c>
      <c r="C1903" s="10">
        <v>15</v>
      </c>
      <c r="D1903" s="10">
        <v>7</v>
      </c>
      <c r="E1903" s="10">
        <v>18</v>
      </c>
      <c r="F1903" t="s">
        <v>599</v>
      </c>
      <c r="H1903" t="s">
        <v>56</v>
      </c>
      <c r="I1903" t="s">
        <v>27</v>
      </c>
      <c r="J1903">
        <v>4.5</v>
      </c>
      <c r="K1903">
        <v>10.4</v>
      </c>
      <c r="L1903">
        <v>4.5</v>
      </c>
      <c r="M1903">
        <v>46.800000000000004</v>
      </c>
      <c r="N1903" s="5">
        <v>2.3574846780287135</v>
      </c>
      <c r="O1903" t="s">
        <v>593</v>
      </c>
      <c r="P1903" t="s">
        <v>340</v>
      </c>
      <c r="Q1903" s="10" t="s">
        <v>24</v>
      </c>
      <c r="R1903" t="s">
        <v>517</v>
      </c>
    </row>
    <row r="1904" spans="1:18" hidden="1" x14ac:dyDescent="0.25">
      <c r="A1904" s="9" t="s">
        <v>572</v>
      </c>
      <c r="B1904" s="3" t="str">
        <f t="shared" si="43"/>
        <v>18/7/15</v>
      </c>
      <c r="C1904" s="10">
        <v>15</v>
      </c>
      <c r="D1904" s="10">
        <v>7</v>
      </c>
      <c r="E1904" s="10">
        <v>18</v>
      </c>
      <c r="F1904" t="s">
        <v>174</v>
      </c>
      <c r="G1904" t="s">
        <v>889</v>
      </c>
      <c r="H1904" t="s">
        <v>54</v>
      </c>
      <c r="I1904" t="s">
        <v>27</v>
      </c>
      <c r="J1904">
        <v>14</v>
      </c>
      <c r="K1904">
        <v>1</v>
      </c>
      <c r="L1904">
        <v>14</v>
      </c>
      <c r="M1904">
        <v>14</v>
      </c>
      <c r="N1904" s="5">
        <v>0.70523045923935868</v>
      </c>
      <c r="O1904" t="s">
        <v>593</v>
      </c>
      <c r="P1904" t="s">
        <v>340</v>
      </c>
      <c r="Q1904" s="10" t="s">
        <v>24</v>
      </c>
      <c r="R1904" t="s">
        <v>517</v>
      </c>
    </row>
    <row r="1905" spans="1:19" hidden="1" x14ac:dyDescent="0.25">
      <c r="A1905" s="9" t="s">
        <v>572</v>
      </c>
      <c r="B1905" s="3" t="str">
        <f t="shared" si="43"/>
        <v>18/7/15</v>
      </c>
      <c r="C1905" s="10">
        <v>15</v>
      </c>
      <c r="D1905" s="10">
        <v>7</v>
      </c>
      <c r="E1905" s="10">
        <v>18</v>
      </c>
      <c r="F1905" t="s">
        <v>404</v>
      </c>
      <c r="G1905" t="s">
        <v>889</v>
      </c>
      <c r="H1905" t="s">
        <v>54</v>
      </c>
      <c r="I1905" t="s">
        <v>27</v>
      </c>
      <c r="J1905">
        <v>29</v>
      </c>
      <c r="K1905">
        <v>1</v>
      </c>
      <c r="L1905">
        <v>29</v>
      </c>
      <c r="M1905">
        <v>29</v>
      </c>
      <c r="N1905" s="5">
        <v>1.4608345227101003</v>
      </c>
      <c r="O1905" t="s">
        <v>593</v>
      </c>
      <c r="P1905" t="s">
        <v>340</v>
      </c>
      <c r="Q1905" s="10" t="s">
        <v>24</v>
      </c>
      <c r="R1905" t="s">
        <v>517</v>
      </c>
    </row>
    <row r="1906" spans="1:19" hidden="1" x14ac:dyDescent="0.25">
      <c r="A1906" s="9" t="s">
        <v>572</v>
      </c>
      <c r="B1906" s="3" t="str">
        <f t="shared" si="43"/>
        <v>18/7/15</v>
      </c>
      <c r="C1906" s="10">
        <v>15</v>
      </c>
      <c r="D1906" s="10">
        <v>7</v>
      </c>
      <c r="E1906" s="10">
        <v>18</v>
      </c>
      <c r="F1906" t="s">
        <v>891</v>
      </c>
      <c r="G1906" t="s">
        <v>889</v>
      </c>
      <c r="H1906" t="s">
        <v>54</v>
      </c>
      <c r="I1906" t="s">
        <v>27</v>
      </c>
      <c r="J1906">
        <v>5</v>
      </c>
      <c r="K1906">
        <v>1</v>
      </c>
      <c r="L1906">
        <v>5</v>
      </c>
      <c r="M1906">
        <v>5</v>
      </c>
      <c r="N1906" s="5">
        <v>0.25186802115691381</v>
      </c>
      <c r="O1906" t="s">
        <v>593</v>
      </c>
      <c r="P1906" t="s">
        <v>340</v>
      </c>
      <c r="Q1906" s="10" t="s">
        <v>24</v>
      </c>
      <c r="R1906" t="s">
        <v>517</v>
      </c>
    </row>
    <row r="1907" spans="1:19" hidden="1" x14ac:dyDescent="0.25">
      <c r="A1907" s="9" t="s">
        <v>572</v>
      </c>
      <c r="B1907" s="3" t="str">
        <f t="shared" si="43"/>
        <v>18/7/15</v>
      </c>
      <c r="C1907" s="10">
        <v>15</v>
      </c>
      <c r="D1907" s="10">
        <v>7</v>
      </c>
      <c r="E1907" s="10">
        <v>18</v>
      </c>
      <c r="F1907" t="s">
        <v>892</v>
      </c>
      <c r="H1907" t="s">
        <v>53</v>
      </c>
      <c r="I1907" t="s">
        <v>27</v>
      </c>
      <c r="J1907">
        <v>9.5</v>
      </c>
      <c r="K1907">
        <v>1</v>
      </c>
      <c r="L1907">
        <v>9.5</v>
      </c>
      <c r="M1907">
        <v>9.5</v>
      </c>
      <c r="N1907" s="5">
        <v>0.47854924019813627</v>
      </c>
      <c r="O1907" t="s">
        <v>101</v>
      </c>
      <c r="P1907" t="s">
        <v>340</v>
      </c>
      <c r="Q1907" s="10" t="s">
        <v>24</v>
      </c>
      <c r="R1907" t="s">
        <v>517</v>
      </c>
    </row>
    <row r="1908" spans="1:19" hidden="1" x14ac:dyDescent="0.25">
      <c r="A1908" s="2" t="s">
        <v>572</v>
      </c>
      <c r="B1908" s="3" t="str">
        <f t="shared" si="43"/>
        <v>18/7/15</v>
      </c>
      <c r="C1908">
        <v>15</v>
      </c>
      <c r="D1908">
        <v>7</v>
      </c>
      <c r="E1908">
        <v>18</v>
      </c>
      <c r="F1908" t="s">
        <v>168</v>
      </c>
      <c r="H1908" t="s">
        <v>168</v>
      </c>
      <c r="I1908" t="s">
        <v>105</v>
      </c>
      <c r="J1908">
        <v>245</v>
      </c>
      <c r="K1908">
        <v>1</v>
      </c>
      <c r="L1908">
        <v>245</v>
      </c>
      <c r="M1908">
        <v>245</v>
      </c>
      <c r="N1908" s="5">
        <v>12.323943661971832</v>
      </c>
      <c r="O1908" t="s">
        <v>39</v>
      </c>
      <c r="Q1908" t="s">
        <v>24</v>
      </c>
    </row>
    <row r="1909" spans="1:19" hidden="1" x14ac:dyDescent="0.25">
      <c r="A1909" s="2" t="s">
        <v>572</v>
      </c>
      <c r="B1909" s="3" t="str">
        <f t="shared" si="43"/>
        <v>18/7/15</v>
      </c>
      <c r="C1909">
        <v>15</v>
      </c>
      <c r="D1909">
        <v>7</v>
      </c>
      <c r="E1909">
        <v>18</v>
      </c>
      <c r="F1909" t="s">
        <v>179</v>
      </c>
      <c r="H1909" t="s">
        <v>179</v>
      </c>
      <c r="I1909" t="s">
        <v>105</v>
      </c>
      <c r="J1909">
        <v>61</v>
      </c>
      <c r="K1909">
        <v>1</v>
      </c>
      <c r="L1909">
        <v>61</v>
      </c>
      <c r="M1909">
        <v>61</v>
      </c>
      <c r="N1909" s="5">
        <v>3.0684104627766602</v>
      </c>
      <c r="O1909" t="s">
        <v>39</v>
      </c>
      <c r="Q1909" t="s">
        <v>24</v>
      </c>
    </row>
    <row r="1910" spans="1:19" hidden="1" x14ac:dyDescent="0.25">
      <c r="A1910" s="2" t="s">
        <v>572</v>
      </c>
      <c r="B1910" s="3" t="str">
        <f t="shared" si="43"/>
        <v>18/7/15</v>
      </c>
      <c r="C1910">
        <v>15</v>
      </c>
      <c r="D1910">
        <v>7</v>
      </c>
      <c r="E1910">
        <v>18</v>
      </c>
      <c r="F1910" t="s">
        <v>170</v>
      </c>
      <c r="H1910" t="s">
        <v>170</v>
      </c>
      <c r="I1910" t="s">
        <v>105</v>
      </c>
      <c r="J1910">
        <v>210</v>
      </c>
      <c r="K1910">
        <v>1</v>
      </c>
      <c r="L1910">
        <v>210</v>
      </c>
      <c r="M1910">
        <v>210</v>
      </c>
      <c r="N1910" s="5">
        <v>10.563380281690142</v>
      </c>
      <c r="O1910" t="s">
        <v>39</v>
      </c>
      <c r="Q1910" t="s">
        <v>24</v>
      </c>
    </row>
    <row r="1911" spans="1:19" hidden="1" x14ac:dyDescent="0.25">
      <c r="A1911" s="9" t="s">
        <v>572</v>
      </c>
      <c r="B1911" s="3" t="s">
        <v>1318</v>
      </c>
      <c r="C1911" s="10">
        <v>15</v>
      </c>
      <c r="D1911" s="10">
        <v>7</v>
      </c>
      <c r="E1911" s="10">
        <v>18</v>
      </c>
      <c r="F1911" t="s">
        <v>60</v>
      </c>
      <c r="G1911" t="s">
        <v>31</v>
      </c>
      <c r="H1911" t="s">
        <v>26</v>
      </c>
      <c r="I1911" t="s">
        <v>27</v>
      </c>
      <c r="J1911" s="4">
        <v>13.6</v>
      </c>
      <c r="K1911">
        <v>1</v>
      </c>
      <c r="L1911">
        <v>13.6</v>
      </c>
      <c r="M1911">
        <v>13.6</v>
      </c>
      <c r="N1911" s="5">
        <v>0.68841394825646784</v>
      </c>
      <c r="O1911" t="s">
        <v>597</v>
      </c>
      <c r="P1911" t="s">
        <v>340</v>
      </c>
      <c r="Q1911" s="10" t="s">
        <v>1102</v>
      </c>
    </row>
    <row r="1912" spans="1:19" hidden="1" x14ac:dyDescent="0.25">
      <c r="A1912" s="9" t="s">
        <v>572</v>
      </c>
      <c r="B1912" s="3" t="s">
        <v>1318</v>
      </c>
      <c r="C1912" s="10">
        <v>15</v>
      </c>
      <c r="D1912" s="10">
        <v>7</v>
      </c>
      <c r="E1912" s="10">
        <v>18</v>
      </c>
      <c r="F1912" t="s">
        <v>60</v>
      </c>
      <c r="G1912" t="s">
        <v>31</v>
      </c>
      <c r="H1912" t="s">
        <v>26</v>
      </c>
      <c r="I1912" t="s">
        <v>27</v>
      </c>
      <c r="J1912" s="4">
        <v>13.35</v>
      </c>
      <c r="K1912">
        <v>1</v>
      </c>
      <c r="L1912">
        <v>13.35</v>
      </c>
      <c r="M1912">
        <v>13.35</v>
      </c>
      <c r="N1912" s="5">
        <v>0.67575928008998876</v>
      </c>
      <c r="O1912" t="s">
        <v>597</v>
      </c>
      <c r="P1912" t="s">
        <v>340</v>
      </c>
      <c r="Q1912" s="10" t="s">
        <v>1102</v>
      </c>
      <c r="S1912" t="s">
        <v>517</v>
      </c>
    </row>
    <row r="1913" spans="1:19" hidden="1" x14ac:dyDescent="0.25">
      <c r="A1913" s="9" t="s">
        <v>572</v>
      </c>
      <c r="B1913" s="3" t="s">
        <v>1318</v>
      </c>
      <c r="C1913" s="10">
        <v>15</v>
      </c>
      <c r="D1913" s="10">
        <v>7</v>
      </c>
      <c r="E1913" s="10">
        <v>18</v>
      </c>
      <c r="F1913" t="s">
        <v>60</v>
      </c>
      <c r="G1913" t="s">
        <v>31</v>
      </c>
      <c r="H1913" t="s">
        <v>26</v>
      </c>
      <c r="I1913" t="s">
        <v>27</v>
      </c>
      <c r="J1913" s="4">
        <v>13.35</v>
      </c>
      <c r="K1913">
        <v>1</v>
      </c>
      <c r="L1913">
        <v>13.35</v>
      </c>
      <c r="M1913">
        <v>13.35</v>
      </c>
      <c r="N1913" s="5">
        <v>0.67575928008998876</v>
      </c>
      <c r="O1913" t="s">
        <v>597</v>
      </c>
      <c r="P1913" t="s">
        <v>340</v>
      </c>
      <c r="Q1913" s="10" t="s">
        <v>1102</v>
      </c>
      <c r="S1913" t="s">
        <v>517</v>
      </c>
    </row>
    <row r="1914" spans="1:19" hidden="1" x14ac:dyDescent="0.25">
      <c r="A1914" s="9" t="s">
        <v>572</v>
      </c>
      <c r="B1914" s="3" t="s">
        <v>1318</v>
      </c>
      <c r="C1914" s="10">
        <v>15</v>
      </c>
      <c r="D1914" s="10">
        <v>7</v>
      </c>
      <c r="E1914" s="10">
        <v>18</v>
      </c>
      <c r="F1914" t="s">
        <v>676</v>
      </c>
      <c r="G1914" t="s">
        <v>39</v>
      </c>
      <c r="H1914" t="s">
        <v>131</v>
      </c>
      <c r="I1914" t="s">
        <v>27</v>
      </c>
      <c r="J1914" s="4">
        <v>4.8499999999999996</v>
      </c>
      <c r="K1914">
        <v>2</v>
      </c>
      <c r="L1914">
        <v>4.8499999999999996</v>
      </c>
      <c r="M1914">
        <v>9.6999999999999993</v>
      </c>
      <c r="N1914" s="5">
        <v>0.49100112485939251</v>
      </c>
      <c r="O1914" t="s">
        <v>597</v>
      </c>
      <c r="P1914" t="s">
        <v>340</v>
      </c>
      <c r="Q1914" s="10" t="s">
        <v>1102</v>
      </c>
      <c r="S1914" t="s">
        <v>517</v>
      </c>
    </row>
    <row r="1915" spans="1:19" hidden="1" x14ac:dyDescent="0.25">
      <c r="A1915" s="2" t="s">
        <v>572</v>
      </c>
      <c r="B1915" s="3" t="str">
        <f>CONCATENATE(E1915,"/",D1915,"/",C1915)</f>
        <v>18/7/16</v>
      </c>
      <c r="C1915" s="18">
        <v>16</v>
      </c>
      <c r="D1915" s="18">
        <v>7</v>
      </c>
      <c r="E1915">
        <v>18</v>
      </c>
      <c r="F1915" t="s">
        <v>141</v>
      </c>
      <c r="H1915" t="s">
        <v>172</v>
      </c>
      <c r="I1915" s="12" t="s">
        <v>39</v>
      </c>
      <c r="J1915" s="18">
        <v>2</v>
      </c>
      <c r="K1915" s="18">
        <v>2</v>
      </c>
      <c r="L1915" s="12">
        <v>2</v>
      </c>
      <c r="M1915" s="22">
        <v>4</v>
      </c>
      <c r="N1915" s="22">
        <v>0.2012072434607646</v>
      </c>
      <c r="O1915" s="7" t="s">
        <v>39</v>
      </c>
      <c r="P1915" s="12"/>
      <c r="Q1915" s="12" t="s">
        <v>24</v>
      </c>
      <c r="R1915" s="12"/>
      <c r="S1915" t="s">
        <v>517</v>
      </c>
    </row>
    <row r="1916" spans="1:19" hidden="1" x14ac:dyDescent="0.25">
      <c r="A1916" s="2" t="s">
        <v>572</v>
      </c>
      <c r="B1916" s="3" t="str">
        <f>CONCATENATE(E1916,"/",D1916,"/",C1916)</f>
        <v>18/7/16</v>
      </c>
      <c r="C1916" s="18">
        <v>16</v>
      </c>
      <c r="D1916" s="18">
        <v>7</v>
      </c>
      <c r="E1916">
        <v>18</v>
      </c>
      <c r="F1916" t="s">
        <v>1078</v>
      </c>
      <c r="G1916" s="12"/>
      <c r="H1916" t="s">
        <v>65</v>
      </c>
      <c r="I1916" s="12" t="s">
        <v>27</v>
      </c>
      <c r="J1916" s="7">
        <v>25</v>
      </c>
      <c r="K1916" s="7">
        <v>2</v>
      </c>
      <c r="L1916" s="37">
        <v>25</v>
      </c>
      <c r="M1916" s="22">
        <v>50</v>
      </c>
      <c r="N1916" s="22">
        <v>2.5150905432595576</v>
      </c>
      <c r="O1916" s="7" t="s">
        <v>39</v>
      </c>
      <c r="P1916" s="12"/>
      <c r="Q1916" s="12" t="s">
        <v>24</v>
      </c>
      <c r="R1916" s="12"/>
      <c r="S1916" t="s">
        <v>517</v>
      </c>
    </row>
    <row r="1917" spans="1:19" hidden="1" x14ac:dyDescent="0.25">
      <c r="A1917" s="9" t="s">
        <v>572</v>
      </c>
      <c r="B1917" s="3" t="s">
        <v>1316</v>
      </c>
      <c r="C1917" s="10">
        <v>16</v>
      </c>
      <c r="D1917" s="10">
        <v>7</v>
      </c>
      <c r="E1917" s="10">
        <v>18</v>
      </c>
      <c r="F1917" t="s">
        <v>60</v>
      </c>
      <c r="G1917" t="s">
        <v>31</v>
      </c>
      <c r="H1917" t="s">
        <v>26</v>
      </c>
      <c r="I1917" t="s">
        <v>27</v>
      </c>
      <c r="J1917" s="4">
        <v>13.35</v>
      </c>
      <c r="K1917">
        <v>2</v>
      </c>
      <c r="L1917">
        <v>13.35</v>
      </c>
      <c r="M1917">
        <v>26.7</v>
      </c>
      <c r="N1917" s="5">
        <v>1.3515185601799775</v>
      </c>
      <c r="O1917" t="s">
        <v>597</v>
      </c>
      <c r="P1917" t="s">
        <v>340</v>
      </c>
      <c r="Q1917" s="10" t="s">
        <v>1102</v>
      </c>
      <c r="S1917" t="s">
        <v>517</v>
      </c>
    </row>
    <row r="1918" spans="1:19" hidden="1" x14ac:dyDescent="0.25">
      <c r="A1918" s="2" t="s">
        <v>572</v>
      </c>
      <c r="B1918" s="3" t="str">
        <f t="shared" ref="B1918:B1940" si="44">CONCATENATE(E1918,"/",D1918,"/",C1918)</f>
        <v>18/7/17</v>
      </c>
      <c r="C1918" s="10">
        <v>17</v>
      </c>
      <c r="D1918" s="10">
        <v>7</v>
      </c>
      <c r="E1918">
        <v>18</v>
      </c>
      <c r="F1918" t="s">
        <v>609</v>
      </c>
      <c r="G1918" t="s">
        <v>58</v>
      </c>
      <c r="H1918" t="s">
        <v>59</v>
      </c>
      <c r="I1918" t="s">
        <v>27</v>
      </c>
      <c r="J1918">
        <v>61.9</v>
      </c>
      <c r="K1918">
        <v>1</v>
      </c>
      <c r="L1918">
        <v>61.9</v>
      </c>
      <c r="M1918">
        <v>61.9</v>
      </c>
      <c r="N1918" s="5">
        <v>3.1459064867861759</v>
      </c>
      <c r="O1918" t="s">
        <v>51</v>
      </c>
      <c r="P1918" t="s">
        <v>340</v>
      </c>
      <c r="Q1918" s="10" t="s">
        <v>24</v>
      </c>
      <c r="S1918" t="s">
        <v>517</v>
      </c>
    </row>
    <row r="1919" spans="1:19" hidden="1" x14ac:dyDescent="0.25">
      <c r="A1919" s="2" t="s">
        <v>572</v>
      </c>
      <c r="B1919" s="3" t="str">
        <f t="shared" si="44"/>
        <v>18/7/17</v>
      </c>
      <c r="C1919" s="10">
        <v>17</v>
      </c>
      <c r="D1919" s="10">
        <v>7</v>
      </c>
      <c r="E1919">
        <v>18</v>
      </c>
      <c r="F1919" t="s">
        <v>770</v>
      </c>
      <c r="G1919" t="s">
        <v>31</v>
      </c>
      <c r="H1919" t="s">
        <v>26</v>
      </c>
      <c r="I1919" t="s">
        <v>27</v>
      </c>
      <c r="J1919">
        <v>11.9</v>
      </c>
      <c r="K1919">
        <v>1</v>
      </c>
      <c r="L1919">
        <v>11.9</v>
      </c>
      <c r="M1919">
        <v>11.9</v>
      </c>
      <c r="N1919" s="5">
        <v>0.60478654592496761</v>
      </c>
      <c r="O1919" t="s">
        <v>51</v>
      </c>
      <c r="P1919" t="s">
        <v>340</v>
      </c>
      <c r="Q1919" s="10" t="s">
        <v>24</v>
      </c>
      <c r="S1919" t="s">
        <v>517</v>
      </c>
    </row>
    <row r="1920" spans="1:19" hidden="1" x14ac:dyDescent="0.25">
      <c r="A1920" s="2" t="s">
        <v>572</v>
      </c>
      <c r="B1920" s="3" t="str">
        <f t="shared" si="44"/>
        <v>18/7/17</v>
      </c>
      <c r="C1920" s="10">
        <v>17</v>
      </c>
      <c r="D1920" s="10">
        <v>7</v>
      </c>
      <c r="E1920">
        <v>18</v>
      </c>
      <c r="F1920" t="s">
        <v>66</v>
      </c>
      <c r="G1920" t="s">
        <v>67</v>
      </c>
      <c r="H1920" t="s">
        <v>59</v>
      </c>
      <c r="I1920" t="s">
        <v>27</v>
      </c>
      <c r="J1920">
        <v>149</v>
      </c>
      <c r="K1920">
        <v>1</v>
      </c>
      <c r="L1920">
        <v>149</v>
      </c>
      <c r="M1920">
        <v>149</v>
      </c>
      <c r="N1920" s="5">
        <v>7.5725374237664003</v>
      </c>
      <c r="O1920" t="s">
        <v>51</v>
      </c>
      <c r="P1920" t="s">
        <v>340</v>
      </c>
      <c r="Q1920" s="10" t="s">
        <v>24</v>
      </c>
      <c r="S1920" t="s">
        <v>517</v>
      </c>
    </row>
    <row r="1921" spans="1:18" hidden="1" x14ac:dyDescent="0.25">
      <c r="A1921" s="2" t="s">
        <v>572</v>
      </c>
      <c r="B1921" s="3" t="str">
        <f t="shared" si="44"/>
        <v>18/7/17</v>
      </c>
      <c r="C1921" s="10">
        <v>17</v>
      </c>
      <c r="D1921" s="10">
        <v>7</v>
      </c>
      <c r="E1921">
        <v>18</v>
      </c>
      <c r="F1921" t="s">
        <v>610</v>
      </c>
      <c r="G1921" t="s">
        <v>399</v>
      </c>
      <c r="H1921" t="s">
        <v>59</v>
      </c>
      <c r="I1921" t="s">
        <v>27</v>
      </c>
      <c r="J1921">
        <v>239</v>
      </c>
      <c r="K1921">
        <v>1</v>
      </c>
      <c r="L1921">
        <v>239</v>
      </c>
      <c r="M1921">
        <v>239</v>
      </c>
      <c r="N1921" s="5">
        <v>12.146553317316576</v>
      </c>
      <c r="O1921" t="s">
        <v>51</v>
      </c>
      <c r="P1921" t="s">
        <v>340</v>
      </c>
      <c r="Q1921" s="10" t="s">
        <v>24</v>
      </c>
    </row>
    <row r="1922" spans="1:18" hidden="1" x14ac:dyDescent="0.25">
      <c r="A1922" s="2" t="s">
        <v>572</v>
      </c>
      <c r="B1922" s="3" t="str">
        <f t="shared" si="44"/>
        <v>18/7/17</v>
      </c>
      <c r="C1922" s="10">
        <v>17</v>
      </c>
      <c r="D1922" s="10">
        <v>7</v>
      </c>
      <c r="E1922">
        <v>18</v>
      </c>
      <c r="F1922" t="s">
        <v>55</v>
      </c>
      <c r="H1922" t="s">
        <v>56</v>
      </c>
      <c r="I1922" t="s">
        <v>27</v>
      </c>
      <c r="J1922">
        <v>20.5</v>
      </c>
      <c r="K1922">
        <v>1.1200000000000001</v>
      </c>
      <c r="L1922">
        <v>20.5</v>
      </c>
      <c r="M1922">
        <v>22.96</v>
      </c>
      <c r="N1922" s="5">
        <v>1.1668822768434668</v>
      </c>
      <c r="O1922" t="s">
        <v>51</v>
      </c>
      <c r="P1922" t="s">
        <v>340</v>
      </c>
      <c r="Q1922" s="10" t="s">
        <v>24</v>
      </c>
    </row>
    <row r="1923" spans="1:18" hidden="1" x14ac:dyDescent="0.25">
      <c r="A1923" s="2" t="s">
        <v>572</v>
      </c>
      <c r="B1923" s="3" t="str">
        <f t="shared" si="44"/>
        <v>18/7/17</v>
      </c>
      <c r="C1923" s="10">
        <v>17</v>
      </c>
      <c r="D1923" s="10">
        <v>7</v>
      </c>
      <c r="E1923">
        <v>18</v>
      </c>
      <c r="F1923" t="s">
        <v>202</v>
      </c>
      <c r="H1923" t="s">
        <v>54</v>
      </c>
      <c r="I1923" t="s">
        <v>27</v>
      </c>
      <c r="J1923">
        <v>82</v>
      </c>
      <c r="K1923">
        <v>0.27</v>
      </c>
      <c r="L1923">
        <v>82</v>
      </c>
      <c r="M1923">
        <v>22.14</v>
      </c>
      <c r="N1923" s="5">
        <v>1.125207909813343</v>
      </c>
      <c r="O1923" t="s">
        <v>51</v>
      </c>
      <c r="P1923" t="s">
        <v>340</v>
      </c>
      <c r="Q1923" s="10" t="s">
        <v>24</v>
      </c>
    </row>
    <row r="1924" spans="1:18" hidden="1" x14ac:dyDescent="0.25">
      <c r="A1924" s="2" t="s">
        <v>572</v>
      </c>
      <c r="B1924" s="3" t="str">
        <f t="shared" si="44"/>
        <v>18/7/17</v>
      </c>
      <c r="C1924" s="10">
        <v>17</v>
      </c>
      <c r="D1924" s="10">
        <v>7</v>
      </c>
      <c r="E1924">
        <v>18</v>
      </c>
      <c r="F1924" t="s">
        <v>52</v>
      </c>
      <c r="H1924" t="s">
        <v>53</v>
      </c>
      <c r="I1924" t="s">
        <v>27</v>
      </c>
      <c r="J1924">
        <v>29.99</v>
      </c>
      <c r="K1924">
        <v>2</v>
      </c>
      <c r="L1924">
        <v>29.99</v>
      </c>
      <c r="M1924">
        <v>59.98</v>
      </c>
      <c r="N1924" s="5">
        <v>3.0483274810571053</v>
      </c>
      <c r="O1924" t="s">
        <v>51</v>
      </c>
      <c r="P1924" t="s">
        <v>340</v>
      </c>
      <c r="Q1924" s="10" t="s">
        <v>24</v>
      </c>
    </row>
    <row r="1925" spans="1:18" hidden="1" x14ac:dyDescent="0.25">
      <c r="A1925" s="2" t="s">
        <v>572</v>
      </c>
      <c r="B1925" s="3" t="str">
        <f t="shared" si="44"/>
        <v>18/7/17</v>
      </c>
      <c r="C1925" s="10">
        <v>17</v>
      </c>
      <c r="D1925" s="10">
        <v>7</v>
      </c>
      <c r="E1925">
        <v>18</v>
      </c>
      <c r="F1925" t="s">
        <v>75</v>
      </c>
      <c r="H1925" t="s">
        <v>65</v>
      </c>
      <c r="I1925" t="s">
        <v>27</v>
      </c>
      <c r="J1925">
        <v>8.59</v>
      </c>
      <c r="K1925">
        <v>13</v>
      </c>
      <c r="L1925">
        <v>8.59</v>
      </c>
      <c r="M1925">
        <v>111.67</v>
      </c>
      <c r="N1925" s="5">
        <v>5.6753372759194223</v>
      </c>
      <c r="O1925" t="s">
        <v>51</v>
      </c>
      <c r="P1925" t="s">
        <v>340</v>
      </c>
      <c r="Q1925" s="10" t="s">
        <v>24</v>
      </c>
    </row>
    <row r="1926" spans="1:18" hidden="1" x14ac:dyDescent="0.25">
      <c r="A1926" s="2" t="s">
        <v>572</v>
      </c>
      <c r="B1926" s="3" t="str">
        <f t="shared" si="44"/>
        <v>18/7/17</v>
      </c>
      <c r="C1926" s="10">
        <v>17</v>
      </c>
      <c r="D1926" s="10">
        <v>7</v>
      </c>
      <c r="E1926">
        <v>18</v>
      </c>
      <c r="F1926" t="s">
        <v>508</v>
      </c>
      <c r="H1926" t="s">
        <v>73</v>
      </c>
      <c r="I1926" t="s">
        <v>27</v>
      </c>
      <c r="J1926">
        <v>21.84</v>
      </c>
      <c r="K1926">
        <v>1</v>
      </c>
      <c r="L1926">
        <v>21.84</v>
      </c>
      <c r="M1926">
        <v>21.84</v>
      </c>
      <c r="N1926" s="5">
        <v>1.1099611901681758</v>
      </c>
      <c r="O1926" t="s">
        <v>51</v>
      </c>
      <c r="P1926" t="s">
        <v>340</v>
      </c>
      <c r="Q1926" s="10" t="s">
        <v>24</v>
      </c>
    </row>
    <row r="1927" spans="1:18" hidden="1" x14ac:dyDescent="0.25">
      <c r="A1927" s="2" t="s">
        <v>572</v>
      </c>
      <c r="B1927" s="3" t="str">
        <f t="shared" si="44"/>
        <v>18/7/17</v>
      </c>
      <c r="C1927" s="18">
        <v>17</v>
      </c>
      <c r="D1927" s="18">
        <v>7</v>
      </c>
      <c r="E1927">
        <v>18</v>
      </c>
      <c r="F1927" t="s">
        <v>141</v>
      </c>
      <c r="H1927" t="s">
        <v>172</v>
      </c>
      <c r="I1927" s="12" t="s">
        <v>39</v>
      </c>
      <c r="J1927" s="18">
        <v>2</v>
      </c>
      <c r="K1927" s="18">
        <v>2</v>
      </c>
      <c r="L1927" s="12">
        <v>2</v>
      </c>
      <c r="M1927" s="22">
        <v>4</v>
      </c>
      <c r="N1927" s="22">
        <v>0.2012072434607646</v>
      </c>
      <c r="O1927" s="7" t="s">
        <v>39</v>
      </c>
      <c r="P1927" s="12"/>
      <c r="Q1927" s="12" t="s">
        <v>24</v>
      </c>
      <c r="R1927" s="12"/>
    </row>
    <row r="1928" spans="1:18" hidden="1" x14ac:dyDescent="0.25">
      <c r="A1928" s="2" t="s">
        <v>572</v>
      </c>
      <c r="B1928" s="3" t="str">
        <f t="shared" si="44"/>
        <v>18/7/17</v>
      </c>
      <c r="C1928">
        <v>17</v>
      </c>
      <c r="D1928">
        <v>7</v>
      </c>
      <c r="E1928">
        <v>18</v>
      </c>
      <c r="F1928" t="s">
        <v>199</v>
      </c>
      <c r="H1928" t="s">
        <v>1094</v>
      </c>
      <c r="I1928" t="s">
        <v>105</v>
      </c>
      <c r="J1928">
        <v>180</v>
      </c>
      <c r="K1928">
        <v>1</v>
      </c>
      <c r="L1928">
        <v>180</v>
      </c>
      <c r="M1928">
        <v>180</v>
      </c>
      <c r="N1928" s="5">
        <v>9.0543259557344076</v>
      </c>
      <c r="O1928" t="s">
        <v>39</v>
      </c>
      <c r="Q1928" t="s">
        <v>24</v>
      </c>
    </row>
    <row r="1929" spans="1:18" hidden="1" x14ac:dyDescent="0.25">
      <c r="A1929" s="2" t="s">
        <v>19</v>
      </c>
      <c r="B1929" s="3" t="str">
        <f t="shared" si="44"/>
        <v>18/7/17</v>
      </c>
      <c r="C1929">
        <v>17</v>
      </c>
      <c r="D1929">
        <v>7</v>
      </c>
      <c r="E1929">
        <v>18</v>
      </c>
      <c r="F1929" t="s">
        <v>197</v>
      </c>
      <c r="H1929" t="s">
        <v>1094</v>
      </c>
      <c r="I1929" t="s">
        <v>105</v>
      </c>
      <c r="J1929">
        <v>150</v>
      </c>
      <c r="K1929">
        <v>1</v>
      </c>
      <c r="L1929">
        <v>150</v>
      </c>
      <c r="M1929">
        <v>150</v>
      </c>
      <c r="N1929" s="5">
        <v>7.5452716297786724</v>
      </c>
      <c r="O1929" t="s">
        <v>39</v>
      </c>
      <c r="Q1929" t="s">
        <v>24</v>
      </c>
    </row>
    <row r="1930" spans="1:18" hidden="1" x14ac:dyDescent="0.25">
      <c r="A1930" s="2" t="s">
        <v>572</v>
      </c>
      <c r="B1930" s="3" t="str">
        <f t="shared" si="44"/>
        <v>18/7/18</v>
      </c>
      <c r="C1930" s="18">
        <v>18</v>
      </c>
      <c r="D1930" s="18">
        <v>7</v>
      </c>
      <c r="E1930">
        <v>18</v>
      </c>
      <c r="F1930" s="7" t="s">
        <v>501</v>
      </c>
      <c r="H1930" t="s">
        <v>62</v>
      </c>
      <c r="I1930" t="s">
        <v>27</v>
      </c>
      <c r="J1930">
        <v>15.5</v>
      </c>
      <c r="K1930">
        <v>1</v>
      </c>
      <c r="L1930" s="12">
        <v>15.5</v>
      </c>
      <c r="M1930" s="21">
        <v>15.5</v>
      </c>
      <c r="N1930" s="22">
        <v>0.77967806841046283</v>
      </c>
      <c r="O1930" s="6" t="s">
        <v>101</v>
      </c>
      <c r="P1930" t="s">
        <v>340</v>
      </c>
      <c r="Q1930" s="6" t="s">
        <v>24</v>
      </c>
      <c r="R1930" s="6" t="s">
        <v>1616</v>
      </c>
    </row>
    <row r="1931" spans="1:18" hidden="1" x14ac:dyDescent="0.25">
      <c r="A1931" s="2" t="s">
        <v>572</v>
      </c>
      <c r="B1931" s="3" t="str">
        <f t="shared" si="44"/>
        <v>18/7/19</v>
      </c>
      <c r="C1931" s="18">
        <v>19</v>
      </c>
      <c r="D1931" s="18">
        <v>7</v>
      </c>
      <c r="E1931">
        <v>18</v>
      </c>
      <c r="F1931" s="7" t="s">
        <v>78</v>
      </c>
      <c r="G1931" t="s">
        <v>304</v>
      </c>
      <c r="H1931" t="s">
        <v>78</v>
      </c>
      <c r="I1931" s="12" t="s">
        <v>79</v>
      </c>
      <c r="J1931">
        <v>19.100000000000001</v>
      </c>
      <c r="K1931">
        <v>47.09</v>
      </c>
      <c r="L1931" s="12">
        <v>19.100000000000001</v>
      </c>
      <c r="M1931" s="22">
        <v>899.4190000000001</v>
      </c>
      <c r="N1931" s="22">
        <v>45.242404426559361</v>
      </c>
      <c r="O1931" s="7" t="s">
        <v>103</v>
      </c>
      <c r="P1931" s="12" t="s">
        <v>340</v>
      </c>
      <c r="Q1931" s="12" t="s">
        <v>24</v>
      </c>
      <c r="R1931" s="12"/>
    </row>
    <row r="1932" spans="1:18" hidden="1" x14ac:dyDescent="0.25">
      <c r="A1932" s="2" t="s">
        <v>572</v>
      </c>
      <c r="B1932" s="3" t="str">
        <f t="shared" si="44"/>
        <v>18/7/19</v>
      </c>
      <c r="C1932" s="18">
        <v>19</v>
      </c>
      <c r="D1932" s="18">
        <v>7</v>
      </c>
      <c r="E1932">
        <v>18</v>
      </c>
      <c r="F1932" t="s">
        <v>118</v>
      </c>
      <c r="H1932" t="s">
        <v>40</v>
      </c>
      <c r="I1932" s="12" t="s">
        <v>27</v>
      </c>
      <c r="J1932">
        <v>10</v>
      </c>
      <c r="K1932">
        <v>1</v>
      </c>
      <c r="L1932" s="12">
        <v>10</v>
      </c>
      <c r="M1932" s="22">
        <v>10</v>
      </c>
      <c r="N1932" s="22">
        <v>0.50301810865191154</v>
      </c>
      <c r="O1932" s="7" t="s">
        <v>100</v>
      </c>
      <c r="P1932" t="s">
        <v>340</v>
      </c>
      <c r="Q1932" s="12" t="s">
        <v>24</v>
      </c>
      <c r="R1932" s="12"/>
    </row>
    <row r="1933" spans="1:18" hidden="1" x14ac:dyDescent="0.25">
      <c r="A1933" s="2" t="s">
        <v>572</v>
      </c>
      <c r="B1933" s="3" t="str">
        <f t="shared" si="44"/>
        <v>18/7/19</v>
      </c>
      <c r="C1933" s="18">
        <v>19</v>
      </c>
      <c r="D1933" s="18">
        <v>7</v>
      </c>
      <c r="E1933">
        <v>18</v>
      </c>
      <c r="F1933" t="s">
        <v>1264</v>
      </c>
      <c r="G1933" t="s">
        <v>31</v>
      </c>
      <c r="H1933" t="s">
        <v>26</v>
      </c>
      <c r="I1933" s="12" t="s">
        <v>27</v>
      </c>
      <c r="J1933">
        <v>29.7</v>
      </c>
      <c r="K1933">
        <v>1</v>
      </c>
      <c r="L1933" s="12">
        <v>29.7</v>
      </c>
      <c r="M1933" s="22">
        <v>29.7</v>
      </c>
      <c r="N1933" s="22">
        <v>1.4939637826961771</v>
      </c>
      <c r="O1933" s="7" t="s">
        <v>100</v>
      </c>
      <c r="P1933" t="s">
        <v>340</v>
      </c>
      <c r="Q1933" s="12" t="s">
        <v>24</v>
      </c>
      <c r="R1933" s="12"/>
    </row>
    <row r="1934" spans="1:18" hidden="1" x14ac:dyDescent="0.25">
      <c r="A1934" s="2" t="s">
        <v>572</v>
      </c>
      <c r="B1934" s="3" t="str">
        <f t="shared" si="44"/>
        <v>18/7/19</v>
      </c>
      <c r="C1934" s="18">
        <v>19</v>
      </c>
      <c r="D1934" s="18">
        <v>7</v>
      </c>
      <c r="E1934">
        <v>18</v>
      </c>
      <c r="F1934" t="s">
        <v>47</v>
      </c>
      <c r="G1934" t="s">
        <v>31</v>
      </c>
      <c r="H1934" t="s">
        <v>26</v>
      </c>
      <c r="I1934" s="12" t="s">
        <v>27</v>
      </c>
      <c r="J1934">
        <v>6.45</v>
      </c>
      <c r="K1934">
        <v>2</v>
      </c>
      <c r="L1934" s="12">
        <v>6.45</v>
      </c>
      <c r="M1934" s="22">
        <v>12.9</v>
      </c>
      <c r="N1934" s="22">
        <v>0.64889336016096588</v>
      </c>
      <c r="O1934" s="7" t="s">
        <v>100</v>
      </c>
      <c r="P1934" t="s">
        <v>340</v>
      </c>
      <c r="Q1934" s="12" t="s">
        <v>24</v>
      </c>
      <c r="R1934" s="12"/>
    </row>
    <row r="1935" spans="1:18" hidden="1" x14ac:dyDescent="0.25">
      <c r="A1935" s="2" t="s">
        <v>572</v>
      </c>
      <c r="B1935" s="3" t="str">
        <f t="shared" si="44"/>
        <v>18/7/19</v>
      </c>
      <c r="C1935" s="18">
        <v>19</v>
      </c>
      <c r="D1935" s="18">
        <v>7</v>
      </c>
      <c r="E1935">
        <v>18</v>
      </c>
      <c r="F1935" s="7" t="s">
        <v>166</v>
      </c>
      <c r="G1935" t="s">
        <v>77</v>
      </c>
      <c r="H1935" t="s">
        <v>26</v>
      </c>
      <c r="I1935" s="12" t="s">
        <v>27</v>
      </c>
      <c r="J1935">
        <v>19.75</v>
      </c>
      <c r="K1935">
        <v>1</v>
      </c>
      <c r="L1935" s="12">
        <v>19.75</v>
      </c>
      <c r="M1935" s="22">
        <v>19.75</v>
      </c>
      <c r="N1935" s="22">
        <v>0.99346076458752519</v>
      </c>
      <c r="O1935" s="7" t="s">
        <v>100</v>
      </c>
      <c r="P1935" t="s">
        <v>340</v>
      </c>
      <c r="Q1935" s="12" t="s">
        <v>24</v>
      </c>
      <c r="R1935" s="12"/>
    </row>
    <row r="1936" spans="1:18" hidden="1" x14ac:dyDescent="0.25">
      <c r="A1936" s="2" t="s">
        <v>572</v>
      </c>
      <c r="B1936" s="3" t="str">
        <f t="shared" si="44"/>
        <v>18/7/19</v>
      </c>
      <c r="C1936" s="18">
        <v>19</v>
      </c>
      <c r="D1936" s="18">
        <v>7</v>
      </c>
      <c r="E1936">
        <v>18</v>
      </c>
      <c r="F1936" t="s">
        <v>586</v>
      </c>
      <c r="G1936" t="s">
        <v>31</v>
      </c>
      <c r="H1936" t="s">
        <v>26</v>
      </c>
      <c r="I1936" s="12" t="s">
        <v>27</v>
      </c>
      <c r="J1936">
        <v>5.2</v>
      </c>
      <c r="K1936">
        <v>2</v>
      </c>
      <c r="L1936" s="12">
        <v>5.2</v>
      </c>
      <c r="M1936" s="22">
        <v>10.4</v>
      </c>
      <c r="N1936" s="22">
        <v>0.52313883299798802</v>
      </c>
      <c r="O1936" s="7" t="s">
        <v>100</v>
      </c>
      <c r="P1936" t="s">
        <v>340</v>
      </c>
      <c r="Q1936" s="12" t="s">
        <v>24</v>
      </c>
      <c r="R1936" s="12"/>
    </row>
    <row r="1937" spans="1:18" hidden="1" x14ac:dyDescent="0.25">
      <c r="A1937" s="2" t="s">
        <v>572</v>
      </c>
      <c r="B1937" s="3" t="str">
        <f t="shared" si="44"/>
        <v>18/7/19</v>
      </c>
      <c r="C1937" s="10">
        <v>19</v>
      </c>
      <c r="D1937" s="10">
        <v>7</v>
      </c>
      <c r="E1937">
        <v>18</v>
      </c>
      <c r="F1937" t="s">
        <v>1572</v>
      </c>
      <c r="I1937" t="s">
        <v>96</v>
      </c>
      <c r="J1937" s="11">
        <f>3.07+4</f>
        <v>7.07</v>
      </c>
      <c r="K1937" s="42">
        <v>1</v>
      </c>
      <c r="L1937">
        <v>122.57966000000002</v>
      </c>
      <c r="M1937">
        <v>122.57966000000002</v>
      </c>
      <c r="N1937" s="5">
        <v>6.2297923673997415</v>
      </c>
      <c r="O1937" t="s">
        <v>39</v>
      </c>
      <c r="Q1937" t="s">
        <v>84</v>
      </c>
      <c r="R1937" t="s">
        <v>1571</v>
      </c>
    </row>
    <row r="1938" spans="1:18" hidden="1" x14ac:dyDescent="0.25">
      <c r="A1938" s="2" t="s">
        <v>572</v>
      </c>
      <c r="B1938" s="3" t="str">
        <f t="shared" si="44"/>
        <v>18/7/2</v>
      </c>
      <c r="C1938" s="13">
        <v>2</v>
      </c>
      <c r="D1938">
        <v>7</v>
      </c>
      <c r="E1938">
        <v>18</v>
      </c>
      <c r="F1938" t="s">
        <v>573</v>
      </c>
      <c r="I1938" t="s">
        <v>72</v>
      </c>
      <c r="J1938">
        <v>110</v>
      </c>
      <c r="K1938">
        <v>1</v>
      </c>
      <c r="L1938">
        <v>110</v>
      </c>
      <c r="M1938">
        <v>110</v>
      </c>
      <c r="N1938" s="5">
        <v>5.5331991951710267</v>
      </c>
      <c r="O1938" t="s">
        <v>562</v>
      </c>
      <c r="P1938" t="s">
        <v>340</v>
      </c>
      <c r="Q1938" t="s">
        <v>24</v>
      </c>
    </row>
    <row r="1939" spans="1:18" hidden="1" x14ac:dyDescent="0.25">
      <c r="A1939" s="2" t="s">
        <v>572</v>
      </c>
      <c r="B1939" s="3" t="str">
        <f t="shared" si="44"/>
        <v>18/7/20</v>
      </c>
      <c r="C1939" s="23">
        <v>20</v>
      </c>
      <c r="D1939" s="10">
        <v>7</v>
      </c>
      <c r="E1939">
        <v>18</v>
      </c>
      <c r="F1939" t="s">
        <v>104</v>
      </c>
      <c r="I1939" t="s">
        <v>72</v>
      </c>
      <c r="J1939">
        <v>117.7</v>
      </c>
      <c r="K1939">
        <v>0.5</v>
      </c>
      <c r="L1939">
        <v>117.7</v>
      </c>
      <c r="M1939" s="5">
        <v>58.85</v>
      </c>
      <c r="N1939">
        <v>2.964486609016876</v>
      </c>
      <c r="O1939" t="s">
        <v>243</v>
      </c>
      <c r="P1939" t="s">
        <v>340</v>
      </c>
      <c r="Q1939" s="10" t="s">
        <v>24</v>
      </c>
      <c r="R1939" t="s">
        <v>232</v>
      </c>
    </row>
    <row r="1940" spans="1:18" hidden="1" x14ac:dyDescent="0.25">
      <c r="A1940" s="2" t="s">
        <v>572</v>
      </c>
      <c r="B1940" s="3" t="str">
        <f t="shared" si="44"/>
        <v>18/7/20</v>
      </c>
      <c r="C1940" s="23">
        <v>20</v>
      </c>
      <c r="D1940" s="10">
        <v>7</v>
      </c>
      <c r="E1940">
        <v>18</v>
      </c>
      <c r="F1940" t="s">
        <v>669</v>
      </c>
      <c r="I1940" t="s">
        <v>72</v>
      </c>
      <c r="J1940">
        <v>7</v>
      </c>
      <c r="K1940">
        <v>2</v>
      </c>
      <c r="L1940">
        <v>7</v>
      </c>
      <c r="M1940" s="5">
        <v>14</v>
      </c>
      <c r="N1940">
        <v>0.70523045923935868</v>
      </c>
      <c r="O1940" t="s">
        <v>243</v>
      </c>
      <c r="P1940" t="s">
        <v>340</v>
      </c>
      <c r="Q1940" s="10" t="s">
        <v>24</v>
      </c>
    </row>
    <row r="1941" spans="1:18" hidden="1" x14ac:dyDescent="0.25">
      <c r="A1941" s="9" t="s">
        <v>572</v>
      </c>
      <c r="B1941" s="3" t="s">
        <v>1928</v>
      </c>
      <c r="C1941" s="10">
        <v>20</v>
      </c>
      <c r="D1941" s="10">
        <v>7</v>
      </c>
      <c r="E1941" s="10">
        <v>18</v>
      </c>
      <c r="F1941" t="s">
        <v>106</v>
      </c>
      <c r="G1941" t="s">
        <v>889</v>
      </c>
      <c r="H1941" t="s">
        <v>56</v>
      </c>
      <c r="I1941" t="s">
        <v>27</v>
      </c>
      <c r="J1941" s="4">
        <v>22.5</v>
      </c>
      <c r="K1941">
        <v>2.1819999999999999</v>
      </c>
      <c r="L1941">
        <v>22.5</v>
      </c>
      <c r="M1941">
        <v>49.094999999999999</v>
      </c>
      <c r="N1941" s="5">
        <v>2.4951256699316202</v>
      </c>
      <c r="O1941" t="s">
        <v>181</v>
      </c>
      <c r="P1941" t="s">
        <v>340</v>
      </c>
      <c r="Q1941" s="10" t="s">
        <v>24</v>
      </c>
    </row>
    <row r="1942" spans="1:18" hidden="1" x14ac:dyDescent="0.25">
      <c r="A1942" s="9" t="s">
        <v>572</v>
      </c>
      <c r="B1942" s="3" t="s">
        <v>1928</v>
      </c>
      <c r="C1942" s="10">
        <v>20</v>
      </c>
      <c r="D1942" s="10">
        <v>7</v>
      </c>
      <c r="E1942" s="10">
        <v>18</v>
      </c>
      <c r="F1942" t="s">
        <v>1924</v>
      </c>
      <c r="G1942" t="s">
        <v>889</v>
      </c>
      <c r="H1942" t="s">
        <v>39</v>
      </c>
      <c r="I1942" t="s">
        <v>27</v>
      </c>
      <c r="J1942" s="4">
        <v>26.5</v>
      </c>
      <c r="K1942">
        <v>1</v>
      </c>
      <c r="L1942">
        <v>26.5</v>
      </c>
      <c r="M1942">
        <v>26.5</v>
      </c>
      <c r="N1942" s="5">
        <v>1.3467935686564403</v>
      </c>
      <c r="O1942" t="s">
        <v>181</v>
      </c>
      <c r="P1942" t="s">
        <v>340</v>
      </c>
      <c r="Q1942" s="10" t="s">
        <v>24</v>
      </c>
    </row>
    <row r="1943" spans="1:18" hidden="1" x14ac:dyDescent="0.25">
      <c r="A1943" s="9" t="s">
        <v>572</v>
      </c>
      <c r="B1943" s="3" t="s">
        <v>1928</v>
      </c>
      <c r="C1943" s="10">
        <v>20</v>
      </c>
      <c r="D1943" s="10">
        <v>7</v>
      </c>
      <c r="E1943" s="10">
        <v>18</v>
      </c>
      <c r="F1943" t="s">
        <v>399</v>
      </c>
      <c r="G1943" t="s">
        <v>889</v>
      </c>
      <c r="H1943" t="s">
        <v>59</v>
      </c>
      <c r="I1943" t="s">
        <v>27</v>
      </c>
      <c r="J1943" s="4">
        <v>402.5</v>
      </c>
      <c r="K1943">
        <v>1</v>
      </c>
      <c r="L1943">
        <v>402.5</v>
      </c>
      <c r="M1943">
        <v>402.5</v>
      </c>
      <c r="N1943" s="5">
        <v>20.456015523932727</v>
      </c>
      <c r="O1943" t="s">
        <v>181</v>
      </c>
      <c r="P1943" t="s">
        <v>340</v>
      </c>
      <c r="Q1943" s="10" t="s">
        <v>24</v>
      </c>
      <c r="R1943" t="s">
        <v>1925</v>
      </c>
    </row>
    <row r="1944" spans="1:18" hidden="1" x14ac:dyDescent="0.25">
      <c r="A1944" s="9" t="s">
        <v>572</v>
      </c>
      <c r="B1944" s="3" t="s">
        <v>1928</v>
      </c>
      <c r="C1944" s="10">
        <v>20</v>
      </c>
      <c r="D1944" s="10">
        <v>7</v>
      </c>
      <c r="E1944" s="10">
        <v>18</v>
      </c>
      <c r="F1944" t="s">
        <v>212</v>
      </c>
      <c r="G1944" t="s">
        <v>889</v>
      </c>
      <c r="H1944" t="s">
        <v>54</v>
      </c>
      <c r="I1944" t="s">
        <v>27</v>
      </c>
      <c r="J1944" s="4">
        <v>25.2</v>
      </c>
      <c r="K1944">
        <v>1</v>
      </c>
      <c r="L1944">
        <v>25.2</v>
      </c>
      <c r="M1944">
        <v>25.2</v>
      </c>
      <c r="N1944" s="5">
        <v>1.2807244501940489</v>
      </c>
      <c r="O1944" t="s">
        <v>181</v>
      </c>
      <c r="P1944" t="s">
        <v>340</v>
      </c>
      <c r="Q1944" s="10" t="s">
        <v>24</v>
      </c>
    </row>
    <row r="1945" spans="1:18" hidden="1" x14ac:dyDescent="0.25">
      <c r="A1945" s="9" t="s">
        <v>572</v>
      </c>
      <c r="B1945" s="3" t="s">
        <v>1928</v>
      </c>
      <c r="C1945" s="10">
        <v>20</v>
      </c>
      <c r="D1945" s="10">
        <v>7</v>
      </c>
      <c r="E1945" s="10">
        <v>18</v>
      </c>
      <c r="F1945" t="s">
        <v>206</v>
      </c>
      <c r="G1945" t="s">
        <v>889</v>
      </c>
      <c r="H1945" t="s">
        <v>56</v>
      </c>
      <c r="I1945" t="s">
        <v>27</v>
      </c>
      <c r="J1945" s="4">
        <v>40.799999999999997</v>
      </c>
      <c r="K1945">
        <v>0.41799999999999998</v>
      </c>
      <c r="L1945">
        <v>40.799999999999997</v>
      </c>
      <c r="M1945">
        <v>17.054399999999998</v>
      </c>
      <c r="N1945" s="5">
        <v>0.8667455183884677</v>
      </c>
      <c r="O1945" t="s">
        <v>181</v>
      </c>
      <c r="P1945" t="s">
        <v>340</v>
      </c>
      <c r="Q1945" s="10" t="s">
        <v>24</v>
      </c>
    </row>
    <row r="1946" spans="1:18" hidden="1" x14ac:dyDescent="0.25">
      <c r="A1946" s="9" t="s">
        <v>572</v>
      </c>
      <c r="B1946" s="3" t="s">
        <v>1928</v>
      </c>
      <c r="C1946" s="10">
        <v>20</v>
      </c>
      <c r="D1946" s="10">
        <v>7</v>
      </c>
      <c r="E1946" s="10">
        <v>18</v>
      </c>
      <c r="F1946" t="s">
        <v>55</v>
      </c>
      <c r="G1946" t="s">
        <v>889</v>
      </c>
      <c r="H1946" t="s">
        <v>56</v>
      </c>
      <c r="I1946" t="s">
        <v>27</v>
      </c>
      <c r="J1946" s="4">
        <v>18.8</v>
      </c>
      <c r="K1946">
        <v>1.36</v>
      </c>
      <c r="L1946">
        <v>18.8</v>
      </c>
      <c r="M1946">
        <v>25.568000000000001</v>
      </c>
      <c r="N1946" s="5">
        <v>1.2994270929587874</v>
      </c>
      <c r="O1946" t="s">
        <v>181</v>
      </c>
      <c r="P1946" t="s">
        <v>340</v>
      </c>
      <c r="Q1946" s="10" t="s">
        <v>24</v>
      </c>
    </row>
    <row r="1947" spans="1:18" hidden="1" x14ac:dyDescent="0.25">
      <c r="A1947" s="9" t="s">
        <v>572</v>
      </c>
      <c r="B1947" s="3" t="s">
        <v>1928</v>
      </c>
      <c r="C1947" s="10">
        <v>20</v>
      </c>
      <c r="D1947" s="10">
        <v>7</v>
      </c>
      <c r="E1947" s="10">
        <v>18</v>
      </c>
      <c r="F1947" t="s">
        <v>1926</v>
      </c>
      <c r="G1947" t="s">
        <v>889</v>
      </c>
      <c r="H1947" t="s">
        <v>56</v>
      </c>
      <c r="I1947" t="s">
        <v>27</v>
      </c>
      <c r="J1947" s="4">
        <v>57.8</v>
      </c>
      <c r="K1947">
        <v>0.96</v>
      </c>
      <c r="L1947">
        <v>57.8</v>
      </c>
      <c r="M1947">
        <v>55.487999999999992</v>
      </c>
      <c r="N1947" s="5">
        <v>2.8200332655701339</v>
      </c>
      <c r="O1947" t="s">
        <v>181</v>
      </c>
      <c r="P1947" t="s">
        <v>340</v>
      </c>
      <c r="Q1947" s="10" t="s">
        <v>24</v>
      </c>
    </row>
    <row r="1948" spans="1:18" hidden="1" x14ac:dyDescent="0.25">
      <c r="A1948" s="9" t="s">
        <v>572</v>
      </c>
      <c r="B1948" s="3" t="s">
        <v>1928</v>
      </c>
      <c r="C1948" s="10">
        <v>20</v>
      </c>
      <c r="D1948" s="10">
        <v>7</v>
      </c>
      <c r="E1948" s="10">
        <v>18</v>
      </c>
      <c r="F1948" t="s">
        <v>208</v>
      </c>
      <c r="G1948" t="s">
        <v>889</v>
      </c>
      <c r="H1948" t="s">
        <v>56</v>
      </c>
      <c r="I1948" t="s">
        <v>27</v>
      </c>
      <c r="J1948" s="4">
        <v>62</v>
      </c>
      <c r="K1948">
        <v>0.22600000000000001</v>
      </c>
      <c r="L1948">
        <v>62</v>
      </c>
      <c r="M1948">
        <v>14.012</v>
      </c>
      <c r="N1948" s="5">
        <v>0.71212345222694506</v>
      </c>
      <c r="O1948" t="s">
        <v>181</v>
      </c>
      <c r="P1948" t="s">
        <v>340</v>
      </c>
      <c r="Q1948" s="10" t="s">
        <v>24</v>
      </c>
    </row>
    <row r="1949" spans="1:18" hidden="1" x14ac:dyDescent="0.25">
      <c r="A1949" s="2" t="s">
        <v>572</v>
      </c>
      <c r="B1949" s="3" t="str">
        <f t="shared" ref="B1949:B1961" si="45">CONCATENATE(E1949,"/",D1949,"/",C1949)</f>
        <v>18/7/21</v>
      </c>
      <c r="C1949" s="18">
        <v>21</v>
      </c>
      <c r="D1949" s="18">
        <v>7</v>
      </c>
      <c r="E1949">
        <v>18</v>
      </c>
      <c r="F1949" t="s">
        <v>81</v>
      </c>
      <c r="I1949" t="s">
        <v>39</v>
      </c>
      <c r="J1949">
        <v>1000</v>
      </c>
      <c r="K1949">
        <v>2</v>
      </c>
      <c r="L1949" s="12">
        <v>1000</v>
      </c>
      <c r="M1949" s="21">
        <v>2000</v>
      </c>
      <c r="N1949" s="22">
        <v>100.6036217303823</v>
      </c>
      <c r="O1949" s="6" t="s">
        <v>588</v>
      </c>
      <c r="P1949" t="s">
        <v>340</v>
      </c>
      <c r="Q1949" s="6" t="s">
        <v>84</v>
      </c>
      <c r="R1949" s="6" t="s">
        <v>587</v>
      </c>
    </row>
    <row r="1950" spans="1:18" hidden="1" x14ac:dyDescent="0.25">
      <c r="A1950" s="9" t="s">
        <v>572</v>
      </c>
      <c r="B1950" s="3" t="str">
        <f t="shared" si="45"/>
        <v>18/7/22</v>
      </c>
      <c r="C1950" s="10">
        <v>22</v>
      </c>
      <c r="D1950" s="10">
        <v>7</v>
      </c>
      <c r="E1950" s="10">
        <v>18</v>
      </c>
      <c r="F1950" t="s">
        <v>1264</v>
      </c>
      <c r="G1950" t="s">
        <v>31</v>
      </c>
      <c r="H1950" t="s">
        <v>26</v>
      </c>
      <c r="I1950" t="s">
        <v>27</v>
      </c>
      <c r="J1950">
        <v>29.7</v>
      </c>
      <c r="K1950">
        <v>1</v>
      </c>
      <c r="L1950">
        <v>29.7</v>
      </c>
      <c r="M1950">
        <v>29.7</v>
      </c>
      <c r="N1950" s="5">
        <v>1.496096045672068</v>
      </c>
      <c r="O1950" t="s">
        <v>90</v>
      </c>
      <c r="P1950" t="s">
        <v>340</v>
      </c>
      <c r="Q1950" s="10" t="s">
        <v>24</v>
      </c>
      <c r="R1950" t="s">
        <v>517</v>
      </c>
    </row>
    <row r="1951" spans="1:18" hidden="1" x14ac:dyDescent="0.25">
      <c r="A1951" s="9" t="s">
        <v>572</v>
      </c>
      <c r="B1951" s="3" t="str">
        <f t="shared" si="45"/>
        <v>18/7/22</v>
      </c>
      <c r="C1951" s="10">
        <v>22</v>
      </c>
      <c r="D1951" s="10">
        <v>7</v>
      </c>
      <c r="E1951" s="10">
        <v>18</v>
      </c>
      <c r="F1951" t="s">
        <v>146</v>
      </c>
      <c r="H1951" t="s">
        <v>49</v>
      </c>
      <c r="I1951" t="s">
        <v>50</v>
      </c>
      <c r="J1951">
        <v>0.3</v>
      </c>
      <c r="K1951">
        <v>1</v>
      </c>
      <c r="L1951">
        <v>0.3</v>
      </c>
      <c r="M1951">
        <v>0.3</v>
      </c>
      <c r="N1951" s="5">
        <v>1.5112081269414828E-2</v>
      </c>
      <c r="O1951" t="s">
        <v>90</v>
      </c>
      <c r="P1951" t="s">
        <v>340</v>
      </c>
      <c r="Q1951" s="10" t="s">
        <v>24</v>
      </c>
      <c r="R1951" t="s">
        <v>517</v>
      </c>
    </row>
    <row r="1952" spans="1:18" hidden="1" x14ac:dyDescent="0.25">
      <c r="A1952" s="9" t="s">
        <v>572</v>
      </c>
      <c r="B1952" s="3" t="str">
        <f t="shared" si="45"/>
        <v>18/7/22</v>
      </c>
      <c r="C1952" s="10">
        <v>22</v>
      </c>
      <c r="D1952" s="10">
        <v>7</v>
      </c>
      <c r="E1952" s="10">
        <v>18</v>
      </c>
      <c r="F1952" t="s">
        <v>894</v>
      </c>
      <c r="G1952" t="s">
        <v>889</v>
      </c>
      <c r="H1952" t="s">
        <v>39</v>
      </c>
      <c r="I1952" t="s">
        <v>27</v>
      </c>
      <c r="J1952">
        <v>73</v>
      </c>
      <c r="K1952">
        <v>0.16800000000000001</v>
      </c>
      <c r="L1952">
        <v>73</v>
      </c>
      <c r="M1952">
        <v>12.264000000000001</v>
      </c>
      <c r="N1952" s="5">
        <v>0.61778188229367825</v>
      </c>
      <c r="O1952" t="s">
        <v>90</v>
      </c>
      <c r="P1952" t="s">
        <v>340</v>
      </c>
      <c r="Q1952" s="10" t="s">
        <v>24</v>
      </c>
      <c r="R1952" t="s">
        <v>517</v>
      </c>
    </row>
    <row r="1953" spans="1:18" hidden="1" x14ac:dyDescent="0.25">
      <c r="A1953" s="9" t="s">
        <v>572</v>
      </c>
      <c r="B1953" s="3" t="str">
        <f t="shared" si="45"/>
        <v>18/7/22</v>
      </c>
      <c r="C1953" s="10">
        <v>22</v>
      </c>
      <c r="D1953" s="10">
        <v>7</v>
      </c>
      <c r="E1953" s="10">
        <v>18</v>
      </c>
      <c r="F1953" t="s">
        <v>41</v>
      </c>
      <c r="G1953" t="s">
        <v>889</v>
      </c>
      <c r="H1953" t="s">
        <v>39</v>
      </c>
      <c r="I1953" s="32" t="s">
        <v>27</v>
      </c>
      <c r="J1953">
        <v>94</v>
      </c>
      <c r="K1953">
        <v>0.188</v>
      </c>
      <c r="L1953">
        <v>94</v>
      </c>
      <c r="M1953">
        <v>17.672000000000001</v>
      </c>
      <c r="N1953" s="5">
        <v>0.89020233397699622</v>
      </c>
      <c r="O1953" t="s">
        <v>90</v>
      </c>
      <c r="P1953" t="s">
        <v>340</v>
      </c>
      <c r="Q1953" s="10" t="s">
        <v>24</v>
      </c>
      <c r="R1953" t="s">
        <v>517</v>
      </c>
    </row>
    <row r="1954" spans="1:18" hidden="1" x14ac:dyDescent="0.25">
      <c r="A1954" s="9" t="s">
        <v>572</v>
      </c>
      <c r="B1954" s="3" t="str">
        <f t="shared" si="45"/>
        <v>18/7/22</v>
      </c>
      <c r="C1954" s="10">
        <v>22</v>
      </c>
      <c r="D1954" s="10">
        <v>7</v>
      </c>
      <c r="E1954" s="10">
        <v>18</v>
      </c>
      <c r="F1954" t="s">
        <v>357</v>
      </c>
      <c r="G1954" t="s">
        <v>889</v>
      </c>
      <c r="H1954" t="s">
        <v>467</v>
      </c>
      <c r="I1954" t="s">
        <v>27</v>
      </c>
      <c r="J1954">
        <v>6.5</v>
      </c>
      <c r="K1954">
        <v>1</v>
      </c>
      <c r="L1954">
        <v>6.5</v>
      </c>
      <c r="M1954">
        <v>6.5</v>
      </c>
      <c r="N1954" s="5">
        <v>0.32742842750398798</v>
      </c>
      <c r="O1954" t="s">
        <v>90</v>
      </c>
      <c r="P1954" t="s">
        <v>340</v>
      </c>
      <c r="Q1954" s="10" t="s">
        <v>24</v>
      </c>
      <c r="R1954" t="s">
        <v>517</v>
      </c>
    </row>
    <row r="1955" spans="1:18" hidden="1" x14ac:dyDescent="0.25">
      <c r="A1955" s="9" t="s">
        <v>572</v>
      </c>
      <c r="B1955" s="3" t="str">
        <f t="shared" si="45"/>
        <v>18/7/22</v>
      </c>
      <c r="C1955" s="10">
        <v>22</v>
      </c>
      <c r="D1955" s="10">
        <v>7</v>
      </c>
      <c r="E1955" s="10">
        <v>18</v>
      </c>
      <c r="F1955" t="s">
        <v>107</v>
      </c>
      <c r="G1955" t="s">
        <v>889</v>
      </c>
      <c r="H1955" t="s">
        <v>53</v>
      </c>
      <c r="I1955" t="s">
        <v>27</v>
      </c>
      <c r="J1955">
        <v>10.8</v>
      </c>
      <c r="K1955">
        <v>1</v>
      </c>
      <c r="L1955">
        <v>10.8</v>
      </c>
      <c r="M1955">
        <v>10.8</v>
      </c>
      <c r="N1955" s="5">
        <v>0.54403492569893386</v>
      </c>
      <c r="O1955" t="s">
        <v>90</v>
      </c>
      <c r="P1955" t="s">
        <v>340</v>
      </c>
      <c r="Q1955" s="10" t="s">
        <v>24</v>
      </c>
      <c r="R1955" t="s">
        <v>517</v>
      </c>
    </row>
    <row r="1956" spans="1:18" hidden="1" x14ac:dyDescent="0.25">
      <c r="A1956" s="9" t="s">
        <v>572</v>
      </c>
      <c r="B1956" s="3" t="str">
        <f t="shared" si="45"/>
        <v>18/7/22</v>
      </c>
      <c r="C1956" s="10">
        <v>22</v>
      </c>
      <c r="D1956" s="10">
        <v>7</v>
      </c>
      <c r="E1956" s="10">
        <v>18</v>
      </c>
      <c r="F1956" t="s">
        <v>893</v>
      </c>
      <c r="G1956" t="s">
        <v>77</v>
      </c>
      <c r="H1956" t="s">
        <v>26</v>
      </c>
      <c r="I1956" t="s">
        <v>27</v>
      </c>
      <c r="J1956">
        <v>14</v>
      </c>
      <c r="K1956">
        <v>1</v>
      </c>
      <c r="L1956">
        <v>14</v>
      </c>
      <c r="M1956">
        <v>14</v>
      </c>
      <c r="N1956" s="5">
        <v>0.70523045923935868</v>
      </c>
      <c r="O1956" t="s">
        <v>101</v>
      </c>
      <c r="P1956" t="s">
        <v>340</v>
      </c>
      <c r="Q1956" s="10" t="s">
        <v>24</v>
      </c>
      <c r="R1956" t="s">
        <v>517</v>
      </c>
    </row>
    <row r="1957" spans="1:18" hidden="1" x14ac:dyDescent="0.25">
      <c r="A1957" s="9" t="s">
        <v>572</v>
      </c>
      <c r="B1957" s="3" t="str">
        <f t="shared" si="45"/>
        <v>18/7/22</v>
      </c>
      <c r="C1957" s="10">
        <v>22</v>
      </c>
      <c r="D1957" s="10">
        <v>7</v>
      </c>
      <c r="E1957" s="10">
        <v>18</v>
      </c>
      <c r="F1957" t="s">
        <v>60</v>
      </c>
      <c r="G1957" t="s">
        <v>31</v>
      </c>
      <c r="H1957" t="s">
        <v>26</v>
      </c>
      <c r="I1957" t="s">
        <v>27</v>
      </c>
      <c r="J1957">
        <v>6.75</v>
      </c>
      <c r="K1957">
        <v>1</v>
      </c>
      <c r="L1957">
        <v>6.75</v>
      </c>
      <c r="M1957">
        <v>6.75</v>
      </c>
      <c r="N1957" s="5">
        <v>0.34002182856183366</v>
      </c>
      <c r="O1957" t="s">
        <v>101</v>
      </c>
      <c r="P1957" t="s">
        <v>340</v>
      </c>
      <c r="Q1957" s="10" t="s">
        <v>24</v>
      </c>
      <c r="R1957" t="s">
        <v>517</v>
      </c>
    </row>
    <row r="1958" spans="1:18" hidden="1" x14ac:dyDescent="0.25">
      <c r="A1958" s="2" t="s">
        <v>572</v>
      </c>
      <c r="B1958" s="3" t="str">
        <f t="shared" si="45"/>
        <v>18/7/22</v>
      </c>
      <c r="C1958" s="18">
        <v>22</v>
      </c>
      <c r="D1958" s="18">
        <v>7</v>
      </c>
      <c r="E1958">
        <v>18</v>
      </c>
      <c r="F1958" t="s">
        <v>81</v>
      </c>
      <c r="H1958" t="s">
        <v>63</v>
      </c>
      <c r="I1958" t="s">
        <v>50</v>
      </c>
      <c r="J1958">
        <v>72.17</v>
      </c>
      <c r="K1958">
        <v>1</v>
      </c>
      <c r="L1958" s="12">
        <v>72.17</v>
      </c>
      <c r="M1958" s="21">
        <v>72.17</v>
      </c>
      <c r="N1958" s="22">
        <v>3.6302816901408455</v>
      </c>
      <c r="O1958" s="6" t="s">
        <v>1472</v>
      </c>
      <c r="P1958" t="s">
        <v>340</v>
      </c>
      <c r="Q1958" s="6" t="s">
        <v>84</v>
      </c>
      <c r="R1958" s="7" t="s">
        <v>589</v>
      </c>
    </row>
    <row r="1959" spans="1:18" hidden="1" x14ac:dyDescent="0.25">
      <c r="A1959" s="2" t="s">
        <v>572</v>
      </c>
      <c r="B1959" s="3" t="str">
        <f t="shared" si="45"/>
        <v>18/7/22</v>
      </c>
      <c r="C1959" s="18">
        <v>22</v>
      </c>
      <c r="D1959" s="18">
        <v>7</v>
      </c>
      <c r="E1959">
        <v>18</v>
      </c>
      <c r="F1959" t="s">
        <v>47</v>
      </c>
      <c r="G1959" t="s">
        <v>31</v>
      </c>
      <c r="H1959" t="s">
        <v>26</v>
      </c>
      <c r="I1959" t="s">
        <v>27</v>
      </c>
      <c r="J1959">
        <v>6.93</v>
      </c>
      <c r="K1959">
        <v>3</v>
      </c>
      <c r="L1959" s="12">
        <v>6.93</v>
      </c>
      <c r="M1959" s="21">
        <v>20.79</v>
      </c>
      <c r="N1959" s="22">
        <v>1.045774647887324</v>
      </c>
      <c r="O1959" s="6" t="s">
        <v>1472</v>
      </c>
      <c r="P1959" t="s">
        <v>340</v>
      </c>
      <c r="Q1959" s="6" t="s">
        <v>24</v>
      </c>
      <c r="R1959" s="6"/>
    </row>
    <row r="1960" spans="1:18" hidden="1" x14ac:dyDescent="0.25">
      <c r="A1960" s="2" t="s">
        <v>572</v>
      </c>
      <c r="B1960" s="3" t="str">
        <f t="shared" si="45"/>
        <v>18/7/22</v>
      </c>
      <c r="C1960" s="18">
        <v>22</v>
      </c>
      <c r="D1960" s="18">
        <v>7</v>
      </c>
      <c r="E1960">
        <v>18</v>
      </c>
      <c r="F1960" t="s">
        <v>141</v>
      </c>
      <c r="H1960" t="s">
        <v>172</v>
      </c>
      <c r="I1960" t="s">
        <v>39</v>
      </c>
      <c r="J1960">
        <v>3</v>
      </c>
      <c r="K1960">
        <v>1</v>
      </c>
      <c r="L1960" s="12">
        <v>3</v>
      </c>
      <c r="M1960" s="21">
        <v>3</v>
      </c>
      <c r="N1960" s="22">
        <v>0.15090543259557346</v>
      </c>
      <c r="O1960" s="6" t="s">
        <v>39</v>
      </c>
      <c r="P1960" s="6"/>
      <c r="Q1960" s="6" t="s">
        <v>24</v>
      </c>
      <c r="R1960" s="6"/>
    </row>
    <row r="1961" spans="1:18" hidden="1" x14ac:dyDescent="0.25">
      <c r="A1961" s="2" t="s">
        <v>572</v>
      </c>
      <c r="B1961" s="3" t="str">
        <f t="shared" si="45"/>
        <v>18/7/22</v>
      </c>
      <c r="C1961" s="18">
        <v>22</v>
      </c>
      <c r="D1961" s="18">
        <v>7</v>
      </c>
      <c r="E1961">
        <v>18</v>
      </c>
      <c r="F1961" t="s">
        <v>141</v>
      </c>
      <c r="H1961" t="s">
        <v>172</v>
      </c>
      <c r="I1961" t="s">
        <v>39</v>
      </c>
      <c r="J1961">
        <v>2</v>
      </c>
      <c r="K1961">
        <v>4</v>
      </c>
      <c r="L1961" s="12">
        <v>2</v>
      </c>
      <c r="M1961" s="21">
        <v>8</v>
      </c>
      <c r="N1961" s="22">
        <v>0.4024144869215292</v>
      </c>
      <c r="O1961" s="6" t="s">
        <v>39</v>
      </c>
      <c r="P1961" s="6"/>
      <c r="Q1961" s="6" t="s">
        <v>24</v>
      </c>
      <c r="R1961" s="6"/>
    </row>
    <row r="1962" spans="1:18" hidden="1" x14ac:dyDescent="0.25">
      <c r="A1962" s="9" t="s">
        <v>572</v>
      </c>
      <c r="B1962" s="3" t="s">
        <v>1804</v>
      </c>
      <c r="C1962" s="10">
        <v>22</v>
      </c>
      <c r="D1962" s="10">
        <v>7</v>
      </c>
      <c r="E1962" s="10">
        <v>18</v>
      </c>
      <c r="F1962" t="s">
        <v>44</v>
      </c>
      <c r="G1962" t="s">
        <v>889</v>
      </c>
      <c r="H1962" t="s">
        <v>44</v>
      </c>
      <c r="I1962" t="s">
        <v>27</v>
      </c>
      <c r="J1962" s="4">
        <v>11</v>
      </c>
      <c r="K1962">
        <v>2</v>
      </c>
      <c r="L1962">
        <v>11</v>
      </c>
      <c r="M1962">
        <v>22</v>
      </c>
      <c r="N1962" s="5">
        <v>1.1180927739789317</v>
      </c>
      <c r="O1962" t="s">
        <v>103</v>
      </c>
      <c r="P1962" t="s">
        <v>340</v>
      </c>
      <c r="Q1962" s="10" t="s">
        <v>24</v>
      </c>
    </row>
    <row r="1963" spans="1:18" hidden="1" x14ac:dyDescent="0.25">
      <c r="A1963" s="2" t="s">
        <v>572</v>
      </c>
      <c r="B1963" s="3" t="str">
        <f>CONCATENATE(E1963,"/",D1963,"/",C1963)</f>
        <v>18/7/23</v>
      </c>
      <c r="C1963" s="18">
        <v>23</v>
      </c>
      <c r="D1963" s="18">
        <v>7</v>
      </c>
      <c r="E1963">
        <v>18</v>
      </c>
      <c r="F1963" s="19" t="s">
        <v>590</v>
      </c>
      <c r="G1963" t="s">
        <v>31</v>
      </c>
      <c r="H1963" t="s">
        <v>26</v>
      </c>
      <c r="I1963" t="s">
        <v>27</v>
      </c>
      <c r="J1963">
        <v>12.55</v>
      </c>
      <c r="K1963">
        <v>2</v>
      </c>
      <c r="L1963" s="12">
        <v>12.55</v>
      </c>
      <c r="M1963" s="21">
        <v>25.1</v>
      </c>
      <c r="N1963" s="22">
        <v>1.262575452716298</v>
      </c>
      <c r="O1963" s="6" t="s">
        <v>1472</v>
      </c>
      <c r="P1963" t="s">
        <v>340</v>
      </c>
      <c r="Q1963" s="6" t="s">
        <v>24</v>
      </c>
      <c r="R1963" s="6"/>
    </row>
    <row r="1964" spans="1:18" hidden="1" x14ac:dyDescent="0.25">
      <c r="A1964" s="9" t="s">
        <v>572</v>
      </c>
      <c r="B1964" s="3" t="s">
        <v>1437</v>
      </c>
      <c r="C1964" s="10">
        <v>23</v>
      </c>
      <c r="D1964" s="10">
        <v>7</v>
      </c>
      <c r="E1964" s="10">
        <v>18</v>
      </c>
      <c r="F1964" t="s">
        <v>159</v>
      </c>
      <c r="I1964" t="s">
        <v>72</v>
      </c>
      <c r="J1964" s="4">
        <v>8.75</v>
      </c>
      <c r="K1964">
        <v>1</v>
      </c>
      <c r="L1964">
        <v>8.75</v>
      </c>
      <c r="M1964">
        <v>8.75</v>
      </c>
      <c r="N1964" s="5">
        <v>0.44291338582677164</v>
      </c>
      <c r="O1964" t="s">
        <v>39</v>
      </c>
      <c r="P1964" t="s">
        <v>340</v>
      </c>
      <c r="Q1964" s="10" t="s">
        <v>24</v>
      </c>
      <c r="R1964" t="s">
        <v>1420</v>
      </c>
    </row>
    <row r="1965" spans="1:18" hidden="1" x14ac:dyDescent="0.25">
      <c r="A1965" s="2" t="s">
        <v>572</v>
      </c>
      <c r="B1965" s="3" t="str">
        <f>CONCATENATE(E1965,"/",D1965,"/",C1965)</f>
        <v>18/7/24</v>
      </c>
      <c r="C1965" s="7">
        <v>24</v>
      </c>
      <c r="D1965" s="18">
        <v>7</v>
      </c>
      <c r="E1965">
        <v>18</v>
      </c>
      <c r="F1965" t="s">
        <v>104</v>
      </c>
      <c r="I1965" t="s">
        <v>72</v>
      </c>
      <c r="J1965">
        <v>68.099999999999994</v>
      </c>
      <c r="K1965">
        <v>0.33400000000000002</v>
      </c>
      <c r="L1965" s="12">
        <v>68.099999999999994</v>
      </c>
      <c r="M1965" s="21">
        <v>22.7454</v>
      </c>
      <c r="N1965" s="22">
        <v>1.1441348088531187</v>
      </c>
      <c r="O1965" t="s">
        <v>562</v>
      </c>
      <c r="P1965" t="s">
        <v>340</v>
      </c>
      <c r="Q1965" s="6" t="s">
        <v>24</v>
      </c>
      <c r="R1965" t="s">
        <v>591</v>
      </c>
    </row>
    <row r="1966" spans="1:18" hidden="1" x14ac:dyDescent="0.25">
      <c r="A1966" s="2" t="s">
        <v>572</v>
      </c>
      <c r="B1966" s="3" t="str">
        <f>CONCATENATE(E1966,"/",D1966,"/",C1966)</f>
        <v>18/7/24</v>
      </c>
      <c r="C1966" s="7">
        <v>24</v>
      </c>
      <c r="D1966" s="18">
        <v>7</v>
      </c>
      <c r="E1966">
        <v>18</v>
      </c>
      <c r="F1966" t="s">
        <v>104</v>
      </c>
      <c r="I1966" t="s">
        <v>72</v>
      </c>
      <c r="J1966">
        <v>52.4</v>
      </c>
      <c r="K1966">
        <v>1</v>
      </c>
      <c r="L1966" s="12">
        <v>52.4</v>
      </c>
      <c r="M1966" s="21">
        <v>52.4</v>
      </c>
      <c r="N1966" s="22">
        <v>2.6358148893360163</v>
      </c>
      <c r="O1966" s="6" t="s">
        <v>39</v>
      </c>
      <c r="P1966" s="6"/>
      <c r="Q1966" s="6" t="s">
        <v>24</v>
      </c>
      <c r="R1966" t="s">
        <v>592</v>
      </c>
    </row>
    <row r="1967" spans="1:18" hidden="1" x14ac:dyDescent="0.25">
      <c r="A1967" s="2" t="s">
        <v>572</v>
      </c>
      <c r="B1967" s="3" t="str">
        <f>CONCATENATE(E1967,"/",D1967,"/",C1967)</f>
        <v>18/7/24</v>
      </c>
      <c r="C1967" s="7">
        <v>24</v>
      </c>
      <c r="D1967" s="18">
        <v>7</v>
      </c>
      <c r="E1967">
        <v>18</v>
      </c>
      <c r="F1967" t="s">
        <v>104</v>
      </c>
      <c r="I1967" t="s">
        <v>72</v>
      </c>
      <c r="J1967">
        <v>37.15</v>
      </c>
      <c r="K1967">
        <v>1</v>
      </c>
      <c r="L1967" s="12">
        <v>37.15</v>
      </c>
      <c r="M1967" s="21">
        <v>37.15</v>
      </c>
      <c r="N1967" s="22">
        <v>1.8687122736418511</v>
      </c>
      <c r="O1967" s="6" t="s">
        <v>39</v>
      </c>
      <c r="P1967" s="6"/>
      <c r="Q1967" s="6" t="s">
        <v>24</v>
      </c>
      <c r="R1967" t="s">
        <v>563</v>
      </c>
    </row>
    <row r="1968" spans="1:18" hidden="1" x14ac:dyDescent="0.25">
      <c r="A1968" s="2" t="s">
        <v>572</v>
      </c>
      <c r="B1968" s="3" t="str">
        <f>CONCATENATE(E1968,"/",D1968,"/",C1968)</f>
        <v>18/7/24</v>
      </c>
      <c r="C1968" s="7">
        <v>24</v>
      </c>
      <c r="D1968" s="18">
        <v>7</v>
      </c>
      <c r="E1968">
        <v>18</v>
      </c>
      <c r="F1968" t="s">
        <v>71</v>
      </c>
      <c r="I1968" t="s">
        <v>72</v>
      </c>
      <c r="J1968">
        <v>250</v>
      </c>
      <c r="K1968">
        <v>1</v>
      </c>
      <c r="L1968" s="12">
        <v>250</v>
      </c>
      <c r="M1968" s="38">
        <v>250</v>
      </c>
      <c r="N1968" s="22">
        <v>12.575452716297788</v>
      </c>
      <c r="O1968" s="6" t="s">
        <v>39</v>
      </c>
      <c r="P1968" s="6"/>
      <c r="Q1968" s="6" t="s">
        <v>24</v>
      </c>
      <c r="R1968" s="6"/>
    </row>
    <row r="1969" spans="1:18" hidden="1" x14ac:dyDescent="0.25">
      <c r="A1969" s="2" t="s">
        <v>572</v>
      </c>
      <c r="B1969" s="3" t="str">
        <f>CONCATENATE(E1969,"/",D1969,"/",C1969)</f>
        <v>18/7/24</v>
      </c>
      <c r="C1969" s="23">
        <v>24</v>
      </c>
      <c r="D1969" s="10">
        <v>7</v>
      </c>
      <c r="E1969">
        <v>18</v>
      </c>
      <c r="F1969" t="s">
        <v>71</v>
      </c>
      <c r="I1969" t="s">
        <v>72</v>
      </c>
      <c r="J1969">
        <v>250</v>
      </c>
      <c r="K1969">
        <v>1</v>
      </c>
      <c r="L1969">
        <v>250</v>
      </c>
      <c r="M1969" s="13">
        <v>250</v>
      </c>
      <c r="N1969" s="5">
        <v>12.593401057845691</v>
      </c>
      <c r="O1969" t="s">
        <v>562</v>
      </c>
      <c r="P1969" t="s">
        <v>340</v>
      </c>
      <c r="Q1969" s="10" t="s">
        <v>24</v>
      </c>
      <c r="R1969" t="s">
        <v>517</v>
      </c>
    </row>
    <row r="1970" spans="1:18" hidden="1" x14ac:dyDescent="0.25">
      <c r="A1970" s="9" t="s">
        <v>572</v>
      </c>
      <c r="B1970" s="3" t="s">
        <v>1335</v>
      </c>
      <c r="C1970" s="10">
        <v>24</v>
      </c>
      <c r="D1970" s="10">
        <v>7</v>
      </c>
      <c r="E1970" s="10">
        <v>18</v>
      </c>
      <c r="F1970" t="s">
        <v>1064</v>
      </c>
      <c r="G1970" t="s">
        <v>889</v>
      </c>
      <c r="H1970" t="s">
        <v>53</v>
      </c>
      <c r="I1970" t="s">
        <v>27</v>
      </c>
      <c r="J1970" s="4">
        <v>12.5</v>
      </c>
      <c r="K1970">
        <v>1</v>
      </c>
      <c r="L1970">
        <v>12.5</v>
      </c>
      <c r="M1970">
        <v>12.5</v>
      </c>
      <c r="N1970" s="5">
        <v>0.63273340832395952</v>
      </c>
      <c r="O1970" t="s">
        <v>39</v>
      </c>
      <c r="P1970" t="s">
        <v>340</v>
      </c>
      <c r="Q1970" s="10" t="s">
        <v>24</v>
      </c>
    </row>
    <row r="1971" spans="1:18" hidden="1" x14ac:dyDescent="0.25">
      <c r="A1971" s="2" t="s">
        <v>572</v>
      </c>
      <c r="B1971" s="3" t="str">
        <f t="shared" ref="B1971:B1980" si="46">CONCATENATE(E1971,"/",D1971,"/",C1971)</f>
        <v>18/7/25</v>
      </c>
      <c r="C1971" s="18">
        <v>25</v>
      </c>
      <c r="D1971" s="18">
        <v>7</v>
      </c>
      <c r="E1971">
        <v>18</v>
      </c>
      <c r="F1971" t="s">
        <v>141</v>
      </c>
      <c r="H1971" t="s">
        <v>172</v>
      </c>
      <c r="I1971" t="s">
        <v>39</v>
      </c>
      <c r="J1971">
        <v>2</v>
      </c>
      <c r="K1971">
        <v>2</v>
      </c>
      <c r="L1971" s="12">
        <v>2</v>
      </c>
      <c r="M1971" s="21">
        <v>4</v>
      </c>
      <c r="N1971" s="22">
        <v>0.2012072434607646</v>
      </c>
      <c r="O1971" s="6" t="s">
        <v>39</v>
      </c>
      <c r="P1971" s="6"/>
      <c r="Q1971" s="6" t="s">
        <v>24</v>
      </c>
      <c r="R1971" s="6"/>
    </row>
    <row r="1972" spans="1:18" hidden="1" x14ac:dyDescent="0.25">
      <c r="A1972" s="2" t="s">
        <v>572</v>
      </c>
      <c r="B1972" s="3" t="str">
        <f t="shared" si="46"/>
        <v>18/7/25</v>
      </c>
      <c r="C1972" s="18">
        <v>25</v>
      </c>
      <c r="D1972" s="18">
        <v>7</v>
      </c>
      <c r="E1972">
        <v>18</v>
      </c>
      <c r="F1972" s="18" t="s">
        <v>483</v>
      </c>
      <c r="H1972" t="s">
        <v>56</v>
      </c>
      <c r="I1972" t="s">
        <v>27</v>
      </c>
      <c r="J1972">
        <v>54.99</v>
      </c>
      <c r="K1972">
        <v>0.92800000000000005</v>
      </c>
      <c r="L1972" s="12">
        <v>54.99</v>
      </c>
      <c r="M1972" s="21">
        <v>51.030720000000002</v>
      </c>
      <c r="N1972" s="22">
        <v>2.5669376257545276</v>
      </c>
      <c r="O1972" s="6" t="s">
        <v>28</v>
      </c>
      <c r="P1972" t="s">
        <v>340</v>
      </c>
      <c r="Q1972" s="6" t="s">
        <v>24</v>
      </c>
      <c r="R1972" s="6"/>
    </row>
    <row r="1973" spans="1:18" hidden="1" x14ac:dyDescent="0.25">
      <c r="A1973" s="2" t="s">
        <v>572</v>
      </c>
      <c r="B1973" s="3" t="str">
        <f t="shared" si="46"/>
        <v>18/7/25</v>
      </c>
      <c r="C1973" s="18">
        <v>25</v>
      </c>
      <c r="D1973" s="18">
        <v>7</v>
      </c>
      <c r="E1973">
        <v>18</v>
      </c>
      <c r="F1973" s="18" t="s">
        <v>109</v>
      </c>
      <c r="H1973" t="s">
        <v>54</v>
      </c>
      <c r="I1973" t="s">
        <v>27</v>
      </c>
      <c r="J1973">
        <v>25.99</v>
      </c>
      <c r="K1973">
        <v>0.53600000000000003</v>
      </c>
      <c r="L1973" s="12">
        <v>25.99</v>
      </c>
      <c r="M1973" s="21">
        <v>13.93064</v>
      </c>
      <c r="N1973" s="22">
        <v>0.70073641851106649</v>
      </c>
      <c r="O1973" s="6" t="s">
        <v>28</v>
      </c>
      <c r="P1973" t="s">
        <v>340</v>
      </c>
      <c r="Q1973" s="6" t="s">
        <v>24</v>
      </c>
      <c r="R1973" s="6"/>
    </row>
    <row r="1974" spans="1:18" hidden="1" x14ac:dyDescent="0.25">
      <c r="A1974" s="2" t="s">
        <v>572</v>
      </c>
      <c r="B1974" s="3" t="str">
        <f t="shared" si="46"/>
        <v>18/7/25</v>
      </c>
      <c r="C1974" s="18">
        <v>25</v>
      </c>
      <c r="D1974" s="18">
        <v>7</v>
      </c>
      <c r="E1974">
        <v>18</v>
      </c>
      <c r="F1974" s="19" t="s">
        <v>590</v>
      </c>
      <c r="G1974" t="s">
        <v>31</v>
      </c>
      <c r="H1974" t="s">
        <v>26</v>
      </c>
      <c r="I1974" t="s">
        <v>27</v>
      </c>
      <c r="J1974">
        <v>12</v>
      </c>
      <c r="K1974">
        <v>1</v>
      </c>
      <c r="L1974" s="12">
        <v>12</v>
      </c>
      <c r="M1974" s="21">
        <v>12</v>
      </c>
      <c r="N1974" s="22">
        <v>0.60362173038229383</v>
      </c>
      <c r="O1974" s="6" t="s">
        <v>28</v>
      </c>
      <c r="P1974" t="s">
        <v>340</v>
      </c>
      <c r="Q1974" s="6" t="s">
        <v>24</v>
      </c>
      <c r="R1974" s="6"/>
    </row>
    <row r="1975" spans="1:18" hidden="1" x14ac:dyDescent="0.25">
      <c r="A1975" s="2" t="s">
        <v>572</v>
      </c>
      <c r="B1975" s="3" t="str">
        <f t="shared" si="46"/>
        <v>18/7/25</v>
      </c>
      <c r="C1975" s="18">
        <v>25</v>
      </c>
      <c r="D1975" s="18">
        <v>7</v>
      </c>
      <c r="E1975">
        <v>18</v>
      </c>
      <c r="F1975" t="s">
        <v>555</v>
      </c>
      <c r="H1975" t="s">
        <v>54</v>
      </c>
      <c r="I1975" t="s">
        <v>27</v>
      </c>
      <c r="J1975">
        <v>24.99</v>
      </c>
      <c r="K1975">
        <v>0.96399999999999997</v>
      </c>
      <c r="L1975" s="12">
        <v>24.99</v>
      </c>
      <c r="M1975" s="21">
        <v>24.090359999999997</v>
      </c>
      <c r="N1975" s="22">
        <v>1.2117887323943661</v>
      </c>
      <c r="O1975" s="6" t="s">
        <v>28</v>
      </c>
      <c r="P1975" t="s">
        <v>340</v>
      </c>
      <c r="Q1975" s="6" t="s">
        <v>24</v>
      </c>
      <c r="R1975" s="6"/>
    </row>
    <row r="1976" spans="1:18" hidden="1" x14ac:dyDescent="0.25">
      <c r="A1976" s="2" t="s">
        <v>572</v>
      </c>
      <c r="B1976" s="3" t="str">
        <f t="shared" si="46"/>
        <v>18/7/25</v>
      </c>
      <c r="C1976" s="18">
        <v>25</v>
      </c>
      <c r="D1976" s="18">
        <v>7</v>
      </c>
      <c r="E1976">
        <v>18</v>
      </c>
      <c r="F1976" s="18" t="s">
        <v>55</v>
      </c>
      <c r="H1976" t="s">
        <v>56</v>
      </c>
      <c r="I1976" t="s">
        <v>27</v>
      </c>
      <c r="J1976">
        <v>19.989999999999998</v>
      </c>
      <c r="K1976">
        <v>1.034</v>
      </c>
      <c r="L1976" s="12">
        <v>19.989999999999998</v>
      </c>
      <c r="M1976" s="21">
        <v>20.66966</v>
      </c>
      <c r="N1976" s="22">
        <v>1.0397213279678068</v>
      </c>
      <c r="O1976" s="6" t="s">
        <v>28</v>
      </c>
      <c r="P1976" t="s">
        <v>340</v>
      </c>
      <c r="Q1976" s="6" t="s">
        <v>24</v>
      </c>
      <c r="R1976" s="6"/>
    </row>
    <row r="1977" spans="1:18" hidden="1" x14ac:dyDescent="0.25">
      <c r="A1977" s="2" t="s">
        <v>572</v>
      </c>
      <c r="B1977" s="3" t="str">
        <f t="shared" si="46"/>
        <v>18/7/25</v>
      </c>
      <c r="C1977" s="18">
        <v>25</v>
      </c>
      <c r="D1977" s="18">
        <v>7</v>
      </c>
      <c r="E1977">
        <v>18</v>
      </c>
      <c r="F1977" t="s">
        <v>108</v>
      </c>
      <c r="H1977" t="s">
        <v>54</v>
      </c>
      <c r="I1977" t="s">
        <v>27</v>
      </c>
      <c r="J1977">
        <v>10</v>
      </c>
      <c r="K1977">
        <v>1</v>
      </c>
      <c r="L1977" s="12">
        <v>10</v>
      </c>
      <c r="M1977" s="21">
        <v>10</v>
      </c>
      <c r="N1977" s="22">
        <v>0.50301810865191154</v>
      </c>
      <c r="O1977" t="s">
        <v>593</v>
      </c>
      <c r="P1977" t="s">
        <v>340</v>
      </c>
      <c r="Q1977" s="6" t="s">
        <v>24</v>
      </c>
      <c r="R1977" s="6"/>
    </row>
    <row r="1978" spans="1:18" hidden="1" x14ac:dyDescent="0.25">
      <c r="A1978" s="2" t="s">
        <v>572</v>
      </c>
      <c r="B1978" s="3" t="str">
        <f t="shared" si="46"/>
        <v>18/7/25</v>
      </c>
      <c r="C1978" s="18">
        <v>25</v>
      </c>
      <c r="D1978" s="18">
        <v>7</v>
      </c>
      <c r="E1978">
        <v>18</v>
      </c>
      <c r="F1978" s="7" t="s">
        <v>594</v>
      </c>
      <c r="G1978" t="s">
        <v>595</v>
      </c>
      <c r="H1978" t="s">
        <v>39</v>
      </c>
      <c r="I1978" t="s">
        <v>27</v>
      </c>
      <c r="J1978">
        <v>5</v>
      </c>
      <c r="K1978">
        <v>2</v>
      </c>
      <c r="L1978" s="12">
        <v>5</v>
      </c>
      <c r="M1978" s="21">
        <v>10</v>
      </c>
      <c r="N1978" s="22">
        <v>0.50301810865191154</v>
      </c>
      <c r="O1978" t="s">
        <v>593</v>
      </c>
      <c r="P1978" t="s">
        <v>340</v>
      </c>
      <c r="Q1978" s="6" t="s">
        <v>24</v>
      </c>
      <c r="R1978" s="6"/>
    </row>
    <row r="1979" spans="1:18" hidden="1" x14ac:dyDescent="0.25">
      <c r="A1979" s="2" t="s">
        <v>572</v>
      </c>
      <c r="B1979" s="3" t="str">
        <f t="shared" si="46"/>
        <v>18/7/25</v>
      </c>
      <c r="C1979" s="18">
        <v>25</v>
      </c>
      <c r="D1979" s="18">
        <v>7</v>
      </c>
      <c r="E1979">
        <v>18</v>
      </c>
      <c r="F1979" s="18" t="s">
        <v>596</v>
      </c>
      <c r="H1979" t="s">
        <v>56</v>
      </c>
      <c r="I1979" t="s">
        <v>27</v>
      </c>
      <c r="J1979">
        <v>15</v>
      </c>
      <c r="K1979">
        <v>1.73</v>
      </c>
      <c r="L1979" s="12">
        <v>15</v>
      </c>
      <c r="M1979" s="21">
        <v>26</v>
      </c>
      <c r="N1979" s="22">
        <v>1.3078470824949699</v>
      </c>
      <c r="O1979" t="s">
        <v>593</v>
      </c>
      <c r="P1979" t="s">
        <v>340</v>
      </c>
      <c r="Q1979" s="6" t="s">
        <v>24</v>
      </c>
      <c r="R1979" s="6"/>
    </row>
    <row r="1980" spans="1:18" hidden="1" x14ac:dyDescent="0.25">
      <c r="A1980" s="2" t="s">
        <v>572</v>
      </c>
      <c r="B1980" s="3" t="str">
        <f t="shared" si="46"/>
        <v>18/7/25</v>
      </c>
      <c r="C1980" s="18">
        <v>25</v>
      </c>
      <c r="D1980" s="18">
        <v>7</v>
      </c>
      <c r="E1980">
        <v>18</v>
      </c>
      <c r="F1980" s="18" t="s">
        <v>556</v>
      </c>
      <c r="H1980" t="s">
        <v>56</v>
      </c>
      <c r="I1980" t="s">
        <v>27</v>
      </c>
      <c r="J1980">
        <v>12</v>
      </c>
      <c r="K1980">
        <v>1</v>
      </c>
      <c r="L1980" s="12">
        <v>12</v>
      </c>
      <c r="M1980" s="21">
        <v>12</v>
      </c>
      <c r="N1980" s="22">
        <v>0.60362173038229383</v>
      </c>
      <c r="O1980" t="s">
        <v>593</v>
      </c>
      <c r="P1980" t="s">
        <v>340</v>
      </c>
      <c r="Q1980" s="6" t="s">
        <v>24</v>
      </c>
      <c r="R1980" s="6"/>
    </row>
    <row r="1981" spans="1:18" hidden="1" x14ac:dyDescent="0.25">
      <c r="A1981" s="9" t="s">
        <v>572</v>
      </c>
      <c r="B1981" s="3" t="s">
        <v>1334</v>
      </c>
      <c r="C1981" s="10">
        <v>25</v>
      </c>
      <c r="D1981" s="10">
        <v>7</v>
      </c>
      <c r="E1981" s="10">
        <v>18</v>
      </c>
      <c r="F1981" t="s">
        <v>189</v>
      </c>
      <c r="G1981" t="s">
        <v>889</v>
      </c>
      <c r="H1981" t="s">
        <v>172</v>
      </c>
      <c r="I1981" t="s">
        <v>39</v>
      </c>
      <c r="J1981" s="4">
        <v>41.35</v>
      </c>
      <c r="K1981">
        <v>1</v>
      </c>
      <c r="L1981">
        <v>41.35</v>
      </c>
      <c r="M1981">
        <v>41.35</v>
      </c>
      <c r="N1981" s="5">
        <v>2.0930821147356582</v>
      </c>
      <c r="O1981" t="s">
        <v>39</v>
      </c>
      <c r="P1981" t="s">
        <v>340</v>
      </c>
      <c r="Q1981" s="10" t="s">
        <v>24</v>
      </c>
    </row>
    <row r="1982" spans="1:18" hidden="1" x14ac:dyDescent="0.25">
      <c r="A1982" s="2" t="s">
        <v>572</v>
      </c>
      <c r="B1982" s="3" t="str">
        <f t="shared" ref="B1982:B1987" si="47">CONCATENATE(E1982,"/",D1982,"/",C1982)</f>
        <v>18/7/26</v>
      </c>
      <c r="C1982" s="18">
        <v>26</v>
      </c>
      <c r="D1982" s="18">
        <v>7</v>
      </c>
      <c r="E1982">
        <v>18</v>
      </c>
      <c r="F1982" t="s">
        <v>146</v>
      </c>
      <c r="H1982" t="s">
        <v>49</v>
      </c>
      <c r="I1982" t="s">
        <v>50</v>
      </c>
      <c r="J1982" s="18">
        <v>0.75</v>
      </c>
      <c r="K1982" s="18">
        <v>1</v>
      </c>
      <c r="L1982" s="12">
        <v>0.75</v>
      </c>
      <c r="M1982" s="21">
        <v>0.75</v>
      </c>
      <c r="N1982" s="22">
        <v>3.7726358148893364E-2</v>
      </c>
      <c r="O1982" s="6" t="s">
        <v>100</v>
      </c>
      <c r="P1982" t="s">
        <v>340</v>
      </c>
      <c r="Q1982" s="6" t="s">
        <v>24</v>
      </c>
      <c r="R1982" s="6"/>
    </row>
    <row r="1983" spans="1:18" hidden="1" x14ac:dyDescent="0.25">
      <c r="A1983" s="2" t="s">
        <v>572</v>
      </c>
      <c r="B1983" s="3" t="str">
        <f t="shared" si="47"/>
        <v>18/7/26</v>
      </c>
      <c r="C1983" s="18">
        <v>26</v>
      </c>
      <c r="D1983" s="18">
        <v>7</v>
      </c>
      <c r="E1983">
        <v>18</v>
      </c>
      <c r="F1983" s="25" t="s">
        <v>131</v>
      </c>
      <c r="H1983" t="s">
        <v>131</v>
      </c>
      <c r="I1983" t="s">
        <v>27</v>
      </c>
      <c r="J1983" s="18">
        <v>94.5</v>
      </c>
      <c r="K1983" s="18">
        <v>1</v>
      </c>
      <c r="L1983" s="12">
        <v>94.5</v>
      </c>
      <c r="M1983" s="21">
        <v>94.5</v>
      </c>
      <c r="N1983" s="22">
        <v>4.7535211267605639</v>
      </c>
      <c r="O1983" s="6" t="s">
        <v>39</v>
      </c>
      <c r="P1983" s="6"/>
      <c r="Q1983" s="6" t="s">
        <v>84</v>
      </c>
      <c r="R1983" s="6"/>
    </row>
    <row r="1984" spans="1:18" hidden="1" x14ac:dyDescent="0.25">
      <c r="A1984" s="2" t="s">
        <v>572</v>
      </c>
      <c r="B1984" s="3" t="str">
        <f t="shared" si="47"/>
        <v>18/7/26</v>
      </c>
      <c r="C1984" s="18">
        <v>26</v>
      </c>
      <c r="D1984" s="18">
        <v>7</v>
      </c>
      <c r="E1984">
        <v>18</v>
      </c>
      <c r="F1984" t="s">
        <v>586</v>
      </c>
      <c r="G1984" t="s">
        <v>31</v>
      </c>
      <c r="H1984" t="s">
        <v>26</v>
      </c>
      <c r="I1984" t="s">
        <v>27</v>
      </c>
      <c r="J1984" s="18">
        <v>5.2</v>
      </c>
      <c r="K1984" s="18">
        <v>2</v>
      </c>
      <c r="L1984" s="12">
        <v>5.2</v>
      </c>
      <c r="M1984" s="21">
        <v>10.4</v>
      </c>
      <c r="N1984" s="22">
        <v>0.52313883299798802</v>
      </c>
      <c r="O1984" s="7" t="s">
        <v>100</v>
      </c>
      <c r="P1984" t="s">
        <v>340</v>
      </c>
      <c r="Q1984" s="6" t="s">
        <v>24</v>
      </c>
      <c r="R1984" s="6"/>
    </row>
    <row r="1985" spans="1:18" hidden="1" x14ac:dyDescent="0.25">
      <c r="A1985" s="2" t="s">
        <v>572</v>
      </c>
      <c r="B1985" s="3" t="str">
        <f t="shared" si="47"/>
        <v>18/7/26</v>
      </c>
      <c r="C1985" s="18">
        <v>26</v>
      </c>
      <c r="D1985" s="18">
        <v>7</v>
      </c>
      <c r="E1985">
        <v>18</v>
      </c>
      <c r="F1985" t="s">
        <v>372</v>
      </c>
      <c r="G1985" t="s">
        <v>373</v>
      </c>
      <c r="H1985" t="s">
        <v>65</v>
      </c>
      <c r="I1985" t="s">
        <v>27</v>
      </c>
      <c r="J1985">
        <v>9</v>
      </c>
      <c r="K1985">
        <v>2</v>
      </c>
      <c r="L1985" s="12">
        <v>9</v>
      </c>
      <c r="M1985" s="21">
        <v>18</v>
      </c>
      <c r="N1985" s="22">
        <v>0.90543259557344069</v>
      </c>
      <c r="O1985" s="6" t="s">
        <v>100</v>
      </c>
      <c r="P1985" t="s">
        <v>340</v>
      </c>
      <c r="Q1985" s="6" t="s">
        <v>24</v>
      </c>
      <c r="R1985" s="6"/>
    </row>
    <row r="1986" spans="1:18" hidden="1" x14ac:dyDescent="0.25">
      <c r="A1986" s="2" t="s">
        <v>572</v>
      </c>
      <c r="B1986" s="3" t="str">
        <f t="shared" si="47"/>
        <v>18/7/27</v>
      </c>
      <c r="C1986" s="18">
        <v>27</v>
      </c>
      <c r="D1986" s="18">
        <v>7</v>
      </c>
      <c r="E1986">
        <v>18</v>
      </c>
      <c r="F1986" t="s">
        <v>30</v>
      </c>
      <c r="G1986" t="s">
        <v>31</v>
      </c>
      <c r="H1986" t="s">
        <v>26</v>
      </c>
      <c r="I1986" t="s">
        <v>27</v>
      </c>
      <c r="J1986" s="18">
        <v>11.7</v>
      </c>
      <c r="K1986" s="18">
        <v>2</v>
      </c>
      <c r="L1986" s="12">
        <v>11.7</v>
      </c>
      <c r="M1986" s="21">
        <v>23.4</v>
      </c>
      <c r="N1986" s="22">
        <v>1.1770623742454729</v>
      </c>
      <c r="O1986" s="6" t="s">
        <v>597</v>
      </c>
      <c r="P1986" t="s">
        <v>340</v>
      </c>
      <c r="Q1986" s="6" t="s">
        <v>24</v>
      </c>
      <c r="R1986" s="6"/>
    </row>
    <row r="1987" spans="1:18" hidden="1" x14ac:dyDescent="0.25">
      <c r="A1987" s="2" t="s">
        <v>572</v>
      </c>
      <c r="B1987" s="3" t="str">
        <f t="shared" si="47"/>
        <v>18/7/27</v>
      </c>
      <c r="C1987" s="18">
        <v>27</v>
      </c>
      <c r="D1987" s="18">
        <v>7</v>
      </c>
      <c r="E1987">
        <v>18</v>
      </c>
      <c r="F1987" t="s">
        <v>94</v>
      </c>
      <c r="I1987" t="s">
        <v>87</v>
      </c>
      <c r="J1987">
        <f>Spending_raw[[#This Row],[Price, lei]]</f>
        <v>309</v>
      </c>
      <c r="K1987">
        <v>1</v>
      </c>
      <c r="L1987" s="12">
        <v>309</v>
      </c>
      <c r="M1987" s="21">
        <v>309</v>
      </c>
      <c r="N1987" s="22">
        <v>15.543259557344065</v>
      </c>
      <c r="O1987" s="6" t="s">
        <v>598</v>
      </c>
      <c r="P1987" t="s">
        <v>340</v>
      </c>
      <c r="Q1987" s="6" t="s">
        <v>24</v>
      </c>
      <c r="R1987" s="6"/>
    </row>
    <row r="1988" spans="1:18" hidden="1" x14ac:dyDescent="0.25">
      <c r="A1988" s="9" t="s">
        <v>572</v>
      </c>
      <c r="B1988" s="3" t="s">
        <v>1442</v>
      </c>
      <c r="C1988" s="10">
        <v>27</v>
      </c>
      <c r="D1988" s="10">
        <v>7</v>
      </c>
      <c r="E1988" s="10">
        <v>18</v>
      </c>
      <c r="F1988" t="s">
        <v>383</v>
      </c>
      <c r="G1988" t="s">
        <v>39</v>
      </c>
      <c r="H1988" t="s">
        <v>63</v>
      </c>
      <c r="I1988" t="s">
        <v>50</v>
      </c>
      <c r="J1988" s="4">
        <v>113</v>
      </c>
      <c r="K1988">
        <v>1</v>
      </c>
      <c r="L1988">
        <v>113</v>
      </c>
      <c r="M1988">
        <v>113</v>
      </c>
      <c r="N1988" s="5">
        <v>5.7199100112485937</v>
      </c>
      <c r="O1988" t="s">
        <v>39</v>
      </c>
      <c r="P1988" t="s">
        <v>340</v>
      </c>
      <c r="Q1988" s="10" t="s">
        <v>24</v>
      </c>
    </row>
    <row r="1989" spans="1:18" hidden="1" x14ac:dyDescent="0.25">
      <c r="A1989" s="2" t="s">
        <v>572</v>
      </c>
      <c r="B1989" s="3" t="str">
        <f t="shared" ref="B1989:B2010" si="48">CONCATENATE(E1989,"/",D1989,"/",C1989)</f>
        <v>18/7/28</v>
      </c>
      <c r="C1989" s="7">
        <v>28</v>
      </c>
      <c r="D1989" s="18">
        <v>7</v>
      </c>
      <c r="E1989">
        <v>18</v>
      </c>
      <c r="F1989" t="s">
        <v>280</v>
      </c>
      <c r="H1989" t="s">
        <v>364</v>
      </c>
      <c r="I1989" t="s">
        <v>27</v>
      </c>
      <c r="J1989" s="18">
        <v>30</v>
      </c>
      <c r="K1989" s="18">
        <v>1</v>
      </c>
      <c r="L1989" s="12">
        <v>30</v>
      </c>
      <c r="M1989" s="21">
        <v>30</v>
      </c>
      <c r="N1989" s="22">
        <v>1.5090543259557345</v>
      </c>
      <c r="O1989" s="6" t="s">
        <v>274</v>
      </c>
      <c r="P1989" t="s">
        <v>340</v>
      </c>
      <c r="Q1989" s="6" t="s">
        <v>24</v>
      </c>
      <c r="R1989" s="6"/>
    </row>
    <row r="1990" spans="1:18" hidden="1" x14ac:dyDescent="0.25">
      <c r="A1990" s="2" t="s">
        <v>572</v>
      </c>
      <c r="B1990" s="3" t="str">
        <f t="shared" si="48"/>
        <v>18/7/28</v>
      </c>
      <c r="C1990" s="18">
        <v>28</v>
      </c>
      <c r="D1990" s="18">
        <v>7</v>
      </c>
      <c r="E1990">
        <v>18</v>
      </c>
      <c r="F1990" t="s">
        <v>118</v>
      </c>
      <c r="H1990" t="s">
        <v>40</v>
      </c>
      <c r="I1990" t="s">
        <v>27</v>
      </c>
      <c r="J1990" s="18">
        <v>10</v>
      </c>
      <c r="K1990" s="18">
        <v>1</v>
      </c>
      <c r="L1990" s="12">
        <v>10</v>
      </c>
      <c r="M1990" s="21">
        <v>10</v>
      </c>
      <c r="N1990" s="22">
        <v>0.50301810865191154</v>
      </c>
      <c r="O1990" s="6" t="s">
        <v>100</v>
      </c>
      <c r="P1990" t="s">
        <v>340</v>
      </c>
      <c r="Q1990" s="6" t="s">
        <v>24</v>
      </c>
      <c r="R1990" s="6"/>
    </row>
    <row r="1991" spans="1:18" hidden="1" x14ac:dyDescent="0.25">
      <c r="A1991" s="2" t="s">
        <v>572</v>
      </c>
      <c r="B1991" s="3" t="str">
        <f t="shared" si="48"/>
        <v>18/7/28</v>
      </c>
      <c r="C1991" s="18">
        <v>28</v>
      </c>
      <c r="D1991" s="18">
        <v>7</v>
      </c>
      <c r="E1991">
        <v>18</v>
      </c>
      <c r="F1991" t="s">
        <v>508</v>
      </c>
      <c r="H1991" t="s">
        <v>73</v>
      </c>
      <c r="I1991" t="s">
        <v>27</v>
      </c>
      <c r="J1991" s="18">
        <v>24</v>
      </c>
      <c r="K1991" s="18">
        <v>1</v>
      </c>
      <c r="L1991" s="12">
        <v>24</v>
      </c>
      <c r="M1991" s="21">
        <v>24</v>
      </c>
      <c r="N1991" s="22">
        <v>1.2072434607645877</v>
      </c>
      <c r="O1991" s="6" t="s">
        <v>100</v>
      </c>
      <c r="P1991" t="s">
        <v>340</v>
      </c>
      <c r="Q1991" s="6" t="s">
        <v>24</v>
      </c>
      <c r="R1991" s="6"/>
    </row>
    <row r="1992" spans="1:18" hidden="1" x14ac:dyDescent="0.25">
      <c r="A1992" s="2" t="s">
        <v>572</v>
      </c>
      <c r="B1992" s="3" t="str">
        <f t="shared" si="48"/>
        <v>18/7/28</v>
      </c>
      <c r="C1992" s="18">
        <v>28</v>
      </c>
      <c r="D1992" s="18">
        <v>7</v>
      </c>
      <c r="E1992">
        <v>18</v>
      </c>
      <c r="F1992" t="s">
        <v>586</v>
      </c>
      <c r="G1992" t="s">
        <v>31</v>
      </c>
      <c r="H1992" t="s">
        <v>26</v>
      </c>
      <c r="I1992" t="s">
        <v>27</v>
      </c>
      <c r="J1992" s="18">
        <v>5.2</v>
      </c>
      <c r="K1992" s="18">
        <v>2</v>
      </c>
      <c r="L1992" s="12">
        <v>5.2</v>
      </c>
      <c r="M1992" s="21">
        <v>10.4</v>
      </c>
      <c r="N1992" s="22">
        <v>0.52313883299798802</v>
      </c>
      <c r="O1992" s="6" t="s">
        <v>100</v>
      </c>
      <c r="P1992" t="s">
        <v>340</v>
      </c>
      <c r="Q1992" s="6" t="s">
        <v>24</v>
      </c>
      <c r="R1992" s="6"/>
    </row>
    <row r="1993" spans="1:18" hidden="1" x14ac:dyDescent="0.25">
      <c r="A1993" s="2" t="s">
        <v>572</v>
      </c>
      <c r="B1993" s="3" t="str">
        <f t="shared" si="48"/>
        <v>18/7/28</v>
      </c>
      <c r="C1993" s="18">
        <v>28</v>
      </c>
      <c r="D1993" s="18">
        <v>7</v>
      </c>
      <c r="E1993">
        <v>18</v>
      </c>
      <c r="F1993" t="s">
        <v>372</v>
      </c>
      <c r="G1993" t="s">
        <v>373</v>
      </c>
      <c r="H1993" t="s">
        <v>65</v>
      </c>
      <c r="I1993" t="s">
        <v>27</v>
      </c>
      <c r="J1993" s="18">
        <v>9</v>
      </c>
      <c r="K1993" s="18">
        <v>3</v>
      </c>
      <c r="L1993" s="12">
        <v>9</v>
      </c>
      <c r="M1993" s="21">
        <v>27</v>
      </c>
      <c r="N1993" s="22">
        <v>1.3581488933601611</v>
      </c>
      <c r="O1993" s="6" t="s">
        <v>100</v>
      </c>
      <c r="P1993" t="s">
        <v>340</v>
      </c>
      <c r="Q1993" s="6" t="s">
        <v>24</v>
      </c>
      <c r="R1993" s="6"/>
    </row>
    <row r="1994" spans="1:18" hidden="1" x14ac:dyDescent="0.25">
      <c r="A1994" s="2" t="s">
        <v>572</v>
      </c>
      <c r="B1994" s="3" t="str">
        <f t="shared" si="48"/>
        <v>18/7/29</v>
      </c>
      <c r="C1994" s="18">
        <v>29</v>
      </c>
      <c r="D1994" s="18">
        <v>7</v>
      </c>
      <c r="E1994">
        <v>18</v>
      </c>
      <c r="F1994" s="19" t="s">
        <v>590</v>
      </c>
      <c r="G1994" t="s">
        <v>31</v>
      </c>
      <c r="H1994" t="s">
        <v>26</v>
      </c>
      <c r="I1994" t="s">
        <v>27</v>
      </c>
      <c r="J1994" s="18">
        <v>11.67</v>
      </c>
      <c r="K1994" s="18">
        <v>1</v>
      </c>
      <c r="L1994" s="12">
        <v>11.67</v>
      </c>
      <c r="M1994" s="21">
        <v>11.67</v>
      </c>
      <c r="N1994" s="22">
        <v>0.58702213279678073</v>
      </c>
      <c r="O1994" s="6" t="s">
        <v>39</v>
      </c>
      <c r="P1994" s="6"/>
      <c r="Q1994" s="6" t="s">
        <v>24</v>
      </c>
      <c r="R1994" s="6"/>
    </row>
    <row r="1995" spans="1:18" hidden="1" x14ac:dyDescent="0.25">
      <c r="A1995" s="2" t="s">
        <v>572</v>
      </c>
      <c r="B1995" s="3" t="str">
        <f t="shared" si="48"/>
        <v>18/7/29</v>
      </c>
      <c r="C1995" s="18">
        <v>29</v>
      </c>
      <c r="D1995" s="18">
        <v>7</v>
      </c>
      <c r="E1995">
        <v>18</v>
      </c>
      <c r="F1995" t="s">
        <v>1264</v>
      </c>
      <c r="G1995" t="s">
        <v>31</v>
      </c>
      <c r="H1995" t="s">
        <v>26</v>
      </c>
      <c r="I1995" t="s">
        <v>27</v>
      </c>
      <c r="J1995" s="18">
        <v>27.67</v>
      </c>
      <c r="K1995" s="18">
        <v>1</v>
      </c>
      <c r="L1995" s="12">
        <v>27.67</v>
      </c>
      <c r="M1995" s="21">
        <v>27.67</v>
      </c>
      <c r="N1995" s="22">
        <v>1.3918511066398391</v>
      </c>
      <c r="O1995" s="6" t="s">
        <v>1472</v>
      </c>
      <c r="P1995" t="s">
        <v>340</v>
      </c>
      <c r="Q1995" s="6" t="s">
        <v>24</v>
      </c>
      <c r="R1995" s="6"/>
    </row>
    <row r="1996" spans="1:18" hidden="1" x14ac:dyDescent="0.25">
      <c r="A1996" s="2" t="s">
        <v>572</v>
      </c>
      <c r="B1996" s="3" t="str">
        <f t="shared" si="48"/>
        <v>18/7/29</v>
      </c>
      <c r="C1996" s="18">
        <v>29</v>
      </c>
      <c r="D1996" s="18">
        <v>7</v>
      </c>
      <c r="E1996">
        <v>18</v>
      </c>
      <c r="F1996" t="s">
        <v>115</v>
      </c>
      <c r="H1996" t="s">
        <v>364</v>
      </c>
      <c r="I1996" t="s">
        <v>27</v>
      </c>
      <c r="J1996" s="18">
        <v>5</v>
      </c>
      <c r="K1996" s="18">
        <v>1</v>
      </c>
      <c r="L1996" s="12">
        <v>5</v>
      </c>
      <c r="M1996" s="21">
        <v>5</v>
      </c>
      <c r="N1996" s="22">
        <v>0.25150905432595577</v>
      </c>
      <c r="O1996" s="6" t="s">
        <v>39</v>
      </c>
      <c r="P1996" s="6"/>
      <c r="Q1996" s="6" t="s">
        <v>24</v>
      </c>
      <c r="R1996" s="6"/>
    </row>
    <row r="1997" spans="1:18" hidden="1" x14ac:dyDescent="0.25">
      <c r="A1997" s="2" t="s">
        <v>572</v>
      </c>
      <c r="B1997" s="3" t="str">
        <f t="shared" si="48"/>
        <v>18/7/29</v>
      </c>
      <c r="C1997" s="18">
        <v>29</v>
      </c>
      <c r="D1997" s="18">
        <v>7</v>
      </c>
      <c r="E1997">
        <v>18</v>
      </c>
      <c r="F1997" s="24" t="s">
        <v>240</v>
      </c>
      <c r="H1997" t="s">
        <v>54</v>
      </c>
      <c r="I1997" t="s">
        <v>27</v>
      </c>
      <c r="J1997" s="18">
        <v>5</v>
      </c>
      <c r="K1997" s="18">
        <v>1</v>
      </c>
      <c r="L1997" s="12">
        <v>5</v>
      </c>
      <c r="M1997" s="21">
        <v>5</v>
      </c>
      <c r="N1997" s="22">
        <v>0.25150905432595577</v>
      </c>
      <c r="O1997" s="6" t="s">
        <v>39</v>
      </c>
      <c r="P1997" s="6"/>
      <c r="Q1997" s="6" t="s">
        <v>24</v>
      </c>
      <c r="R1997" s="6"/>
    </row>
    <row r="1998" spans="1:18" hidden="1" x14ac:dyDescent="0.25">
      <c r="A1998" s="2" t="s">
        <v>572</v>
      </c>
      <c r="B1998" s="3" t="str">
        <f t="shared" si="48"/>
        <v>18/7/29</v>
      </c>
      <c r="C1998" s="18">
        <v>29</v>
      </c>
      <c r="D1998" s="18">
        <v>7</v>
      </c>
      <c r="E1998">
        <v>18</v>
      </c>
      <c r="F1998" s="24" t="s">
        <v>599</v>
      </c>
      <c r="H1998" t="s">
        <v>56</v>
      </c>
      <c r="I1998" t="s">
        <v>27</v>
      </c>
      <c r="J1998" s="18">
        <v>6</v>
      </c>
      <c r="K1998" s="18">
        <v>7.16</v>
      </c>
      <c r="L1998" s="12">
        <v>6</v>
      </c>
      <c r="M1998" s="21">
        <v>42.96</v>
      </c>
      <c r="N1998" s="22">
        <v>2.1609657947686118</v>
      </c>
      <c r="O1998" s="6" t="s">
        <v>39</v>
      </c>
      <c r="P1998" s="6"/>
      <c r="Q1998" s="6" t="s">
        <v>24</v>
      </c>
      <c r="R1998" s="6"/>
    </row>
    <row r="1999" spans="1:18" hidden="1" x14ac:dyDescent="0.25">
      <c r="A1999" s="2" t="s">
        <v>572</v>
      </c>
      <c r="B1999" s="3" t="str">
        <f t="shared" si="48"/>
        <v>18/7/29</v>
      </c>
      <c r="C1999" s="18">
        <v>29</v>
      </c>
      <c r="D1999" s="18">
        <v>7</v>
      </c>
      <c r="E1999">
        <v>18</v>
      </c>
      <c r="F1999" t="s">
        <v>1078</v>
      </c>
      <c r="G1999" s="12"/>
      <c r="H1999" t="s">
        <v>65</v>
      </c>
      <c r="I1999" t="s">
        <v>27</v>
      </c>
      <c r="J1999" s="7">
        <v>25</v>
      </c>
      <c r="K1999" s="7">
        <v>1</v>
      </c>
      <c r="L1999" s="37">
        <v>25</v>
      </c>
      <c r="M1999" s="21">
        <v>25</v>
      </c>
      <c r="N1999" s="22">
        <v>1.2575452716297788</v>
      </c>
      <c r="O1999" s="6" t="s">
        <v>39</v>
      </c>
      <c r="P1999" s="6"/>
      <c r="Q1999" s="6" t="s">
        <v>24</v>
      </c>
      <c r="R1999" s="6"/>
    </row>
    <row r="2000" spans="1:18" hidden="1" x14ac:dyDescent="0.25">
      <c r="A2000" s="2" t="s">
        <v>572</v>
      </c>
      <c r="B2000" s="3" t="str">
        <f t="shared" si="48"/>
        <v>18/7/29</v>
      </c>
      <c r="C2000" s="18">
        <v>29</v>
      </c>
      <c r="D2000" s="18">
        <v>7</v>
      </c>
      <c r="E2000">
        <v>18</v>
      </c>
      <c r="F2000" t="s">
        <v>389</v>
      </c>
      <c r="H2000" t="s">
        <v>21</v>
      </c>
      <c r="I2000" t="s">
        <v>22</v>
      </c>
      <c r="J2000" s="18">
        <v>10</v>
      </c>
      <c r="K2000" s="18">
        <v>2</v>
      </c>
      <c r="L2000" s="12">
        <v>10</v>
      </c>
      <c r="M2000" s="38">
        <v>20</v>
      </c>
      <c r="N2000" s="22">
        <v>1.0060362173038231</v>
      </c>
      <c r="O2000" s="6" t="s">
        <v>39</v>
      </c>
      <c r="P2000" s="6"/>
      <c r="Q2000" s="6" t="s">
        <v>24</v>
      </c>
      <c r="R2000" t="s">
        <v>600</v>
      </c>
    </row>
    <row r="2001" spans="1:18" hidden="1" x14ac:dyDescent="0.25">
      <c r="A2001" s="2" t="s">
        <v>572</v>
      </c>
      <c r="B2001" s="3" t="str">
        <f t="shared" si="48"/>
        <v>18/7/3</v>
      </c>
      <c r="C2001" s="13">
        <v>3</v>
      </c>
      <c r="D2001">
        <v>7</v>
      </c>
      <c r="E2001">
        <v>18</v>
      </c>
      <c r="F2001" t="s">
        <v>573</v>
      </c>
      <c r="I2001" t="s">
        <v>72</v>
      </c>
      <c r="J2001">
        <v>110</v>
      </c>
      <c r="K2001">
        <v>1</v>
      </c>
      <c r="L2001">
        <v>110</v>
      </c>
      <c r="M2001">
        <v>110</v>
      </c>
      <c r="N2001" s="5">
        <v>5.5331991951710267</v>
      </c>
      <c r="O2001" t="s">
        <v>39</v>
      </c>
      <c r="Q2001" t="s">
        <v>24</v>
      </c>
    </row>
    <row r="2002" spans="1:18" hidden="1" x14ac:dyDescent="0.25">
      <c r="A2002" s="2" t="s">
        <v>572</v>
      </c>
      <c r="B2002" s="3" t="str">
        <f t="shared" si="48"/>
        <v>18/7/3</v>
      </c>
      <c r="C2002" s="23">
        <v>3</v>
      </c>
      <c r="D2002" s="10">
        <v>7</v>
      </c>
      <c r="E2002">
        <v>18</v>
      </c>
      <c r="F2002" t="s">
        <v>71</v>
      </c>
      <c r="I2002" t="s">
        <v>72</v>
      </c>
      <c r="J2002">
        <v>460</v>
      </c>
      <c r="K2002">
        <v>1</v>
      </c>
      <c r="L2002">
        <v>460</v>
      </c>
      <c r="M2002" s="13">
        <v>460</v>
      </c>
      <c r="N2002" s="5">
        <v>23.17185794643607</v>
      </c>
      <c r="O2002" t="s">
        <v>562</v>
      </c>
      <c r="P2002" t="s">
        <v>340</v>
      </c>
      <c r="Q2002" s="10" t="s">
        <v>24</v>
      </c>
      <c r="R2002" t="s">
        <v>574</v>
      </c>
    </row>
    <row r="2003" spans="1:18" hidden="1" x14ac:dyDescent="0.25">
      <c r="A2003" s="2" t="s">
        <v>572</v>
      </c>
      <c r="B2003" s="3" t="str">
        <f t="shared" si="48"/>
        <v>18/7/3</v>
      </c>
      <c r="C2003" s="23">
        <v>3</v>
      </c>
      <c r="D2003" s="10">
        <v>7</v>
      </c>
      <c r="E2003">
        <v>18</v>
      </c>
      <c r="F2003" t="s">
        <v>104</v>
      </c>
      <c r="I2003" t="s">
        <v>72</v>
      </c>
      <c r="J2003">
        <v>193</v>
      </c>
      <c r="K2003">
        <v>0.5</v>
      </c>
      <c r="L2003">
        <v>193</v>
      </c>
      <c r="M2003">
        <v>96.5</v>
      </c>
      <c r="N2003" s="5">
        <v>4.861052808328437</v>
      </c>
      <c r="O2003" t="s">
        <v>243</v>
      </c>
      <c r="P2003" t="s">
        <v>340</v>
      </c>
      <c r="Q2003" s="10" t="s">
        <v>24</v>
      </c>
      <c r="R2003" t="s">
        <v>601</v>
      </c>
    </row>
    <row r="2004" spans="1:18" hidden="1" x14ac:dyDescent="0.25">
      <c r="A2004" s="2" t="s">
        <v>572</v>
      </c>
      <c r="B2004" s="3" t="str">
        <f t="shared" si="48"/>
        <v>18/7/3</v>
      </c>
      <c r="C2004" s="23">
        <v>3</v>
      </c>
      <c r="D2004" s="10">
        <v>7</v>
      </c>
      <c r="E2004">
        <v>18</v>
      </c>
      <c r="F2004" t="s">
        <v>1424</v>
      </c>
      <c r="I2004" t="s">
        <v>72</v>
      </c>
      <c r="J2004">
        <v>45.1</v>
      </c>
      <c r="K2004">
        <v>1</v>
      </c>
      <c r="L2004">
        <v>45.1</v>
      </c>
      <c r="M2004">
        <v>45.1</v>
      </c>
      <c r="N2004" s="5">
        <v>2.2718495508353627</v>
      </c>
      <c r="O2004" t="s">
        <v>243</v>
      </c>
      <c r="P2004" t="s">
        <v>340</v>
      </c>
      <c r="Q2004" s="10" t="s">
        <v>24</v>
      </c>
      <c r="R2004" t="s">
        <v>602</v>
      </c>
    </row>
    <row r="2005" spans="1:18" hidden="1" x14ac:dyDescent="0.25">
      <c r="A2005" s="2" t="s">
        <v>572</v>
      </c>
      <c r="B2005" s="3" t="str">
        <f t="shared" si="48"/>
        <v>18/7/30</v>
      </c>
      <c r="C2005" s="18">
        <v>30</v>
      </c>
      <c r="D2005" s="18">
        <v>7</v>
      </c>
      <c r="E2005">
        <v>18</v>
      </c>
      <c r="F2005" t="s">
        <v>318</v>
      </c>
      <c r="G2005" t="s">
        <v>319</v>
      </c>
      <c r="H2005" t="s">
        <v>131</v>
      </c>
      <c r="I2005" t="s">
        <v>27</v>
      </c>
      <c r="J2005" s="18">
        <v>23</v>
      </c>
      <c r="K2005" s="18">
        <v>1</v>
      </c>
      <c r="L2005" s="12">
        <v>23</v>
      </c>
      <c r="M2005" s="21">
        <v>23</v>
      </c>
      <c r="N2005" s="22">
        <v>1.1569416498993965</v>
      </c>
      <c r="O2005" t="s">
        <v>235</v>
      </c>
      <c r="P2005" t="s">
        <v>340</v>
      </c>
      <c r="Q2005" s="6" t="s">
        <v>24</v>
      </c>
      <c r="R2005" s="6"/>
    </row>
    <row r="2006" spans="1:18" hidden="1" x14ac:dyDescent="0.25">
      <c r="A2006" s="2" t="s">
        <v>572</v>
      </c>
      <c r="B2006" s="3" t="str">
        <f t="shared" si="48"/>
        <v>18/7/30</v>
      </c>
      <c r="C2006" s="18">
        <v>30</v>
      </c>
      <c r="D2006" s="18">
        <v>7</v>
      </c>
      <c r="E2006">
        <v>18</v>
      </c>
      <c r="F2006" t="s">
        <v>86</v>
      </c>
      <c r="H2006" t="s">
        <v>102</v>
      </c>
      <c r="I2006" t="s">
        <v>27</v>
      </c>
      <c r="J2006" s="18">
        <v>18</v>
      </c>
      <c r="K2006" s="18">
        <v>1</v>
      </c>
      <c r="L2006" s="12">
        <v>18</v>
      </c>
      <c r="M2006" s="21">
        <v>18</v>
      </c>
      <c r="N2006" s="22">
        <v>0.90543259557344069</v>
      </c>
      <c r="O2006" t="s">
        <v>235</v>
      </c>
      <c r="P2006" t="s">
        <v>340</v>
      </c>
      <c r="Q2006" s="6" t="s">
        <v>24</v>
      </c>
      <c r="R2006" s="6"/>
    </row>
    <row r="2007" spans="1:18" hidden="1" x14ac:dyDescent="0.25">
      <c r="A2007" s="2" t="s">
        <v>572</v>
      </c>
      <c r="B2007" s="3" t="str">
        <f t="shared" si="48"/>
        <v>18/7/30</v>
      </c>
      <c r="C2007" s="7">
        <v>30</v>
      </c>
      <c r="D2007" s="18">
        <v>7</v>
      </c>
      <c r="E2007">
        <v>18</v>
      </c>
      <c r="F2007" s="25" t="s">
        <v>603</v>
      </c>
      <c r="I2007" t="s">
        <v>72</v>
      </c>
      <c r="J2007" s="18">
        <v>78.84</v>
      </c>
      <c r="K2007" s="18">
        <v>0.33400000000000002</v>
      </c>
      <c r="L2007" s="12">
        <v>78.84</v>
      </c>
      <c r="M2007" s="21">
        <v>26.332560000000004</v>
      </c>
      <c r="N2007" s="22">
        <v>1.3245754527162981</v>
      </c>
      <c r="O2007" s="6" t="s">
        <v>39</v>
      </c>
      <c r="P2007" s="6"/>
      <c r="Q2007" s="6" t="s">
        <v>24</v>
      </c>
      <c r="R2007" t="s">
        <v>603</v>
      </c>
    </row>
    <row r="2008" spans="1:18" hidden="1" x14ac:dyDescent="0.25">
      <c r="A2008" s="2" t="s">
        <v>572</v>
      </c>
      <c r="B2008" s="3" t="str">
        <f t="shared" si="48"/>
        <v>18/7/30</v>
      </c>
      <c r="C2008" s="7">
        <v>30</v>
      </c>
      <c r="D2008" s="18">
        <v>7</v>
      </c>
      <c r="E2008">
        <v>18</v>
      </c>
      <c r="F2008" s="25" t="s">
        <v>604</v>
      </c>
      <c r="I2008" t="s">
        <v>72</v>
      </c>
      <c r="J2008" s="18">
        <v>12</v>
      </c>
      <c r="K2008" s="18">
        <v>1</v>
      </c>
      <c r="L2008" s="12">
        <v>12</v>
      </c>
      <c r="M2008" s="21">
        <v>12</v>
      </c>
      <c r="N2008" s="22">
        <v>0.60362173038229383</v>
      </c>
      <c r="O2008" s="6" t="s">
        <v>39</v>
      </c>
      <c r="P2008" s="6"/>
      <c r="Q2008" s="6" t="s">
        <v>24</v>
      </c>
      <c r="R2008" t="s">
        <v>604</v>
      </c>
    </row>
    <row r="2009" spans="1:18" hidden="1" x14ac:dyDescent="0.25">
      <c r="A2009" s="2" t="s">
        <v>572</v>
      </c>
      <c r="B2009" s="3" t="str">
        <f t="shared" si="48"/>
        <v>18/7/30</v>
      </c>
      <c r="C2009" s="7">
        <v>30</v>
      </c>
      <c r="D2009" s="18">
        <v>7</v>
      </c>
      <c r="E2009">
        <v>18</v>
      </c>
      <c r="F2009" t="s">
        <v>159</v>
      </c>
      <c r="I2009" t="s">
        <v>72</v>
      </c>
      <c r="J2009" s="18">
        <v>23.85</v>
      </c>
      <c r="K2009" s="18">
        <v>1</v>
      </c>
      <c r="L2009" s="12">
        <v>23.85</v>
      </c>
      <c r="M2009" s="21">
        <v>23.85</v>
      </c>
      <c r="N2009" s="22">
        <v>1.1996981891348091</v>
      </c>
      <c r="O2009" s="6" t="s">
        <v>39</v>
      </c>
      <c r="P2009" s="6"/>
      <c r="Q2009" s="6" t="s">
        <v>24</v>
      </c>
      <c r="R2009" t="s">
        <v>605</v>
      </c>
    </row>
    <row r="2010" spans="1:18" hidden="1" x14ac:dyDescent="0.25">
      <c r="A2010" s="2" t="s">
        <v>572</v>
      </c>
      <c r="B2010" s="3" t="str">
        <f t="shared" si="48"/>
        <v>18/7/30</v>
      </c>
      <c r="C2010" s="7">
        <v>30</v>
      </c>
      <c r="D2010" s="18">
        <v>7</v>
      </c>
      <c r="E2010">
        <v>18</v>
      </c>
      <c r="F2010" t="s">
        <v>71</v>
      </c>
      <c r="I2010" t="s">
        <v>72</v>
      </c>
      <c r="J2010" s="18">
        <v>200</v>
      </c>
      <c r="K2010" s="18">
        <v>1</v>
      </c>
      <c r="L2010" s="12">
        <v>200</v>
      </c>
      <c r="M2010" s="38">
        <v>200</v>
      </c>
      <c r="N2010" s="22">
        <v>10.06036217303823</v>
      </c>
      <c r="O2010" s="6" t="s">
        <v>39</v>
      </c>
      <c r="P2010" s="6"/>
      <c r="Q2010" s="6" t="s">
        <v>24</v>
      </c>
      <c r="R2010" t="s">
        <v>230</v>
      </c>
    </row>
    <row r="2011" spans="1:18" hidden="1" x14ac:dyDescent="0.25">
      <c r="A2011" s="9" t="s">
        <v>572</v>
      </c>
      <c r="B2011" s="3" t="s">
        <v>1310</v>
      </c>
      <c r="C2011" s="10">
        <v>30</v>
      </c>
      <c r="D2011" s="10">
        <v>7</v>
      </c>
      <c r="E2011" s="10">
        <v>18</v>
      </c>
      <c r="F2011" t="s">
        <v>204</v>
      </c>
      <c r="G2011" t="s">
        <v>889</v>
      </c>
      <c r="H2011" t="s">
        <v>54</v>
      </c>
      <c r="I2011" t="s">
        <v>27</v>
      </c>
      <c r="J2011" s="4">
        <v>44.99</v>
      </c>
      <c r="K2011">
        <v>7.5999999999999998E-2</v>
      </c>
      <c r="L2011">
        <v>44.99</v>
      </c>
      <c r="M2011">
        <v>3.4192400000000003</v>
      </c>
      <c r="N2011" s="5">
        <v>0.17307739032620922</v>
      </c>
      <c r="O2011" t="s">
        <v>829</v>
      </c>
      <c r="P2011" t="s">
        <v>340</v>
      </c>
      <c r="Q2011" s="10" t="s">
        <v>1102</v>
      </c>
    </row>
    <row r="2012" spans="1:18" hidden="1" x14ac:dyDescent="0.25">
      <c r="A2012" s="9" t="s">
        <v>572</v>
      </c>
      <c r="B2012" s="3" t="s">
        <v>1310</v>
      </c>
      <c r="C2012" s="10">
        <v>30</v>
      </c>
      <c r="D2012" s="10">
        <v>7</v>
      </c>
      <c r="E2012" s="10">
        <v>18</v>
      </c>
      <c r="F2012" t="s">
        <v>202</v>
      </c>
      <c r="G2012" t="s">
        <v>889</v>
      </c>
      <c r="H2012" t="s">
        <v>54</v>
      </c>
      <c r="I2012" t="s">
        <v>27</v>
      </c>
      <c r="J2012" s="4">
        <v>84.99</v>
      </c>
      <c r="K2012">
        <v>0.35</v>
      </c>
      <c r="L2012">
        <v>84.99</v>
      </c>
      <c r="M2012">
        <v>29.746499999999997</v>
      </c>
      <c r="N2012" s="5">
        <v>1.5057283464566926</v>
      </c>
      <c r="O2012" t="s">
        <v>829</v>
      </c>
      <c r="P2012" t="s">
        <v>340</v>
      </c>
      <c r="Q2012" s="10" t="s">
        <v>1102</v>
      </c>
    </row>
    <row r="2013" spans="1:18" hidden="1" x14ac:dyDescent="0.25">
      <c r="A2013" s="9" t="s">
        <v>572</v>
      </c>
      <c r="B2013" s="3" t="s">
        <v>1310</v>
      </c>
      <c r="C2013" s="10">
        <v>30</v>
      </c>
      <c r="D2013" s="10">
        <v>7</v>
      </c>
      <c r="E2013" s="10">
        <v>18</v>
      </c>
      <c r="F2013" t="s">
        <v>125</v>
      </c>
      <c r="G2013" t="s">
        <v>889</v>
      </c>
      <c r="H2013" t="s">
        <v>54</v>
      </c>
      <c r="I2013" t="s">
        <v>27</v>
      </c>
      <c r="J2013" s="4">
        <v>7.99</v>
      </c>
      <c r="K2013">
        <v>0.42199999999999999</v>
      </c>
      <c r="L2013">
        <v>7.99</v>
      </c>
      <c r="M2013">
        <v>3.3717799999999998</v>
      </c>
      <c r="N2013" s="5">
        <v>0.1706750281214848</v>
      </c>
      <c r="O2013" t="s">
        <v>829</v>
      </c>
      <c r="P2013" t="s">
        <v>340</v>
      </c>
      <c r="Q2013" s="10" t="s">
        <v>1102</v>
      </c>
    </row>
    <row r="2014" spans="1:18" hidden="1" x14ac:dyDescent="0.25">
      <c r="A2014" s="9" t="s">
        <v>572</v>
      </c>
      <c r="B2014" s="3" t="s">
        <v>1310</v>
      </c>
      <c r="C2014" s="10">
        <v>30</v>
      </c>
      <c r="D2014" s="10">
        <v>7</v>
      </c>
      <c r="E2014" s="10">
        <v>18</v>
      </c>
      <c r="F2014" t="s">
        <v>744</v>
      </c>
      <c r="G2014" t="s">
        <v>889</v>
      </c>
      <c r="H2014" t="s">
        <v>54</v>
      </c>
      <c r="I2014" t="s">
        <v>27</v>
      </c>
      <c r="J2014" s="4">
        <v>10.99</v>
      </c>
      <c r="K2014">
        <v>0.39</v>
      </c>
      <c r="L2014">
        <v>10.99</v>
      </c>
      <c r="M2014">
        <v>4.2861000000000002</v>
      </c>
      <c r="N2014" s="5">
        <v>0.21695669291338582</v>
      </c>
      <c r="O2014" t="s">
        <v>829</v>
      </c>
      <c r="P2014" t="s">
        <v>340</v>
      </c>
      <c r="Q2014" s="10" t="s">
        <v>1102</v>
      </c>
    </row>
    <row r="2015" spans="1:18" hidden="1" x14ac:dyDescent="0.25">
      <c r="A2015" s="9" t="s">
        <v>572</v>
      </c>
      <c r="B2015" s="3" t="s">
        <v>1310</v>
      </c>
      <c r="C2015" s="10">
        <v>30</v>
      </c>
      <c r="D2015" s="10">
        <v>7</v>
      </c>
      <c r="E2015" s="10">
        <v>18</v>
      </c>
      <c r="F2015" t="s">
        <v>109</v>
      </c>
      <c r="G2015" t="s">
        <v>889</v>
      </c>
      <c r="H2015" t="s">
        <v>54</v>
      </c>
      <c r="I2015" t="s">
        <v>27</v>
      </c>
      <c r="J2015" s="4">
        <v>25.99</v>
      </c>
      <c r="K2015">
        <v>0.46</v>
      </c>
      <c r="L2015">
        <v>25.99</v>
      </c>
      <c r="M2015">
        <v>11.955399999999999</v>
      </c>
      <c r="N2015" s="5">
        <v>0.60516647919010114</v>
      </c>
      <c r="O2015" t="s">
        <v>829</v>
      </c>
      <c r="P2015" t="s">
        <v>340</v>
      </c>
      <c r="Q2015" s="10" t="s">
        <v>1102</v>
      </c>
    </row>
    <row r="2016" spans="1:18" hidden="1" x14ac:dyDescent="0.25">
      <c r="A2016" s="9" t="s">
        <v>572</v>
      </c>
      <c r="B2016" s="3" t="s">
        <v>1310</v>
      </c>
      <c r="C2016" s="10">
        <v>30</v>
      </c>
      <c r="D2016" s="10">
        <v>7</v>
      </c>
      <c r="E2016" s="10">
        <v>18</v>
      </c>
      <c r="F2016" t="s">
        <v>121</v>
      </c>
      <c r="G2016" t="s">
        <v>889</v>
      </c>
      <c r="H2016" t="s">
        <v>54</v>
      </c>
      <c r="I2016" t="s">
        <v>27</v>
      </c>
      <c r="J2016" s="4">
        <v>19.989999999999998</v>
      </c>
      <c r="K2016">
        <v>1.044</v>
      </c>
      <c r="L2016">
        <v>19.989999999999998</v>
      </c>
      <c r="M2016">
        <v>20.86956</v>
      </c>
      <c r="N2016" s="5">
        <v>1.0563894263217097</v>
      </c>
      <c r="O2016" t="s">
        <v>829</v>
      </c>
      <c r="P2016" t="s">
        <v>340</v>
      </c>
      <c r="Q2016" s="10" t="s">
        <v>1102</v>
      </c>
    </row>
    <row r="2017" spans="1:18" hidden="1" x14ac:dyDescent="0.25">
      <c r="A2017" s="9" t="s">
        <v>572</v>
      </c>
      <c r="B2017" s="3" t="s">
        <v>1310</v>
      </c>
      <c r="C2017" s="10">
        <v>30</v>
      </c>
      <c r="D2017" s="10">
        <v>7</v>
      </c>
      <c r="E2017" s="10">
        <v>18</v>
      </c>
      <c r="F2017" t="s">
        <v>55</v>
      </c>
      <c r="G2017" t="s">
        <v>889</v>
      </c>
      <c r="H2017" t="s">
        <v>56</v>
      </c>
      <c r="I2017" t="s">
        <v>27</v>
      </c>
      <c r="J2017" s="4">
        <v>16.989999999999998</v>
      </c>
      <c r="K2017">
        <v>1.254</v>
      </c>
      <c r="L2017">
        <v>16.989999999999998</v>
      </c>
      <c r="M2017">
        <v>21.305459999999997</v>
      </c>
      <c r="N2017" s="5">
        <v>1.0784541057367827</v>
      </c>
      <c r="O2017" t="s">
        <v>829</v>
      </c>
      <c r="P2017" t="s">
        <v>340</v>
      </c>
      <c r="Q2017" s="10" t="s">
        <v>1102</v>
      </c>
    </row>
    <row r="2018" spans="1:18" hidden="1" x14ac:dyDescent="0.25">
      <c r="A2018" s="9" t="s">
        <v>572</v>
      </c>
      <c r="B2018" s="3" t="s">
        <v>1310</v>
      </c>
      <c r="C2018" s="10">
        <v>30</v>
      </c>
      <c r="D2018" s="10">
        <v>7</v>
      </c>
      <c r="E2018" s="10">
        <v>18</v>
      </c>
      <c r="F2018" t="s">
        <v>590</v>
      </c>
      <c r="G2018" t="s">
        <v>31</v>
      </c>
      <c r="H2018" t="s">
        <v>26</v>
      </c>
      <c r="I2018" t="s">
        <v>27</v>
      </c>
      <c r="J2018" s="4">
        <v>12</v>
      </c>
      <c r="K2018">
        <v>2</v>
      </c>
      <c r="L2018">
        <v>12</v>
      </c>
      <c r="M2018">
        <v>24</v>
      </c>
      <c r="N2018" s="5">
        <v>1.2148481439820022</v>
      </c>
      <c r="O2018" t="s">
        <v>829</v>
      </c>
      <c r="P2018" t="s">
        <v>340</v>
      </c>
      <c r="Q2018" s="10" t="s">
        <v>1102</v>
      </c>
    </row>
    <row r="2019" spans="1:18" hidden="1" x14ac:dyDescent="0.25">
      <c r="A2019" s="2" t="s">
        <v>572</v>
      </c>
      <c r="B2019" s="3" t="str">
        <f t="shared" ref="B2019:B2024" si="49">CONCATENATE(E2019,"/",D2019,"/",C2019)</f>
        <v>18/7/4</v>
      </c>
      <c r="C2019" s="10">
        <v>4</v>
      </c>
      <c r="D2019" s="10">
        <v>7</v>
      </c>
      <c r="E2019">
        <v>18</v>
      </c>
      <c r="F2019" t="s">
        <v>573</v>
      </c>
      <c r="I2019" t="s">
        <v>72</v>
      </c>
      <c r="J2019">
        <v>110</v>
      </c>
      <c r="K2019">
        <v>1</v>
      </c>
      <c r="L2019">
        <v>110</v>
      </c>
      <c r="M2019">
        <v>110</v>
      </c>
      <c r="N2019" s="5">
        <v>5.541096465452104</v>
      </c>
      <c r="O2019" t="s">
        <v>562</v>
      </c>
      <c r="P2019" t="s">
        <v>340</v>
      </c>
      <c r="Q2019" s="10" t="s">
        <v>24</v>
      </c>
      <c r="R2019" t="s">
        <v>517</v>
      </c>
    </row>
    <row r="2020" spans="1:18" hidden="1" x14ac:dyDescent="0.25">
      <c r="A2020" s="2" t="s">
        <v>572</v>
      </c>
      <c r="B2020" s="3" t="str">
        <f t="shared" si="49"/>
        <v>18/7/4</v>
      </c>
      <c r="C2020">
        <v>4</v>
      </c>
      <c r="D2020">
        <v>7</v>
      </c>
      <c r="E2020">
        <v>18</v>
      </c>
      <c r="F2020" t="s">
        <v>606</v>
      </c>
      <c r="H2020" t="s">
        <v>54</v>
      </c>
      <c r="I2020" t="s">
        <v>27</v>
      </c>
      <c r="J2020">
        <v>5</v>
      </c>
      <c r="K2020">
        <v>1</v>
      </c>
      <c r="L2020">
        <v>5</v>
      </c>
      <c r="M2020">
        <v>5</v>
      </c>
      <c r="N2020" s="5">
        <v>0.25150905432595577</v>
      </c>
      <c r="O2020" t="s">
        <v>39</v>
      </c>
      <c r="Q2020" t="s">
        <v>24</v>
      </c>
    </row>
    <row r="2021" spans="1:18" hidden="1" x14ac:dyDescent="0.25">
      <c r="A2021" s="2" t="s">
        <v>572</v>
      </c>
      <c r="B2021" s="3" t="str">
        <f t="shared" si="49"/>
        <v>18/7/4</v>
      </c>
      <c r="C2021">
        <v>4</v>
      </c>
      <c r="D2021">
        <v>7</v>
      </c>
      <c r="E2021">
        <v>18</v>
      </c>
      <c r="F2021" t="s">
        <v>535</v>
      </c>
      <c r="H2021" t="s">
        <v>54</v>
      </c>
      <c r="I2021" t="s">
        <v>27</v>
      </c>
      <c r="J2021">
        <v>12</v>
      </c>
      <c r="K2021">
        <v>1</v>
      </c>
      <c r="L2021">
        <v>12</v>
      </c>
      <c r="M2021">
        <v>12</v>
      </c>
      <c r="N2021" s="5">
        <v>0.60362173038229383</v>
      </c>
      <c r="O2021" t="s">
        <v>39</v>
      </c>
      <c r="Q2021" t="s">
        <v>24</v>
      </c>
    </row>
    <row r="2022" spans="1:18" hidden="1" x14ac:dyDescent="0.25">
      <c r="A2022" s="2" t="s">
        <v>572</v>
      </c>
      <c r="B2022" s="3" t="str">
        <f t="shared" si="49"/>
        <v>18/7/4</v>
      </c>
      <c r="C2022">
        <v>4</v>
      </c>
      <c r="D2022">
        <v>7</v>
      </c>
      <c r="E2022">
        <v>18</v>
      </c>
      <c r="F2022" t="s">
        <v>543</v>
      </c>
      <c r="H2022" t="s">
        <v>54</v>
      </c>
      <c r="I2022" t="s">
        <v>27</v>
      </c>
      <c r="J2022">
        <v>13</v>
      </c>
      <c r="K2022">
        <v>1</v>
      </c>
      <c r="L2022">
        <v>13</v>
      </c>
      <c r="M2022">
        <v>13</v>
      </c>
      <c r="N2022" s="5">
        <v>0.65392354124748497</v>
      </c>
      <c r="O2022" t="s">
        <v>39</v>
      </c>
      <c r="Q2022" t="s">
        <v>24</v>
      </c>
    </row>
    <row r="2023" spans="1:18" hidden="1" x14ac:dyDescent="0.25">
      <c r="A2023" s="2" t="s">
        <v>572</v>
      </c>
      <c r="B2023" s="3" t="str">
        <f t="shared" si="49"/>
        <v>18/7/4</v>
      </c>
      <c r="C2023">
        <v>4</v>
      </c>
      <c r="D2023">
        <v>7</v>
      </c>
      <c r="E2023">
        <v>18</v>
      </c>
      <c r="F2023" t="s">
        <v>555</v>
      </c>
      <c r="H2023" t="s">
        <v>54</v>
      </c>
      <c r="I2023" t="s">
        <v>27</v>
      </c>
      <c r="J2023">
        <v>25</v>
      </c>
      <c r="K2023">
        <v>1</v>
      </c>
      <c r="L2023">
        <v>25</v>
      </c>
      <c r="M2023">
        <v>25</v>
      </c>
      <c r="N2023" s="5">
        <v>1.2575452716297788</v>
      </c>
      <c r="O2023" t="s">
        <v>39</v>
      </c>
      <c r="Q2023" t="s">
        <v>24</v>
      </c>
    </row>
    <row r="2024" spans="1:18" hidden="1" x14ac:dyDescent="0.25">
      <c r="A2024" s="2" t="s">
        <v>572</v>
      </c>
      <c r="B2024" s="3" t="str">
        <f t="shared" si="49"/>
        <v>18/7/4</v>
      </c>
      <c r="C2024" s="13">
        <v>4</v>
      </c>
      <c r="D2024">
        <v>7</v>
      </c>
      <c r="E2024">
        <v>18</v>
      </c>
      <c r="F2024" t="s">
        <v>573</v>
      </c>
      <c r="I2024" t="s">
        <v>72</v>
      </c>
      <c r="J2024">
        <v>110</v>
      </c>
      <c r="K2024">
        <v>1</v>
      </c>
      <c r="L2024">
        <v>110</v>
      </c>
      <c r="M2024">
        <v>110</v>
      </c>
      <c r="N2024" s="5">
        <v>5.5331991951710267</v>
      </c>
      <c r="O2024" t="s">
        <v>39</v>
      </c>
      <c r="Q2024" t="s">
        <v>24</v>
      </c>
    </row>
    <row r="2025" spans="1:18" hidden="1" x14ac:dyDescent="0.25">
      <c r="A2025" s="9" t="s">
        <v>572</v>
      </c>
      <c r="B2025" s="3" t="s">
        <v>1438</v>
      </c>
      <c r="C2025" s="10">
        <v>4</v>
      </c>
      <c r="D2025" s="10">
        <v>7</v>
      </c>
      <c r="E2025" s="10">
        <v>18</v>
      </c>
      <c r="F2025" t="s">
        <v>1421</v>
      </c>
      <c r="G2025" t="s">
        <v>889</v>
      </c>
      <c r="H2025" t="s">
        <v>131</v>
      </c>
      <c r="I2025" t="s">
        <v>27</v>
      </c>
      <c r="J2025" s="4">
        <v>12</v>
      </c>
      <c r="K2025">
        <v>2</v>
      </c>
      <c r="L2025">
        <v>12</v>
      </c>
      <c r="M2025">
        <v>24</v>
      </c>
      <c r="N2025" s="5">
        <v>1.2148481439820022</v>
      </c>
      <c r="O2025" t="s">
        <v>1423</v>
      </c>
      <c r="P2025" t="s">
        <v>340</v>
      </c>
      <c r="Q2025" s="10" t="s">
        <v>24</v>
      </c>
    </row>
    <row r="2026" spans="1:18" hidden="1" x14ac:dyDescent="0.25">
      <c r="A2026" s="9" t="s">
        <v>572</v>
      </c>
      <c r="B2026" s="3" t="s">
        <v>1438</v>
      </c>
      <c r="C2026" s="10">
        <v>4</v>
      </c>
      <c r="D2026" s="10">
        <v>7</v>
      </c>
      <c r="E2026" s="10">
        <v>18</v>
      </c>
      <c r="F2026" t="s">
        <v>1422</v>
      </c>
      <c r="G2026" t="s">
        <v>889</v>
      </c>
      <c r="H2026" t="s">
        <v>39</v>
      </c>
      <c r="I2026" t="s">
        <v>27</v>
      </c>
      <c r="J2026" s="4">
        <v>12</v>
      </c>
      <c r="K2026">
        <v>1</v>
      </c>
      <c r="L2026">
        <v>12</v>
      </c>
      <c r="M2026">
        <v>12</v>
      </c>
      <c r="N2026" s="5">
        <v>0.60742407199100112</v>
      </c>
      <c r="O2026" t="s">
        <v>1423</v>
      </c>
      <c r="P2026" t="s">
        <v>340</v>
      </c>
      <c r="Q2026" s="10" t="s">
        <v>24</v>
      </c>
    </row>
    <row r="2027" spans="1:18" hidden="1" x14ac:dyDescent="0.25">
      <c r="A2027" s="2" t="s">
        <v>572</v>
      </c>
      <c r="B2027" s="3" t="str">
        <f t="shared" ref="B2027:B2044" si="50">CONCATENATE(E2027,"/",D2027,"/",C2027)</f>
        <v>18/7/5</v>
      </c>
      <c r="C2027" s="23">
        <v>5</v>
      </c>
      <c r="D2027" s="10">
        <v>7</v>
      </c>
      <c r="E2027">
        <v>18</v>
      </c>
      <c r="F2027" t="s">
        <v>573</v>
      </c>
      <c r="I2027" t="s">
        <v>72</v>
      </c>
      <c r="J2027">
        <v>110</v>
      </c>
      <c r="K2027">
        <v>1</v>
      </c>
      <c r="L2027">
        <v>110</v>
      </c>
      <c r="M2027">
        <v>110</v>
      </c>
      <c r="N2027" s="5">
        <v>5.541096465452104</v>
      </c>
      <c r="O2027" t="s">
        <v>562</v>
      </c>
      <c r="P2027" t="s">
        <v>340</v>
      </c>
      <c r="Q2027" s="10" t="s">
        <v>24</v>
      </c>
      <c r="R2027" t="s">
        <v>517</v>
      </c>
    </row>
    <row r="2028" spans="1:18" hidden="1" x14ac:dyDescent="0.25">
      <c r="A2028" s="2" t="s">
        <v>572</v>
      </c>
      <c r="B2028" s="3" t="str">
        <f t="shared" si="50"/>
        <v>18/7/5</v>
      </c>
      <c r="C2028">
        <v>5</v>
      </c>
      <c r="D2028">
        <v>7</v>
      </c>
      <c r="E2028">
        <v>18</v>
      </c>
      <c r="F2028" t="s">
        <v>115</v>
      </c>
      <c r="H2028" t="s">
        <v>364</v>
      </c>
      <c r="I2028" t="s">
        <v>27</v>
      </c>
      <c r="J2028">
        <v>5</v>
      </c>
      <c r="K2028">
        <v>1</v>
      </c>
      <c r="L2028">
        <v>5</v>
      </c>
      <c r="M2028">
        <v>5</v>
      </c>
      <c r="N2028" s="5">
        <v>0.25150905432595577</v>
      </c>
      <c r="O2028" t="s">
        <v>39</v>
      </c>
      <c r="Q2028" t="s">
        <v>24</v>
      </c>
    </row>
    <row r="2029" spans="1:18" hidden="1" x14ac:dyDescent="0.25">
      <c r="A2029" s="2" t="s">
        <v>572</v>
      </c>
      <c r="B2029" s="3" t="str">
        <f t="shared" si="50"/>
        <v>18/7/5</v>
      </c>
      <c r="C2029">
        <v>5</v>
      </c>
      <c r="D2029">
        <v>7</v>
      </c>
      <c r="E2029">
        <v>18</v>
      </c>
      <c r="F2029" t="s">
        <v>174</v>
      </c>
      <c r="H2029" t="s">
        <v>54</v>
      </c>
      <c r="I2029" t="s">
        <v>27</v>
      </c>
      <c r="J2029">
        <v>10</v>
      </c>
      <c r="K2029">
        <v>1.3</v>
      </c>
      <c r="L2029">
        <v>10</v>
      </c>
      <c r="M2029">
        <v>13</v>
      </c>
      <c r="N2029" s="5">
        <v>0.65392354124748497</v>
      </c>
      <c r="O2029" t="s">
        <v>39</v>
      </c>
      <c r="Q2029" t="s">
        <v>24</v>
      </c>
    </row>
    <row r="2030" spans="1:18" hidden="1" x14ac:dyDescent="0.25">
      <c r="A2030" s="2" t="s">
        <v>572</v>
      </c>
      <c r="B2030" s="3" t="str">
        <f t="shared" si="50"/>
        <v>18/7/5</v>
      </c>
      <c r="C2030" s="13">
        <v>5</v>
      </c>
      <c r="D2030">
        <v>7</v>
      </c>
      <c r="E2030">
        <v>18</v>
      </c>
      <c r="F2030" t="s">
        <v>573</v>
      </c>
      <c r="I2030" t="s">
        <v>72</v>
      </c>
      <c r="J2030">
        <v>110</v>
      </c>
      <c r="K2030">
        <v>1</v>
      </c>
      <c r="L2030">
        <v>110</v>
      </c>
      <c r="M2030">
        <v>110</v>
      </c>
      <c r="N2030" s="5">
        <v>5.5331991951710267</v>
      </c>
      <c r="O2030" t="s">
        <v>39</v>
      </c>
      <c r="Q2030" t="s">
        <v>24</v>
      </c>
    </row>
    <row r="2031" spans="1:18" hidden="1" x14ac:dyDescent="0.25">
      <c r="A2031" s="2" t="s">
        <v>572</v>
      </c>
      <c r="B2031" s="3" t="str">
        <f t="shared" si="50"/>
        <v>18/7/5</v>
      </c>
      <c r="C2031" s="23">
        <v>5</v>
      </c>
      <c r="D2031" s="10">
        <v>7</v>
      </c>
      <c r="E2031">
        <v>18</v>
      </c>
      <c r="F2031" t="s">
        <v>71</v>
      </c>
      <c r="I2031" t="s">
        <v>72</v>
      </c>
      <c r="J2031">
        <v>250</v>
      </c>
      <c r="K2031">
        <v>1</v>
      </c>
      <c r="L2031">
        <v>250</v>
      </c>
      <c r="M2031" s="13">
        <v>250</v>
      </c>
      <c r="N2031" s="5">
        <v>12.593401057845691</v>
      </c>
      <c r="O2031" t="s">
        <v>562</v>
      </c>
      <c r="P2031" t="s">
        <v>340</v>
      </c>
      <c r="Q2031" s="10" t="s">
        <v>24</v>
      </c>
      <c r="R2031" t="s">
        <v>517</v>
      </c>
    </row>
    <row r="2032" spans="1:18" hidden="1" x14ac:dyDescent="0.25">
      <c r="A2032" s="2" t="s">
        <v>572</v>
      </c>
      <c r="B2032" s="3" t="str">
        <f t="shared" si="50"/>
        <v>18/7/5</v>
      </c>
      <c r="C2032" s="10">
        <v>5</v>
      </c>
      <c r="D2032" s="10">
        <v>7</v>
      </c>
      <c r="E2032">
        <v>18</v>
      </c>
      <c r="F2032" t="s">
        <v>104</v>
      </c>
      <c r="I2032" t="s">
        <v>72</v>
      </c>
      <c r="J2032">
        <v>157.94999999999999</v>
      </c>
      <c r="K2032">
        <v>1</v>
      </c>
      <c r="L2032">
        <v>157.94999999999999</v>
      </c>
      <c r="M2032">
        <v>157.94999999999999</v>
      </c>
      <c r="N2032" s="5">
        <v>7.9565107883469075</v>
      </c>
      <c r="O2032" t="s">
        <v>243</v>
      </c>
      <c r="P2032" t="s">
        <v>340</v>
      </c>
      <c r="Q2032" s="10" t="s">
        <v>24</v>
      </c>
      <c r="R2032" t="s">
        <v>565</v>
      </c>
    </row>
    <row r="2033" spans="1:18" hidden="1" x14ac:dyDescent="0.25">
      <c r="A2033" s="2" t="s">
        <v>572</v>
      </c>
      <c r="B2033" s="3" t="str">
        <f t="shared" si="50"/>
        <v>18/7/5</v>
      </c>
      <c r="C2033" s="10">
        <v>5</v>
      </c>
      <c r="D2033" s="10">
        <v>7</v>
      </c>
      <c r="E2033">
        <v>18</v>
      </c>
      <c r="F2033" t="s">
        <v>104</v>
      </c>
      <c r="I2033" t="s">
        <v>72</v>
      </c>
      <c r="J2033">
        <v>50.15</v>
      </c>
      <c r="K2033">
        <v>3</v>
      </c>
      <c r="L2033">
        <v>50.15</v>
      </c>
      <c r="M2033">
        <v>150.44999999999999</v>
      </c>
      <c r="N2033" s="5">
        <v>7.5787087566115368</v>
      </c>
      <c r="O2033" t="s">
        <v>243</v>
      </c>
      <c r="P2033" t="s">
        <v>340</v>
      </c>
      <c r="Q2033" s="10" t="s">
        <v>24</v>
      </c>
      <c r="R2033" t="s">
        <v>611</v>
      </c>
    </row>
    <row r="2034" spans="1:18" hidden="1" x14ac:dyDescent="0.25">
      <c r="A2034" s="2" t="s">
        <v>572</v>
      </c>
      <c r="B2034" s="3" t="str">
        <f t="shared" si="50"/>
        <v>18/7/5</v>
      </c>
      <c r="C2034" s="10">
        <v>5</v>
      </c>
      <c r="D2034" s="10">
        <v>7</v>
      </c>
      <c r="E2034">
        <v>18</v>
      </c>
      <c r="F2034" t="s">
        <v>104</v>
      </c>
      <c r="I2034" t="s">
        <v>72</v>
      </c>
      <c r="J2034">
        <v>208.8</v>
      </c>
      <c r="K2034">
        <v>2</v>
      </c>
      <c r="L2034">
        <v>208.8</v>
      </c>
      <c r="M2034">
        <v>417.6</v>
      </c>
      <c r="N2034" s="5">
        <v>21.036017127025442</v>
      </c>
      <c r="O2034" t="s">
        <v>243</v>
      </c>
      <c r="P2034" t="s">
        <v>340</v>
      </c>
      <c r="Q2034" s="10" t="s">
        <v>24</v>
      </c>
      <c r="R2034" t="s">
        <v>612</v>
      </c>
    </row>
    <row r="2035" spans="1:18" hidden="1" x14ac:dyDescent="0.25">
      <c r="A2035" s="2" t="s">
        <v>572</v>
      </c>
      <c r="B2035" s="3" t="str">
        <f t="shared" si="50"/>
        <v>18/7/5</v>
      </c>
      <c r="C2035" s="10">
        <v>5</v>
      </c>
      <c r="D2035" s="10">
        <v>7</v>
      </c>
      <c r="E2035">
        <v>18</v>
      </c>
      <c r="F2035" t="s">
        <v>102</v>
      </c>
      <c r="H2035" t="s">
        <v>102</v>
      </c>
      <c r="I2035" t="s">
        <v>27</v>
      </c>
      <c r="J2035">
        <v>36.9</v>
      </c>
      <c r="K2035">
        <v>1</v>
      </c>
      <c r="L2035">
        <v>36.9</v>
      </c>
      <c r="M2035">
        <v>36.9</v>
      </c>
      <c r="N2035" s="5">
        <v>1.858785996138024</v>
      </c>
      <c r="O2035" t="s">
        <v>243</v>
      </c>
      <c r="P2035" t="s">
        <v>340</v>
      </c>
      <c r="Q2035" s="10" t="s">
        <v>24</v>
      </c>
      <c r="R2035" t="s">
        <v>517</v>
      </c>
    </row>
    <row r="2036" spans="1:18" hidden="1" x14ac:dyDescent="0.25">
      <c r="A2036" s="2" t="s">
        <v>572</v>
      </c>
      <c r="B2036" s="3" t="str">
        <f t="shared" si="50"/>
        <v>18/7/5</v>
      </c>
      <c r="C2036" s="10">
        <v>5</v>
      </c>
      <c r="D2036" s="10">
        <v>7</v>
      </c>
      <c r="E2036">
        <v>18</v>
      </c>
      <c r="F2036" t="s">
        <v>104</v>
      </c>
      <c r="I2036" t="s">
        <v>72</v>
      </c>
      <c r="J2036">
        <v>49.95</v>
      </c>
      <c r="K2036">
        <v>3</v>
      </c>
      <c r="L2036">
        <v>49.95</v>
      </c>
      <c r="M2036">
        <v>149.85000000000002</v>
      </c>
      <c r="N2036" s="5">
        <v>7.5484845940727086</v>
      </c>
      <c r="O2036" t="s">
        <v>243</v>
      </c>
      <c r="P2036" t="s">
        <v>340</v>
      </c>
      <c r="Q2036" s="10" t="s">
        <v>24</v>
      </c>
      <c r="R2036" t="s">
        <v>613</v>
      </c>
    </row>
    <row r="2037" spans="1:18" hidden="1" x14ac:dyDescent="0.25">
      <c r="A2037" s="2" t="s">
        <v>572</v>
      </c>
      <c r="B2037" s="3" t="str">
        <f t="shared" si="50"/>
        <v>18/7/5</v>
      </c>
      <c r="C2037" s="10">
        <v>5</v>
      </c>
      <c r="D2037" s="10">
        <v>7</v>
      </c>
      <c r="E2037">
        <v>18</v>
      </c>
      <c r="F2037" t="s">
        <v>104</v>
      </c>
      <c r="I2037" t="s">
        <v>72</v>
      </c>
      <c r="J2037">
        <v>6.54</v>
      </c>
      <c r="K2037">
        <v>3</v>
      </c>
      <c r="L2037">
        <v>6.54</v>
      </c>
      <c r="M2037">
        <v>19.62</v>
      </c>
      <c r="N2037" s="5">
        <v>0.98833011501972989</v>
      </c>
      <c r="O2037" t="s">
        <v>243</v>
      </c>
      <c r="P2037" t="s">
        <v>340</v>
      </c>
      <c r="Q2037" s="10" t="s">
        <v>24</v>
      </c>
      <c r="R2037" t="s">
        <v>614</v>
      </c>
    </row>
    <row r="2038" spans="1:18" hidden="1" x14ac:dyDescent="0.25">
      <c r="A2038" s="2" t="s">
        <v>572</v>
      </c>
      <c r="B2038" s="3" t="str">
        <f t="shared" si="50"/>
        <v>18/7/5</v>
      </c>
      <c r="C2038" s="10">
        <v>5</v>
      </c>
      <c r="D2038" s="10">
        <v>7</v>
      </c>
      <c r="E2038">
        <v>18</v>
      </c>
      <c r="F2038" t="s">
        <v>104</v>
      </c>
      <c r="I2038" t="s">
        <v>72</v>
      </c>
      <c r="J2038">
        <v>255.45</v>
      </c>
      <c r="K2038">
        <v>1</v>
      </c>
      <c r="L2038">
        <v>255.45</v>
      </c>
      <c r="M2038">
        <v>255.45</v>
      </c>
      <c r="N2038" s="5">
        <v>12.867937200906727</v>
      </c>
      <c r="O2038" t="s">
        <v>243</v>
      </c>
      <c r="P2038" t="s">
        <v>340</v>
      </c>
      <c r="Q2038" s="10" t="s">
        <v>24</v>
      </c>
      <c r="R2038" t="s">
        <v>615</v>
      </c>
    </row>
    <row r="2039" spans="1:18" hidden="1" x14ac:dyDescent="0.25">
      <c r="A2039" s="9" t="s">
        <v>572</v>
      </c>
      <c r="B2039" s="3" t="str">
        <f t="shared" si="50"/>
        <v>18/7/6</v>
      </c>
      <c r="C2039" s="10">
        <v>6</v>
      </c>
      <c r="D2039" s="10">
        <v>7</v>
      </c>
      <c r="E2039" s="10">
        <v>18</v>
      </c>
      <c r="F2039" t="s">
        <v>75</v>
      </c>
      <c r="G2039" t="s">
        <v>889</v>
      </c>
      <c r="H2039" t="s">
        <v>65</v>
      </c>
      <c r="I2039" t="s">
        <v>27</v>
      </c>
      <c r="J2039">
        <v>10</v>
      </c>
      <c r="K2039">
        <v>4</v>
      </c>
      <c r="L2039">
        <v>10</v>
      </c>
      <c r="M2039">
        <v>40</v>
      </c>
      <c r="N2039" s="5">
        <v>2.0149441692553105</v>
      </c>
      <c r="O2039" t="s">
        <v>101</v>
      </c>
      <c r="P2039" t="s">
        <v>340</v>
      </c>
      <c r="Q2039" s="10" t="s">
        <v>24</v>
      </c>
      <c r="R2039" t="s">
        <v>517</v>
      </c>
    </row>
    <row r="2040" spans="1:18" hidden="1" x14ac:dyDescent="0.25">
      <c r="A2040" s="9" t="s">
        <v>572</v>
      </c>
      <c r="B2040" s="3" t="str">
        <f t="shared" si="50"/>
        <v>18/7/6</v>
      </c>
      <c r="C2040" s="10">
        <v>6</v>
      </c>
      <c r="D2040" s="10">
        <v>7</v>
      </c>
      <c r="E2040" s="10">
        <v>18</v>
      </c>
      <c r="F2040" t="s">
        <v>55</v>
      </c>
      <c r="H2040" t="s">
        <v>56</v>
      </c>
      <c r="I2040" t="s">
        <v>27</v>
      </c>
      <c r="J2040">
        <v>29.99</v>
      </c>
      <c r="K2040">
        <v>1.45</v>
      </c>
      <c r="L2040">
        <v>29.99</v>
      </c>
      <c r="M2040">
        <v>43.485499999999995</v>
      </c>
      <c r="N2040" s="5">
        <v>2.1905213668037948</v>
      </c>
      <c r="O2040" t="s">
        <v>101</v>
      </c>
      <c r="P2040" t="s">
        <v>340</v>
      </c>
      <c r="Q2040" s="10" t="s">
        <v>24</v>
      </c>
      <c r="R2040" t="s">
        <v>517</v>
      </c>
    </row>
    <row r="2041" spans="1:18" hidden="1" x14ac:dyDescent="0.25">
      <c r="A2041" s="9" t="s">
        <v>572</v>
      </c>
      <c r="B2041" s="3" t="str">
        <f t="shared" si="50"/>
        <v>18/7/6</v>
      </c>
      <c r="C2041" s="10">
        <v>6</v>
      </c>
      <c r="D2041" s="10">
        <v>7</v>
      </c>
      <c r="E2041" s="10">
        <v>18</v>
      </c>
      <c r="F2041" t="s">
        <v>2242</v>
      </c>
      <c r="G2041" t="s">
        <v>345</v>
      </c>
      <c r="H2041" t="s">
        <v>26</v>
      </c>
      <c r="I2041" t="s">
        <v>27</v>
      </c>
      <c r="J2041">
        <v>6.5</v>
      </c>
      <c r="K2041">
        <v>1</v>
      </c>
      <c r="L2041">
        <v>6.5</v>
      </c>
      <c r="M2041">
        <v>6.5</v>
      </c>
      <c r="N2041" s="5">
        <v>0.32742842750398798</v>
      </c>
      <c r="O2041" t="s">
        <v>101</v>
      </c>
      <c r="P2041" t="s">
        <v>340</v>
      </c>
      <c r="Q2041" s="10" t="s">
        <v>24</v>
      </c>
      <c r="R2041" t="s">
        <v>517</v>
      </c>
    </row>
    <row r="2042" spans="1:18" hidden="1" x14ac:dyDescent="0.25">
      <c r="A2042" s="2" t="s">
        <v>572</v>
      </c>
      <c r="B2042" s="3" t="str">
        <f t="shared" si="50"/>
        <v>18/7/6</v>
      </c>
      <c r="C2042" s="10">
        <v>6</v>
      </c>
      <c r="D2042" s="10">
        <v>7</v>
      </c>
      <c r="E2042">
        <v>18</v>
      </c>
      <c r="F2042" t="s">
        <v>573</v>
      </c>
      <c r="I2042" t="s">
        <v>72</v>
      </c>
      <c r="J2042">
        <v>110</v>
      </c>
      <c r="K2042">
        <v>1</v>
      </c>
      <c r="L2042">
        <v>110</v>
      </c>
      <c r="M2042">
        <v>110</v>
      </c>
      <c r="N2042" s="5">
        <v>5.541096465452104</v>
      </c>
      <c r="O2042" t="s">
        <v>562</v>
      </c>
      <c r="P2042" t="s">
        <v>340</v>
      </c>
      <c r="Q2042" s="10" t="s">
        <v>24</v>
      </c>
      <c r="R2042" t="s">
        <v>517</v>
      </c>
    </row>
    <row r="2043" spans="1:18" hidden="1" x14ac:dyDescent="0.25">
      <c r="A2043" s="2" t="s">
        <v>572</v>
      </c>
      <c r="B2043" s="3" t="str">
        <f t="shared" si="50"/>
        <v>18/7/6</v>
      </c>
      <c r="C2043">
        <v>6</v>
      </c>
      <c r="D2043">
        <v>7</v>
      </c>
      <c r="E2043">
        <v>18</v>
      </c>
      <c r="F2043" t="s">
        <v>561</v>
      </c>
      <c r="H2043" t="s">
        <v>21</v>
      </c>
      <c r="I2043" t="s">
        <v>22</v>
      </c>
      <c r="J2043">
        <f>Spending_raw[[#This Row],[Price, lei]]</f>
        <v>50</v>
      </c>
      <c r="K2043">
        <v>1</v>
      </c>
      <c r="L2043">
        <v>50</v>
      </c>
      <c r="M2043" s="13">
        <v>50</v>
      </c>
      <c r="N2043" s="5">
        <v>2.5150905432595576</v>
      </c>
      <c r="O2043" t="s">
        <v>39</v>
      </c>
      <c r="Q2043" t="s">
        <v>24</v>
      </c>
    </row>
    <row r="2044" spans="1:18" hidden="1" x14ac:dyDescent="0.25">
      <c r="A2044" s="2" t="s">
        <v>572</v>
      </c>
      <c r="B2044" s="3" t="str">
        <f t="shared" si="50"/>
        <v>18/7/6</v>
      </c>
      <c r="C2044" s="13">
        <v>6</v>
      </c>
      <c r="D2044">
        <v>7</v>
      </c>
      <c r="E2044">
        <v>18</v>
      </c>
      <c r="F2044" t="s">
        <v>573</v>
      </c>
      <c r="I2044" t="s">
        <v>72</v>
      </c>
      <c r="J2044">
        <v>110</v>
      </c>
      <c r="K2044">
        <v>1</v>
      </c>
      <c r="L2044">
        <v>110</v>
      </c>
      <c r="M2044">
        <v>110</v>
      </c>
      <c r="N2044" s="5">
        <v>5.5331991951710267</v>
      </c>
      <c r="O2044" t="s">
        <v>39</v>
      </c>
      <c r="Q2044" t="s">
        <v>24</v>
      </c>
    </row>
    <row r="2045" spans="1:18" hidden="1" x14ac:dyDescent="0.25">
      <c r="A2045" s="9" t="s">
        <v>572</v>
      </c>
      <c r="B2045" s="3" t="s">
        <v>1892</v>
      </c>
      <c r="C2045" s="10">
        <v>6</v>
      </c>
      <c r="D2045" s="10">
        <v>7</v>
      </c>
      <c r="E2045" s="10">
        <v>18</v>
      </c>
      <c r="F2045" t="s">
        <v>292</v>
      </c>
      <c r="G2045" t="s">
        <v>889</v>
      </c>
      <c r="H2045" t="s">
        <v>40</v>
      </c>
      <c r="I2045" t="s">
        <v>27</v>
      </c>
      <c r="J2045" s="4">
        <v>17</v>
      </c>
      <c r="K2045">
        <v>1</v>
      </c>
      <c r="L2045">
        <v>17</v>
      </c>
      <c r="M2045">
        <v>17</v>
      </c>
      <c r="N2045" s="5">
        <v>0.86398077989281086</v>
      </c>
      <c r="O2045" t="s">
        <v>100</v>
      </c>
      <c r="P2045" t="s">
        <v>340</v>
      </c>
      <c r="Q2045" s="10" t="s">
        <v>24</v>
      </c>
    </row>
    <row r="2046" spans="1:18" hidden="1" x14ac:dyDescent="0.25">
      <c r="A2046" s="9" t="s">
        <v>572</v>
      </c>
      <c r="B2046" s="3" t="s">
        <v>1892</v>
      </c>
      <c r="C2046" s="10">
        <v>6</v>
      </c>
      <c r="D2046" s="10">
        <v>7</v>
      </c>
      <c r="E2046" s="10">
        <v>18</v>
      </c>
      <c r="F2046" t="s">
        <v>99</v>
      </c>
      <c r="G2046" t="s">
        <v>889</v>
      </c>
      <c r="H2046" t="s">
        <v>40</v>
      </c>
      <c r="I2046" t="s">
        <v>27</v>
      </c>
      <c r="J2046" s="4">
        <v>10</v>
      </c>
      <c r="K2046">
        <v>1</v>
      </c>
      <c r="L2046">
        <v>10</v>
      </c>
      <c r="M2046">
        <v>10</v>
      </c>
      <c r="N2046" s="5">
        <v>0.50822398817224168</v>
      </c>
      <c r="O2046" t="s">
        <v>100</v>
      </c>
      <c r="P2046" t="s">
        <v>340</v>
      </c>
      <c r="Q2046" s="10" t="s">
        <v>24</v>
      </c>
    </row>
    <row r="2047" spans="1:18" hidden="1" x14ac:dyDescent="0.25">
      <c r="A2047" s="9" t="s">
        <v>572</v>
      </c>
      <c r="B2047" s="3" t="s">
        <v>1892</v>
      </c>
      <c r="C2047" s="10">
        <v>6</v>
      </c>
      <c r="D2047" s="10">
        <v>7</v>
      </c>
      <c r="E2047" s="10">
        <v>18</v>
      </c>
      <c r="F2047" t="s">
        <v>1889</v>
      </c>
      <c r="G2047" t="s">
        <v>889</v>
      </c>
      <c r="H2047" t="s">
        <v>26</v>
      </c>
      <c r="I2047" t="s">
        <v>27</v>
      </c>
      <c r="J2047" s="4">
        <v>15.1</v>
      </c>
      <c r="K2047">
        <v>1</v>
      </c>
      <c r="L2047">
        <v>15.1</v>
      </c>
      <c r="M2047">
        <v>15.1</v>
      </c>
      <c r="N2047" s="5">
        <v>0.76741822214008493</v>
      </c>
      <c r="O2047" t="s">
        <v>100</v>
      </c>
      <c r="P2047" t="s">
        <v>340</v>
      </c>
      <c r="Q2047" s="10" t="s">
        <v>24</v>
      </c>
    </row>
    <row r="2048" spans="1:18" hidden="1" x14ac:dyDescent="0.25">
      <c r="A2048" s="9" t="s">
        <v>572</v>
      </c>
      <c r="B2048" s="3" t="s">
        <v>1892</v>
      </c>
      <c r="C2048" s="10">
        <v>6</v>
      </c>
      <c r="D2048" s="10">
        <v>7</v>
      </c>
      <c r="E2048" s="10">
        <v>18</v>
      </c>
      <c r="F2048" t="s">
        <v>73</v>
      </c>
      <c r="G2048" t="s">
        <v>889</v>
      </c>
      <c r="H2048" t="s">
        <v>73</v>
      </c>
      <c r="I2048" t="s">
        <v>27</v>
      </c>
      <c r="J2048" s="4">
        <v>20.5</v>
      </c>
      <c r="K2048">
        <v>1</v>
      </c>
      <c r="L2048">
        <v>20.5</v>
      </c>
      <c r="M2048">
        <v>20.5</v>
      </c>
      <c r="N2048" s="5">
        <v>1.0418591757530953</v>
      </c>
      <c r="O2048" t="s">
        <v>100</v>
      </c>
      <c r="P2048" t="s">
        <v>340</v>
      </c>
      <c r="Q2048" s="10" t="s">
        <v>24</v>
      </c>
    </row>
    <row r="2049" spans="1:18" hidden="1" x14ac:dyDescent="0.25">
      <c r="A2049" s="9" t="s">
        <v>572</v>
      </c>
      <c r="B2049" s="3" t="s">
        <v>1892</v>
      </c>
      <c r="C2049" s="10">
        <v>6</v>
      </c>
      <c r="D2049" s="10">
        <v>7</v>
      </c>
      <c r="E2049" s="10">
        <v>18</v>
      </c>
      <c r="F2049" t="s">
        <v>146</v>
      </c>
      <c r="G2049" t="s">
        <v>889</v>
      </c>
      <c r="H2049" t="s">
        <v>49</v>
      </c>
      <c r="I2049" t="s">
        <v>50</v>
      </c>
      <c r="J2049" s="4">
        <v>0.75</v>
      </c>
      <c r="K2049">
        <v>1</v>
      </c>
      <c r="L2049">
        <v>0.75</v>
      </c>
      <c r="M2049">
        <v>0.75</v>
      </c>
      <c r="N2049" s="5">
        <v>3.8116799112918126E-2</v>
      </c>
      <c r="O2049" t="s">
        <v>100</v>
      </c>
      <c r="P2049" t="s">
        <v>340</v>
      </c>
      <c r="Q2049" s="10" t="s">
        <v>24</v>
      </c>
    </row>
    <row r="2050" spans="1:18" hidden="1" x14ac:dyDescent="0.25">
      <c r="A2050" s="9" t="s">
        <v>572</v>
      </c>
      <c r="B2050" s="3" t="s">
        <v>1892</v>
      </c>
      <c r="C2050" s="10">
        <v>6</v>
      </c>
      <c r="D2050" s="10">
        <v>7</v>
      </c>
      <c r="E2050" s="10">
        <v>18</v>
      </c>
      <c r="F2050" t="s">
        <v>1339</v>
      </c>
      <c r="G2050" t="s">
        <v>889</v>
      </c>
      <c r="H2050" t="s">
        <v>131</v>
      </c>
      <c r="I2050" t="s">
        <v>27</v>
      </c>
      <c r="J2050" s="4">
        <v>12</v>
      </c>
      <c r="K2050">
        <v>2</v>
      </c>
      <c r="L2050">
        <v>12</v>
      </c>
      <c r="M2050">
        <v>24</v>
      </c>
      <c r="N2050" s="5">
        <v>1.21973757161338</v>
      </c>
      <c r="O2050" t="s">
        <v>1423</v>
      </c>
      <c r="P2050" t="s">
        <v>340</v>
      </c>
      <c r="Q2050" s="10" t="s">
        <v>24</v>
      </c>
    </row>
    <row r="2051" spans="1:18" hidden="1" x14ac:dyDescent="0.25">
      <c r="A2051" s="9" t="s">
        <v>572</v>
      </c>
      <c r="B2051" s="3" t="s">
        <v>1892</v>
      </c>
      <c r="C2051" s="10">
        <v>6</v>
      </c>
      <c r="D2051" s="10">
        <v>7</v>
      </c>
      <c r="E2051" s="10">
        <v>18</v>
      </c>
      <c r="F2051" t="s">
        <v>41</v>
      </c>
      <c r="G2051" t="s">
        <v>889</v>
      </c>
      <c r="H2051" t="s">
        <v>39</v>
      </c>
      <c r="I2051" t="s">
        <v>27</v>
      </c>
      <c r="J2051" s="4">
        <v>12</v>
      </c>
      <c r="K2051">
        <v>1</v>
      </c>
      <c r="L2051">
        <v>12</v>
      </c>
      <c r="M2051">
        <v>12</v>
      </c>
      <c r="N2051" s="5">
        <v>0.60986878580669002</v>
      </c>
      <c r="O2051" t="s">
        <v>1423</v>
      </c>
      <c r="P2051" t="s">
        <v>340</v>
      </c>
      <c r="Q2051" s="10" t="s">
        <v>24</v>
      </c>
    </row>
    <row r="2052" spans="1:18" hidden="1" x14ac:dyDescent="0.25">
      <c r="A2052" s="9" t="s">
        <v>572</v>
      </c>
      <c r="B2052" s="3" t="s">
        <v>1892</v>
      </c>
      <c r="C2052" s="10">
        <v>6</v>
      </c>
      <c r="D2052" s="10">
        <v>7</v>
      </c>
      <c r="E2052" s="10">
        <v>18</v>
      </c>
      <c r="F2052" t="s">
        <v>41</v>
      </c>
      <c r="G2052" t="s">
        <v>889</v>
      </c>
      <c r="H2052" t="s">
        <v>39</v>
      </c>
      <c r="I2052" t="s">
        <v>27</v>
      </c>
      <c r="J2052" s="4">
        <v>10</v>
      </c>
      <c r="K2052">
        <v>1</v>
      </c>
      <c r="L2052">
        <v>10</v>
      </c>
      <c r="M2052">
        <v>10</v>
      </c>
      <c r="N2052" s="5">
        <v>0.50822398817224168</v>
      </c>
      <c r="O2052" t="s">
        <v>1423</v>
      </c>
      <c r="P2052" t="s">
        <v>340</v>
      </c>
      <c r="Q2052" s="10" t="s">
        <v>24</v>
      </c>
    </row>
    <row r="2053" spans="1:18" hidden="1" x14ac:dyDescent="0.25">
      <c r="A2053" s="9" t="s">
        <v>572</v>
      </c>
      <c r="B2053" s="3" t="s">
        <v>1333</v>
      </c>
      <c r="C2053" s="10">
        <v>7</v>
      </c>
      <c r="D2053" s="10">
        <v>7</v>
      </c>
      <c r="E2053" s="10">
        <v>18</v>
      </c>
      <c r="F2053" t="s">
        <v>1322</v>
      </c>
      <c r="G2053" t="s">
        <v>889</v>
      </c>
      <c r="H2053" t="s">
        <v>65</v>
      </c>
      <c r="I2053" t="s">
        <v>27</v>
      </c>
      <c r="J2053" s="4">
        <v>20</v>
      </c>
      <c r="K2053">
        <v>1</v>
      </c>
      <c r="L2053">
        <v>20</v>
      </c>
      <c r="M2053">
        <v>20</v>
      </c>
      <c r="N2053" s="5">
        <v>1.0123734533183351</v>
      </c>
      <c r="O2053" t="s">
        <v>39</v>
      </c>
      <c r="P2053" t="s">
        <v>340</v>
      </c>
      <c r="Q2053" s="10" t="s">
        <v>24</v>
      </c>
    </row>
    <row r="2054" spans="1:18" hidden="1" x14ac:dyDescent="0.25">
      <c r="A2054" s="9" t="s">
        <v>572</v>
      </c>
      <c r="B2054" s="3" t="s">
        <v>1333</v>
      </c>
      <c r="C2054" s="10">
        <v>7</v>
      </c>
      <c r="D2054" s="10">
        <v>7</v>
      </c>
      <c r="E2054" s="10">
        <v>18</v>
      </c>
      <c r="F2054" t="s">
        <v>39</v>
      </c>
      <c r="G2054" t="s">
        <v>889</v>
      </c>
      <c r="H2054" t="s">
        <v>889</v>
      </c>
      <c r="I2054" t="s">
        <v>39</v>
      </c>
      <c r="J2054" s="4">
        <v>0.75</v>
      </c>
      <c r="K2054">
        <v>1</v>
      </c>
      <c r="L2054">
        <v>0.75</v>
      </c>
      <c r="M2054">
        <v>0.75</v>
      </c>
      <c r="N2054" s="5">
        <v>3.8116799112918126E-2</v>
      </c>
      <c r="O2054" t="s">
        <v>39</v>
      </c>
      <c r="P2054" t="s">
        <v>340</v>
      </c>
      <c r="Q2054" s="10" t="s">
        <v>24</v>
      </c>
      <c r="R2054" t="s">
        <v>1952</v>
      </c>
    </row>
    <row r="2055" spans="1:18" hidden="1" x14ac:dyDescent="0.25">
      <c r="A2055" s="9" t="s">
        <v>572</v>
      </c>
      <c r="B2055" s="3" t="s">
        <v>1333</v>
      </c>
      <c r="C2055" s="10">
        <v>7</v>
      </c>
      <c r="D2055" s="10">
        <v>7</v>
      </c>
      <c r="E2055" s="10">
        <v>18</v>
      </c>
      <c r="F2055" t="s">
        <v>39</v>
      </c>
      <c r="G2055" t="s">
        <v>889</v>
      </c>
      <c r="H2055" t="s">
        <v>889</v>
      </c>
      <c r="I2055" t="s">
        <v>39</v>
      </c>
      <c r="J2055" s="4">
        <v>1.1000000000000001</v>
      </c>
      <c r="K2055">
        <v>1</v>
      </c>
      <c r="L2055">
        <v>1.1000000000000001</v>
      </c>
      <c r="M2055">
        <v>1.1000000000000001</v>
      </c>
      <c r="N2055" s="5">
        <v>5.5904638698946588E-2</v>
      </c>
      <c r="O2055" t="s">
        <v>39</v>
      </c>
      <c r="P2055" t="s">
        <v>340</v>
      </c>
      <c r="Q2055" s="10" t="s">
        <v>24</v>
      </c>
      <c r="R2055" t="s">
        <v>1953</v>
      </c>
    </row>
    <row r="2056" spans="1:18" hidden="1" x14ac:dyDescent="0.25">
      <c r="A2056" s="9" t="s">
        <v>572</v>
      </c>
      <c r="B2056" s="3" t="s">
        <v>1333</v>
      </c>
      <c r="C2056" s="10">
        <v>7</v>
      </c>
      <c r="D2056" s="10">
        <v>7</v>
      </c>
      <c r="E2056" s="10">
        <v>18</v>
      </c>
      <c r="F2056" t="s">
        <v>39</v>
      </c>
      <c r="G2056" t="s">
        <v>889</v>
      </c>
      <c r="H2056" t="s">
        <v>889</v>
      </c>
      <c r="I2056" t="s">
        <v>39</v>
      </c>
      <c r="J2056" s="4">
        <v>7</v>
      </c>
      <c r="K2056">
        <v>1</v>
      </c>
      <c r="L2056">
        <v>7</v>
      </c>
      <c r="M2056">
        <v>7</v>
      </c>
      <c r="N2056" s="5">
        <v>0.35575679172056918</v>
      </c>
      <c r="O2056" t="s">
        <v>39</v>
      </c>
      <c r="P2056" t="s">
        <v>340</v>
      </c>
      <c r="Q2056" s="10" t="s">
        <v>24</v>
      </c>
      <c r="R2056" t="s">
        <v>1954</v>
      </c>
    </row>
    <row r="2057" spans="1:18" hidden="1" x14ac:dyDescent="0.25">
      <c r="A2057" s="9" t="s">
        <v>572</v>
      </c>
      <c r="B2057" s="3" t="s">
        <v>1333</v>
      </c>
      <c r="C2057" s="10">
        <v>7</v>
      </c>
      <c r="D2057" s="10">
        <v>7</v>
      </c>
      <c r="E2057" s="10">
        <v>18</v>
      </c>
      <c r="F2057" t="s">
        <v>39</v>
      </c>
      <c r="G2057" t="s">
        <v>889</v>
      </c>
      <c r="H2057" t="s">
        <v>889</v>
      </c>
      <c r="I2057" t="s">
        <v>39</v>
      </c>
      <c r="J2057" s="4">
        <v>7</v>
      </c>
      <c r="K2057">
        <v>1</v>
      </c>
      <c r="L2057">
        <v>7</v>
      </c>
      <c r="M2057">
        <v>7</v>
      </c>
      <c r="N2057" s="5">
        <v>0.35575679172056918</v>
      </c>
      <c r="O2057" t="s">
        <v>39</v>
      </c>
      <c r="P2057" t="s">
        <v>340</v>
      </c>
      <c r="Q2057" s="10" t="s">
        <v>24</v>
      </c>
      <c r="R2057" t="s">
        <v>1955</v>
      </c>
    </row>
    <row r="2058" spans="1:18" hidden="1" x14ac:dyDescent="0.25">
      <c r="A2058" s="9" t="s">
        <v>572</v>
      </c>
      <c r="B2058" s="3" t="s">
        <v>1333</v>
      </c>
      <c r="C2058" s="10">
        <v>7</v>
      </c>
      <c r="D2058" s="10">
        <v>7</v>
      </c>
      <c r="E2058" s="10">
        <v>18</v>
      </c>
      <c r="F2058" t="s">
        <v>1956</v>
      </c>
      <c r="G2058" t="s">
        <v>889</v>
      </c>
      <c r="H2058" t="s">
        <v>889</v>
      </c>
      <c r="I2058" t="s">
        <v>72</v>
      </c>
      <c r="J2058" s="4">
        <v>60</v>
      </c>
      <c r="K2058">
        <v>1</v>
      </c>
      <c r="L2058">
        <v>60</v>
      </c>
      <c r="M2058">
        <v>60</v>
      </c>
      <c r="N2058" s="5">
        <v>3.0493439290334501</v>
      </c>
      <c r="O2058" t="s">
        <v>39</v>
      </c>
      <c r="P2058" t="s">
        <v>340</v>
      </c>
      <c r="Q2058" s="10" t="s">
        <v>24</v>
      </c>
    </row>
    <row r="2059" spans="1:18" hidden="1" x14ac:dyDescent="0.25">
      <c r="A2059" s="9" t="s">
        <v>572</v>
      </c>
      <c r="B2059" s="3" t="s">
        <v>1333</v>
      </c>
      <c r="C2059" s="10">
        <v>7</v>
      </c>
      <c r="D2059" s="10">
        <v>7</v>
      </c>
      <c r="E2059" s="10">
        <v>18</v>
      </c>
      <c r="F2059" t="s">
        <v>2076</v>
      </c>
      <c r="G2059" t="s">
        <v>889</v>
      </c>
      <c r="H2059" t="s">
        <v>65</v>
      </c>
      <c r="I2059" t="s">
        <v>27</v>
      </c>
      <c r="J2059" s="4">
        <v>25</v>
      </c>
      <c r="K2059">
        <v>1</v>
      </c>
      <c r="L2059">
        <v>25</v>
      </c>
      <c r="M2059">
        <v>25</v>
      </c>
      <c r="N2059" s="5">
        <v>1.2705599704306041</v>
      </c>
      <c r="O2059" t="s">
        <v>39</v>
      </c>
      <c r="P2059" t="s">
        <v>340</v>
      </c>
      <c r="Q2059" s="10" t="s">
        <v>24</v>
      </c>
    </row>
    <row r="2060" spans="1:18" hidden="1" x14ac:dyDescent="0.25">
      <c r="A2060" s="9" t="s">
        <v>572</v>
      </c>
      <c r="B2060" s="3" t="s">
        <v>1333</v>
      </c>
      <c r="C2060" s="10">
        <v>7</v>
      </c>
      <c r="D2060" s="10">
        <v>7</v>
      </c>
      <c r="E2060" s="10">
        <v>18</v>
      </c>
      <c r="F2060" t="s">
        <v>60</v>
      </c>
      <c r="G2060" t="s">
        <v>31</v>
      </c>
      <c r="H2060" t="s">
        <v>26</v>
      </c>
      <c r="I2060" t="s">
        <v>27</v>
      </c>
      <c r="J2060" s="4">
        <v>13.35</v>
      </c>
      <c r="K2060">
        <v>1</v>
      </c>
      <c r="L2060">
        <v>13.35</v>
      </c>
      <c r="M2060">
        <v>13.35</v>
      </c>
      <c r="N2060" s="5">
        <v>0.67847902420994255</v>
      </c>
      <c r="O2060" t="s">
        <v>1419</v>
      </c>
      <c r="P2060" t="s">
        <v>340</v>
      </c>
      <c r="Q2060" s="10" t="s">
        <v>24</v>
      </c>
    </row>
    <row r="2061" spans="1:18" hidden="1" x14ac:dyDescent="0.25">
      <c r="A2061" s="9" t="s">
        <v>572</v>
      </c>
      <c r="B2061" s="3" t="s">
        <v>1333</v>
      </c>
      <c r="C2061" s="10">
        <v>7</v>
      </c>
      <c r="D2061" s="10">
        <v>7</v>
      </c>
      <c r="E2061" s="10">
        <v>18</v>
      </c>
      <c r="F2061" t="s">
        <v>25</v>
      </c>
      <c r="G2061" t="s">
        <v>25</v>
      </c>
      <c r="H2061" t="s">
        <v>26</v>
      </c>
      <c r="I2061" t="s">
        <v>27</v>
      </c>
      <c r="J2061" s="4">
        <v>11.7</v>
      </c>
      <c r="K2061">
        <v>1</v>
      </c>
      <c r="L2061">
        <v>11.7</v>
      </c>
      <c r="M2061">
        <v>11.7</v>
      </c>
      <c r="N2061" s="5">
        <v>0.59462206616152269</v>
      </c>
      <c r="O2061" t="s">
        <v>1419</v>
      </c>
      <c r="P2061" t="s">
        <v>340</v>
      </c>
      <c r="Q2061" s="10" t="s">
        <v>24</v>
      </c>
    </row>
    <row r="2062" spans="1:18" hidden="1" x14ac:dyDescent="0.25">
      <c r="A2062" s="9" t="s">
        <v>572</v>
      </c>
      <c r="B2062" s="3" t="s">
        <v>1333</v>
      </c>
      <c r="C2062" s="10">
        <v>7</v>
      </c>
      <c r="D2062" s="10">
        <v>7</v>
      </c>
      <c r="E2062" s="10">
        <v>18</v>
      </c>
      <c r="F2062" t="s">
        <v>98</v>
      </c>
      <c r="G2062" t="s">
        <v>889</v>
      </c>
      <c r="H2062" t="s">
        <v>26</v>
      </c>
      <c r="I2062" t="s">
        <v>27</v>
      </c>
      <c r="J2062" s="4">
        <v>26.65</v>
      </c>
      <c r="K2062">
        <v>1</v>
      </c>
      <c r="L2062">
        <v>26.65</v>
      </c>
      <c r="M2062">
        <v>26.65</v>
      </c>
      <c r="N2062" s="5">
        <v>1.354416928479024</v>
      </c>
      <c r="O2062" t="s">
        <v>1419</v>
      </c>
      <c r="P2062" t="s">
        <v>340</v>
      </c>
      <c r="Q2062" s="10" t="s">
        <v>24</v>
      </c>
      <c r="R2062" t="s">
        <v>1959</v>
      </c>
    </row>
    <row r="2063" spans="1:18" hidden="1" x14ac:dyDescent="0.25">
      <c r="A2063" s="9" t="s">
        <v>572</v>
      </c>
      <c r="B2063" s="3" t="s">
        <v>1333</v>
      </c>
      <c r="C2063" s="10">
        <v>7</v>
      </c>
      <c r="D2063" s="10">
        <v>7</v>
      </c>
      <c r="E2063" s="10">
        <v>18</v>
      </c>
      <c r="F2063" t="s">
        <v>2105</v>
      </c>
      <c r="G2063" t="s">
        <v>345</v>
      </c>
      <c r="H2063" t="s">
        <v>26</v>
      </c>
      <c r="I2063" t="s">
        <v>27</v>
      </c>
      <c r="J2063" s="4">
        <v>9.15</v>
      </c>
      <c r="K2063">
        <v>1</v>
      </c>
      <c r="L2063">
        <v>9.15</v>
      </c>
      <c r="M2063">
        <v>9.15</v>
      </c>
      <c r="N2063" s="5">
        <v>0.46502494917760112</v>
      </c>
      <c r="O2063" t="s">
        <v>1419</v>
      </c>
      <c r="P2063" t="s">
        <v>340</v>
      </c>
      <c r="Q2063" s="10" t="s">
        <v>24</v>
      </c>
    </row>
    <row r="2064" spans="1:18" hidden="1" x14ac:dyDescent="0.25">
      <c r="A2064" s="9" t="s">
        <v>572</v>
      </c>
      <c r="B2064" s="3" t="s">
        <v>1333</v>
      </c>
      <c r="C2064" s="10">
        <v>7</v>
      </c>
      <c r="D2064" s="10">
        <v>7</v>
      </c>
      <c r="E2064" s="10">
        <v>18</v>
      </c>
      <c r="F2064" t="s">
        <v>1078</v>
      </c>
      <c r="G2064" t="s">
        <v>889</v>
      </c>
      <c r="H2064" t="s">
        <v>65</v>
      </c>
      <c r="I2064" t="s">
        <v>27</v>
      </c>
      <c r="J2064" s="4">
        <v>135.5</v>
      </c>
      <c r="K2064">
        <v>1</v>
      </c>
      <c r="L2064">
        <v>135.5</v>
      </c>
      <c r="M2064">
        <v>135.5</v>
      </c>
      <c r="N2064" s="5">
        <v>6.8864350397338745</v>
      </c>
      <c r="O2064" t="s">
        <v>1419</v>
      </c>
      <c r="P2064" t="s">
        <v>340</v>
      </c>
      <c r="Q2064" s="10" t="s">
        <v>24</v>
      </c>
    </row>
    <row r="2065" spans="1:18" hidden="1" x14ac:dyDescent="0.25">
      <c r="A2065" s="9" t="s">
        <v>572</v>
      </c>
      <c r="B2065" s="3" t="s">
        <v>1333</v>
      </c>
      <c r="C2065" s="10">
        <v>7</v>
      </c>
      <c r="D2065" s="10">
        <v>7</v>
      </c>
      <c r="E2065" s="10">
        <v>18</v>
      </c>
      <c r="F2065" t="s">
        <v>358</v>
      </c>
      <c r="G2065" t="s">
        <v>889</v>
      </c>
      <c r="H2065" t="s">
        <v>63</v>
      </c>
      <c r="I2065" t="s">
        <v>50</v>
      </c>
      <c r="J2065" s="4">
        <v>423</v>
      </c>
      <c r="K2065">
        <v>1</v>
      </c>
      <c r="L2065">
        <v>423</v>
      </c>
      <c r="M2065">
        <v>423</v>
      </c>
      <c r="N2065" s="5">
        <v>21.497874699685823</v>
      </c>
      <c r="O2065" t="s">
        <v>39</v>
      </c>
      <c r="P2065" t="s">
        <v>340</v>
      </c>
      <c r="Q2065" s="10" t="s">
        <v>24</v>
      </c>
    </row>
    <row r="2066" spans="1:18" hidden="1" x14ac:dyDescent="0.25">
      <c r="A2066" s="9" t="s">
        <v>572</v>
      </c>
      <c r="B2066" s="3" t="s">
        <v>1333</v>
      </c>
      <c r="C2066" s="10">
        <v>7</v>
      </c>
      <c r="D2066" s="10">
        <v>7</v>
      </c>
      <c r="E2066" s="10">
        <v>18</v>
      </c>
      <c r="F2066" t="s">
        <v>383</v>
      </c>
      <c r="G2066" t="s">
        <v>39</v>
      </c>
      <c r="H2066" t="s">
        <v>63</v>
      </c>
      <c r="I2066" t="s">
        <v>50</v>
      </c>
      <c r="J2066" s="4">
        <v>100</v>
      </c>
      <c r="K2066">
        <v>1</v>
      </c>
      <c r="L2066">
        <v>100</v>
      </c>
      <c r="M2066">
        <v>100</v>
      </c>
      <c r="N2066" s="5">
        <v>5.0822398817224164</v>
      </c>
      <c r="O2066" t="s">
        <v>39</v>
      </c>
      <c r="P2066" t="s">
        <v>340</v>
      </c>
      <c r="Q2066" s="10" t="s">
        <v>24</v>
      </c>
    </row>
    <row r="2067" spans="1:18" hidden="1" x14ac:dyDescent="0.25">
      <c r="A2067" s="9" t="s">
        <v>572</v>
      </c>
      <c r="B2067" s="3" t="s">
        <v>1333</v>
      </c>
      <c r="C2067" s="10">
        <v>7</v>
      </c>
      <c r="D2067" s="10">
        <v>7</v>
      </c>
      <c r="E2067" s="10">
        <v>18</v>
      </c>
      <c r="F2067" t="s">
        <v>840</v>
      </c>
      <c r="G2067" t="s">
        <v>840</v>
      </c>
      <c r="H2067" t="s">
        <v>56</v>
      </c>
      <c r="I2067" t="s">
        <v>27</v>
      </c>
      <c r="J2067" s="4">
        <v>43.9</v>
      </c>
      <c r="K2067">
        <v>1</v>
      </c>
      <c r="L2067">
        <v>43.9</v>
      </c>
      <c r="M2067">
        <v>43.9</v>
      </c>
      <c r="N2067" s="5">
        <v>2.2311033080761407</v>
      </c>
      <c r="O2067" t="s">
        <v>39</v>
      </c>
      <c r="P2067" t="s">
        <v>340</v>
      </c>
      <c r="Q2067" s="10" t="s">
        <v>24</v>
      </c>
      <c r="R2067" t="s">
        <v>1970</v>
      </c>
    </row>
    <row r="2068" spans="1:18" hidden="1" x14ac:dyDescent="0.25">
      <c r="A2068" s="2" t="s">
        <v>572</v>
      </c>
      <c r="B2068" s="3" t="str">
        <f>CONCATENATE(E2068,"/",D2068,"/",C2068)</f>
        <v>18/7/9</v>
      </c>
      <c r="C2068" s="13">
        <v>9</v>
      </c>
      <c r="D2068">
        <v>7</v>
      </c>
      <c r="E2068">
        <v>18</v>
      </c>
      <c r="F2068" t="s">
        <v>573</v>
      </c>
      <c r="I2068" t="s">
        <v>72</v>
      </c>
      <c r="J2068">
        <v>110</v>
      </c>
      <c r="K2068">
        <v>1</v>
      </c>
      <c r="L2068">
        <v>110</v>
      </c>
      <c r="M2068">
        <v>110</v>
      </c>
      <c r="N2068" s="5">
        <v>5.5331991951710267</v>
      </c>
      <c r="O2068" t="s">
        <v>39</v>
      </c>
      <c r="Q2068" t="s">
        <v>24</v>
      </c>
    </row>
    <row r="2069" spans="1:18" hidden="1" x14ac:dyDescent="0.25">
      <c r="A2069" s="2" t="s">
        <v>572</v>
      </c>
      <c r="B2069" s="3" t="str">
        <f>CONCATENATE(E2069,"/",D2069,"/",C2069)</f>
        <v>18/7/9</v>
      </c>
      <c r="C2069" s="13">
        <v>9</v>
      </c>
      <c r="D2069">
        <v>7</v>
      </c>
      <c r="E2069">
        <v>18</v>
      </c>
      <c r="F2069" t="s">
        <v>71</v>
      </c>
      <c r="I2069" t="s">
        <v>72</v>
      </c>
      <c r="J2069">
        <v>350</v>
      </c>
      <c r="K2069">
        <v>1</v>
      </c>
      <c r="L2069">
        <v>350</v>
      </c>
      <c r="M2069" s="13">
        <v>350</v>
      </c>
      <c r="N2069" s="5">
        <v>17.605633802816904</v>
      </c>
      <c r="O2069" t="s">
        <v>39</v>
      </c>
      <c r="Q2069" t="s">
        <v>24</v>
      </c>
      <c r="R2069" t="s">
        <v>607</v>
      </c>
    </row>
    <row r="2070" spans="1:18" hidden="1" x14ac:dyDescent="0.25">
      <c r="A2070" s="2" t="s">
        <v>572</v>
      </c>
      <c r="B2070" s="3" t="str">
        <f>CONCATENATE(E2070,"/",D2070,"/",C2070)</f>
        <v>18/7/9</v>
      </c>
      <c r="C2070" s="10">
        <v>9</v>
      </c>
      <c r="D2070" s="10">
        <v>7</v>
      </c>
      <c r="E2070">
        <v>18</v>
      </c>
      <c r="F2070" t="s">
        <v>608</v>
      </c>
      <c r="H2070" t="s">
        <v>49</v>
      </c>
      <c r="I2070" t="s">
        <v>50</v>
      </c>
      <c r="J2070" s="11">
        <v>6.21</v>
      </c>
      <c r="K2070" s="42">
        <v>1</v>
      </c>
      <c r="L2070">
        <v>106.37729999999999</v>
      </c>
      <c r="M2070">
        <v>106.37729999999999</v>
      </c>
      <c r="N2070" s="5">
        <v>5.3509708249496981</v>
      </c>
      <c r="O2070" t="s">
        <v>39</v>
      </c>
      <c r="P2070" t="s">
        <v>340</v>
      </c>
      <c r="Q2070" t="s">
        <v>24</v>
      </c>
    </row>
    <row r="2071" spans="1:18" hidden="1" x14ac:dyDescent="0.25">
      <c r="A2071" s="2" t="s">
        <v>572</v>
      </c>
      <c r="B2071" s="3" t="str">
        <f>CONCATENATE(E2071,"/",D2071,"/",C2071)</f>
        <v>18/7/9</v>
      </c>
      <c r="C2071" s="10">
        <v>9</v>
      </c>
      <c r="D2071" s="10">
        <v>7</v>
      </c>
      <c r="E2071">
        <v>18</v>
      </c>
      <c r="F2071" t="s">
        <v>1565</v>
      </c>
      <c r="I2071" t="s">
        <v>96</v>
      </c>
      <c r="J2071" s="11">
        <v>5.38</v>
      </c>
      <c r="K2071" s="42">
        <v>1</v>
      </c>
      <c r="L2071">
        <v>92.159399999999991</v>
      </c>
      <c r="M2071">
        <v>92.159399999999991</v>
      </c>
      <c r="N2071" s="5">
        <v>4.6357847082494965</v>
      </c>
      <c r="O2071" t="s">
        <v>39</v>
      </c>
      <c r="Q2071" t="s">
        <v>24</v>
      </c>
      <c r="R2071" t="s">
        <v>1563</v>
      </c>
    </row>
    <row r="2072" spans="1:18" hidden="1" x14ac:dyDescent="0.25">
      <c r="A2072" s="36" t="str">
        <f>IF(D2072=1,"Jan-18",IF(D2072=2,"Feb-18",IF(D2072=3,"Mar-18",IF(D2072=4,"Apr-18",IF(D2072=5,"May-18",IF(D2072=6,"Jun-18",(IF(D2072=7,"Jul-18",IF(D2072=8,"Aug-18",IF(D2072=9,"Sep-18",IF(D2072=10,"Oct-18",IF(D2072=11,"Nov-18",IF(D2072=12,"Dec-18","...")))))))))))))</f>
        <v>Jul-18</v>
      </c>
      <c r="B2072" s="3" t="s">
        <v>1254</v>
      </c>
      <c r="C2072" s="10">
        <v>9</v>
      </c>
      <c r="D2072" s="10">
        <v>7</v>
      </c>
      <c r="E2072" s="10">
        <v>18</v>
      </c>
      <c r="F2072" t="s">
        <v>55</v>
      </c>
      <c r="G2072" t="s">
        <v>889</v>
      </c>
      <c r="H2072" t="s">
        <v>56</v>
      </c>
      <c r="I2072" t="s">
        <v>27</v>
      </c>
      <c r="J2072" s="4">
        <v>29.99</v>
      </c>
      <c r="K2072">
        <v>1.1499999999999999</v>
      </c>
      <c r="L2072">
        <v>29.99</v>
      </c>
      <c r="M2072">
        <v>34.488499999999995</v>
      </c>
      <c r="N2072" s="5">
        <v>1.7457620922384698</v>
      </c>
      <c r="O2072" t="s">
        <v>101</v>
      </c>
      <c r="P2072" t="s">
        <v>340</v>
      </c>
      <c r="Q2072" s="10" t="s">
        <v>1102</v>
      </c>
    </row>
    <row r="2073" spans="1:18" hidden="1" x14ac:dyDescent="0.25">
      <c r="A2073" s="36" t="str">
        <f>IF(D2073=1,"Jan-18",IF(D2073=2,"Feb-18",IF(D2073=3,"Mar-18",IF(D2073=4,"Apr-18",IF(D2073=5,"May-18",IF(D2073=6,"Jun-18",(IF(D2073=7,"Jul-18",IF(D2073=8,"Aug-18",IF(D2073=9,"Sep-18",IF(D2073=10,"Oct-18",IF(D2073=11,"Nov-18",IF(D2073=12,"Dec-18","...")))))))))))))</f>
        <v>Jul-18</v>
      </c>
      <c r="B2073" s="3" t="s">
        <v>1254</v>
      </c>
      <c r="C2073" s="10">
        <v>9</v>
      </c>
      <c r="D2073" s="10">
        <v>7</v>
      </c>
      <c r="E2073" s="10">
        <v>18</v>
      </c>
      <c r="F2073" t="s">
        <v>575</v>
      </c>
      <c r="G2073" t="s">
        <v>31</v>
      </c>
      <c r="H2073" t="s">
        <v>26</v>
      </c>
      <c r="I2073" t="s">
        <v>27</v>
      </c>
      <c r="J2073" s="4">
        <v>13.4</v>
      </c>
      <c r="K2073">
        <v>1</v>
      </c>
      <c r="L2073">
        <v>13.4</v>
      </c>
      <c r="M2073">
        <v>13.4</v>
      </c>
      <c r="N2073" s="5">
        <v>0.67829021372328457</v>
      </c>
      <c r="O2073" t="s">
        <v>1472</v>
      </c>
      <c r="P2073" t="s">
        <v>340</v>
      </c>
      <c r="Q2073" s="10" t="s">
        <v>1102</v>
      </c>
    </row>
    <row r="2074" spans="1:18" hidden="1" x14ac:dyDescent="0.25">
      <c r="A2074" s="9" t="s">
        <v>572</v>
      </c>
      <c r="B2074" s="3" t="s">
        <v>1254</v>
      </c>
      <c r="C2074" s="10">
        <v>9</v>
      </c>
      <c r="D2074" s="10">
        <v>7</v>
      </c>
      <c r="E2074" s="10">
        <v>18</v>
      </c>
      <c r="F2074" t="s">
        <v>77</v>
      </c>
      <c r="G2074" t="s">
        <v>77</v>
      </c>
      <c r="H2074" t="s">
        <v>26</v>
      </c>
      <c r="I2074" t="s">
        <v>27</v>
      </c>
      <c r="J2074" s="4">
        <v>36.75</v>
      </c>
      <c r="K2074">
        <v>1</v>
      </c>
      <c r="L2074">
        <v>36.75</v>
      </c>
      <c r="M2074">
        <v>36.75</v>
      </c>
      <c r="N2074" s="5">
        <v>1.860236220472441</v>
      </c>
      <c r="O2074" t="s">
        <v>597</v>
      </c>
      <c r="P2074" t="s">
        <v>340</v>
      </c>
      <c r="Q2074" s="10" t="s">
        <v>1102</v>
      </c>
    </row>
    <row r="2075" spans="1:18" hidden="1" x14ac:dyDescent="0.25">
      <c r="A2075" s="9" t="s">
        <v>572</v>
      </c>
      <c r="B2075" s="3" t="s">
        <v>1254</v>
      </c>
      <c r="C2075" s="10">
        <v>9</v>
      </c>
      <c r="D2075" s="10">
        <v>7</v>
      </c>
      <c r="E2075" s="10">
        <v>18</v>
      </c>
      <c r="F2075" t="s">
        <v>104</v>
      </c>
      <c r="I2075" t="s">
        <v>72</v>
      </c>
      <c r="J2075" s="4">
        <v>163.25</v>
      </c>
      <c r="K2075">
        <v>1</v>
      </c>
      <c r="L2075">
        <v>163.25</v>
      </c>
      <c r="M2075">
        <v>163.25</v>
      </c>
      <c r="N2075" s="5">
        <v>8.2634983127109116</v>
      </c>
      <c r="O2075" t="s">
        <v>39</v>
      </c>
      <c r="P2075" t="s">
        <v>340</v>
      </c>
      <c r="Q2075" s="10" t="s">
        <v>24</v>
      </c>
      <c r="R2075" t="s">
        <v>1427</v>
      </c>
    </row>
    <row r="2076" spans="1:18" hidden="1" x14ac:dyDescent="0.25">
      <c r="A2076" s="9" t="s">
        <v>572</v>
      </c>
      <c r="B2076" s="3" t="s">
        <v>1254</v>
      </c>
      <c r="C2076" s="10">
        <v>9</v>
      </c>
      <c r="D2076" s="10">
        <v>7</v>
      </c>
      <c r="E2076" s="10">
        <v>18</v>
      </c>
      <c r="F2076" s="10" t="s">
        <v>39</v>
      </c>
      <c r="I2076" t="s">
        <v>72</v>
      </c>
      <c r="J2076" s="4">
        <v>8.1999999999999993</v>
      </c>
      <c r="K2076">
        <v>1</v>
      </c>
      <c r="L2076">
        <v>8.1999999999999993</v>
      </c>
      <c r="M2076">
        <v>8.1999999999999993</v>
      </c>
      <c r="N2076" s="5">
        <v>0.41507311586051737</v>
      </c>
      <c r="O2076" t="s">
        <v>39</v>
      </c>
      <c r="P2076" t="s">
        <v>340</v>
      </c>
      <c r="Q2076" s="10" t="s">
        <v>24</v>
      </c>
      <c r="R2076" t="s">
        <v>1428</v>
      </c>
    </row>
    <row r="2077" spans="1:18" hidden="1" x14ac:dyDescent="0.25">
      <c r="A2077" s="9" t="s">
        <v>572</v>
      </c>
      <c r="B2077" s="3" t="s">
        <v>1254</v>
      </c>
      <c r="C2077" s="10">
        <v>9</v>
      </c>
      <c r="D2077" s="10">
        <v>7</v>
      </c>
      <c r="E2077" s="10">
        <v>18</v>
      </c>
      <c r="F2077" t="s">
        <v>1429</v>
      </c>
      <c r="G2077" t="s">
        <v>889</v>
      </c>
      <c r="H2077" t="s">
        <v>131</v>
      </c>
      <c r="I2077" t="s">
        <v>27</v>
      </c>
      <c r="J2077" s="4">
        <v>15</v>
      </c>
      <c r="K2077">
        <v>1</v>
      </c>
      <c r="L2077">
        <v>15</v>
      </c>
      <c r="M2077">
        <v>15</v>
      </c>
      <c r="N2077" s="5">
        <v>0.75928008998875141</v>
      </c>
      <c r="O2077" t="s">
        <v>235</v>
      </c>
      <c r="P2077" t="s">
        <v>340</v>
      </c>
      <c r="Q2077" s="10" t="s">
        <v>24</v>
      </c>
    </row>
    <row r="2078" spans="1:18" hidden="1" x14ac:dyDescent="0.25">
      <c r="A2078" s="9" t="s">
        <v>572</v>
      </c>
      <c r="B2078" s="3" t="s">
        <v>1254</v>
      </c>
      <c r="C2078" s="10">
        <v>9</v>
      </c>
      <c r="D2078" s="10">
        <v>7</v>
      </c>
      <c r="E2078" s="10">
        <v>18</v>
      </c>
      <c r="F2078" t="s">
        <v>102</v>
      </c>
      <c r="H2078" t="s">
        <v>102</v>
      </c>
      <c r="I2078" t="s">
        <v>27</v>
      </c>
      <c r="J2078" s="4">
        <v>16</v>
      </c>
      <c r="K2078">
        <v>1</v>
      </c>
      <c r="L2078">
        <v>16</v>
      </c>
      <c r="M2078">
        <v>16</v>
      </c>
      <c r="N2078" s="5">
        <v>0.80989876265466809</v>
      </c>
      <c r="O2078" t="s">
        <v>235</v>
      </c>
      <c r="P2078" t="s">
        <v>340</v>
      </c>
      <c r="Q2078" s="10" t="s">
        <v>24</v>
      </c>
    </row>
    <row r="2079" spans="1:18" hidden="1" x14ac:dyDescent="0.25">
      <c r="A2079" s="36" t="str">
        <f t="shared" ref="A2079:A2092" si="51">IF(D2079=1,"Jan-18",IF(D2079=2,"Feb-18",IF(D2079=3,"Mar-18",IF(D2079=4,"Apr-18",IF(D2079=5,"May-18",IF(D2079=6,"Jun-18",(IF(D2079=7,"Jul-18",IF(D2079=8,"Aug-18",IF(D2079=9,"Sep-18",IF(D2079=10,"Oct-18",IF(D2079=11,"Nov-18",IF(D2079=12,"Dec-18","...")))))))))))))</f>
        <v>Aug-18</v>
      </c>
      <c r="B2079" s="3" t="s">
        <v>1263</v>
      </c>
      <c r="C2079" s="10">
        <v>1</v>
      </c>
      <c r="D2079" s="10">
        <v>8</v>
      </c>
      <c r="E2079" s="10">
        <v>18</v>
      </c>
      <c r="F2079" t="s">
        <v>146</v>
      </c>
      <c r="H2079" t="s">
        <v>49</v>
      </c>
      <c r="I2079" t="s">
        <v>50</v>
      </c>
      <c r="J2079" s="4">
        <v>0.75</v>
      </c>
      <c r="K2079">
        <v>1</v>
      </c>
      <c r="L2079">
        <v>0.75</v>
      </c>
      <c r="M2079">
        <v>0.75</v>
      </c>
      <c r="N2079" s="5">
        <v>3.796400449943757E-2</v>
      </c>
      <c r="O2079" t="s">
        <v>100</v>
      </c>
      <c r="P2079" t="s">
        <v>340</v>
      </c>
      <c r="Q2079" s="10" t="s">
        <v>1102</v>
      </c>
    </row>
    <row r="2080" spans="1:18" hidden="1" x14ac:dyDescent="0.25">
      <c r="A2080" s="36" t="str">
        <f t="shared" si="51"/>
        <v>Aug-18</v>
      </c>
      <c r="B2080" s="3" t="s">
        <v>1263</v>
      </c>
      <c r="C2080" s="10">
        <v>1</v>
      </c>
      <c r="D2080" s="10">
        <v>8</v>
      </c>
      <c r="E2080" s="10">
        <v>18</v>
      </c>
      <c r="F2080" t="s">
        <v>372</v>
      </c>
      <c r="G2080" t="s">
        <v>373</v>
      </c>
      <c r="H2080" t="s">
        <v>65</v>
      </c>
      <c r="I2080" t="s">
        <v>27</v>
      </c>
      <c r="J2080" s="4">
        <v>9</v>
      </c>
      <c r="K2080">
        <v>2</v>
      </c>
      <c r="L2080">
        <v>9</v>
      </c>
      <c r="M2080">
        <v>18</v>
      </c>
      <c r="N2080" s="5">
        <v>0.91113610798650169</v>
      </c>
      <c r="O2080" t="s">
        <v>100</v>
      </c>
      <c r="P2080" t="s">
        <v>340</v>
      </c>
      <c r="Q2080" s="10" t="s">
        <v>1102</v>
      </c>
    </row>
    <row r="2081" spans="1:18" hidden="1" x14ac:dyDescent="0.25">
      <c r="A2081" s="36" t="str">
        <f t="shared" si="51"/>
        <v>Aug-18</v>
      </c>
      <c r="B2081" s="3" t="s">
        <v>1263</v>
      </c>
      <c r="C2081" s="10">
        <v>1</v>
      </c>
      <c r="D2081" s="10">
        <v>8</v>
      </c>
      <c r="E2081" s="10">
        <v>18</v>
      </c>
      <c r="F2081" t="s">
        <v>586</v>
      </c>
      <c r="G2081" t="s">
        <v>31</v>
      </c>
      <c r="H2081" t="s">
        <v>26</v>
      </c>
      <c r="I2081" t="s">
        <v>27</v>
      </c>
      <c r="J2081" s="4">
        <v>5.2</v>
      </c>
      <c r="K2081">
        <v>4</v>
      </c>
      <c r="L2081">
        <v>5.2</v>
      </c>
      <c r="M2081">
        <v>20.8</v>
      </c>
      <c r="N2081" s="5">
        <v>1.0528683914510686</v>
      </c>
      <c r="O2081" t="s">
        <v>100</v>
      </c>
      <c r="P2081" t="s">
        <v>340</v>
      </c>
      <c r="Q2081" s="10" t="s">
        <v>1102</v>
      </c>
    </row>
    <row r="2082" spans="1:18" hidden="1" x14ac:dyDescent="0.25">
      <c r="A2082" s="36" t="str">
        <f t="shared" si="51"/>
        <v>Aug-18</v>
      </c>
      <c r="B2082" s="3" t="s">
        <v>1263</v>
      </c>
      <c r="C2082" s="10">
        <v>1</v>
      </c>
      <c r="D2082" s="10">
        <v>8</v>
      </c>
      <c r="E2082" s="10">
        <v>18</v>
      </c>
      <c r="F2082" t="s">
        <v>98</v>
      </c>
      <c r="G2082" t="s">
        <v>889</v>
      </c>
      <c r="H2082" t="s">
        <v>26</v>
      </c>
      <c r="I2082" t="s">
        <v>27</v>
      </c>
      <c r="J2082" s="4">
        <v>85.5</v>
      </c>
      <c r="K2082">
        <v>1</v>
      </c>
      <c r="L2082">
        <v>85.5</v>
      </c>
      <c r="M2082">
        <v>85.5</v>
      </c>
      <c r="N2082" s="5">
        <v>4.3278965129358831</v>
      </c>
      <c r="O2082" t="s">
        <v>100</v>
      </c>
      <c r="P2082" t="s">
        <v>340</v>
      </c>
      <c r="Q2082" s="10" t="s">
        <v>1102</v>
      </c>
      <c r="R2082" t="s">
        <v>1257</v>
      </c>
    </row>
    <row r="2083" spans="1:18" hidden="1" x14ac:dyDescent="0.25">
      <c r="A2083" s="36" t="str">
        <f t="shared" si="51"/>
        <v>Aug-18</v>
      </c>
      <c r="B2083" s="3" t="s">
        <v>1263</v>
      </c>
      <c r="C2083" s="10">
        <v>1</v>
      </c>
      <c r="D2083" s="10">
        <v>8</v>
      </c>
      <c r="E2083" s="10">
        <v>18</v>
      </c>
      <c r="F2083" t="s">
        <v>917</v>
      </c>
      <c r="G2083" t="s">
        <v>889</v>
      </c>
      <c r="H2083" t="s">
        <v>40</v>
      </c>
      <c r="I2083" t="s">
        <v>27</v>
      </c>
      <c r="J2083" s="4">
        <v>15.6</v>
      </c>
      <c r="K2083">
        <v>1</v>
      </c>
      <c r="L2083">
        <v>15.6</v>
      </c>
      <c r="M2083">
        <v>15.6</v>
      </c>
      <c r="N2083" s="5">
        <v>0.78965129358830144</v>
      </c>
      <c r="O2083" t="s">
        <v>100</v>
      </c>
      <c r="P2083" t="s">
        <v>340</v>
      </c>
      <c r="Q2083" s="10" t="s">
        <v>1102</v>
      </c>
    </row>
    <row r="2084" spans="1:18" hidden="1" x14ac:dyDescent="0.25">
      <c r="A2084" s="36" t="str">
        <f t="shared" si="51"/>
        <v>Aug-18</v>
      </c>
      <c r="B2084" s="3" t="s">
        <v>1263</v>
      </c>
      <c r="C2084" s="10">
        <v>1</v>
      </c>
      <c r="D2084" s="10">
        <v>8</v>
      </c>
      <c r="E2084" s="10">
        <v>18</v>
      </c>
      <c r="F2084" t="s">
        <v>146</v>
      </c>
      <c r="H2084" t="s">
        <v>49</v>
      </c>
      <c r="I2084" t="s">
        <v>50</v>
      </c>
      <c r="J2084" s="4">
        <v>0.75</v>
      </c>
      <c r="K2084">
        <v>1</v>
      </c>
      <c r="L2084">
        <v>0.75</v>
      </c>
      <c r="M2084">
        <v>0.75</v>
      </c>
      <c r="N2084" s="5">
        <v>3.796400449943757E-2</v>
      </c>
      <c r="O2084" t="s">
        <v>100</v>
      </c>
      <c r="P2084" t="s">
        <v>340</v>
      </c>
      <c r="Q2084" s="10" t="s">
        <v>1102</v>
      </c>
    </row>
    <row r="2085" spans="1:18" hidden="1" x14ac:dyDescent="0.25">
      <c r="A2085" s="36" t="str">
        <f t="shared" si="51"/>
        <v>Aug-18</v>
      </c>
      <c r="B2085" s="3" t="s">
        <v>1263</v>
      </c>
      <c r="C2085" s="10">
        <v>1</v>
      </c>
      <c r="D2085" s="10">
        <v>8</v>
      </c>
      <c r="E2085" s="10">
        <v>18</v>
      </c>
      <c r="F2085" t="s">
        <v>372</v>
      </c>
      <c r="G2085" t="s">
        <v>373</v>
      </c>
      <c r="H2085" t="s">
        <v>65</v>
      </c>
      <c r="I2085" t="s">
        <v>27</v>
      </c>
      <c r="J2085" s="4">
        <v>9</v>
      </c>
      <c r="K2085">
        <v>2</v>
      </c>
      <c r="L2085">
        <v>9</v>
      </c>
      <c r="M2085">
        <v>18</v>
      </c>
      <c r="N2085" s="5">
        <v>0.91113610798650169</v>
      </c>
      <c r="O2085" t="s">
        <v>100</v>
      </c>
      <c r="P2085" t="s">
        <v>340</v>
      </c>
      <c r="Q2085" s="10" t="s">
        <v>1102</v>
      </c>
    </row>
    <row r="2086" spans="1:18" hidden="1" x14ac:dyDescent="0.25">
      <c r="A2086" s="36" t="str">
        <f t="shared" si="51"/>
        <v>Aug-18</v>
      </c>
      <c r="B2086" s="3" t="s">
        <v>1263</v>
      </c>
      <c r="C2086" s="10">
        <v>1</v>
      </c>
      <c r="D2086" s="10">
        <v>8</v>
      </c>
      <c r="E2086" s="10">
        <v>18</v>
      </c>
      <c r="F2086" t="s">
        <v>586</v>
      </c>
      <c r="G2086" t="s">
        <v>31</v>
      </c>
      <c r="H2086" t="s">
        <v>26</v>
      </c>
      <c r="I2086" t="s">
        <v>27</v>
      </c>
      <c r="J2086" s="4">
        <v>5.2</v>
      </c>
      <c r="K2086">
        <v>4</v>
      </c>
      <c r="L2086">
        <v>5.2</v>
      </c>
      <c r="M2086">
        <v>20.8</v>
      </c>
      <c r="N2086" s="5">
        <v>1.0528683914510686</v>
      </c>
      <c r="O2086" t="s">
        <v>100</v>
      </c>
      <c r="P2086" t="s">
        <v>340</v>
      </c>
      <c r="Q2086" s="10" t="s">
        <v>1102</v>
      </c>
    </row>
    <row r="2087" spans="1:18" hidden="1" x14ac:dyDescent="0.25">
      <c r="A2087" s="36" t="str">
        <f t="shared" si="51"/>
        <v>Aug-18</v>
      </c>
      <c r="B2087" s="3" t="s">
        <v>1263</v>
      </c>
      <c r="C2087" s="10">
        <v>1</v>
      </c>
      <c r="D2087" s="10">
        <v>8</v>
      </c>
      <c r="E2087" s="10">
        <v>18</v>
      </c>
      <c r="F2087" t="s">
        <v>98</v>
      </c>
      <c r="G2087" t="s">
        <v>889</v>
      </c>
      <c r="H2087" t="s">
        <v>26</v>
      </c>
      <c r="I2087" t="s">
        <v>27</v>
      </c>
      <c r="J2087" s="4">
        <v>85.5</v>
      </c>
      <c r="K2087">
        <v>1</v>
      </c>
      <c r="L2087">
        <v>85.5</v>
      </c>
      <c r="M2087">
        <v>85.5</v>
      </c>
      <c r="N2087" s="5">
        <v>4.3278965129358831</v>
      </c>
      <c r="O2087" t="s">
        <v>100</v>
      </c>
      <c r="P2087" t="s">
        <v>340</v>
      </c>
      <c r="Q2087" s="10" t="s">
        <v>1102</v>
      </c>
      <c r="R2087" t="s">
        <v>1257</v>
      </c>
    </row>
    <row r="2088" spans="1:18" hidden="1" x14ac:dyDescent="0.25">
      <c r="A2088" s="36" t="str">
        <f t="shared" si="51"/>
        <v>Aug-18</v>
      </c>
      <c r="B2088" s="3" t="s">
        <v>1263</v>
      </c>
      <c r="C2088" s="10">
        <v>1</v>
      </c>
      <c r="D2088" s="10">
        <v>8</v>
      </c>
      <c r="E2088" s="10">
        <v>18</v>
      </c>
      <c r="F2088" t="s">
        <v>917</v>
      </c>
      <c r="G2088" t="s">
        <v>889</v>
      </c>
      <c r="H2088" t="s">
        <v>40</v>
      </c>
      <c r="I2088" t="s">
        <v>27</v>
      </c>
      <c r="J2088" s="4">
        <v>15.6</v>
      </c>
      <c r="K2088">
        <v>1</v>
      </c>
      <c r="L2088">
        <v>15.6</v>
      </c>
      <c r="M2088">
        <v>15.6</v>
      </c>
      <c r="N2088" s="5">
        <v>0.78965129358830144</v>
      </c>
      <c r="O2088" t="s">
        <v>100</v>
      </c>
      <c r="P2088" t="s">
        <v>340</v>
      </c>
      <c r="Q2088" s="10" t="s">
        <v>1102</v>
      </c>
    </row>
    <row r="2089" spans="1:18" hidden="1" x14ac:dyDescent="0.25">
      <c r="A2089" s="36" t="str">
        <f t="shared" si="51"/>
        <v>Aug-18</v>
      </c>
      <c r="B2089" s="3" t="s">
        <v>1267</v>
      </c>
      <c r="C2089" s="10">
        <v>10</v>
      </c>
      <c r="D2089" s="10">
        <v>8</v>
      </c>
      <c r="E2089" s="10">
        <v>18</v>
      </c>
      <c r="F2089" t="s">
        <v>917</v>
      </c>
      <c r="G2089" t="s">
        <v>889</v>
      </c>
      <c r="H2089" t="s">
        <v>40</v>
      </c>
      <c r="I2089" t="s">
        <v>27</v>
      </c>
      <c r="J2089" s="4">
        <v>15.6</v>
      </c>
      <c r="K2089">
        <v>1</v>
      </c>
      <c r="L2089">
        <v>15.6</v>
      </c>
      <c r="M2089">
        <v>15.6</v>
      </c>
      <c r="N2089" s="5">
        <v>0.78965129358830144</v>
      </c>
      <c r="O2089" t="s">
        <v>100</v>
      </c>
      <c r="P2089" t="s">
        <v>340</v>
      </c>
      <c r="Q2089" s="10" t="s">
        <v>1102</v>
      </c>
    </row>
    <row r="2090" spans="1:18" hidden="1" x14ac:dyDescent="0.25">
      <c r="A2090" s="36" t="str">
        <f t="shared" si="51"/>
        <v>Aug-18</v>
      </c>
      <c r="B2090" s="3" t="s">
        <v>1267</v>
      </c>
      <c r="C2090" s="10">
        <v>10</v>
      </c>
      <c r="D2090" s="10">
        <v>8</v>
      </c>
      <c r="E2090" s="10">
        <v>18</v>
      </c>
      <c r="F2090" t="s">
        <v>1051</v>
      </c>
      <c r="G2090" t="s">
        <v>889</v>
      </c>
      <c r="H2090" t="s">
        <v>56</v>
      </c>
      <c r="I2090" t="s">
        <v>27</v>
      </c>
      <c r="J2090" s="4">
        <v>55</v>
      </c>
      <c r="K2090">
        <v>0.44</v>
      </c>
      <c r="L2090">
        <v>55</v>
      </c>
      <c r="M2090">
        <v>24.2</v>
      </c>
      <c r="N2090" s="5">
        <v>1.2249718785151855</v>
      </c>
      <c r="O2090" t="s">
        <v>100</v>
      </c>
      <c r="P2090" t="s">
        <v>340</v>
      </c>
      <c r="Q2090" s="10" t="s">
        <v>1102</v>
      </c>
    </row>
    <row r="2091" spans="1:18" hidden="1" x14ac:dyDescent="0.25">
      <c r="A2091" s="36" t="str">
        <f t="shared" si="51"/>
        <v>Aug-18</v>
      </c>
      <c r="B2091" s="3" t="s">
        <v>1267</v>
      </c>
      <c r="C2091" s="10">
        <v>10</v>
      </c>
      <c r="D2091" s="10">
        <v>8</v>
      </c>
      <c r="E2091" s="10">
        <v>18</v>
      </c>
      <c r="F2091" t="s">
        <v>586</v>
      </c>
      <c r="G2091" t="s">
        <v>31</v>
      </c>
      <c r="H2091" t="s">
        <v>26</v>
      </c>
      <c r="I2091" t="s">
        <v>27</v>
      </c>
      <c r="J2091" s="4">
        <v>5.2</v>
      </c>
      <c r="K2091">
        <v>2</v>
      </c>
      <c r="L2091">
        <v>5.2</v>
      </c>
      <c r="M2091">
        <v>10.4</v>
      </c>
      <c r="N2091" s="5">
        <v>0.52643419572553429</v>
      </c>
      <c r="O2091" t="s">
        <v>100</v>
      </c>
      <c r="P2091" t="s">
        <v>340</v>
      </c>
      <c r="Q2091" s="10" t="s">
        <v>1102</v>
      </c>
    </row>
    <row r="2092" spans="1:18" hidden="1" x14ac:dyDescent="0.25">
      <c r="A2092" s="36" t="str">
        <f t="shared" si="51"/>
        <v>Aug-18</v>
      </c>
      <c r="B2092" s="3" t="s">
        <v>1267</v>
      </c>
      <c r="C2092" s="10">
        <v>10</v>
      </c>
      <c r="D2092" s="10">
        <v>8</v>
      </c>
      <c r="E2092" s="10">
        <v>18</v>
      </c>
      <c r="F2092" t="s">
        <v>1264</v>
      </c>
      <c r="G2092" t="s">
        <v>31</v>
      </c>
      <c r="H2092" t="s">
        <v>26</v>
      </c>
      <c r="I2092" t="s">
        <v>27</v>
      </c>
      <c r="J2092" s="4">
        <v>29.7</v>
      </c>
      <c r="K2092">
        <v>1</v>
      </c>
      <c r="L2092">
        <v>29.7</v>
      </c>
      <c r="M2092">
        <v>29.7</v>
      </c>
      <c r="N2092" s="5">
        <v>1.5033745781777277</v>
      </c>
      <c r="O2092" t="s">
        <v>100</v>
      </c>
      <c r="P2092" t="s">
        <v>340</v>
      </c>
      <c r="Q2092" s="10" t="s">
        <v>1102</v>
      </c>
    </row>
    <row r="2093" spans="1:18" hidden="1" x14ac:dyDescent="0.25">
      <c r="A2093" s="2" t="s">
        <v>513</v>
      </c>
      <c r="B2093" s="3" t="str">
        <f>CONCATENATE(E2093,"/",D2093,"/",C2093)</f>
        <v>18/8/11</v>
      </c>
      <c r="C2093" s="10">
        <v>11</v>
      </c>
      <c r="D2093" s="10">
        <v>8</v>
      </c>
      <c r="E2093">
        <v>18</v>
      </c>
      <c r="F2093" t="s">
        <v>104</v>
      </c>
      <c r="I2093" t="s">
        <v>72</v>
      </c>
      <c r="J2093">
        <v>107.65</v>
      </c>
      <c r="K2093">
        <v>1</v>
      </c>
      <c r="L2093">
        <v>107.65</v>
      </c>
      <c r="M2093">
        <v>107.65</v>
      </c>
      <c r="N2093" s="5">
        <v>5.4227184955083549</v>
      </c>
      <c r="O2093" t="s">
        <v>233</v>
      </c>
      <c r="P2093" t="s">
        <v>340</v>
      </c>
      <c r="Q2093" s="10" t="s">
        <v>24</v>
      </c>
      <c r="R2093" t="s">
        <v>616</v>
      </c>
    </row>
    <row r="2094" spans="1:18" hidden="1" x14ac:dyDescent="0.25">
      <c r="A2094" s="2" t="s">
        <v>513</v>
      </c>
      <c r="B2094" s="3" t="str">
        <f>CONCATENATE(E2094,"/",D2094,"/",C2094)</f>
        <v>18/8/11</v>
      </c>
      <c r="C2094" s="10">
        <v>11</v>
      </c>
      <c r="D2094" s="10">
        <v>8</v>
      </c>
      <c r="E2094">
        <v>18</v>
      </c>
      <c r="F2094" t="s">
        <v>104</v>
      </c>
      <c r="I2094" t="s">
        <v>72</v>
      </c>
      <c r="J2094">
        <v>51.39</v>
      </c>
      <c r="K2094">
        <v>1</v>
      </c>
      <c r="L2094">
        <v>51.39</v>
      </c>
      <c r="M2094">
        <v>51.39</v>
      </c>
      <c r="N2094" s="5">
        <v>2.5886995214507604</v>
      </c>
      <c r="O2094" t="s">
        <v>233</v>
      </c>
      <c r="P2094" t="s">
        <v>340</v>
      </c>
      <c r="Q2094" s="10" t="s">
        <v>24</v>
      </c>
      <c r="R2094" t="s">
        <v>565</v>
      </c>
    </row>
    <row r="2095" spans="1:18" hidden="1" x14ac:dyDescent="0.25">
      <c r="A2095" s="2" t="s">
        <v>513</v>
      </c>
      <c r="B2095" s="3" t="str">
        <f>CONCATENATE(E2095,"/",D2095,"/",C2095)</f>
        <v>18/8/11</v>
      </c>
      <c r="C2095" s="10">
        <v>11</v>
      </c>
      <c r="D2095" s="10">
        <v>8</v>
      </c>
      <c r="E2095">
        <v>18</v>
      </c>
      <c r="F2095" t="s">
        <v>104</v>
      </c>
      <c r="I2095" t="s">
        <v>72</v>
      </c>
      <c r="J2095">
        <v>13.87</v>
      </c>
      <c r="K2095">
        <v>1</v>
      </c>
      <c r="L2095">
        <v>13.87</v>
      </c>
      <c r="M2095">
        <v>13.87</v>
      </c>
      <c r="N2095" s="5">
        <v>0.69868189068927888</v>
      </c>
      <c r="O2095" t="s">
        <v>233</v>
      </c>
      <c r="P2095" t="s">
        <v>340</v>
      </c>
      <c r="Q2095" s="10" t="s">
        <v>24</v>
      </c>
      <c r="R2095" t="s">
        <v>617</v>
      </c>
    </row>
    <row r="2096" spans="1:18" hidden="1" x14ac:dyDescent="0.25">
      <c r="A2096" s="2" t="s">
        <v>513</v>
      </c>
      <c r="B2096" s="3" t="str">
        <f>CONCATENATE(E2096,"/",D2096,"/",C2096)</f>
        <v>18/8/11</v>
      </c>
      <c r="C2096" s="10">
        <v>11</v>
      </c>
      <c r="D2096" s="10">
        <v>8</v>
      </c>
      <c r="E2096">
        <v>18</v>
      </c>
      <c r="F2096" t="s">
        <v>140</v>
      </c>
      <c r="H2096" t="s">
        <v>49</v>
      </c>
      <c r="I2096" t="s">
        <v>50</v>
      </c>
      <c r="J2096">
        <v>0.01</v>
      </c>
      <c r="K2096">
        <v>1</v>
      </c>
      <c r="L2096">
        <v>0.01</v>
      </c>
      <c r="M2096">
        <v>0.01</v>
      </c>
      <c r="N2096" s="5">
        <v>5.0373604231382764E-4</v>
      </c>
      <c r="O2096" t="s">
        <v>233</v>
      </c>
      <c r="P2096" t="s">
        <v>340</v>
      </c>
      <c r="Q2096" s="10" t="s">
        <v>24</v>
      </c>
      <c r="R2096" t="s">
        <v>517</v>
      </c>
    </row>
    <row r="2097" spans="1:18" hidden="1" x14ac:dyDescent="0.25">
      <c r="A2097" s="36" t="str">
        <f>IF(D2097=1,"Jan-18",IF(D2097=2,"Feb-18",IF(D2097=3,"Mar-18",IF(D2097=4,"Apr-18",IF(D2097=5,"May-18",IF(D2097=6,"Jun-18",(IF(D2097=7,"Jul-18",IF(D2097=8,"Aug-18",IF(D2097=9,"Sep-18",IF(D2097=10,"Oct-18",IF(D2097=11,"Nov-18",IF(D2097=12,"Dec-18","...")))))))))))))</f>
        <v>Aug-18</v>
      </c>
      <c r="B2097" s="3" t="s">
        <v>1278</v>
      </c>
      <c r="C2097" s="10">
        <v>11</v>
      </c>
      <c r="D2097" s="10">
        <v>8</v>
      </c>
      <c r="E2097" s="10">
        <v>18</v>
      </c>
      <c r="F2097" t="s">
        <v>60</v>
      </c>
      <c r="G2097" t="s">
        <v>31</v>
      </c>
      <c r="H2097" t="s">
        <v>26</v>
      </c>
      <c r="I2097" t="s">
        <v>27</v>
      </c>
      <c r="J2097" s="4">
        <v>7.45</v>
      </c>
      <c r="K2097">
        <v>2</v>
      </c>
      <c r="L2097">
        <v>7.45</v>
      </c>
      <c r="M2097">
        <v>14.9</v>
      </c>
      <c r="N2097" s="5">
        <v>0.75421822272215977</v>
      </c>
      <c r="O2097" t="s">
        <v>1472</v>
      </c>
      <c r="P2097" t="s">
        <v>340</v>
      </c>
      <c r="Q2097" s="10" t="s">
        <v>1102</v>
      </c>
    </row>
    <row r="2098" spans="1:18" hidden="1" x14ac:dyDescent="0.25">
      <c r="A2098" s="9" t="s">
        <v>513</v>
      </c>
      <c r="B2098" s="3" t="s">
        <v>1278</v>
      </c>
      <c r="C2098" s="10">
        <v>11</v>
      </c>
      <c r="D2098" s="10">
        <v>8</v>
      </c>
      <c r="E2098" s="10">
        <v>18</v>
      </c>
      <c r="F2098" t="s">
        <v>39</v>
      </c>
      <c r="G2098" t="s">
        <v>889</v>
      </c>
      <c r="H2098" t="s">
        <v>889</v>
      </c>
      <c r="I2098" t="s">
        <v>39</v>
      </c>
      <c r="J2098" s="4">
        <v>10</v>
      </c>
      <c r="K2098">
        <v>1</v>
      </c>
      <c r="L2098">
        <v>10</v>
      </c>
      <c r="M2098">
        <v>10</v>
      </c>
      <c r="N2098" s="5">
        <v>0.50618672665916753</v>
      </c>
      <c r="O2098" t="s">
        <v>1321</v>
      </c>
      <c r="P2098" t="s">
        <v>340</v>
      </c>
      <c r="Q2098" s="10" t="s">
        <v>24</v>
      </c>
      <c r="R2098" t="s">
        <v>2032</v>
      </c>
    </row>
    <row r="2099" spans="1:18" hidden="1" x14ac:dyDescent="0.25">
      <c r="A2099" s="2" t="s">
        <v>513</v>
      </c>
      <c r="B2099" s="3" t="str">
        <f>CONCATENATE(E2099,"/",D2099,"/",C2099)</f>
        <v>18/8/12</v>
      </c>
      <c r="C2099" s="10">
        <v>12</v>
      </c>
      <c r="D2099" s="10">
        <v>8</v>
      </c>
      <c r="E2099">
        <v>18</v>
      </c>
      <c r="F2099" t="s">
        <v>78</v>
      </c>
      <c r="H2099" t="s">
        <v>78</v>
      </c>
      <c r="I2099" t="s">
        <v>79</v>
      </c>
      <c r="J2099">
        <v>18.52</v>
      </c>
      <c r="K2099">
        <v>40.49</v>
      </c>
      <c r="L2099">
        <v>18.52</v>
      </c>
      <c r="M2099">
        <v>749.87480000000005</v>
      </c>
      <c r="N2099" s="5">
        <v>37.720060362173044</v>
      </c>
      <c r="O2099" t="s">
        <v>80</v>
      </c>
      <c r="P2099" t="s">
        <v>340</v>
      </c>
      <c r="Q2099" t="s">
        <v>24</v>
      </c>
    </row>
    <row r="2100" spans="1:18" hidden="1" x14ac:dyDescent="0.25">
      <c r="A2100" s="36" t="str">
        <f t="shared" ref="A2100:A2109" si="52">IF(D2100=1,"Jan-18",IF(D2100=2,"Feb-18",IF(D2100=3,"Mar-18",IF(D2100=4,"Apr-18",IF(D2100=5,"May-18",IF(D2100=6,"Jun-18",(IF(D2100=7,"Jul-18",IF(D2100=8,"Aug-18",IF(D2100=9,"Sep-18",IF(D2100=10,"Oct-18",IF(D2100=11,"Nov-18",IF(D2100=12,"Dec-18","...")))))))))))))</f>
        <v>Aug-18</v>
      </c>
      <c r="B2100" s="3" t="s">
        <v>1286</v>
      </c>
      <c r="C2100" s="10">
        <v>12</v>
      </c>
      <c r="D2100" s="10">
        <v>8</v>
      </c>
      <c r="E2100" s="10">
        <v>18</v>
      </c>
      <c r="F2100" t="s">
        <v>55</v>
      </c>
      <c r="G2100" t="s">
        <v>889</v>
      </c>
      <c r="H2100" t="s">
        <v>56</v>
      </c>
      <c r="I2100" t="s">
        <v>27</v>
      </c>
      <c r="J2100" s="4">
        <v>16.2</v>
      </c>
      <c r="K2100">
        <v>0.82599999999999996</v>
      </c>
      <c r="L2100">
        <v>16.2</v>
      </c>
      <c r="M2100">
        <v>13.381199999999998</v>
      </c>
      <c r="N2100" s="5">
        <v>0.67733858267716518</v>
      </c>
      <c r="O2100" t="s">
        <v>181</v>
      </c>
      <c r="P2100" t="s">
        <v>340</v>
      </c>
      <c r="Q2100" s="10" t="s">
        <v>1102</v>
      </c>
    </row>
    <row r="2101" spans="1:18" hidden="1" x14ac:dyDescent="0.25">
      <c r="A2101" s="36" t="str">
        <f t="shared" si="52"/>
        <v>Aug-18</v>
      </c>
      <c r="B2101" s="3" t="s">
        <v>1286</v>
      </c>
      <c r="C2101" s="10">
        <v>12</v>
      </c>
      <c r="D2101" s="10">
        <v>8</v>
      </c>
      <c r="E2101" s="10">
        <v>18</v>
      </c>
      <c r="F2101" t="s">
        <v>174</v>
      </c>
      <c r="G2101" t="s">
        <v>889</v>
      </c>
      <c r="H2101" t="s">
        <v>54</v>
      </c>
      <c r="I2101" t="s">
        <v>27</v>
      </c>
      <c r="J2101" s="4">
        <v>8.9</v>
      </c>
      <c r="K2101">
        <v>1.964</v>
      </c>
      <c r="L2101">
        <v>8.9</v>
      </c>
      <c r="M2101">
        <v>17.479600000000001</v>
      </c>
      <c r="N2101" s="5">
        <v>0.88479415073115864</v>
      </c>
      <c r="O2101" t="s">
        <v>181</v>
      </c>
      <c r="P2101" t="s">
        <v>340</v>
      </c>
      <c r="Q2101" s="10" t="s">
        <v>1102</v>
      </c>
    </row>
    <row r="2102" spans="1:18" hidden="1" x14ac:dyDescent="0.25">
      <c r="A2102" s="36" t="str">
        <f t="shared" si="52"/>
        <v>Aug-18</v>
      </c>
      <c r="B2102" s="3" t="s">
        <v>1286</v>
      </c>
      <c r="C2102" s="10">
        <v>12</v>
      </c>
      <c r="D2102" s="10">
        <v>8</v>
      </c>
      <c r="E2102" s="10">
        <v>18</v>
      </c>
      <c r="F2102" t="s">
        <v>208</v>
      </c>
      <c r="G2102" t="s">
        <v>889</v>
      </c>
      <c r="H2102" t="s">
        <v>56</v>
      </c>
      <c r="I2102" t="s">
        <v>27</v>
      </c>
      <c r="J2102" s="4">
        <v>51.4</v>
      </c>
      <c r="K2102">
        <v>0.192</v>
      </c>
      <c r="L2102">
        <v>51.4</v>
      </c>
      <c r="M2102">
        <v>9.8688000000000002</v>
      </c>
      <c r="N2102" s="5">
        <v>0.4995455568053993</v>
      </c>
      <c r="O2102" t="s">
        <v>181</v>
      </c>
      <c r="P2102" t="s">
        <v>340</v>
      </c>
      <c r="Q2102" s="10" t="s">
        <v>1102</v>
      </c>
    </row>
    <row r="2103" spans="1:18" hidden="1" x14ac:dyDescent="0.25">
      <c r="A2103" s="36" t="str">
        <f t="shared" si="52"/>
        <v>Aug-18</v>
      </c>
      <c r="B2103" s="3" t="s">
        <v>1286</v>
      </c>
      <c r="C2103" s="10">
        <v>12</v>
      </c>
      <c r="D2103" s="10">
        <v>8</v>
      </c>
      <c r="E2103" s="10">
        <v>18</v>
      </c>
      <c r="F2103" t="s">
        <v>206</v>
      </c>
      <c r="G2103" t="s">
        <v>889</v>
      </c>
      <c r="H2103" t="s">
        <v>56</v>
      </c>
      <c r="I2103" t="s">
        <v>27</v>
      </c>
      <c r="J2103" s="4">
        <v>39.299999999999997</v>
      </c>
      <c r="K2103">
        <v>0.40600000000000003</v>
      </c>
      <c r="L2103">
        <v>39.299999999999997</v>
      </c>
      <c r="M2103">
        <v>15.9558</v>
      </c>
      <c r="N2103" s="5">
        <v>0.80766141732283458</v>
      </c>
      <c r="O2103" t="s">
        <v>181</v>
      </c>
      <c r="P2103" t="s">
        <v>340</v>
      </c>
      <c r="Q2103" s="10" t="s">
        <v>1102</v>
      </c>
    </row>
    <row r="2104" spans="1:18" hidden="1" x14ac:dyDescent="0.25">
      <c r="A2104" s="36" t="str">
        <f t="shared" si="52"/>
        <v>Aug-18</v>
      </c>
      <c r="B2104" s="3" t="s">
        <v>1286</v>
      </c>
      <c r="C2104" s="10">
        <v>12</v>
      </c>
      <c r="D2104" s="10">
        <v>8</v>
      </c>
      <c r="E2104" s="10">
        <v>18</v>
      </c>
      <c r="F2104" t="s">
        <v>60</v>
      </c>
      <c r="G2104" t="s">
        <v>31</v>
      </c>
      <c r="H2104" t="s">
        <v>26</v>
      </c>
      <c r="I2104" t="s">
        <v>27</v>
      </c>
      <c r="J2104" s="4">
        <v>6.9</v>
      </c>
      <c r="K2104">
        <v>1</v>
      </c>
      <c r="L2104">
        <v>6.9</v>
      </c>
      <c r="M2104">
        <v>6.9</v>
      </c>
      <c r="N2104" s="5">
        <v>0.34926884139482567</v>
      </c>
      <c r="O2104" t="s">
        <v>181</v>
      </c>
      <c r="P2104" t="s">
        <v>340</v>
      </c>
      <c r="Q2104" s="10" t="s">
        <v>1102</v>
      </c>
    </row>
    <row r="2105" spans="1:18" hidden="1" x14ac:dyDescent="0.25">
      <c r="A2105" s="36" t="str">
        <f t="shared" si="52"/>
        <v>Aug-18</v>
      </c>
      <c r="B2105" s="3" t="s">
        <v>1286</v>
      </c>
      <c r="C2105" s="10">
        <v>12</v>
      </c>
      <c r="D2105" s="10">
        <v>8</v>
      </c>
      <c r="E2105" s="10">
        <v>18</v>
      </c>
      <c r="F2105" t="s">
        <v>44</v>
      </c>
      <c r="G2105" t="s">
        <v>889</v>
      </c>
      <c r="H2105" t="s">
        <v>44</v>
      </c>
      <c r="I2105" t="s">
        <v>27</v>
      </c>
      <c r="J2105" s="4">
        <v>51.6</v>
      </c>
      <c r="K2105">
        <v>2</v>
      </c>
      <c r="L2105">
        <v>51.6</v>
      </c>
      <c r="M2105">
        <v>103.2</v>
      </c>
      <c r="N2105" s="5">
        <v>5.2238470191226094</v>
      </c>
      <c r="O2105" t="s">
        <v>181</v>
      </c>
      <c r="P2105" t="s">
        <v>340</v>
      </c>
      <c r="Q2105" s="10" t="s">
        <v>1102</v>
      </c>
    </row>
    <row r="2106" spans="1:18" hidden="1" x14ac:dyDescent="0.25">
      <c r="A2106" s="36" t="str">
        <f t="shared" si="52"/>
        <v>Aug-18</v>
      </c>
      <c r="B2106" s="3" t="s">
        <v>1286</v>
      </c>
      <c r="C2106" s="10">
        <v>12</v>
      </c>
      <c r="D2106" s="10">
        <v>8</v>
      </c>
      <c r="E2106" s="10">
        <v>18</v>
      </c>
      <c r="F2106" t="s">
        <v>1051</v>
      </c>
      <c r="G2106" t="s">
        <v>889</v>
      </c>
      <c r="H2106" t="s">
        <v>56</v>
      </c>
      <c r="I2106" t="s">
        <v>27</v>
      </c>
      <c r="J2106" s="4">
        <v>37.6</v>
      </c>
      <c r="K2106">
        <v>0.65</v>
      </c>
      <c r="L2106">
        <v>37.6</v>
      </c>
      <c r="M2106">
        <v>24.44</v>
      </c>
      <c r="N2106" s="5">
        <v>1.2371203599550056</v>
      </c>
      <c r="O2106" t="s">
        <v>181</v>
      </c>
      <c r="P2106" t="s">
        <v>340</v>
      </c>
      <c r="Q2106" s="10" t="s">
        <v>1102</v>
      </c>
    </row>
    <row r="2107" spans="1:18" hidden="1" x14ac:dyDescent="0.25">
      <c r="A2107" s="36" t="str">
        <f t="shared" si="52"/>
        <v>Aug-18</v>
      </c>
      <c r="B2107" s="3" t="s">
        <v>1286</v>
      </c>
      <c r="C2107" s="10">
        <v>12</v>
      </c>
      <c r="D2107" s="10">
        <v>8</v>
      </c>
      <c r="E2107" s="10">
        <v>18</v>
      </c>
      <c r="F2107" t="s">
        <v>108</v>
      </c>
      <c r="G2107" t="s">
        <v>889</v>
      </c>
      <c r="H2107" t="s">
        <v>54</v>
      </c>
      <c r="I2107" t="s">
        <v>27</v>
      </c>
      <c r="J2107" s="4">
        <v>11.4</v>
      </c>
      <c r="K2107">
        <v>0.59</v>
      </c>
      <c r="L2107">
        <v>11.4</v>
      </c>
      <c r="M2107">
        <v>6.726</v>
      </c>
      <c r="N2107" s="5">
        <v>0.34046119235095612</v>
      </c>
      <c r="O2107" t="s">
        <v>181</v>
      </c>
      <c r="P2107" t="s">
        <v>340</v>
      </c>
      <c r="Q2107" s="10" t="s">
        <v>1102</v>
      </c>
    </row>
    <row r="2108" spans="1:18" hidden="1" x14ac:dyDescent="0.25">
      <c r="A2108" s="36" t="str">
        <f t="shared" si="52"/>
        <v>Aug-18</v>
      </c>
      <c r="B2108" s="3" t="s">
        <v>1286</v>
      </c>
      <c r="C2108" s="10">
        <v>12</v>
      </c>
      <c r="D2108" s="10">
        <v>8</v>
      </c>
      <c r="E2108" s="10">
        <v>18</v>
      </c>
      <c r="F2108" t="s">
        <v>1265</v>
      </c>
      <c r="G2108" t="s">
        <v>31</v>
      </c>
      <c r="H2108" t="s">
        <v>26</v>
      </c>
      <c r="I2108" t="s">
        <v>27</v>
      </c>
      <c r="J2108" s="4">
        <v>10.4</v>
      </c>
      <c r="K2108">
        <v>4</v>
      </c>
      <c r="L2108">
        <v>10.4</v>
      </c>
      <c r="M2108">
        <v>41.6</v>
      </c>
      <c r="N2108" s="5">
        <v>2.1057367829021372</v>
      </c>
      <c r="O2108" t="s">
        <v>181</v>
      </c>
      <c r="P2108" t="s">
        <v>340</v>
      </c>
      <c r="Q2108" s="10" t="s">
        <v>1102</v>
      </c>
    </row>
    <row r="2109" spans="1:18" hidden="1" x14ac:dyDescent="0.25">
      <c r="A2109" s="36" t="str">
        <f t="shared" si="52"/>
        <v>Aug-18</v>
      </c>
      <c r="B2109" s="3" t="s">
        <v>1286</v>
      </c>
      <c r="C2109" s="10">
        <v>12</v>
      </c>
      <c r="D2109" s="10">
        <v>8</v>
      </c>
      <c r="E2109" s="10">
        <v>18</v>
      </c>
      <c r="F2109" t="s">
        <v>757</v>
      </c>
      <c r="G2109" t="s">
        <v>889</v>
      </c>
      <c r="H2109" t="s">
        <v>40</v>
      </c>
      <c r="I2109" t="s">
        <v>27</v>
      </c>
      <c r="J2109" s="4">
        <v>13.9</v>
      </c>
      <c r="K2109">
        <v>1</v>
      </c>
      <c r="L2109">
        <v>13.9</v>
      </c>
      <c r="M2109">
        <v>13.9</v>
      </c>
      <c r="N2109" s="5">
        <v>0.70359955005624297</v>
      </c>
      <c r="O2109" t="s">
        <v>181</v>
      </c>
      <c r="P2109" t="s">
        <v>340</v>
      </c>
      <c r="Q2109" s="10" t="s">
        <v>1102</v>
      </c>
    </row>
    <row r="2110" spans="1:18" hidden="1" x14ac:dyDescent="0.25">
      <c r="A2110" s="9" t="s">
        <v>513</v>
      </c>
      <c r="B2110" s="3" t="s">
        <v>1286</v>
      </c>
      <c r="C2110" s="10">
        <v>12</v>
      </c>
      <c r="D2110" s="10">
        <v>8</v>
      </c>
      <c r="E2110" s="10">
        <v>18</v>
      </c>
      <c r="F2110" t="s">
        <v>68</v>
      </c>
      <c r="G2110" t="s">
        <v>889</v>
      </c>
      <c r="H2110" t="s">
        <v>69</v>
      </c>
      <c r="I2110" t="s">
        <v>27</v>
      </c>
      <c r="J2110" s="4">
        <v>54</v>
      </c>
      <c r="K2110">
        <v>1.284</v>
      </c>
      <c r="L2110">
        <v>54</v>
      </c>
      <c r="M2110">
        <v>69.335999999999999</v>
      </c>
      <c r="N2110" s="5">
        <v>3.5096962879640041</v>
      </c>
      <c r="O2110" t="s">
        <v>750</v>
      </c>
      <c r="P2110" t="s">
        <v>340</v>
      </c>
      <c r="Q2110" s="10" t="s">
        <v>24</v>
      </c>
    </row>
    <row r="2111" spans="1:18" hidden="1" x14ac:dyDescent="0.25">
      <c r="A2111" s="9" t="s">
        <v>513</v>
      </c>
      <c r="B2111" s="3" t="s">
        <v>1286</v>
      </c>
      <c r="C2111" s="10">
        <v>12</v>
      </c>
      <c r="D2111" s="10">
        <v>8</v>
      </c>
      <c r="E2111" s="10">
        <v>18</v>
      </c>
      <c r="F2111" t="s">
        <v>1239</v>
      </c>
      <c r="G2111" t="s">
        <v>889</v>
      </c>
      <c r="H2111" t="s">
        <v>69</v>
      </c>
      <c r="I2111" t="s">
        <v>27</v>
      </c>
      <c r="J2111" s="4">
        <v>148</v>
      </c>
      <c r="K2111">
        <v>1.002</v>
      </c>
      <c r="L2111">
        <v>148</v>
      </c>
      <c r="M2111">
        <v>148.29599999999999</v>
      </c>
      <c r="N2111" s="5">
        <v>7.5065466816647914</v>
      </c>
      <c r="O2111" t="s">
        <v>750</v>
      </c>
      <c r="P2111" t="s">
        <v>340</v>
      </c>
      <c r="Q2111" s="10" t="s">
        <v>24</v>
      </c>
    </row>
    <row r="2112" spans="1:18" hidden="1" x14ac:dyDescent="0.25">
      <c r="A2112" s="9" t="s">
        <v>513</v>
      </c>
      <c r="B2112" s="3" t="s">
        <v>1286</v>
      </c>
      <c r="C2112" s="10">
        <v>12</v>
      </c>
      <c r="D2112" s="10">
        <v>8</v>
      </c>
      <c r="E2112" s="10">
        <v>18</v>
      </c>
      <c r="F2112" t="s">
        <v>262</v>
      </c>
      <c r="G2112" t="s">
        <v>889</v>
      </c>
      <c r="H2112" t="s">
        <v>69</v>
      </c>
      <c r="I2112" t="s">
        <v>27</v>
      </c>
      <c r="J2112" s="4">
        <v>168</v>
      </c>
      <c r="K2112">
        <v>1.3819999999999999</v>
      </c>
      <c r="L2112">
        <v>168</v>
      </c>
      <c r="M2112">
        <v>232.17599999999999</v>
      </c>
      <c r="N2112" s="5">
        <v>11.752440944881888</v>
      </c>
      <c r="O2112" t="s">
        <v>750</v>
      </c>
      <c r="P2112" t="s">
        <v>340</v>
      </c>
      <c r="Q2112" s="10" t="s">
        <v>24</v>
      </c>
    </row>
    <row r="2113" spans="1:18" hidden="1" x14ac:dyDescent="0.25">
      <c r="A2113" s="9" t="s">
        <v>513</v>
      </c>
      <c r="B2113" s="3" t="s">
        <v>1286</v>
      </c>
      <c r="C2113" s="10">
        <v>12</v>
      </c>
      <c r="D2113" s="10">
        <v>8</v>
      </c>
      <c r="E2113" s="10">
        <v>18</v>
      </c>
      <c r="F2113" t="s">
        <v>184</v>
      </c>
      <c r="G2113" t="s">
        <v>304</v>
      </c>
      <c r="H2113" t="s">
        <v>184</v>
      </c>
      <c r="I2113" t="s">
        <v>79</v>
      </c>
      <c r="J2113" s="4">
        <v>180</v>
      </c>
      <c r="K2113">
        <v>1</v>
      </c>
      <c r="L2113">
        <v>180</v>
      </c>
      <c r="M2113">
        <v>180</v>
      </c>
      <c r="N2113" s="5">
        <v>9.1113610798650164</v>
      </c>
      <c r="O2113" t="s">
        <v>39</v>
      </c>
      <c r="P2113" t="s">
        <v>340</v>
      </c>
      <c r="Q2113" s="10" t="s">
        <v>24</v>
      </c>
    </row>
    <row r="2114" spans="1:18" hidden="1" x14ac:dyDescent="0.25">
      <c r="A2114" s="9" t="s">
        <v>513</v>
      </c>
      <c r="B2114" s="3" t="s">
        <v>1331</v>
      </c>
      <c r="C2114" s="10">
        <v>13</v>
      </c>
      <c r="D2114" s="10">
        <v>8</v>
      </c>
      <c r="E2114" s="10">
        <v>18</v>
      </c>
      <c r="F2114" t="s">
        <v>39</v>
      </c>
      <c r="G2114" t="s">
        <v>889</v>
      </c>
      <c r="H2114" t="s">
        <v>889</v>
      </c>
      <c r="I2114" t="s">
        <v>39</v>
      </c>
      <c r="J2114" s="4">
        <v>10</v>
      </c>
      <c r="K2114">
        <v>1</v>
      </c>
      <c r="L2114">
        <v>10</v>
      </c>
      <c r="M2114">
        <v>10</v>
      </c>
      <c r="N2114" s="5">
        <v>0.50618672665916753</v>
      </c>
      <c r="O2114" t="s">
        <v>1321</v>
      </c>
      <c r="P2114" t="s">
        <v>340</v>
      </c>
      <c r="Q2114" s="10" t="s">
        <v>24</v>
      </c>
      <c r="R2114" t="s">
        <v>2032</v>
      </c>
    </row>
    <row r="2115" spans="1:18" hidden="1" x14ac:dyDescent="0.25">
      <c r="A2115" s="2" t="s">
        <v>513</v>
      </c>
      <c r="B2115" s="3" t="str">
        <f>CONCATENATE(E2115,"/",D2115,"/",C2115)</f>
        <v>18/8/14</v>
      </c>
      <c r="C2115" s="10">
        <v>14</v>
      </c>
      <c r="D2115" s="10">
        <v>8</v>
      </c>
      <c r="E2115">
        <v>18</v>
      </c>
      <c r="F2115" t="s">
        <v>1572</v>
      </c>
      <c r="I2115" t="s">
        <v>96</v>
      </c>
      <c r="J2115" s="11">
        <v>3.2</v>
      </c>
      <c r="K2115" s="42">
        <v>1</v>
      </c>
      <c r="L2115">
        <v>54.816000000000003</v>
      </c>
      <c r="M2115">
        <v>54.816000000000003</v>
      </c>
      <c r="N2115" s="5">
        <v>2.7573440643863183</v>
      </c>
      <c r="O2115" t="s">
        <v>39</v>
      </c>
      <c r="Q2115" t="s">
        <v>24</v>
      </c>
    </row>
    <row r="2116" spans="1:18" hidden="1" x14ac:dyDescent="0.25">
      <c r="A2116" s="36" t="str">
        <f t="shared" ref="A2116:A2121" si="53">IF(D2116=1,"Jan-18",IF(D2116=2,"Feb-18",IF(D2116=3,"Mar-18",IF(D2116=4,"Apr-18",IF(D2116=5,"May-18",IF(D2116=6,"Jun-18",(IF(D2116=7,"Jul-18",IF(D2116=8,"Aug-18",IF(D2116=9,"Sep-18",IF(D2116=10,"Oct-18",IF(D2116=11,"Nov-18",IF(D2116=12,"Dec-18","...")))))))))))))</f>
        <v>Aug-18</v>
      </c>
      <c r="B2116" s="3" t="s">
        <v>1287</v>
      </c>
      <c r="C2116" s="10">
        <v>14</v>
      </c>
      <c r="D2116" s="10">
        <v>8</v>
      </c>
      <c r="E2116" s="10">
        <v>18</v>
      </c>
      <c r="F2116" t="s">
        <v>44</v>
      </c>
      <c r="G2116" t="s">
        <v>889</v>
      </c>
      <c r="H2116" t="s">
        <v>44</v>
      </c>
      <c r="I2116" t="s">
        <v>27</v>
      </c>
      <c r="J2116" s="4">
        <v>50.57</v>
      </c>
      <c r="K2116">
        <v>4</v>
      </c>
      <c r="L2116">
        <v>50.57</v>
      </c>
      <c r="M2116">
        <v>202.28</v>
      </c>
      <c r="N2116" s="5">
        <v>10.239145106861642</v>
      </c>
      <c r="O2116" t="s">
        <v>181</v>
      </c>
      <c r="P2116" t="s">
        <v>340</v>
      </c>
      <c r="Q2116" s="10" t="s">
        <v>1102</v>
      </c>
    </row>
    <row r="2117" spans="1:18" hidden="1" x14ac:dyDescent="0.25">
      <c r="A2117" s="36" t="str">
        <f t="shared" si="53"/>
        <v>Aug-18</v>
      </c>
      <c r="B2117" s="3" t="s">
        <v>1287</v>
      </c>
      <c r="C2117" s="10">
        <v>14</v>
      </c>
      <c r="D2117" s="10">
        <v>8</v>
      </c>
      <c r="E2117" s="10">
        <v>18</v>
      </c>
      <c r="F2117" t="s">
        <v>757</v>
      </c>
      <c r="G2117" t="s">
        <v>889</v>
      </c>
      <c r="H2117" t="s">
        <v>40</v>
      </c>
      <c r="I2117" t="s">
        <v>27</v>
      </c>
      <c r="J2117" s="4">
        <v>8.7200000000000006</v>
      </c>
      <c r="K2117">
        <v>1</v>
      </c>
      <c r="L2117">
        <v>8.7200000000000006</v>
      </c>
      <c r="M2117">
        <v>8.7200000000000006</v>
      </c>
      <c r="N2117" s="5">
        <v>0.44139482564679416</v>
      </c>
      <c r="O2117" t="s">
        <v>181</v>
      </c>
      <c r="P2117" t="s">
        <v>340</v>
      </c>
      <c r="Q2117" s="10" t="s">
        <v>1102</v>
      </c>
    </row>
    <row r="2118" spans="1:18" hidden="1" x14ac:dyDescent="0.25">
      <c r="A2118" s="36" t="str">
        <f t="shared" si="53"/>
        <v>Aug-18</v>
      </c>
      <c r="B2118" s="3" t="s">
        <v>1287</v>
      </c>
      <c r="C2118" s="10">
        <v>14</v>
      </c>
      <c r="D2118" s="10">
        <v>8</v>
      </c>
      <c r="E2118" s="10">
        <v>18</v>
      </c>
      <c r="F2118" t="s">
        <v>60</v>
      </c>
      <c r="G2118" t="s">
        <v>31</v>
      </c>
      <c r="H2118" t="s">
        <v>26</v>
      </c>
      <c r="I2118" t="s">
        <v>27</v>
      </c>
      <c r="J2118" s="4">
        <v>6.76</v>
      </c>
      <c r="K2118">
        <v>2</v>
      </c>
      <c r="L2118">
        <v>6.76</v>
      </c>
      <c r="M2118">
        <v>13.52</v>
      </c>
      <c r="N2118" s="5">
        <v>0.6843644544431946</v>
      </c>
      <c r="O2118" t="s">
        <v>181</v>
      </c>
      <c r="P2118" t="s">
        <v>340</v>
      </c>
      <c r="Q2118" s="10" t="s">
        <v>1102</v>
      </c>
    </row>
    <row r="2119" spans="1:18" hidden="1" x14ac:dyDescent="0.25">
      <c r="A2119" s="36" t="str">
        <f t="shared" si="53"/>
        <v>Aug-18</v>
      </c>
      <c r="B2119" s="3" t="s">
        <v>1287</v>
      </c>
      <c r="C2119" s="10">
        <v>14</v>
      </c>
      <c r="D2119" s="10">
        <v>8</v>
      </c>
      <c r="E2119" s="10">
        <v>18</v>
      </c>
      <c r="F2119" t="s">
        <v>1284</v>
      </c>
      <c r="G2119" t="s">
        <v>889</v>
      </c>
      <c r="H2119" t="s">
        <v>44</v>
      </c>
      <c r="I2119" t="s">
        <v>27</v>
      </c>
      <c r="J2119" s="4">
        <v>34.200000000000003</v>
      </c>
      <c r="K2119">
        <v>1</v>
      </c>
      <c r="L2119">
        <v>34.200000000000003</v>
      </c>
      <c r="M2119">
        <v>34.200000000000003</v>
      </c>
      <c r="N2119" s="5">
        <v>1.7311586051743533</v>
      </c>
      <c r="O2119" t="s">
        <v>181</v>
      </c>
      <c r="P2119" t="s">
        <v>340</v>
      </c>
      <c r="Q2119" s="10" t="s">
        <v>1102</v>
      </c>
    </row>
    <row r="2120" spans="1:18" hidden="1" x14ac:dyDescent="0.25">
      <c r="A2120" s="36" t="str">
        <f t="shared" si="53"/>
        <v>Aug-18</v>
      </c>
      <c r="B2120" s="3" t="s">
        <v>1287</v>
      </c>
      <c r="C2120" s="10">
        <v>14</v>
      </c>
      <c r="D2120" s="10">
        <v>8</v>
      </c>
      <c r="E2120" s="10">
        <v>18</v>
      </c>
      <c r="F2120" t="s">
        <v>484</v>
      </c>
      <c r="G2120" t="s">
        <v>889</v>
      </c>
      <c r="H2120" t="s">
        <v>54</v>
      </c>
      <c r="I2120" t="s">
        <v>27</v>
      </c>
      <c r="J2120" s="4">
        <v>39.9</v>
      </c>
      <c r="K2120">
        <v>0.13200000000000001</v>
      </c>
      <c r="L2120">
        <v>39.9</v>
      </c>
      <c r="M2120">
        <v>5.2667999999999999</v>
      </c>
      <c r="N2120" s="5">
        <v>0.2665984251968504</v>
      </c>
      <c r="O2120" t="s">
        <v>181</v>
      </c>
      <c r="P2120" t="s">
        <v>340</v>
      </c>
      <c r="Q2120" s="10" t="s">
        <v>1102</v>
      </c>
    </row>
    <row r="2121" spans="1:18" hidden="1" x14ac:dyDescent="0.25">
      <c r="A2121" s="36" t="str">
        <f t="shared" si="53"/>
        <v>Aug-18</v>
      </c>
      <c r="B2121" s="3" t="s">
        <v>1287</v>
      </c>
      <c r="C2121" s="10">
        <v>14</v>
      </c>
      <c r="D2121" s="10">
        <v>8</v>
      </c>
      <c r="E2121" s="10">
        <v>18</v>
      </c>
      <c r="F2121" t="s">
        <v>202</v>
      </c>
      <c r="G2121" t="s">
        <v>889</v>
      </c>
      <c r="H2121" t="s">
        <v>54</v>
      </c>
      <c r="I2121" t="s">
        <v>27</v>
      </c>
      <c r="J2121" s="4">
        <v>79.8</v>
      </c>
      <c r="K2121">
        <v>0.248</v>
      </c>
      <c r="L2121">
        <v>79.8</v>
      </c>
      <c r="M2121">
        <v>19.790399999999998</v>
      </c>
      <c r="N2121" s="5">
        <v>1.0017637795275589</v>
      </c>
      <c r="O2121" t="s">
        <v>181</v>
      </c>
      <c r="P2121" t="s">
        <v>340</v>
      </c>
      <c r="Q2121" s="10" t="s">
        <v>1102</v>
      </c>
    </row>
    <row r="2122" spans="1:18" hidden="1" x14ac:dyDescent="0.25">
      <c r="A2122" s="2" t="s">
        <v>513</v>
      </c>
      <c r="B2122" s="3" t="str">
        <f t="shared" ref="B2122:B2128" si="54">CONCATENATE(E2122,"/",D2122,"/",C2122)</f>
        <v>18/8/17</v>
      </c>
      <c r="C2122" s="10">
        <v>17</v>
      </c>
      <c r="D2122" s="10">
        <v>8</v>
      </c>
      <c r="E2122">
        <v>18</v>
      </c>
      <c r="F2122" t="s">
        <v>102</v>
      </c>
      <c r="H2122" t="s">
        <v>102</v>
      </c>
      <c r="I2122" t="s">
        <v>27</v>
      </c>
      <c r="J2122">
        <v>30.22</v>
      </c>
      <c r="K2122">
        <v>1</v>
      </c>
      <c r="L2122">
        <v>30.22</v>
      </c>
      <c r="M2122">
        <v>30.22</v>
      </c>
      <c r="N2122" s="5">
        <v>1.5222903198723872</v>
      </c>
      <c r="O2122" t="s">
        <v>233</v>
      </c>
      <c r="P2122" t="s">
        <v>340</v>
      </c>
      <c r="Q2122" s="10" t="s">
        <v>24</v>
      </c>
      <c r="R2122" t="s">
        <v>649</v>
      </c>
    </row>
    <row r="2123" spans="1:18" hidden="1" x14ac:dyDescent="0.25">
      <c r="A2123" s="2" t="s">
        <v>513</v>
      </c>
      <c r="B2123" s="3" t="str">
        <f t="shared" si="54"/>
        <v>18/8/17</v>
      </c>
      <c r="C2123" s="10">
        <v>17</v>
      </c>
      <c r="D2123" s="10">
        <v>8</v>
      </c>
      <c r="E2123">
        <v>18</v>
      </c>
      <c r="F2123" t="s">
        <v>102</v>
      </c>
      <c r="H2123" t="s">
        <v>102</v>
      </c>
      <c r="I2123" t="s">
        <v>27</v>
      </c>
      <c r="J2123">
        <v>47.84</v>
      </c>
      <c r="K2123">
        <v>1</v>
      </c>
      <c r="L2123">
        <v>47.84</v>
      </c>
      <c r="M2123">
        <v>47.84</v>
      </c>
      <c r="N2123" s="5">
        <v>2.4098732264293514</v>
      </c>
      <c r="O2123" t="s">
        <v>233</v>
      </c>
      <c r="P2123" t="s">
        <v>340</v>
      </c>
      <c r="Q2123" s="10" t="s">
        <v>24</v>
      </c>
      <c r="R2123" t="s">
        <v>618</v>
      </c>
    </row>
    <row r="2124" spans="1:18" hidden="1" x14ac:dyDescent="0.25">
      <c r="A2124" s="2" t="s">
        <v>513</v>
      </c>
      <c r="B2124" s="3" t="str">
        <f t="shared" si="54"/>
        <v>18/8/17</v>
      </c>
      <c r="C2124" s="10">
        <v>17</v>
      </c>
      <c r="D2124" s="10">
        <v>8</v>
      </c>
      <c r="E2124">
        <v>18</v>
      </c>
      <c r="F2124" t="s">
        <v>102</v>
      </c>
      <c r="H2124" t="s">
        <v>102</v>
      </c>
      <c r="I2124" t="s">
        <v>27</v>
      </c>
      <c r="J2124">
        <v>30.22</v>
      </c>
      <c r="K2124">
        <v>1</v>
      </c>
      <c r="L2124">
        <v>30.22</v>
      </c>
      <c r="M2124">
        <v>30.22</v>
      </c>
      <c r="N2124" s="5">
        <v>1.5222903198723872</v>
      </c>
      <c r="O2124" t="s">
        <v>233</v>
      </c>
      <c r="P2124" t="s">
        <v>340</v>
      </c>
      <c r="Q2124" s="10" t="s">
        <v>24</v>
      </c>
      <c r="R2124" t="s">
        <v>619</v>
      </c>
    </row>
    <row r="2125" spans="1:18" hidden="1" x14ac:dyDescent="0.25">
      <c r="A2125" s="2" t="s">
        <v>513</v>
      </c>
      <c r="B2125" s="3" t="str">
        <f t="shared" si="54"/>
        <v>18/8/17</v>
      </c>
      <c r="C2125" s="10">
        <v>17</v>
      </c>
      <c r="D2125" s="10">
        <v>8</v>
      </c>
      <c r="E2125">
        <v>18</v>
      </c>
      <c r="F2125" t="s">
        <v>1663</v>
      </c>
      <c r="I2125" t="s">
        <v>72</v>
      </c>
      <c r="J2125">
        <v>60.1</v>
      </c>
      <c r="K2125">
        <v>1</v>
      </c>
      <c r="L2125">
        <v>60.1</v>
      </c>
      <c r="M2125">
        <v>60.1</v>
      </c>
      <c r="N2125" s="5">
        <v>3.0274536143061042</v>
      </c>
      <c r="O2125" t="s">
        <v>233</v>
      </c>
      <c r="P2125" t="s">
        <v>340</v>
      </c>
      <c r="Q2125" s="10" t="s">
        <v>24</v>
      </c>
      <c r="R2125" t="s">
        <v>1667</v>
      </c>
    </row>
    <row r="2126" spans="1:18" hidden="1" x14ac:dyDescent="0.25">
      <c r="A2126" s="2" t="s">
        <v>513</v>
      </c>
      <c r="B2126" s="3" t="str">
        <f t="shared" si="54"/>
        <v>18/8/17</v>
      </c>
      <c r="C2126" s="10">
        <v>17</v>
      </c>
      <c r="D2126" s="10">
        <v>8</v>
      </c>
      <c r="E2126">
        <v>18</v>
      </c>
      <c r="F2126" t="s">
        <v>104</v>
      </c>
      <c r="I2126" t="s">
        <v>72</v>
      </c>
      <c r="J2126">
        <v>40.54</v>
      </c>
      <c r="K2126">
        <v>1</v>
      </c>
      <c r="L2126">
        <v>40.54</v>
      </c>
      <c r="M2126">
        <v>40.54</v>
      </c>
      <c r="N2126" s="5">
        <v>2.042145915540257</v>
      </c>
      <c r="O2126" t="s">
        <v>233</v>
      </c>
      <c r="P2126" t="s">
        <v>340</v>
      </c>
      <c r="Q2126" s="10" t="s">
        <v>24</v>
      </c>
      <c r="R2126" t="s">
        <v>563</v>
      </c>
    </row>
    <row r="2127" spans="1:18" hidden="1" x14ac:dyDescent="0.25">
      <c r="A2127" s="2" t="s">
        <v>513</v>
      </c>
      <c r="B2127" s="3" t="str">
        <f t="shared" si="54"/>
        <v>18/8/17</v>
      </c>
      <c r="C2127" s="10">
        <v>17</v>
      </c>
      <c r="D2127" s="10">
        <v>8</v>
      </c>
      <c r="E2127">
        <v>18</v>
      </c>
      <c r="F2127" t="s">
        <v>102</v>
      </c>
      <c r="H2127" t="s">
        <v>102</v>
      </c>
      <c r="I2127" t="s">
        <v>27</v>
      </c>
      <c r="J2127">
        <v>36.950000000000003</v>
      </c>
      <c r="K2127">
        <v>1</v>
      </c>
      <c r="L2127">
        <v>36.950000000000003</v>
      </c>
      <c r="M2127">
        <v>36.950000000000003</v>
      </c>
      <c r="N2127" s="5">
        <v>1.8613046763495933</v>
      </c>
      <c r="O2127" t="s">
        <v>233</v>
      </c>
      <c r="P2127" t="s">
        <v>340</v>
      </c>
      <c r="Q2127" s="10" t="s">
        <v>24</v>
      </c>
      <c r="R2127" t="s">
        <v>620</v>
      </c>
    </row>
    <row r="2128" spans="1:18" hidden="1" x14ac:dyDescent="0.25">
      <c r="A2128" s="2" t="s">
        <v>513</v>
      </c>
      <c r="B2128" s="3" t="str">
        <f t="shared" si="54"/>
        <v>18/8/17</v>
      </c>
      <c r="C2128" s="10">
        <v>17</v>
      </c>
      <c r="D2128" s="10">
        <v>8</v>
      </c>
      <c r="E2128">
        <v>18</v>
      </c>
      <c r="F2128" t="s">
        <v>140</v>
      </c>
      <c r="H2128" t="s">
        <v>49</v>
      </c>
      <c r="I2128" t="s">
        <v>50</v>
      </c>
      <c r="J2128">
        <v>0.01</v>
      </c>
      <c r="K2128">
        <v>1</v>
      </c>
      <c r="L2128">
        <v>0.01</v>
      </c>
      <c r="M2128">
        <v>0.01</v>
      </c>
      <c r="N2128" s="5">
        <v>5.0373604231382764E-4</v>
      </c>
      <c r="O2128" t="s">
        <v>233</v>
      </c>
      <c r="P2128" t="s">
        <v>340</v>
      </c>
      <c r="Q2128" s="10" t="s">
        <v>24</v>
      </c>
      <c r="R2128" t="s">
        <v>517</v>
      </c>
    </row>
    <row r="2129" spans="1:18" hidden="1" x14ac:dyDescent="0.25">
      <c r="A2129" s="36" t="str">
        <f t="shared" ref="A2129:A2135" si="55">IF(D2129=1,"Jan-18",IF(D2129=2,"Feb-18",IF(D2129=3,"Mar-18",IF(D2129=4,"Apr-18",IF(D2129=5,"May-18",IF(D2129=6,"Jun-18",(IF(D2129=7,"Jul-18",IF(D2129=8,"Aug-18",IF(D2129=9,"Sep-18",IF(D2129=10,"Oct-18",IF(D2129=11,"Nov-18",IF(D2129=12,"Dec-18","...")))))))))))))</f>
        <v>Aug-18</v>
      </c>
      <c r="B2129" s="3" t="s">
        <v>1246</v>
      </c>
      <c r="C2129" s="10">
        <v>17</v>
      </c>
      <c r="D2129" s="10">
        <v>8</v>
      </c>
      <c r="E2129" s="10">
        <v>18</v>
      </c>
      <c r="F2129" t="s">
        <v>641</v>
      </c>
      <c r="G2129" t="s">
        <v>889</v>
      </c>
      <c r="H2129" t="s">
        <v>53</v>
      </c>
      <c r="I2129" t="s">
        <v>27</v>
      </c>
      <c r="J2129" s="4">
        <v>10</v>
      </c>
      <c r="K2129">
        <v>1</v>
      </c>
      <c r="L2129">
        <v>10</v>
      </c>
      <c r="M2129">
        <v>10</v>
      </c>
      <c r="N2129" s="5">
        <v>0.50618672665916753</v>
      </c>
      <c r="O2129" t="s">
        <v>101</v>
      </c>
      <c r="P2129" t="s">
        <v>340</v>
      </c>
      <c r="Q2129" s="10" t="s">
        <v>1102</v>
      </c>
    </row>
    <row r="2130" spans="1:18" hidden="1" x14ac:dyDescent="0.25">
      <c r="A2130" s="36" t="str">
        <f t="shared" si="55"/>
        <v>Aug-18</v>
      </c>
      <c r="B2130" s="3" t="s">
        <v>1246</v>
      </c>
      <c r="C2130" s="10">
        <v>17</v>
      </c>
      <c r="D2130" s="10">
        <v>8</v>
      </c>
      <c r="E2130" s="10">
        <v>18</v>
      </c>
      <c r="F2130" t="s">
        <v>1243</v>
      </c>
      <c r="G2130" t="s">
        <v>889</v>
      </c>
      <c r="H2130" t="s">
        <v>53</v>
      </c>
      <c r="I2130" s="35" t="s">
        <v>27</v>
      </c>
      <c r="J2130" s="4">
        <v>26</v>
      </c>
      <c r="K2130">
        <v>1</v>
      </c>
      <c r="L2130">
        <v>26</v>
      </c>
      <c r="M2130">
        <v>26</v>
      </c>
      <c r="N2130" s="5">
        <v>1.3160854893138356</v>
      </c>
      <c r="O2130" t="s">
        <v>101</v>
      </c>
      <c r="P2130" t="s">
        <v>340</v>
      </c>
      <c r="Q2130" s="10" t="s">
        <v>1102</v>
      </c>
    </row>
    <row r="2131" spans="1:18" hidden="1" x14ac:dyDescent="0.25">
      <c r="A2131" s="36" t="str">
        <f t="shared" si="55"/>
        <v>Aug-18</v>
      </c>
      <c r="B2131" s="3" t="s">
        <v>1246</v>
      </c>
      <c r="C2131" s="10">
        <v>17</v>
      </c>
      <c r="D2131" s="10">
        <v>8</v>
      </c>
      <c r="E2131" s="10">
        <v>18</v>
      </c>
      <c r="F2131" t="s">
        <v>55</v>
      </c>
      <c r="G2131" t="s">
        <v>889</v>
      </c>
      <c r="H2131" t="s">
        <v>56</v>
      </c>
      <c r="I2131" s="32" t="s">
        <v>27</v>
      </c>
      <c r="J2131" s="4">
        <v>29.99</v>
      </c>
      <c r="K2131">
        <v>0.39</v>
      </c>
      <c r="L2131">
        <v>29.99</v>
      </c>
      <c r="M2131">
        <v>11.696099999999999</v>
      </c>
      <c r="N2131" s="5">
        <v>0.59204105736782897</v>
      </c>
      <c r="O2131" t="s">
        <v>101</v>
      </c>
      <c r="P2131" t="s">
        <v>340</v>
      </c>
      <c r="Q2131" s="10" t="s">
        <v>1102</v>
      </c>
    </row>
    <row r="2132" spans="1:18" hidden="1" x14ac:dyDescent="0.25">
      <c r="A2132" s="36" t="str">
        <f t="shared" si="55"/>
        <v>Aug-18</v>
      </c>
      <c r="B2132" s="3" t="s">
        <v>1246</v>
      </c>
      <c r="C2132" s="10">
        <v>17</v>
      </c>
      <c r="D2132" s="10">
        <v>8</v>
      </c>
      <c r="E2132" s="10">
        <v>18</v>
      </c>
      <c r="F2132" t="s">
        <v>2242</v>
      </c>
      <c r="G2132" t="s">
        <v>345</v>
      </c>
      <c r="H2132" t="s">
        <v>26</v>
      </c>
      <c r="I2132" t="s">
        <v>27</v>
      </c>
      <c r="J2132" s="4">
        <v>6.5</v>
      </c>
      <c r="K2132">
        <v>1</v>
      </c>
      <c r="L2132">
        <v>6.5</v>
      </c>
      <c r="M2132">
        <v>6.5</v>
      </c>
      <c r="N2132" s="5">
        <v>0.32902137232845891</v>
      </c>
      <c r="O2132" t="s">
        <v>101</v>
      </c>
      <c r="P2132" t="s">
        <v>340</v>
      </c>
      <c r="Q2132" s="10" t="s">
        <v>1102</v>
      </c>
    </row>
    <row r="2133" spans="1:18" hidden="1" x14ac:dyDescent="0.25">
      <c r="A2133" s="36" t="str">
        <f t="shared" si="55"/>
        <v>Aug-18</v>
      </c>
      <c r="B2133" s="3" t="s">
        <v>1246</v>
      </c>
      <c r="C2133" s="10">
        <v>17</v>
      </c>
      <c r="D2133" s="10">
        <v>8</v>
      </c>
      <c r="E2133" s="10">
        <v>18</v>
      </c>
      <c r="F2133" t="s">
        <v>55</v>
      </c>
      <c r="G2133" t="s">
        <v>889</v>
      </c>
      <c r="H2133" t="s">
        <v>56</v>
      </c>
      <c r="I2133" t="s">
        <v>27</v>
      </c>
      <c r="J2133" s="4">
        <v>18.2</v>
      </c>
      <c r="K2133">
        <v>1.3280000000000001</v>
      </c>
      <c r="L2133">
        <v>18.2</v>
      </c>
      <c r="M2133">
        <v>24.169599999999999</v>
      </c>
      <c r="N2133" s="5">
        <v>1.2234330708661416</v>
      </c>
      <c r="O2133" t="s">
        <v>181</v>
      </c>
      <c r="P2133" t="s">
        <v>340</v>
      </c>
      <c r="Q2133" s="10" t="s">
        <v>1102</v>
      </c>
    </row>
    <row r="2134" spans="1:18" hidden="1" x14ac:dyDescent="0.25">
      <c r="A2134" s="36" t="str">
        <f t="shared" si="55"/>
        <v>Aug-18</v>
      </c>
      <c r="B2134" s="3" t="s">
        <v>1246</v>
      </c>
      <c r="C2134" s="10">
        <v>17</v>
      </c>
      <c r="D2134" s="10">
        <v>8</v>
      </c>
      <c r="E2134" s="10">
        <v>18</v>
      </c>
      <c r="F2134" t="s">
        <v>357</v>
      </c>
      <c r="G2134" t="s">
        <v>889</v>
      </c>
      <c r="H2134" t="s">
        <v>467</v>
      </c>
      <c r="I2134" t="s">
        <v>27</v>
      </c>
      <c r="J2134" s="4">
        <v>6.5</v>
      </c>
      <c r="K2134">
        <v>1</v>
      </c>
      <c r="L2134">
        <v>6.5</v>
      </c>
      <c r="M2134">
        <v>6.5</v>
      </c>
      <c r="N2134" s="5">
        <v>0.32902137232845891</v>
      </c>
      <c r="O2134" t="s">
        <v>181</v>
      </c>
      <c r="P2134" t="s">
        <v>340</v>
      </c>
      <c r="Q2134" s="10" t="s">
        <v>1102</v>
      </c>
    </row>
    <row r="2135" spans="1:18" hidden="1" x14ac:dyDescent="0.25">
      <c r="A2135" s="36" t="str">
        <f t="shared" si="55"/>
        <v>Aug-18</v>
      </c>
      <c r="B2135" s="3" t="s">
        <v>1246</v>
      </c>
      <c r="C2135" s="10">
        <v>17</v>
      </c>
      <c r="D2135" s="10">
        <v>8</v>
      </c>
      <c r="E2135" s="10">
        <v>18</v>
      </c>
      <c r="F2135" t="s">
        <v>73</v>
      </c>
      <c r="G2135" t="s">
        <v>889</v>
      </c>
      <c r="H2135" t="s">
        <v>73</v>
      </c>
      <c r="I2135" t="s">
        <v>27</v>
      </c>
      <c r="J2135" s="4">
        <v>15.65</v>
      </c>
      <c r="K2135">
        <v>1</v>
      </c>
      <c r="L2135">
        <v>15.65</v>
      </c>
      <c r="M2135">
        <v>15.65</v>
      </c>
      <c r="N2135" s="5">
        <v>0.79218222722159726</v>
      </c>
      <c r="O2135" t="s">
        <v>181</v>
      </c>
      <c r="P2135" t="s">
        <v>340</v>
      </c>
      <c r="Q2135" s="10" t="s">
        <v>1102</v>
      </c>
    </row>
    <row r="2136" spans="1:18" hidden="1" x14ac:dyDescent="0.25">
      <c r="A2136" s="9" t="s">
        <v>513</v>
      </c>
      <c r="B2136" s="3" t="s">
        <v>1246</v>
      </c>
      <c r="C2136" s="10">
        <v>17</v>
      </c>
      <c r="D2136" s="10">
        <v>8</v>
      </c>
      <c r="E2136" s="10">
        <v>18</v>
      </c>
      <c r="F2136" t="s">
        <v>39</v>
      </c>
      <c r="G2136" t="s">
        <v>889</v>
      </c>
      <c r="H2136" t="s">
        <v>889</v>
      </c>
      <c r="I2136" t="s">
        <v>39</v>
      </c>
      <c r="J2136" s="4">
        <v>10</v>
      </c>
      <c r="K2136">
        <v>1</v>
      </c>
      <c r="L2136">
        <v>10</v>
      </c>
      <c r="M2136">
        <v>10</v>
      </c>
      <c r="N2136" s="5">
        <v>0.50618672665916753</v>
      </c>
      <c r="O2136" t="s">
        <v>1321</v>
      </c>
      <c r="P2136" t="s">
        <v>340</v>
      </c>
      <c r="Q2136" s="10" t="s">
        <v>24</v>
      </c>
      <c r="R2136" t="s">
        <v>2032</v>
      </c>
    </row>
    <row r="2137" spans="1:18" hidden="1" x14ac:dyDescent="0.25">
      <c r="A2137" s="9" t="s">
        <v>513</v>
      </c>
      <c r="B2137" s="3" t="s">
        <v>1336</v>
      </c>
      <c r="C2137" s="10">
        <v>18</v>
      </c>
      <c r="D2137" s="10">
        <v>8</v>
      </c>
      <c r="E2137" s="10">
        <v>18</v>
      </c>
      <c r="F2137" t="s">
        <v>53</v>
      </c>
      <c r="G2137" t="s">
        <v>889</v>
      </c>
      <c r="H2137" t="s">
        <v>53</v>
      </c>
      <c r="I2137" t="s">
        <v>27</v>
      </c>
      <c r="J2137" s="4">
        <v>11</v>
      </c>
      <c r="K2137">
        <v>1</v>
      </c>
      <c r="L2137">
        <v>11</v>
      </c>
      <c r="M2137">
        <v>11</v>
      </c>
      <c r="N2137" s="5">
        <v>0.55680539932508433</v>
      </c>
      <c r="O2137" t="s">
        <v>39</v>
      </c>
      <c r="P2137" t="s">
        <v>340</v>
      </c>
      <c r="Q2137" s="10" t="s">
        <v>24</v>
      </c>
    </row>
    <row r="2138" spans="1:18" hidden="1" x14ac:dyDescent="0.25">
      <c r="A2138" s="9" t="s">
        <v>513</v>
      </c>
      <c r="B2138" s="3" t="s">
        <v>1336</v>
      </c>
      <c r="C2138" s="10">
        <v>18</v>
      </c>
      <c r="D2138" s="10">
        <v>8</v>
      </c>
      <c r="E2138" s="10">
        <v>18</v>
      </c>
      <c r="F2138" t="s">
        <v>102</v>
      </c>
      <c r="H2138" t="s">
        <v>102</v>
      </c>
      <c r="I2138" t="s">
        <v>27</v>
      </c>
      <c r="J2138" s="4">
        <v>15</v>
      </c>
      <c r="K2138">
        <v>1</v>
      </c>
      <c r="L2138">
        <v>15</v>
      </c>
      <c r="M2138">
        <v>15</v>
      </c>
      <c r="N2138" s="5">
        <v>0.75928008998875141</v>
      </c>
      <c r="O2138" t="s">
        <v>39</v>
      </c>
      <c r="P2138" t="s">
        <v>340</v>
      </c>
      <c r="Q2138" s="10" t="s">
        <v>24</v>
      </c>
    </row>
    <row r="2139" spans="1:18" hidden="1" x14ac:dyDescent="0.25">
      <c r="A2139" s="9" t="s">
        <v>513</v>
      </c>
      <c r="B2139" s="3" t="s">
        <v>1336</v>
      </c>
      <c r="C2139" s="10">
        <v>18</v>
      </c>
      <c r="D2139" s="10">
        <v>8</v>
      </c>
      <c r="E2139" s="10">
        <v>18</v>
      </c>
      <c r="F2139" t="s">
        <v>102</v>
      </c>
      <c r="H2139" t="s">
        <v>102</v>
      </c>
      <c r="I2139" t="s">
        <v>27</v>
      </c>
      <c r="J2139" s="4">
        <v>11</v>
      </c>
      <c r="K2139">
        <v>1</v>
      </c>
      <c r="L2139">
        <v>11</v>
      </c>
      <c r="M2139">
        <v>11</v>
      </c>
      <c r="N2139" s="5">
        <v>0.55680539932508433</v>
      </c>
      <c r="O2139" t="s">
        <v>39</v>
      </c>
      <c r="P2139" t="s">
        <v>340</v>
      </c>
      <c r="Q2139" s="10" t="s">
        <v>24</v>
      </c>
    </row>
    <row r="2140" spans="1:18" hidden="1" x14ac:dyDescent="0.25">
      <c r="A2140" s="9" t="s">
        <v>513</v>
      </c>
      <c r="B2140" s="3" t="s">
        <v>1436</v>
      </c>
      <c r="C2140" s="10">
        <v>2</v>
      </c>
      <c r="D2140" s="10">
        <v>8</v>
      </c>
      <c r="E2140" s="10">
        <v>18</v>
      </c>
      <c r="F2140" t="s">
        <v>435</v>
      </c>
      <c r="G2140" t="s">
        <v>889</v>
      </c>
      <c r="H2140" t="s">
        <v>889</v>
      </c>
      <c r="I2140" t="s">
        <v>431</v>
      </c>
      <c r="J2140" s="4">
        <v>77</v>
      </c>
      <c r="K2140">
        <v>1</v>
      </c>
      <c r="L2140">
        <v>77</v>
      </c>
      <c r="M2140">
        <v>77</v>
      </c>
      <c r="N2140" s="5">
        <v>3.8976377952755903</v>
      </c>
      <c r="O2140" t="s">
        <v>39</v>
      </c>
      <c r="P2140" t="s">
        <v>340</v>
      </c>
      <c r="Q2140" s="10" t="s">
        <v>84</v>
      </c>
    </row>
    <row r="2141" spans="1:18" hidden="1" x14ac:dyDescent="0.25">
      <c r="A2141" s="9" t="s">
        <v>513</v>
      </c>
      <c r="B2141" s="3" t="s">
        <v>1436</v>
      </c>
      <c r="C2141" s="10">
        <v>2</v>
      </c>
      <c r="D2141" s="10">
        <v>8</v>
      </c>
      <c r="E2141" s="10">
        <v>18</v>
      </c>
      <c r="F2141" t="s">
        <v>81</v>
      </c>
      <c r="G2141" t="s">
        <v>889</v>
      </c>
      <c r="H2141" t="s">
        <v>889</v>
      </c>
      <c r="I2141" t="s">
        <v>82</v>
      </c>
      <c r="J2141" s="4">
        <v>790</v>
      </c>
      <c r="K2141">
        <v>1</v>
      </c>
      <c r="L2141">
        <v>790</v>
      </c>
      <c r="M2141">
        <v>790</v>
      </c>
      <c r="N2141" s="5">
        <v>39.988751406074236</v>
      </c>
      <c r="O2141" t="s">
        <v>39</v>
      </c>
      <c r="P2141" t="s">
        <v>340</v>
      </c>
      <c r="Q2141" s="10" t="s">
        <v>24</v>
      </c>
      <c r="R2141" t="s">
        <v>1430</v>
      </c>
    </row>
    <row r="2142" spans="1:18" hidden="1" x14ac:dyDescent="0.25">
      <c r="A2142" s="9" t="s">
        <v>513</v>
      </c>
      <c r="B2142" s="3" t="s">
        <v>1330</v>
      </c>
      <c r="C2142" s="10">
        <v>20</v>
      </c>
      <c r="D2142" s="10">
        <v>8</v>
      </c>
      <c r="E2142" s="10">
        <v>18</v>
      </c>
      <c r="F2142" t="s">
        <v>389</v>
      </c>
      <c r="G2142" t="s">
        <v>889</v>
      </c>
      <c r="H2142" t="s">
        <v>21</v>
      </c>
      <c r="I2142" t="s">
        <v>22</v>
      </c>
      <c r="J2142" s="4">
        <v>4</v>
      </c>
      <c r="K2142">
        <v>1</v>
      </c>
      <c r="L2142">
        <v>4</v>
      </c>
      <c r="M2142">
        <v>4</v>
      </c>
      <c r="N2142" s="5">
        <v>0.20247469066366702</v>
      </c>
      <c r="O2142" t="s">
        <v>1320</v>
      </c>
      <c r="P2142" t="s">
        <v>340</v>
      </c>
      <c r="Q2142" s="10" t="s">
        <v>24</v>
      </c>
      <c r="R2142" t="s">
        <v>353</v>
      </c>
    </row>
    <row r="2143" spans="1:18" hidden="1" x14ac:dyDescent="0.25">
      <c r="A2143" s="2" t="s">
        <v>513</v>
      </c>
      <c r="B2143" s="3" t="str">
        <f>CONCATENATE(E2143,"/",D2143,"/",C2143)</f>
        <v>18/8/21</v>
      </c>
      <c r="C2143" s="10">
        <v>21</v>
      </c>
      <c r="D2143" s="10">
        <v>8</v>
      </c>
      <c r="E2143">
        <v>18</v>
      </c>
      <c r="F2143" t="s">
        <v>168</v>
      </c>
      <c r="H2143" t="s">
        <v>168</v>
      </c>
      <c r="I2143" t="s">
        <v>105</v>
      </c>
      <c r="J2143">
        <v>249</v>
      </c>
      <c r="K2143">
        <v>1</v>
      </c>
      <c r="L2143">
        <v>249</v>
      </c>
      <c r="M2143">
        <v>249</v>
      </c>
      <c r="N2143" s="5">
        <v>12.525150905432596</v>
      </c>
      <c r="O2143" t="s">
        <v>39</v>
      </c>
      <c r="Q2143" s="10" t="s">
        <v>24</v>
      </c>
    </row>
    <row r="2144" spans="1:18" hidden="1" x14ac:dyDescent="0.25">
      <c r="A2144" s="2" t="s">
        <v>513</v>
      </c>
      <c r="B2144" s="3" t="str">
        <f>CONCATENATE(E2144,"/",D2144,"/",C2144)</f>
        <v>18/8/21</v>
      </c>
      <c r="C2144" s="10">
        <v>21</v>
      </c>
      <c r="D2144" s="10">
        <v>8</v>
      </c>
      <c r="E2144">
        <v>18</v>
      </c>
      <c r="F2144" t="s">
        <v>169</v>
      </c>
      <c r="H2144" t="s">
        <v>170</v>
      </c>
      <c r="I2144" t="s">
        <v>105</v>
      </c>
      <c r="J2144">
        <v>210</v>
      </c>
      <c r="K2144">
        <v>1</v>
      </c>
      <c r="L2144">
        <v>210</v>
      </c>
      <c r="M2144">
        <v>210</v>
      </c>
      <c r="N2144" s="5">
        <v>10.563380281690142</v>
      </c>
      <c r="O2144" t="s">
        <v>39</v>
      </c>
      <c r="Q2144" s="10" t="s">
        <v>24</v>
      </c>
    </row>
    <row r="2145" spans="1:18" hidden="1" x14ac:dyDescent="0.25">
      <c r="A2145" s="2" t="s">
        <v>513</v>
      </c>
      <c r="B2145" s="3" t="str">
        <f>CONCATENATE(E2145,"/",D2145,"/",C2145)</f>
        <v>18/8/21</v>
      </c>
      <c r="C2145" s="10">
        <v>21</v>
      </c>
      <c r="D2145" s="10">
        <v>8</v>
      </c>
      <c r="E2145">
        <v>18</v>
      </c>
      <c r="F2145" t="s">
        <v>176</v>
      </c>
      <c r="H2145" t="s">
        <v>176</v>
      </c>
      <c r="I2145" t="s">
        <v>105</v>
      </c>
      <c r="J2145">
        <v>184</v>
      </c>
      <c r="K2145">
        <v>1</v>
      </c>
      <c r="L2145">
        <v>184</v>
      </c>
      <c r="M2145">
        <v>184</v>
      </c>
      <c r="N2145" s="5">
        <v>9.2555331991951721</v>
      </c>
      <c r="O2145" t="s">
        <v>39</v>
      </c>
      <c r="Q2145" s="10" t="s">
        <v>24</v>
      </c>
    </row>
    <row r="2146" spans="1:18" hidden="1" x14ac:dyDescent="0.25">
      <c r="A2146" s="2" t="s">
        <v>513</v>
      </c>
      <c r="B2146" s="3" t="str">
        <f>CONCATENATE(E2146,"/",D2146,"/",C2146)</f>
        <v>18/8/21</v>
      </c>
      <c r="C2146" s="10">
        <v>21</v>
      </c>
      <c r="D2146" s="10">
        <v>8</v>
      </c>
      <c r="E2146">
        <v>18</v>
      </c>
      <c r="F2146" t="s">
        <v>179</v>
      </c>
      <c r="H2146" t="s">
        <v>179</v>
      </c>
      <c r="I2146" t="s">
        <v>105</v>
      </c>
      <c r="J2146">
        <v>66</v>
      </c>
      <c r="K2146">
        <v>1</v>
      </c>
      <c r="L2146">
        <v>66</v>
      </c>
      <c r="M2146">
        <v>66</v>
      </c>
      <c r="N2146" s="5">
        <v>3.3199195171026159</v>
      </c>
      <c r="O2146" t="s">
        <v>39</v>
      </c>
      <c r="Q2146" s="10" t="s">
        <v>24</v>
      </c>
    </row>
    <row r="2147" spans="1:18" hidden="1" x14ac:dyDescent="0.25">
      <c r="A2147" s="36" t="str">
        <f>IF(D2147=1,"Jan-18",IF(D2147=2,"Feb-18",IF(D2147=3,"Mar-18",IF(D2147=4,"Apr-18",IF(D2147=5,"May-18",IF(D2147=6,"Jun-18",(IF(D2147=7,"Jul-18",IF(D2147=8,"Aug-18",IF(D2147=9,"Sep-18",IF(D2147=10,"Oct-18",IF(D2147=11,"Nov-18",IF(D2147=12,"Dec-18","...")))))))))))))</f>
        <v>Aug-18</v>
      </c>
      <c r="B2147" s="3" t="s">
        <v>1270</v>
      </c>
      <c r="C2147" s="10">
        <v>21</v>
      </c>
      <c r="D2147" s="10">
        <v>8</v>
      </c>
      <c r="E2147" s="10">
        <v>18</v>
      </c>
      <c r="F2147" t="s">
        <v>906</v>
      </c>
      <c r="G2147" t="s">
        <v>889</v>
      </c>
      <c r="H2147" t="s">
        <v>65</v>
      </c>
      <c r="I2147" t="s">
        <v>27</v>
      </c>
      <c r="J2147" s="4">
        <v>35.25</v>
      </c>
      <c r="K2147">
        <v>1</v>
      </c>
      <c r="L2147">
        <v>35.25</v>
      </c>
      <c r="M2147">
        <v>35.25</v>
      </c>
      <c r="N2147" s="5">
        <v>1.7843082114735658</v>
      </c>
      <c r="O2147" t="s">
        <v>100</v>
      </c>
      <c r="P2147" t="s">
        <v>340</v>
      </c>
      <c r="Q2147" s="10" t="s">
        <v>1102</v>
      </c>
    </row>
    <row r="2148" spans="1:18" hidden="1" x14ac:dyDescent="0.25">
      <c r="A2148" s="36" t="str">
        <f>IF(D2148=1,"Jan-18",IF(D2148=2,"Feb-18",IF(D2148=3,"Mar-18",IF(D2148=4,"Apr-18",IF(D2148=5,"May-18",IF(D2148=6,"Jun-18",(IF(D2148=7,"Jul-18",IF(D2148=8,"Aug-18",IF(D2148=9,"Sep-18",IF(D2148=10,"Oct-18",IF(D2148=11,"Nov-18",IF(D2148=12,"Dec-18","...")))))))))))))</f>
        <v>Aug-18</v>
      </c>
      <c r="B2148" s="3" t="s">
        <v>1270</v>
      </c>
      <c r="C2148" s="10">
        <v>21</v>
      </c>
      <c r="D2148" s="10">
        <v>8</v>
      </c>
      <c r="E2148" s="10">
        <v>18</v>
      </c>
      <c r="F2148" t="s">
        <v>1264</v>
      </c>
      <c r="G2148" t="s">
        <v>31</v>
      </c>
      <c r="H2148" t="s">
        <v>26</v>
      </c>
      <c r="I2148" t="s">
        <v>27</v>
      </c>
      <c r="J2148" s="4">
        <v>29.75</v>
      </c>
      <c r="K2148">
        <v>1</v>
      </c>
      <c r="L2148">
        <v>29.75</v>
      </c>
      <c r="M2148">
        <v>29.75</v>
      </c>
      <c r="N2148" s="5">
        <v>1.5059055118110236</v>
      </c>
      <c r="O2148" t="s">
        <v>100</v>
      </c>
      <c r="P2148" t="s">
        <v>340</v>
      </c>
      <c r="Q2148" s="10" t="s">
        <v>1102</v>
      </c>
    </row>
    <row r="2149" spans="1:18" hidden="1" x14ac:dyDescent="0.25">
      <c r="A2149" s="36" t="str">
        <f>IF(D2149=1,"Jan-18",IF(D2149=2,"Feb-18",IF(D2149=3,"Mar-18",IF(D2149=4,"Apr-18",IF(D2149=5,"May-18",IF(D2149=6,"Jun-18",(IF(D2149=7,"Jul-18",IF(D2149=8,"Aug-18",IF(D2149=9,"Sep-18",IF(D2149=10,"Oct-18",IF(D2149=11,"Nov-18",IF(D2149=12,"Dec-18","...")))))))))))))</f>
        <v>Aug-18</v>
      </c>
      <c r="B2149" s="3" t="s">
        <v>1270</v>
      </c>
      <c r="C2149" s="10">
        <v>21</v>
      </c>
      <c r="D2149" s="10">
        <v>8</v>
      </c>
      <c r="E2149" s="10">
        <v>18</v>
      </c>
      <c r="F2149" t="s">
        <v>118</v>
      </c>
      <c r="G2149" t="s">
        <v>889</v>
      </c>
      <c r="H2149" t="s">
        <v>40</v>
      </c>
      <c r="I2149" t="s">
        <v>27</v>
      </c>
      <c r="J2149" s="4">
        <v>10</v>
      </c>
      <c r="K2149">
        <v>1</v>
      </c>
      <c r="L2149">
        <v>10</v>
      </c>
      <c r="M2149">
        <v>10</v>
      </c>
      <c r="N2149" s="5">
        <v>0.50618672665916753</v>
      </c>
      <c r="O2149" t="s">
        <v>100</v>
      </c>
      <c r="P2149" t="s">
        <v>340</v>
      </c>
      <c r="Q2149" s="10" t="s">
        <v>1102</v>
      </c>
    </row>
    <row r="2150" spans="1:18" hidden="1" x14ac:dyDescent="0.25">
      <c r="A2150" s="36" t="str">
        <f>IF(D2150=1,"Jan-18",IF(D2150=2,"Feb-18",IF(D2150=3,"Mar-18",IF(D2150=4,"Apr-18",IF(D2150=5,"May-18",IF(D2150=6,"Jun-18",(IF(D2150=7,"Jul-18",IF(D2150=8,"Aug-18",IF(D2150=9,"Sep-18",IF(D2150=10,"Oct-18",IF(D2150=11,"Nov-18",IF(D2150=12,"Dec-18","...")))))))))))))</f>
        <v>Aug-18</v>
      </c>
      <c r="B2150" s="3" t="s">
        <v>1270</v>
      </c>
      <c r="C2150" s="10">
        <v>21</v>
      </c>
      <c r="D2150" s="10">
        <v>8</v>
      </c>
      <c r="E2150" s="10">
        <v>18</v>
      </c>
      <c r="F2150" t="s">
        <v>47</v>
      </c>
      <c r="G2150" t="s">
        <v>31</v>
      </c>
      <c r="H2150" t="s">
        <v>26</v>
      </c>
      <c r="I2150" t="s">
        <v>27</v>
      </c>
      <c r="J2150" s="4">
        <v>6.45</v>
      </c>
      <c r="K2150">
        <v>1</v>
      </c>
      <c r="L2150">
        <v>6.45</v>
      </c>
      <c r="M2150">
        <v>6.45</v>
      </c>
      <c r="N2150" s="5">
        <v>0.32649043869516309</v>
      </c>
      <c r="O2150" t="s">
        <v>100</v>
      </c>
      <c r="P2150" t="s">
        <v>340</v>
      </c>
      <c r="Q2150" s="10" t="s">
        <v>1102</v>
      </c>
    </row>
    <row r="2151" spans="1:18" hidden="1" x14ac:dyDescent="0.25">
      <c r="A2151" s="36" t="str">
        <f>IF(D2151=1,"Jan-18",IF(D2151=2,"Feb-18",IF(D2151=3,"Mar-18",IF(D2151=4,"Apr-18",IF(D2151=5,"May-18",IF(D2151=6,"Jun-18",(IF(D2151=7,"Jul-18",IF(D2151=8,"Aug-18",IF(D2151=9,"Sep-18",IF(D2151=10,"Oct-18",IF(D2151=11,"Nov-18",IF(D2151=12,"Dec-18","...")))))))))))))</f>
        <v>Aug-18</v>
      </c>
      <c r="B2151" s="3" t="s">
        <v>1270</v>
      </c>
      <c r="C2151" s="10">
        <v>21</v>
      </c>
      <c r="D2151" s="10">
        <v>8</v>
      </c>
      <c r="E2151" s="10">
        <v>18</v>
      </c>
      <c r="F2151" t="s">
        <v>146</v>
      </c>
      <c r="H2151" t="s">
        <v>49</v>
      </c>
      <c r="I2151" t="s">
        <v>50</v>
      </c>
      <c r="J2151" s="4">
        <v>0.75</v>
      </c>
      <c r="K2151">
        <v>1</v>
      </c>
      <c r="L2151">
        <v>0.75</v>
      </c>
      <c r="M2151">
        <v>0.75</v>
      </c>
      <c r="N2151" s="5">
        <v>3.796400449943757E-2</v>
      </c>
      <c r="O2151" t="s">
        <v>100</v>
      </c>
      <c r="P2151" t="s">
        <v>340</v>
      </c>
      <c r="Q2151" s="10" t="s">
        <v>1102</v>
      </c>
    </row>
    <row r="2152" spans="1:18" hidden="1" x14ac:dyDescent="0.25">
      <c r="A2152" s="2" t="s">
        <v>513</v>
      </c>
      <c r="B2152" s="3" t="str">
        <f t="shared" ref="B2152:B2161" si="56">CONCATENATE(E2152,"/",D2152,"/",C2152)</f>
        <v>18/8/22</v>
      </c>
      <c r="C2152" s="10">
        <v>22</v>
      </c>
      <c r="D2152" s="10">
        <v>8</v>
      </c>
      <c r="E2152">
        <v>18</v>
      </c>
      <c r="F2152" t="s">
        <v>632</v>
      </c>
      <c r="I2152" t="s">
        <v>72</v>
      </c>
      <c r="J2152">
        <v>17</v>
      </c>
      <c r="K2152">
        <v>1</v>
      </c>
      <c r="L2152">
        <v>17</v>
      </c>
      <c r="M2152">
        <v>17</v>
      </c>
      <c r="N2152" s="5">
        <v>0.85635127193350702</v>
      </c>
      <c r="O2152" t="s">
        <v>633</v>
      </c>
      <c r="P2152" t="s">
        <v>340</v>
      </c>
      <c r="Q2152" s="10" t="s">
        <v>24</v>
      </c>
      <c r="R2152" t="s">
        <v>517</v>
      </c>
    </row>
    <row r="2153" spans="1:18" hidden="1" x14ac:dyDescent="0.25">
      <c r="A2153" s="2" t="s">
        <v>513</v>
      </c>
      <c r="B2153" s="3" t="str">
        <f t="shared" si="56"/>
        <v>18/8/22</v>
      </c>
      <c r="C2153" s="10">
        <v>22</v>
      </c>
      <c r="D2153" s="10">
        <v>8</v>
      </c>
      <c r="E2153">
        <v>18</v>
      </c>
      <c r="F2153" t="s">
        <v>104</v>
      </c>
      <c r="I2153" t="s">
        <v>72</v>
      </c>
      <c r="J2153">
        <v>109.26</v>
      </c>
      <c r="K2153">
        <v>1</v>
      </c>
      <c r="L2153">
        <v>109.26</v>
      </c>
      <c r="M2153">
        <v>109.26</v>
      </c>
      <c r="N2153" s="5">
        <v>5.5038199983208811</v>
      </c>
      <c r="O2153" t="s">
        <v>233</v>
      </c>
      <c r="P2153" t="s">
        <v>340</v>
      </c>
      <c r="Q2153" s="10" t="s">
        <v>24</v>
      </c>
      <c r="R2153" t="s">
        <v>621</v>
      </c>
    </row>
    <row r="2154" spans="1:18" hidden="1" x14ac:dyDescent="0.25">
      <c r="A2154" s="2" t="s">
        <v>513</v>
      </c>
      <c r="B2154" s="3" t="str">
        <f t="shared" si="56"/>
        <v>18/8/22</v>
      </c>
      <c r="C2154" s="10">
        <v>22</v>
      </c>
      <c r="D2154" s="10">
        <v>8</v>
      </c>
      <c r="E2154">
        <v>18</v>
      </c>
      <c r="F2154" t="s">
        <v>104</v>
      </c>
      <c r="I2154" t="s">
        <v>72</v>
      </c>
      <c r="J2154">
        <v>159.28</v>
      </c>
      <c r="K2154">
        <v>1</v>
      </c>
      <c r="L2154">
        <v>159.28</v>
      </c>
      <c r="M2154">
        <v>159.28</v>
      </c>
      <c r="N2154" s="5">
        <v>8.023507681974646</v>
      </c>
      <c r="O2154" t="s">
        <v>233</v>
      </c>
      <c r="P2154" t="s">
        <v>340</v>
      </c>
      <c r="Q2154" s="10" t="s">
        <v>24</v>
      </c>
      <c r="R2154" t="s">
        <v>622</v>
      </c>
    </row>
    <row r="2155" spans="1:18" hidden="1" x14ac:dyDescent="0.25">
      <c r="A2155" s="2" t="s">
        <v>513</v>
      </c>
      <c r="B2155" s="3" t="str">
        <f t="shared" si="56"/>
        <v>18/8/22</v>
      </c>
      <c r="C2155" s="10">
        <v>22</v>
      </c>
      <c r="D2155" s="10">
        <v>8</v>
      </c>
      <c r="E2155">
        <v>18</v>
      </c>
      <c r="F2155" t="s">
        <v>104</v>
      </c>
      <c r="I2155" t="s">
        <v>72</v>
      </c>
      <c r="J2155">
        <v>127.93</v>
      </c>
      <c r="K2155">
        <v>2</v>
      </c>
      <c r="L2155">
        <v>127.93</v>
      </c>
      <c r="M2155">
        <v>255.86</v>
      </c>
      <c r="N2155" s="5">
        <v>12.888590378641595</v>
      </c>
      <c r="O2155" t="s">
        <v>233</v>
      </c>
      <c r="P2155" t="s">
        <v>340</v>
      </c>
      <c r="Q2155" s="10" t="s">
        <v>24</v>
      </c>
      <c r="R2155" t="s">
        <v>623</v>
      </c>
    </row>
    <row r="2156" spans="1:18" hidden="1" x14ac:dyDescent="0.25">
      <c r="A2156" s="2" t="s">
        <v>513</v>
      </c>
      <c r="B2156" s="3" t="str">
        <f t="shared" si="56"/>
        <v>18/8/22</v>
      </c>
      <c r="C2156" s="10">
        <v>22</v>
      </c>
      <c r="D2156" s="10">
        <v>8</v>
      </c>
      <c r="E2156">
        <v>18</v>
      </c>
      <c r="F2156" t="s">
        <v>104</v>
      </c>
      <c r="I2156" t="s">
        <v>72</v>
      </c>
      <c r="J2156">
        <v>163.16999999999999</v>
      </c>
      <c r="K2156">
        <v>1</v>
      </c>
      <c r="L2156">
        <v>163.16999999999999</v>
      </c>
      <c r="M2156">
        <v>163.16999999999999</v>
      </c>
      <c r="N2156" s="5">
        <v>8.2194610024347252</v>
      </c>
      <c r="O2156" t="s">
        <v>233</v>
      </c>
      <c r="P2156" t="s">
        <v>340</v>
      </c>
      <c r="Q2156" s="10" t="s">
        <v>24</v>
      </c>
      <c r="R2156" t="s">
        <v>624</v>
      </c>
    </row>
    <row r="2157" spans="1:18" hidden="1" x14ac:dyDescent="0.25">
      <c r="A2157" s="2" t="s">
        <v>513</v>
      </c>
      <c r="B2157" s="3" t="str">
        <f t="shared" si="56"/>
        <v>18/8/22</v>
      </c>
      <c r="C2157" s="10">
        <v>22</v>
      </c>
      <c r="D2157" s="10">
        <v>8</v>
      </c>
      <c r="E2157">
        <v>18</v>
      </c>
      <c r="F2157" t="s">
        <v>104</v>
      </c>
      <c r="I2157" t="s">
        <v>72</v>
      </c>
      <c r="J2157">
        <v>37.799999999999997</v>
      </c>
      <c r="K2157">
        <v>1</v>
      </c>
      <c r="L2157">
        <v>37.799999999999997</v>
      </c>
      <c r="M2157">
        <v>37.799999999999997</v>
      </c>
      <c r="N2157" s="5">
        <v>1.9041222399462683</v>
      </c>
      <c r="O2157" t="s">
        <v>233</v>
      </c>
      <c r="P2157" t="s">
        <v>340</v>
      </c>
      <c r="Q2157" s="10" t="s">
        <v>24</v>
      </c>
      <c r="R2157" t="s">
        <v>625</v>
      </c>
    </row>
    <row r="2158" spans="1:18" hidden="1" x14ac:dyDescent="0.25">
      <c r="A2158" s="2" t="s">
        <v>513</v>
      </c>
      <c r="B2158" s="3" t="str">
        <f t="shared" si="56"/>
        <v>18/8/22</v>
      </c>
      <c r="C2158" s="10">
        <v>22</v>
      </c>
      <c r="D2158" s="10">
        <v>8</v>
      </c>
      <c r="E2158">
        <v>18</v>
      </c>
      <c r="F2158" t="s">
        <v>104</v>
      </c>
      <c r="I2158" t="s">
        <v>72</v>
      </c>
      <c r="J2158">
        <v>170.07</v>
      </c>
      <c r="K2158">
        <v>1</v>
      </c>
      <c r="L2158">
        <v>170.07</v>
      </c>
      <c r="M2158">
        <v>170.07</v>
      </c>
      <c r="N2158" s="5">
        <v>8.5670388716312669</v>
      </c>
      <c r="O2158" t="s">
        <v>233</v>
      </c>
      <c r="P2158" t="s">
        <v>340</v>
      </c>
      <c r="Q2158" s="10" t="s">
        <v>24</v>
      </c>
      <c r="R2158" t="s">
        <v>626</v>
      </c>
    </row>
    <row r="2159" spans="1:18" hidden="1" x14ac:dyDescent="0.25">
      <c r="A2159" s="2" t="s">
        <v>513</v>
      </c>
      <c r="B2159" s="3" t="str">
        <f t="shared" si="56"/>
        <v>18/8/22</v>
      </c>
      <c r="C2159" s="10">
        <v>22</v>
      </c>
      <c r="D2159" s="10">
        <v>8</v>
      </c>
      <c r="E2159">
        <v>18</v>
      </c>
      <c r="F2159" t="s">
        <v>104</v>
      </c>
      <c r="I2159" t="s">
        <v>72</v>
      </c>
      <c r="J2159">
        <v>142.80000000000001</v>
      </c>
      <c r="K2159">
        <v>3</v>
      </c>
      <c r="L2159">
        <v>142.80000000000001</v>
      </c>
      <c r="M2159">
        <v>428.40000000000003</v>
      </c>
      <c r="N2159" s="5">
        <v>21.58005205272438</v>
      </c>
      <c r="O2159" t="s">
        <v>233</v>
      </c>
      <c r="P2159" t="s">
        <v>340</v>
      </c>
      <c r="Q2159" s="10" t="s">
        <v>24</v>
      </c>
      <c r="R2159" t="s">
        <v>627</v>
      </c>
    </row>
    <row r="2160" spans="1:18" hidden="1" x14ac:dyDescent="0.25">
      <c r="A2160" s="2" t="s">
        <v>513</v>
      </c>
      <c r="B2160" s="3" t="str">
        <f t="shared" si="56"/>
        <v>18/8/22</v>
      </c>
      <c r="C2160" s="10">
        <v>22</v>
      </c>
      <c r="D2160" s="10">
        <v>8</v>
      </c>
      <c r="E2160">
        <v>18</v>
      </c>
      <c r="F2160" t="s">
        <v>146</v>
      </c>
      <c r="H2160" t="s">
        <v>49</v>
      </c>
      <c r="I2160" t="s">
        <v>50</v>
      </c>
      <c r="J2160">
        <v>0.3</v>
      </c>
      <c r="K2160">
        <v>1</v>
      </c>
      <c r="L2160">
        <v>0.3</v>
      </c>
      <c r="M2160">
        <v>0.3</v>
      </c>
      <c r="N2160" s="5">
        <v>1.5112081269414828E-2</v>
      </c>
      <c r="O2160" t="s">
        <v>233</v>
      </c>
      <c r="P2160" t="s">
        <v>340</v>
      </c>
      <c r="Q2160" s="10" t="s">
        <v>24</v>
      </c>
      <c r="R2160" t="s">
        <v>517</v>
      </c>
    </row>
    <row r="2161" spans="1:18" hidden="1" x14ac:dyDescent="0.25">
      <c r="A2161" s="2" t="s">
        <v>513</v>
      </c>
      <c r="B2161" s="3" t="str">
        <f t="shared" si="56"/>
        <v>18/8/22</v>
      </c>
      <c r="C2161" s="10">
        <v>22</v>
      </c>
      <c r="D2161" s="10">
        <v>8</v>
      </c>
      <c r="E2161">
        <v>18</v>
      </c>
      <c r="F2161" t="s">
        <v>525</v>
      </c>
      <c r="H2161" t="s">
        <v>49</v>
      </c>
      <c r="I2161" t="s">
        <v>50</v>
      </c>
      <c r="J2161">
        <v>0.01</v>
      </c>
      <c r="K2161">
        <v>1</v>
      </c>
      <c r="L2161">
        <v>0.01</v>
      </c>
      <c r="M2161">
        <v>0.01</v>
      </c>
      <c r="N2161" s="5">
        <v>5.0373604231382764E-4</v>
      </c>
      <c r="O2161" t="s">
        <v>233</v>
      </c>
      <c r="P2161" t="s">
        <v>340</v>
      </c>
      <c r="Q2161" s="10" t="s">
        <v>24</v>
      </c>
      <c r="R2161" t="s">
        <v>517</v>
      </c>
    </row>
    <row r="2162" spans="1:18" hidden="1" x14ac:dyDescent="0.25">
      <c r="A2162" s="36" t="str">
        <f>IF(D2162=1,"Jan-18",IF(D2162=2,"Feb-18",IF(D2162=3,"Mar-18",IF(D2162=4,"Apr-18",IF(D2162=5,"May-18",IF(D2162=6,"Jun-18",(IF(D2162=7,"Jul-18",IF(D2162=8,"Aug-18",IF(D2162=9,"Sep-18",IF(D2162=10,"Oct-18",IF(D2162=11,"Nov-18",IF(D2162=12,"Dec-18","...")))))))))))))</f>
        <v>Aug-18</v>
      </c>
      <c r="B2162" s="3" t="s">
        <v>1251</v>
      </c>
      <c r="C2162" s="10">
        <v>22</v>
      </c>
      <c r="D2162" s="10">
        <v>8</v>
      </c>
      <c r="E2162" s="10">
        <v>18</v>
      </c>
      <c r="F2162" t="s">
        <v>641</v>
      </c>
      <c r="G2162" t="s">
        <v>889</v>
      </c>
      <c r="H2162" t="s">
        <v>53</v>
      </c>
      <c r="I2162" t="s">
        <v>27</v>
      </c>
      <c r="J2162" s="4">
        <v>10</v>
      </c>
      <c r="K2162">
        <v>1</v>
      </c>
      <c r="L2162">
        <v>10</v>
      </c>
      <c r="M2162">
        <v>10</v>
      </c>
      <c r="N2162" s="5">
        <v>0.50618672665916753</v>
      </c>
      <c r="O2162" t="s">
        <v>101</v>
      </c>
      <c r="P2162" t="s">
        <v>340</v>
      </c>
      <c r="Q2162" s="10" t="s">
        <v>1102</v>
      </c>
    </row>
    <row r="2163" spans="1:18" hidden="1" x14ac:dyDescent="0.25">
      <c r="A2163" s="9" t="s">
        <v>513</v>
      </c>
      <c r="B2163" s="3" t="s">
        <v>1329</v>
      </c>
      <c r="C2163" s="10">
        <v>23</v>
      </c>
      <c r="D2163" s="10">
        <v>8</v>
      </c>
      <c r="E2163" s="10">
        <v>18</v>
      </c>
      <c r="F2163" t="s">
        <v>389</v>
      </c>
      <c r="G2163" t="s">
        <v>889</v>
      </c>
      <c r="H2163" t="s">
        <v>21</v>
      </c>
      <c r="I2163" t="s">
        <v>22</v>
      </c>
      <c r="J2163" s="4">
        <v>4</v>
      </c>
      <c r="K2163">
        <v>1</v>
      </c>
      <c r="L2163">
        <v>4</v>
      </c>
      <c r="M2163">
        <v>4</v>
      </c>
      <c r="N2163" s="5">
        <v>0.20247469066366702</v>
      </c>
      <c r="O2163" t="s">
        <v>1320</v>
      </c>
      <c r="P2163" t="s">
        <v>340</v>
      </c>
      <c r="Q2163" s="10" t="s">
        <v>24</v>
      </c>
      <c r="R2163" t="s">
        <v>353</v>
      </c>
    </row>
    <row r="2164" spans="1:18" hidden="1" x14ac:dyDescent="0.25">
      <c r="A2164" s="36" t="str">
        <f>IF(D2164=1,"Jan-18",IF(D2164=2,"Feb-18",IF(D2164=3,"Mar-18",IF(D2164=4,"Apr-18",IF(D2164=5,"May-18",IF(D2164=6,"Jun-18",(IF(D2164=7,"Jul-18",IF(D2164=8,"Aug-18",IF(D2164=9,"Sep-18",IF(D2164=10,"Oct-18",IF(D2164=11,"Nov-18",IF(D2164=12,"Dec-18","...")))))))))))))</f>
        <v>Aug-18</v>
      </c>
      <c r="B2164" s="3" t="s">
        <v>1269</v>
      </c>
      <c r="C2164" s="10">
        <v>24</v>
      </c>
      <c r="D2164" s="10">
        <v>8</v>
      </c>
      <c r="E2164" s="10">
        <v>18</v>
      </c>
      <c r="F2164" t="s">
        <v>586</v>
      </c>
      <c r="G2164" t="s">
        <v>31</v>
      </c>
      <c r="H2164" t="s">
        <v>26</v>
      </c>
      <c r="I2164" t="s">
        <v>27</v>
      </c>
      <c r="J2164" s="4">
        <v>5.2</v>
      </c>
      <c r="K2164">
        <v>2</v>
      </c>
      <c r="L2164">
        <v>5.2</v>
      </c>
      <c r="M2164">
        <v>10.4</v>
      </c>
      <c r="N2164" s="5">
        <v>0.52643419572553429</v>
      </c>
      <c r="O2164" t="s">
        <v>100</v>
      </c>
      <c r="P2164" t="s">
        <v>340</v>
      </c>
      <c r="Q2164" s="10" t="s">
        <v>1102</v>
      </c>
    </row>
    <row r="2165" spans="1:18" hidden="1" x14ac:dyDescent="0.25">
      <c r="A2165" s="36" t="str">
        <f>IF(D2165=1,"Jan-18",IF(D2165=2,"Feb-18",IF(D2165=3,"Mar-18",IF(D2165=4,"Apr-18",IF(D2165=5,"May-18",IF(D2165=6,"Jun-18",(IF(D2165=7,"Jul-18",IF(D2165=8,"Aug-18",IF(D2165=9,"Sep-18",IF(D2165=10,"Oct-18",IF(D2165=11,"Nov-18",IF(D2165=12,"Dec-18","...")))))))))))))</f>
        <v>Aug-18</v>
      </c>
      <c r="B2165" s="3" t="s">
        <v>1269</v>
      </c>
      <c r="C2165" s="10">
        <v>24</v>
      </c>
      <c r="D2165" s="10">
        <v>8</v>
      </c>
      <c r="E2165" s="10">
        <v>18</v>
      </c>
      <c r="F2165" t="s">
        <v>1265</v>
      </c>
      <c r="G2165" t="s">
        <v>31</v>
      </c>
      <c r="H2165" t="s">
        <v>26</v>
      </c>
      <c r="I2165" t="s">
        <v>27</v>
      </c>
      <c r="J2165" s="4">
        <v>13</v>
      </c>
      <c r="K2165">
        <v>2</v>
      </c>
      <c r="L2165">
        <v>13</v>
      </c>
      <c r="M2165">
        <v>26</v>
      </c>
      <c r="N2165" s="5">
        <v>1.3160854893138356</v>
      </c>
      <c r="O2165" t="s">
        <v>100</v>
      </c>
      <c r="P2165" t="s">
        <v>340</v>
      </c>
      <c r="Q2165" s="10" t="s">
        <v>1102</v>
      </c>
    </row>
    <row r="2166" spans="1:18" hidden="1" x14ac:dyDescent="0.25">
      <c r="A2166" s="36" t="str">
        <f>IF(D2166=1,"Jan-18",IF(D2166=2,"Feb-18",IF(D2166=3,"Mar-18",IF(D2166=4,"Apr-18",IF(D2166=5,"May-18",IF(D2166=6,"Jun-18",(IF(D2166=7,"Jul-18",IF(D2166=8,"Aug-18",IF(D2166=9,"Sep-18",IF(D2166=10,"Oct-18",IF(D2166=11,"Nov-18",IF(D2166=12,"Dec-18","...")))))))))))))</f>
        <v>Aug-18</v>
      </c>
      <c r="B2166" s="3" t="s">
        <v>1269</v>
      </c>
      <c r="C2166" s="10">
        <v>24</v>
      </c>
      <c r="D2166" s="10">
        <v>8</v>
      </c>
      <c r="E2166" s="10">
        <v>18</v>
      </c>
      <c r="F2166" t="s">
        <v>55</v>
      </c>
      <c r="G2166" t="s">
        <v>889</v>
      </c>
      <c r="H2166" t="s">
        <v>56</v>
      </c>
      <c r="I2166" t="s">
        <v>27</v>
      </c>
      <c r="J2166" s="4">
        <v>27</v>
      </c>
      <c r="K2166">
        <v>0.69799999999999995</v>
      </c>
      <c r="L2166">
        <v>27</v>
      </c>
      <c r="M2166">
        <v>18.846</v>
      </c>
      <c r="N2166" s="5">
        <v>0.95395950506186722</v>
      </c>
      <c r="O2166" t="s">
        <v>100</v>
      </c>
      <c r="P2166" t="s">
        <v>340</v>
      </c>
      <c r="Q2166" s="10" t="s">
        <v>1102</v>
      </c>
    </row>
    <row r="2167" spans="1:18" hidden="1" x14ac:dyDescent="0.25">
      <c r="A2167" s="36" t="str">
        <f>IF(D2167=1,"Jan-18",IF(D2167=2,"Feb-18",IF(D2167=3,"Mar-18",IF(D2167=4,"Apr-18",IF(D2167=5,"May-18",IF(D2167=6,"Jun-18",(IF(D2167=7,"Jul-18",IF(D2167=8,"Aug-18",IF(D2167=9,"Sep-18",IF(D2167=10,"Oct-18",IF(D2167=11,"Nov-18",IF(D2167=12,"Dec-18","...")))))))))))))</f>
        <v>Aug-18</v>
      </c>
      <c r="B2167" s="3" t="s">
        <v>1269</v>
      </c>
      <c r="C2167" s="10">
        <v>24</v>
      </c>
      <c r="D2167" s="10">
        <v>8</v>
      </c>
      <c r="E2167" s="10">
        <v>18</v>
      </c>
      <c r="F2167" t="s">
        <v>917</v>
      </c>
      <c r="G2167" t="s">
        <v>889</v>
      </c>
      <c r="H2167" t="s">
        <v>40</v>
      </c>
      <c r="I2167" t="s">
        <v>27</v>
      </c>
      <c r="J2167" s="4">
        <v>15.6</v>
      </c>
      <c r="K2167">
        <v>1</v>
      </c>
      <c r="L2167">
        <v>15.6</v>
      </c>
      <c r="M2167">
        <v>15.6</v>
      </c>
      <c r="N2167" s="5">
        <v>0.78965129358830144</v>
      </c>
      <c r="O2167" t="s">
        <v>100</v>
      </c>
      <c r="P2167" t="s">
        <v>340</v>
      </c>
      <c r="Q2167" s="10" t="s">
        <v>1102</v>
      </c>
    </row>
    <row r="2168" spans="1:18" hidden="1" x14ac:dyDescent="0.25">
      <c r="A2168" s="9" t="s">
        <v>513</v>
      </c>
      <c r="B2168" s="3" t="s">
        <v>1269</v>
      </c>
      <c r="C2168" s="10">
        <v>24</v>
      </c>
      <c r="D2168" s="10">
        <v>8</v>
      </c>
      <c r="E2168" s="10">
        <v>18</v>
      </c>
      <c r="F2168" t="s">
        <v>58</v>
      </c>
      <c r="G2168" t="s">
        <v>889</v>
      </c>
      <c r="H2168" t="s">
        <v>59</v>
      </c>
      <c r="I2168" t="s">
        <v>27</v>
      </c>
      <c r="J2168" s="4">
        <v>96</v>
      </c>
      <c r="K2168">
        <v>1</v>
      </c>
      <c r="L2168">
        <v>96</v>
      </c>
      <c r="M2168">
        <v>96</v>
      </c>
      <c r="N2168" s="5">
        <v>4.859392575928009</v>
      </c>
      <c r="O2168" t="s">
        <v>39</v>
      </c>
      <c r="P2168" t="s">
        <v>340</v>
      </c>
      <c r="Q2168" s="10" t="s">
        <v>24</v>
      </c>
    </row>
    <row r="2169" spans="1:18" hidden="1" x14ac:dyDescent="0.25">
      <c r="A2169" s="2" t="s">
        <v>513</v>
      </c>
      <c r="B2169" s="3" t="str">
        <f>CONCATENATE(E2169,"/",D2169,"/",C2169)</f>
        <v>18/8/25</v>
      </c>
      <c r="C2169" s="10">
        <v>25</v>
      </c>
      <c r="D2169" s="10">
        <v>8</v>
      </c>
      <c r="E2169">
        <v>18</v>
      </c>
      <c r="F2169" t="s">
        <v>632</v>
      </c>
      <c r="I2169" t="s">
        <v>72</v>
      </c>
      <c r="J2169">
        <v>17</v>
      </c>
      <c r="K2169">
        <v>1</v>
      </c>
      <c r="L2169">
        <v>17</v>
      </c>
      <c r="M2169">
        <v>17</v>
      </c>
      <c r="N2169" s="5">
        <v>0.85635127193350702</v>
      </c>
      <c r="O2169" t="s">
        <v>633</v>
      </c>
      <c r="P2169" t="s">
        <v>340</v>
      </c>
      <c r="Q2169" s="10" t="s">
        <v>24</v>
      </c>
      <c r="R2169" t="s">
        <v>517</v>
      </c>
    </row>
    <row r="2170" spans="1:18" hidden="1" x14ac:dyDescent="0.25">
      <c r="A2170" s="36" t="str">
        <f t="shared" ref="A2170:A2185" si="57">IF(D2170=1,"Jan-18",IF(D2170=2,"Feb-18",IF(D2170=3,"Mar-18",IF(D2170=4,"Apr-18",IF(D2170=5,"May-18",IF(D2170=6,"Jun-18",(IF(D2170=7,"Jul-18",IF(D2170=8,"Aug-18",IF(D2170=9,"Sep-18",IF(D2170=10,"Oct-18",IF(D2170=11,"Nov-18",IF(D2170=12,"Dec-18","...")))))))))))))</f>
        <v>Aug-18</v>
      </c>
      <c r="B2170" s="3" t="s">
        <v>1249</v>
      </c>
      <c r="C2170" s="10">
        <v>25</v>
      </c>
      <c r="D2170" s="10">
        <v>8</v>
      </c>
      <c r="E2170" s="10">
        <v>18</v>
      </c>
      <c r="F2170" t="s">
        <v>234</v>
      </c>
      <c r="G2170" t="s">
        <v>889</v>
      </c>
      <c r="H2170" t="s">
        <v>53</v>
      </c>
      <c r="I2170" t="s">
        <v>27</v>
      </c>
      <c r="J2170" s="4">
        <v>20</v>
      </c>
      <c r="K2170">
        <v>2</v>
      </c>
      <c r="L2170">
        <v>20</v>
      </c>
      <c r="M2170">
        <v>40</v>
      </c>
      <c r="N2170" s="5">
        <v>2.0247469066366701</v>
      </c>
      <c r="O2170" t="s">
        <v>101</v>
      </c>
      <c r="P2170" t="s">
        <v>340</v>
      </c>
      <c r="Q2170" s="10" t="s">
        <v>1102</v>
      </c>
    </row>
    <row r="2171" spans="1:18" hidden="1" x14ac:dyDescent="0.25">
      <c r="A2171" s="36" t="str">
        <f t="shared" si="57"/>
        <v>Aug-18</v>
      </c>
      <c r="B2171" s="3" t="s">
        <v>1249</v>
      </c>
      <c r="C2171" s="10">
        <v>25</v>
      </c>
      <c r="D2171" s="10">
        <v>8</v>
      </c>
      <c r="E2171" s="10">
        <v>18</v>
      </c>
      <c r="F2171" t="s">
        <v>1078</v>
      </c>
      <c r="H2171" t="s">
        <v>65</v>
      </c>
      <c r="I2171" t="s">
        <v>27</v>
      </c>
      <c r="J2171" s="4">
        <v>370.27</v>
      </c>
      <c r="K2171">
        <v>0.248</v>
      </c>
      <c r="L2171" s="13">
        <v>370.27</v>
      </c>
      <c r="M2171">
        <v>91.82696</v>
      </c>
      <c r="N2171" s="5">
        <v>4.6481588301462313</v>
      </c>
      <c r="O2171" t="s">
        <v>1472</v>
      </c>
      <c r="P2171" t="s">
        <v>340</v>
      </c>
      <c r="Q2171" s="10" t="s">
        <v>1102</v>
      </c>
    </row>
    <row r="2172" spans="1:18" hidden="1" x14ac:dyDescent="0.25">
      <c r="A2172" s="36" t="str">
        <f t="shared" si="57"/>
        <v>Aug-18</v>
      </c>
      <c r="B2172" s="3" t="s">
        <v>1249</v>
      </c>
      <c r="C2172" s="10">
        <v>25</v>
      </c>
      <c r="D2172" s="10">
        <v>8</v>
      </c>
      <c r="E2172" s="10">
        <v>18</v>
      </c>
      <c r="F2172" t="s">
        <v>1078</v>
      </c>
      <c r="H2172" t="s">
        <v>65</v>
      </c>
      <c r="I2172" t="s">
        <v>27</v>
      </c>
      <c r="J2172" s="4">
        <v>403.26</v>
      </c>
      <c r="K2172">
        <v>0.32</v>
      </c>
      <c r="L2172" s="13">
        <v>403.26</v>
      </c>
      <c r="M2172">
        <v>129.04320000000001</v>
      </c>
      <c r="N2172" s="5">
        <v>6.5319955005624299</v>
      </c>
      <c r="O2172" t="s">
        <v>1472</v>
      </c>
      <c r="P2172" t="s">
        <v>340</v>
      </c>
      <c r="Q2172" s="10" t="s">
        <v>1102</v>
      </c>
    </row>
    <row r="2173" spans="1:18" hidden="1" x14ac:dyDescent="0.25">
      <c r="A2173" s="36" t="str">
        <f t="shared" si="57"/>
        <v>Aug-18</v>
      </c>
      <c r="B2173" s="3" t="s">
        <v>1249</v>
      </c>
      <c r="C2173" s="10">
        <v>25</v>
      </c>
      <c r="D2173" s="10">
        <v>8</v>
      </c>
      <c r="E2173" s="10">
        <v>18</v>
      </c>
      <c r="F2173" t="s">
        <v>1272</v>
      </c>
      <c r="G2173" t="s">
        <v>889</v>
      </c>
      <c r="H2173" t="s">
        <v>39</v>
      </c>
      <c r="I2173" t="s">
        <v>27</v>
      </c>
      <c r="J2173" s="4">
        <v>52.64</v>
      </c>
      <c r="K2173">
        <v>1</v>
      </c>
      <c r="L2173">
        <v>52.64</v>
      </c>
      <c r="M2173">
        <v>52.64</v>
      </c>
      <c r="N2173" s="5">
        <v>2.6645669291338581</v>
      </c>
      <c r="O2173" t="s">
        <v>1472</v>
      </c>
      <c r="P2173" t="s">
        <v>340</v>
      </c>
      <c r="Q2173" s="10" t="s">
        <v>1102</v>
      </c>
    </row>
    <row r="2174" spans="1:18" hidden="1" x14ac:dyDescent="0.25">
      <c r="A2174" s="36" t="str">
        <f t="shared" si="57"/>
        <v>Aug-18</v>
      </c>
      <c r="B2174" s="3" t="s">
        <v>1249</v>
      </c>
      <c r="C2174" s="10">
        <v>25</v>
      </c>
      <c r="D2174" s="10">
        <v>8</v>
      </c>
      <c r="E2174" s="10">
        <v>18</v>
      </c>
      <c r="F2174" t="s">
        <v>75</v>
      </c>
      <c r="G2174" t="s">
        <v>889</v>
      </c>
      <c r="H2174" t="s">
        <v>65</v>
      </c>
      <c r="I2174" t="s">
        <v>27</v>
      </c>
      <c r="J2174" s="4">
        <v>217.52</v>
      </c>
      <c r="K2174">
        <v>0.28199999999999997</v>
      </c>
      <c r="L2174">
        <v>217.52</v>
      </c>
      <c r="M2174">
        <v>61.34064</v>
      </c>
      <c r="N2174" s="5">
        <v>3.1049817772778403</v>
      </c>
      <c r="O2174" t="s">
        <v>1472</v>
      </c>
      <c r="P2174" t="s">
        <v>340</v>
      </c>
      <c r="Q2174" s="10" t="s">
        <v>1102</v>
      </c>
    </row>
    <row r="2175" spans="1:18" hidden="1" x14ac:dyDescent="0.25">
      <c r="A2175" s="36" t="str">
        <f t="shared" si="57"/>
        <v>Aug-18</v>
      </c>
      <c r="B2175" s="3" t="s">
        <v>1249</v>
      </c>
      <c r="C2175" s="10">
        <v>25</v>
      </c>
      <c r="D2175" s="10">
        <v>8</v>
      </c>
      <c r="E2175" s="10">
        <v>18</v>
      </c>
      <c r="F2175" t="s">
        <v>484</v>
      </c>
      <c r="G2175" t="s">
        <v>889</v>
      </c>
      <c r="H2175" t="s">
        <v>54</v>
      </c>
      <c r="I2175" t="s">
        <v>27</v>
      </c>
      <c r="J2175" s="4">
        <v>52.88</v>
      </c>
      <c r="K2175">
        <v>0.106</v>
      </c>
      <c r="L2175">
        <v>52.88</v>
      </c>
      <c r="M2175">
        <v>5.6052800000000005</v>
      </c>
      <c r="N2175" s="5">
        <v>0.28373183352080988</v>
      </c>
      <c r="O2175" t="s">
        <v>1472</v>
      </c>
      <c r="P2175" t="s">
        <v>340</v>
      </c>
      <c r="Q2175" s="10" t="s">
        <v>1102</v>
      </c>
    </row>
    <row r="2176" spans="1:18" hidden="1" x14ac:dyDescent="0.25">
      <c r="A2176" s="36" t="str">
        <f t="shared" si="57"/>
        <v>Aug-18</v>
      </c>
      <c r="B2176" s="3" t="s">
        <v>1249</v>
      </c>
      <c r="C2176" s="10">
        <v>25</v>
      </c>
      <c r="D2176" s="10">
        <v>8</v>
      </c>
      <c r="E2176" s="10">
        <v>18</v>
      </c>
      <c r="F2176" t="s">
        <v>226</v>
      </c>
      <c r="G2176" t="s">
        <v>889</v>
      </c>
      <c r="H2176" t="s">
        <v>44</v>
      </c>
      <c r="I2176" t="s">
        <v>27</v>
      </c>
      <c r="J2176" s="4">
        <v>33.04</v>
      </c>
      <c r="K2176">
        <v>2</v>
      </c>
      <c r="L2176">
        <v>33.04</v>
      </c>
      <c r="M2176">
        <v>66.08</v>
      </c>
      <c r="N2176" s="5">
        <v>3.3448818897637791</v>
      </c>
      <c r="O2176" t="s">
        <v>1472</v>
      </c>
      <c r="P2176" t="s">
        <v>340</v>
      </c>
      <c r="Q2176" s="10" t="s">
        <v>1102</v>
      </c>
    </row>
    <row r="2177" spans="1:18" hidden="1" x14ac:dyDescent="0.25">
      <c r="A2177" s="36" t="str">
        <f t="shared" si="57"/>
        <v>Aug-18</v>
      </c>
      <c r="B2177" s="3" t="s">
        <v>1249</v>
      </c>
      <c r="C2177" s="10">
        <v>25</v>
      </c>
      <c r="D2177" s="10">
        <v>8</v>
      </c>
      <c r="E2177" s="10">
        <v>18</v>
      </c>
      <c r="F2177" t="s">
        <v>1273</v>
      </c>
      <c r="G2177" t="s">
        <v>889</v>
      </c>
      <c r="H2177" t="s">
        <v>65</v>
      </c>
      <c r="I2177" t="s">
        <v>27</v>
      </c>
      <c r="J2177" s="4">
        <v>340.94</v>
      </c>
      <c r="K2177">
        <v>0.37</v>
      </c>
      <c r="L2177">
        <v>340.94</v>
      </c>
      <c r="M2177">
        <v>126.1478</v>
      </c>
      <c r="N2177" s="5">
        <v>6.3854341957255345</v>
      </c>
      <c r="O2177" t="s">
        <v>1472</v>
      </c>
      <c r="P2177" t="s">
        <v>340</v>
      </c>
      <c r="Q2177" s="10" t="s">
        <v>1102</v>
      </c>
    </row>
    <row r="2178" spans="1:18" hidden="1" x14ac:dyDescent="0.25">
      <c r="A2178" s="36" t="str">
        <f t="shared" si="57"/>
        <v>Aug-18</v>
      </c>
      <c r="B2178" s="3" t="s">
        <v>1249</v>
      </c>
      <c r="C2178" s="10">
        <v>25</v>
      </c>
      <c r="D2178" s="10">
        <v>8</v>
      </c>
      <c r="E2178" s="10">
        <v>18</v>
      </c>
      <c r="F2178" t="s">
        <v>60</v>
      </c>
      <c r="G2178" t="s">
        <v>31</v>
      </c>
      <c r="H2178" t="s">
        <v>26</v>
      </c>
      <c r="I2178" t="s">
        <v>27</v>
      </c>
      <c r="J2178" s="4">
        <v>7</v>
      </c>
      <c r="K2178">
        <v>2</v>
      </c>
      <c r="L2178">
        <v>7</v>
      </c>
      <c r="M2178">
        <v>14</v>
      </c>
      <c r="N2178" s="5">
        <v>0.70866141732283461</v>
      </c>
      <c r="O2178" t="s">
        <v>1472</v>
      </c>
      <c r="P2178" t="s">
        <v>340</v>
      </c>
      <c r="Q2178" s="10" t="s">
        <v>1102</v>
      </c>
    </row>
    <row r="2179" spans="1:18" hidden="1" x14ac:dyDescent="0.25">
      <c r="A2179" s="36" t="str">
        <f t="shared" si="57"/>
        <v>Aug-18</v>
      </c>
      <c r="B2179" s="3" t="s">
        <v>1249</v>
      </c>
      <c r="C2179" s="10">
        <v>25</v>
      </c>
      <c r="D2179" s="10">
        <v>8</v>
      </c>
      <c r="E2179" s="10">
        <v>18</v>
      </c>
      <c r="F2179" t="s">
        <v>115</v>
      </c>
      <c r="G2179" t="s">
        <v>364</v>
      </c>
      <c r="H2179" t="s">
        <v>63</v>
      </c>
      <c r="I2179" t="s">
        <v>27</v>
      </c>
      <c r="J2179" s="4">
        <v>135.13</v>
      </c>
      <c r="K2179">
        <v>0.09</v>
      </c>
      <c r="L2179">
        <v>135.13</v>
      </c>
      <c r="M2179">
        <v>12.1617</v>
      </c>
      <c r="N2179" s="5">
        <v>0.61560911136107987</v>
      </c>
      <c r="O2179" t="s">
        <v>1472</v>
      </c>
      <c r="P2179" t="s">
        <v>340</v>
      </c>
      <c r="Q2179" s="10" t="s">
        <v>1102</v>
      </c>
    </row>
    <row r="2180" spans="1:18" hidden="1" x14ac:dyDescent="0.25">
      <c r="A2180" s="36" t="str">
        <f t="shared" si="57"/>
        <v>Aug-18</v>
      </c>
      <c r="B2180" s="3" t="s">
        <v>1249</v>
      </c>
      <c r="C2180" s="10">
        <v>25</v>
      </c>
      <c r="D2180" s="10">
        <v>8</v>
      </c>
      <c r="E2180" s="10">
        <v>18</v>
      </c>
      <c r="F2180" t="s">
        <v>55</v>
      </c>
      <c r="G2180" t="s">
        <v>889</v>
      </c>
      <c r="H2180" t="s">
        <v>56</v>
      </c>
      <c r="I2180" t="s">
        <v>27</v>
      </c>
      <c r="J2180" s="4">
        <v>19.32</v>
      </c>
      <c r="K2180">
        <v>1.23</v>
      </c>
      <c r="L2180">
        <v>19.32</v>
      </c>
      <c r="M2180">
        <v>23.7636</v>
      </c>
      <c r="N2180" s="5">
        <v>1.2028818897637794</v>
      </c>
      <c r="O2180" t="s">
        <v>1472</v>
      </c>
      <c r="P2180" t="s">
        <v>340</v>
      </c>
      <c r="Q2180" s="10" t="s">
        <v>1102</v>
      </c>
    </row>
    <row r="2181" spans="1:18" hidden="1" x14ac:dyDescent="0.25">
      <c r="A2181" s="36" t="str">
        <f t="shared" si="57"/>
        <v>Aug-18</v>
      </c>
      <c r="B2181" s="3" t="s">
        <v>1249</v>
      </c>
      <c r="C2181" s="10">
        <v>25</v>
      </c>
      <c r="D2181" s="10">
        <v>8</v>
      </c>
      <c r="E2181" s="10">
        <v>18</v>
      </c>
      <c r="F2181" t="s">
        <v>1051</v>
      </c>
      <c r="G2181" t="s">
        <v>889</v>
      </c>
      <c r="H2181" t="s">
        <v>56</v>
      </c>
      <c r="I2181" t="s">
        <v>27</v>
      </c>
      <c r="J2181" s="4">
        <v>35.44</v>
      </c>
      <c r="K2181">
        <v>0.35599999999999998</v>
      </c>
      <c r="L2181">
        <v>35.44</v>
      </c>
      <c r="M2181">
        <v>12.616639999999999</v>
      </c>
      <c r="N2181" s="5">
        <v>0.63863757030371193</v>
      </c>
      <c r="O2181" t="s">
        <v>1472</v>
      </c>
      <c r="P2181" t="s">
        <v>340</v>
      </c>
      <c r="Q2181" s="10" t="s">
        <v>1102</v>
      </c>
    </row>
    <row r="2182" spans="1:18" hidden="1" x14ac:dyDescent="0.25">
      <c r="A2182" s="36" t="str">
        <f t="shared" si="57"/>
        <v>Aug-18</v>
      </c>
      <c r="B2182" s="3" t="s">
        <v>1249</v>
      </c>
      <c r="C2182" s="10">
        <v>25</v>
      </c>
      <c r="D2182" s="10">
        <v>8</v>
      </c>
      <c r="E2182" s="10">
        <v>18</v>
      </c>
      <c r="F2182" t="s">
        <v>1692</v>
      </c>
      <c r="H2182" t="s">
        <v>49</v>
      </c>
      <c r="I2182" t="s">
        <v>50</v>
      </c>
      <c r="J2182" s="4">
        <v>27.17</v>
      </c>
      <c r="K2182">
        <v>2</v>
      </c>
      <c r="L2182">
        <v>27.17</v>
      </c>
      <c r="M2182">
        <v>54.34</v>
      </c>
      <c r="N2182" s="5">
        <v>2.750618672665917</v>
      </c>
      <c r="O2182" t="s">
        <v>1472</v>
      </c>
      <c r="P2182" t="s">
        <v>340</v>
      </c>
      <c r="Q2182" s="10" t="s">
        <v>1102</v>
      </c>
    </row>
    <row r="2183" spans="1:18" hidden="1" x14ac:dyDescent="0.25">
      <c r="A2183" s="36" t="str">
        <f t="shared" si="57"/>
        <v>Aug-18</v>
      </c>
      <c r="B2183" s="3" t="s">
        <v>1249</v>
      </c>
      <c r="C2183" s="10">
        <v>25</v>
      </c>
      <c r="D2183" s="10">
        <v>8</v>
      </c>
      <c r="E2183" s="10">
        <v>18</v>
      </c>
      <c r="F2183" t="s">
        <v>1073</v>
      </c>
      <c r="G2183" t="s">
        <v>889</v>
      </c>
      <c r="H2183" t="s">
        <v>332</v>
      </c>
      <c r="I2183" t="s">
        <v>27</v>
      </c>
      <c r="J2183" s="4">
        <v>149.55000000000001</v>
      </c>
      <c r="K2183">
        <v>1</v>
      </c>
      <c r="L2183">
        <v>149.55000000000001</v>
      </c>
      <c r="M2183">
        <v>149.55000000000001</v>
      </c>
      <c r="N2183" s="5">
        <v>7.5700224971878516</v>
      </c>
      <c r="O2183" t="s">
        <v>1472</v>
      </c>
      <c r="P2183" t="s">
        <v>340</v>
      </c>
      <c r="Q2183" s="10" t="s">
        <v>1102</v>
      </c>
    </row>
    <row r="2184" spans="1:18" hidden="1" x14ac:dyDescent="0.25">
      <c r="A2184" s="36" t="str">
        <f t="shared" si="57"/>
        <v>Aug-18</v>
      </c>
      <c r="B2184" s="3" t="s">
        <v>1249</v>
      </c>
      <c r="C2184" s="10">
        <v>25</v>
      </c>
      <c r="D2184" s="10">
        <v>8</v>
      </c>
      <c r="E2184" s="10">
        <v>18</v>
      </c>
      <c r="F2184" t="s">
        <v>1288</v>
      </c>
      <c r="G2184" t="s">
        <v>889</v>
      </c>
      <c r="H2184" t="s">
        <v>65</v>
      </c>
      <c r="I2184" t="s">
        <v>27</v>
      </c>
      <c r="J2184" s="4">
        <v>10.67</v>
      </c>
      <c r="K2184">
        <v>3</v>
      </c>
      <c r="L2184">
        <v>10.67</v>
      </c>
      <c r="M2184">
        <v>32.01</v>
      </c>
      <c r="N2184" s="5">
        <v>1.6203037120359953</v>
      </c>
      <c r="O2184" t="s">
        <v>1472</v>
      </c>
      <c r="P2184" t="s">
        <v>340</v>
      </c>
      <c r="Q2184" s="10" t="s">
        <v>1102</v>
      </c>
    </row>
    <row r="2185" spans="1:18" hidden="1" x14ac:dyDescent="0.25">
      <c r="A2185" s="36" t="str">
        <f t="shared" si="57"/>
        <v>Aug-18</v>
      </c>
      <c r="B2185" s="3" t="s">
        <v>1249</v>
      </c>
      <c r="C2185" s="10">
        <v>25</v>
      </c>
      <c r="D2185" s="10">
        <v>8</v>
      </c>
      <c r="E2185" s="10">
        <v>18</v>
      </c>
      <c r="F2185" t="s">
        <v>208</v>
      </c>
      <c r="G2185" t="s">
        <v>889</v>
      </c>
      <c r="H2185" t="s">
        <v>56</v>
      </c>
      <c r="I2185" t="s">
        <v>27</v>
      </c>
      <c r="J2185" s="4">
        <v>70.88</v>
      </c>
      <c r="K2185">
        <v>0.25600000000000001</v>
      </c>
      <c r="L2185">
        <v>70.88</v>
      </c>
      <c r="M2185">
        <v>18.14528</v>
      </c>
      <c r="N2185" s="5">
        <v>0.91848998875140597</v>
      </c>
      <c r="O2185" t="s">
        <v>1472</v>
      </c>
      <c r="P2185" t="s">
        <v>340</v>
      </c>
      <c r="Q2185" s="10" t="s">
        <v>1102</v>
      </c>
    </row>
    <row r="2186" spans="1:18" hidden="1" x14ac:dyDescent="0.25">
      <c r="A2186" s="9" t="s">
        <v>513</v>
      </c>
      <c r="B2186" s="3" t="s">
        <v>1249</v>
      </c>
      <c r="C2186" s="10">
        <v>25</v>
      </c>
      <c r="D2186" s="10">
        <v>8</v>
      </c>
      <c r="E2186" s="10">
        <v>18</v>
      </c>
      <c r="F2186" t="s">
        <v>141</v>
      </c>
      <c r="G2186" t="s">
        <v>889</v>
      </c>
      <c r="H2186" t="s">
        <v>172</v>
      </c>
      <c r="I2186" t="s">
        <v>39</v>
      </c>
      <c r="J2186" s="4">
        <v>2</v>
      </c>
      <c r="K2186">
        <v>3</v>
      </c>
      <c r="L2186">
        <v>2</v>
      </c>
      <c r="M2186">
        <v>6</v>
      </c>
      <c r="N2186" s="5">
        <v>0.30371203599550056</v>
      </c>
      <c r="O2186" t="s">
        <v>39</v>
      </c>
      <c r="P2186" t="s">
        <v>340</v>
      </c>
      <c r="Q2186" s="10" t="s">
        <v>1102</v>
      </c>
    </row>
    <row r="2187" spans="1:18" hidden="1" x14ac:dyDescent="0.25">
      <c r="A2187" s="9" t="s">
        <v>513</v>
      </c>
      <c r="B2187" s="3" t="s">
        <v>1249</v>
      </c>
      <c r="C2187" s="10">
        <v>25</v>
      </c>
      <c r="D2187" s="10">
        <v>8</v>
      </c>
      <c r="E2187" s="10">
        <v>18</v>
      </c>
      <c r="F2187" t="s">
        <v>184</v>
      </c>
      <c r="G2187" t="s">
        <v>304</v>
      </c>
      <c r="H2187" t="s">
        <v>184</v>
      </c>
      <c r="I2187" t="s">
        <v>79</v>
      </c>
      <c r="J2187" s="4">
        <v>80</v>
      </c>
      <c r="K2187">
        <v>1</v>
      </c>
      <c r="L2187">
        <v>80</v>
      </c>
      <c r="M2187">
        <v>80</v>
      </c>
      <c r="N2187" s="5">
        <v>4.0494938132733402</v>
      </c>
      <c r="O2187" t="s">
        <v>185</v>
      </c>
      <c r="P2187" t="s">
        <v>340</v>
      </c>
      <c r="Q2187" s="10" t="s">
        <v>1102</v>
      </c>
    </row>
    <row r="2188" spans="1:18" hidden="1" x14ac:dyDescent="0.25">
      <c r="A2188" s="9" t="s">
        <v>513</v>
      </c>
      <c r="B2188" s="3" t="s">
        <v>1249</v>
      </c>
      <c r="C2188" s="10">
        <v>25</v>
      </c>
      <c r="D2188" s="10">
        <v>8</v>
      </c>
      <c r="E2188" s="10">
        <v>18</v>
      </c>
      <c r="F2188" t="s">
        <v>1325</v>
      </c>
      <c r="G2188" t="s">
        <v>889</v>
      </c>
      <c r="H2188" t="s">
        <v>49</v>
      </c>
      <c r="I2188" t="s">
        <v>79</v>
      </c>
      <c r="J2188" s="4">
        <v>121</v>
      </c>
      <c r="K2188">
        <v>1</v>
      </c>
      <c r="L2188">
        <v>121</v>
      </c>
      <c r="M2188">
        <v>121</v>
      </c>
      <c r="N2188" s="5">
        <v>6.124859392575928</v>
      </c>
      <c r="O2188" t="s">
        <v>2020</v>
      </c>
      <c r="P2188" t="s">
        <v>340</v>
      </c>
      <c r="Q2188" s="10" t="s">
        <v>24</v>
      </c>
    </row>
    <row r="2189" spans="1:18" hidden="1" x14ac:dyDescent="0.25">
      <c r="A2189" s="2" t="s">
        <v>513</v>
      </c>
      <c r="B2189" s="3" t="str">
        <f>CONCATENATE(E2189,"/",D2189,"/",C2189)</f>
        <v>18/8/26</v>
      </c>
      <c r="C2189" s="10">
        <v>26</v>
      </c>
      <c r="D2189" s="10">
        <v>8</v>
      </c>
      <c r="E2189">
        <v>18</v>
      </c>
      <c r="F2189" t="s">
        <v>102</v>
      </c>
      <c r="H2189" t="s">
        <v>102</v>
      </c>
      <c r="I2189" t="s">
        <v>27</v>
      </c>
      <c r="J2189">
        <v>24.39</v>
      </c>
      <c r="K2189">
        <v>2</v>
      </c>
      <c r="L2189">
        <v>24.39</v>
      </c>
      <c r="M2189">
        <v>48.78</v>
      </c>
      <c r="N2189" s="5">
        <v>2.4572244144068511</v>
      </c>
      <c r="O2189" t="s">
        <v>629</v>
      </c>
      <c r="P2189" t="s">
        <v>340</v>
      </c>
      <c r="Q2189" s="10" t="s">
        <v>24</v>
      </c>
      <c r="R2189" t="s">
        <v>628</v>
      </c>
    </row>
    <row r="2190" spans="1:18" hidden="1" x14ac:dyDescent="0.25">
      <c r="A2190" s="2" t="s">
        <v>513</v>
      </c>
      <c r="B2190" s="3" t="str">
        <f>CONCATENATE(E2190,"/",D2190,"/",C2190)</f>
        <v>18/8/26</v>
      </c>
      <c r="C2190" s="10">
        <v>26</v>
      </c>
      <c r="D2190" s="10">
        <v>8</v>
      </c>
      <c r="E2190">
        <v>18</v>
      </c>
      <c r="F2190" t="s">
        <v>102</v>
      </c>
      <c r="H2190" t="s">
        <v>102</v>
      </c>
      <c r="I2190" t="s">
        <v>27</v>
      </c>
      <c r="J2190">
        <v>21.95</v>
      </c>
      <c r="K2190">
        <v>1</v>
      </c>
      <c r="L2190">
        <v>21.95</v>
      </c>
      <c r="M2190">
        <v>21.95</v>
      </c>
      <c r="N2190" s="5">
        <v>1.1057006128788516</v>
      </c>
      <c r="O2190" t="s">
        <v>629</v>
      </c>
      <c r="P2190" t="s">
        <v>340</v>
      </c>
      <c r="Q2190" s="31" t="s">
        <v>24</v>
      </c>
      <c r="R2190" t="s">
        <v>630</v>
      </c>
    </row>
    <row r="2191" spans="1:18" hidden="1" x14ac:dyDescent="0.25">
      <c r="A2191" s="2" t="s">
        <v>513</v>
      </c>
      <c r="B2191" s="3" t="str">
        <f>CONCATENATE(E2191,"/",D2191,"/",C2191)</f>
        <v>18/8/26</v>
      </c>
      <c r="C2191" s="10">
        <v>26</v>
      </c>
      <c r="D2191" s="10">
        <v>8</v>
      </c>
      <c r="E2191">
        <v>18</v>
      </c>
      <c r="F2191" t="s">
        <v>102</v>
      </c>
      <c r="H2191" t="s">
        <v>102</v>
      </c>
      <c r="I2191" t="s">
        <v>27</v>
      </c>
      <c r="J2191">
        <v>23.17</v>
      </c>
      <c r="K2191">
        <v>2</v>
      </c>
      <c r="L2191">
        <v>23.17</v>
      </c>
      <c r="M2191">
        <v>46.34</v>
      </c>
      <c r="N2191" s="5">
        <v>2.3343128200822774</v>
      </c>
      <c r="O2191" t="s">
        <v>629</v>
      </c>
      <c r="P2191" t="s">
        <v>340</v>
      </c>
      <c r="Q2191" s="10" t="s">
        <v>24</v>
      </c>
      <c r="R2191" t="s">
        <v>631</v>
      </c>
    </row>
    <row r="2192" spans="1:18" hidden="1" x14ac:dyDescent="0.25">
      <c r="A2192" s="36" t="str">
        <f>IF(D2192=1,"Jan-18",IF(D2192=2,"Feb-18",IF(D2192=3,"Mar-18",IF(D2192=4,"Apr-18",IF(D2192=5,"May-18",IF(D2192=6,"Jun-18",(IF(D2192=7,"Jul-18",IF(D2192=8,"Aug-18",IF(D2192=9,"Sep-18",IF(D2192=10,"Oct-18",IF(D2192=11,"Nov-18",IF(D2192=12,"Dec-18","...")))))))))))))</f>
        <v>Aug-18</v>
      </c>
      <c r="B2192" s="3" t="s">
        <v>1271</v>
      </c>
      <c r="C2192" s="10">
        <v>26</v>
      </c>
      <c r="D2192" s="10">
        <v>8</v>
      </c>
      <c r="E2192" s="10">
        <v>18</v>
      </c>
      <c r="F2192" t="s">
        <v>118</v>
      </c>
      <c r="G2192" t="s">
        <v>889</v>
      </c>
      <c r="H2192" t="s">
        <v>40</v>
      </c>
      <c r="I2192" t="s">
        <v>27</v>
      </c>
      <c r="J2192" s="4">
        <v>10</v>
      </c>
      <c r="K2192">
        <v>1</v>
      </c>
      <c r="L2192">
        <v>10</v>
      </c>
      <c r="M2192">
        <v>10</v>
      </c>
      <c r="N2192" s="5">
        <v>0.50618672665916753</v>
      </c>
      <c r="O2192" t="s">
        <v>100</v>
      </c>
      <c r="P2192" t="s">
        <v>340</v>
      </c>
      <c r="Q2192" s="10" t="s">
        <v>1102</v>
      </c>
    </row>
    <row r="2193" spans="1:18" hidden="1" x14ac:dyDescent="0.25">
      <c r="A2193" s="9" t="s">
        <v>513</v>
      </c>
      <c r="B2193" s="3" t="s">
        <v>1271</v>
      </c>
      <c r="C2193" s="10">
        <v>26</v>
      </c>
      <c r="D2193" s="10">
        <v>8</v>
      </c>
      <c r="E2193" s="10">
        <v>18</v>
      </c>
      <c r="F2193" t="s">
        <v>364</v>
      </c>
      <c r="G2193" t="s">
        <v>889</v>
      </c>
      <c r="H2193" t="s">
        <v>39</v>
      </c>
      <c r="I2193" t="s">
        <v>27</v>
      </c>
      <c r="J2193" s="4">
        <v>82.25</v>
      </c>
      <c r="K2193">
        <v>1</v>
      </c>
      <c r="L2193">
        <v>82.25</v>
      </c>
      <c r="M2193">
        <v>82.25</v>
      </c>
      <c r="N2193" s="5">
        <v>4.1633858267716537</v>
      </c>
      <c r="O2193" t="s">
        <v>1419</v>
      </c>
      <c r="P2193" t="s">
        <v>340</v>
      </c>
      <c r="Q2193" s="10" t="s">
        <v>24</v>
      </c>
    </row>
    <row r="2194" spans="1:18" hidden="1" x14ac:dyDescent="0.25">
      <c r="A2194" s="2" t="s">
        <v>513</v>
      </c>
      <c r="B2194" s="3" t="str">
        <f>CONCATENATE(E2194,"/",D2194,"/",C2194)</f>
        <v>18/8/28</v>
      </c>
      <c r="C2194" s="10">
        <v>28</v>
      </c>
      <c r="D2194" s="10">
        <v>8</v>
      </c>
      <c r="E2194">
        <v>18</v>
      </c>
      <c r="F2194" t="s">
        <v>632</v>
      </c>
      <c r="I2194" t="s">
        <v>72</v>
      </c>
      <c r="J2194">
        <v>17</v>
      </c>
      <c r="K2194">
        <v>1</v>
      </c>
      <c r="L2194">
        <v>17</v>
      </c>
      <c r="M2194">
        <v>17</v>
      </c>
      <c r="N2194" s="5">
        <v>0.85635127193350702</v>
      </c>
      <c r="O2194" t="s">
        <v>633</v>
      </c>
      <c r="P2194" t="s">
        <v>340</v>
      </c>
      <c r="Q2194" s="10" t="s">
        <v>24</v>
      </c>
      <c r="R2194" t="s">
        <v>517</v>
      </c>
    </row>
    <row r="2195" spans="1:18" hidden="1" x14ac:dyDescent="0.25">
      <c r="A2195" s="2" t="s">
        <v>513</v>
      </c>
      <c r="B2195" s="3" t="str">
        <f>CONCATENATE(E2195,"/",D2195,"/",C2195)</f>
        <v>18/8/28</v>
      </c>
      <c r="C2195" s="10">
        <v>28</v>
      </c>
      <c r="D2195" s="10">
        <v>8</v>
      </c>
      <c r="E2195">
        <v>18</v>
      </c>
      <c r="F2195" t="s">
        <v>104</v>
      </c>
      <c r="I2195" t="s">
        <v>72</v>
      </c>
      <c r="J2195">
        <v>63.31</v>
      </c>
      <c r="K2195">
        <v>1</v>
      </c>
      <c r="L2195">
        <v>63.31</v>
      </c>
      <c r="M2195">
        <v>63.31</v>
      </c>
      <c r="N2195" s="5">
        <v>3.1755370665771099</v>
      </c>
      <c r="O2195" t="s">
        <v>233</v>
      </c>
      <c r="P2195" t="s">
        <v>340</v>
      </c>
      <c r="Q2195" s="10" t="s">
        <v>24</v>
      </c>
      <c r="R2195" t="s">
        <v>634</v>
      </c>
    </row>
    <row r="2196" spans="1:18" hidden="1" x14ac:dyDescent="0.25">
      <c r="A2196" s="36" t="str">
        <f>IF(D2196=1,"Jan-18",IF(D2196=2,"Feb-18",IF(D2196=3,"Mar-18",IF(D2196=4,"Apr-18",IF(D2196=5,"May-18",IF(D2196=6,"Jun-18",(IF(D2196=7,"Jul-18",IF(D2196=8,"Aug-18",IF(D2196=9,"Sep-18",IF(D2196=10,"Oct-18",IF(D2196=11,"Nov-18",IF(D2196=12,"Dec-18","...")))))))))))))</f>
        <v>Aug-18</v>
      </c>
      <c r="B2196" s="3" t="s">
        <v>1283</v>
      </c>
      <c r="C2196" s="10">
        <v>30</v>
      </c>
      <c r="D2196" s="10">
        <v>8</v>
      </c>
      <c r="E2196" s="10">
        <v>18</v>
      </c>
      <c r="F2196" t="s">
        <v>1265</v>
      </c>
      <c r="G2196" t="s">
        <v>889</v>
      </c>
      <c r="H2196" t="s">
        <v>26</v>
      </c>
      <c r="I2196" t="s">
        <v>27</v>
      </c>
      <c r="J2196" s="4">
        <v>12.05</v>
      </c>
      <c r="K2196">
        <v>4</v>
      </c>
      <c r="L2196">
        <v>12.05</v>
      </c>
      <c r="M2196">
        <v>48.2</v>
      </c>
      <c r="N2196" s="5">
        <v>2.4398200224971878</v>
      </c>
      <c r="O2196" t="s">
        <v>1472</v>
      </c>
      <c r="P2196" t="s">
        <v>340</v>
      </c>
      <c r="Q2196" s="10" t="s">
        <v>1102</v>
      </c>
    </row>
    <row r="2197" spans="1:18" hidden="1" x14ac:dyDescent="0.25">
      <c r="A2197" s="36" t="str">
        <f>IF(D2197=1,"Jan-18",IF(D2197=2,"Feb-18",IF(D2197=3,"Mar-18",IF(D2197=4,"Apr-18",IF(D2197=5,"May-18",IF(D2197=6,"Jun-18",(IF(D2197=7,"Jul-18",IF(D2197=8,"Aug-18",IF(D2197=9,"Sep-18",IF(D2197=10,"Oct-18",IF(D2197=11,"Nov-18",IF(D2197=12,"Dec-18","...")))))))))))))</f>
        <v>Aug-18</v>
      </c>
      <c r="B2197" s="3" t="s">
        <v>1283</v>
      </c>
      <c r="C2197" s="10">
        <v>30</v>
      </c>
      <c r="D2197" s="10">
        <v>8</v>
      </c>
      <c r="E2197" s="10">
        <v>18</v>
      </c>
      <c r="F2197" t="s">
        <v>590</v>
      </c>
      <c r="G2197" t="s">
        <v>31</v>
      </c>
      <c r="H2197" t="s">
        <v>26</v>
      </c>
      <c r="I2197" t="s">
        <v>27</v>
      </c>
      <c r="J2197" s="4">
        <v>12.55</v>
      </c>
      <c r="K2197">
        <v>1</v>
      </c>
      <c r="L2197">
        <v>12.55</v>
      </c>
      <c r="M2197">
        <v>12.55</v>
      </c>
      <c r="N2197" s="5">
        <v>0.63526434195725534</v>
      </c>
      <c r="O2197" t="s">
        <v>1472</v>
      </c>
      <c r="P2197" t="s">
        <v>340</v>
      </c>
      <c r="Q2197" s="10" t="s">
        <v>1102</v>
      </c>
    </row>
    <row r="2198" spans="1:18" hidden="1" x14ac:dyDescent="0.25">
      <c r="A2198" s="36" t="str">
        <f>IF(D2198=1,"Jan-18",IF(D2198=2,"Feb-18",IF(D2198=3,"Mar-18",IF(D2198=4,"Apr-18",IF(D2198=5,"May-18",IF(D2198=6,"Jun-18",(IF(D2198=7,"Jul-18",IF(D2198=8,"Aug-18",IF(D2198=9,"Sep-18",IF(D2198=10,"Oct-18",IF(D2198=11,"Nov-18",IF(D2198=12,"Dec-18","...")))))))))))))</f>
        <v>Aug-18</v>
      </c>
      <c r="B2198" s="3" t="s">
        <v>1268</v>
      </c>
      <c r="C2198" s="10">
        <v>31</v>
      </c>
      <c r="D2198" s="10">
        <v>8</v>
      </c>
      <c r="E2198" s="10">
        <v>18</v>
      </c>
      <c r="F2198" t="s">
        <v>917</v>
      </c>
      <c r="G2198" t="s">
        <v>889</v>
      </c>
      <c r="H2198" t="s">
        <v>40</v>
      </c>
      <c r="I2198" t="s">
        <v>27</v>
      </c>
      <c r="J2198" s="4">
        <v>15.6</v>
      </c>
      <c r="K2198">
        <v>1</v>
      </c>
      <c r="L2198">
        <v>15.6</v>
      </c>
      <c r="M2198">
        <v>15.6</v>
      </c>
      <c r="N2198" s="5">
        <v>0.78965129358830144</v>
      </c>
      <c r="O2198" t="s">
        <v>100</v>
      </c>
      <c r="P2198" t="s">
        <v>340</v>
      </c>
      <c r="Q2198" s="10" t="s">
        <v>1102</v>
      </c>
    </row>
    <row r="2199" spans="1:18" hidden="1" x14ac:dyDescent="0.25">
      <c r="A2199" s="36" t="str">
        <f>IF(D2199=1,"Jan-18",IF(D2199=2,"Feb-18",IF(D2199=3,"Mar-18",IF(D2199=4,"Apr-18",IF(D2199=5,"May-18",IF(D2199=6,"Jun-18",(IF(D2199=7,"Jul-18",IF(D2199=8,"Aug-18",IF(D2199=9,"Sep-18",IF(D2199=10,"Oct-18",IF(D2199=11,"Nov-18",IF(D2199=12,"Dec-18","...")))))))))))))</f>
        <v>Aug-18</v>
      </c>
      <c r="B2199" s="3" t="s">
        <v>1268</v>
      </c>
      <c r="C2199" s="10">
        <v>31</v>
      </c>
      <c r="D2199" s="10">
        <v>8</v>
      </c>
      <c r="E2199" s="10">
        <v>18</v>
      </c>
      <c r="F2199" t="s">
        <v>372</v>
      </c>
      <c r="G2199" t="s">
        <v>373</v>
      </c>
      <c r="H2199" t="s">
        <v>65</v>
      </c>
      <c r="I2199" t="s">
        <v>27</v>
      </c>
      <c r="J2199" s="4">
        <v>9</v>
      </c>
      <c r="K2199">
        <v>1</v>
      </c>
      <c r="L2199">
        <v>9</v>
      </c>
      <c r="M2199">
        <v>9</v>
      </c>
      <c r="N2199" s="5">
        <v>0.45556805399325084</v>
      </c>
      <c r="O2199" t="s">
        <v>100</v>
      </c>
      <c r="P2199" t="s">
        <v>340</v>
      </c>
      <c r="Q2199" s="10" t="s">
        <v>1102</v>
      </c>
    </row>
    <row r="2200" spans="1:18" hidden="1" x14ac:dyDescent="0.25">
      <c r="A2200" s="9" t="s">
        <v>513</v>
      </c>
      <c r="B2200" s="3" t="s">
        <v>1268</v>
      </c>
      <c r="C2200" s="10">
        <v>31</v>
      </c>
      <c r="D2200" s="10">
        <v>8</v>
      </c>
      <c r="E2200" s="10">
        <v>18</v>
      </c>
      <c r="F2200" t="s">
        <v>78</v>
      </c>
      <c r="G2200" t="s">
        <v>889</v>
      </c>
      <c r="H2200" t="s">
        <v>78</v>
      </c>
      <c r="I2200" t="s">
        <v>79</v>
      </c>
      <c r="J2200" s="4">
        <v>18.52</v>
      </c>
      <c r="K2200">
        <v>49.15</v>
      </c>
      <c r="L2200">
        <v>18.52</v>
      </c>
      <c r="M2200">
        <v>910.25799999999992</v>
      </c>
      <c r="N2200" s="5">
        <v>46.076051743532055</v>
      </c>
      <c r="O2200" t="s">
        <v>103</v>
      </c>
      <c r="P2200" t="s">
        <v>340</v>
      </c>
      <c r="Q2200" s="10" t="s">
        <v>24</v>
      </c>
    </row>
    <row r="2201" spans="1:18" hidden="1" x14ac:dyDescent="0.25">
      <c r="A2201" s="2" t="s">
        <v>513</v>
      </c>
      <c r="B2201" s="3" t="str">
        <f t="shared" ref="B2201:B2206" si="58">CONCATENATE(E2201,"/",D2201,"/",C2201)</f>
        <v>18/8/4</v>
      </c>
      <c r="C2201" s="10">
        <v>4</v>
      </c>
      <c r="D2201" s="10">
        <v>8</v>
      </c>
      <c r="E2201">
        <v>18</v>
      </c>
      <c r="F2201" t="s">
        <v>104</v>
      </c>
      <c r="I2201" t="s">
        <v>72</v>
      </c>
      <c r="J2201">
        <v>12.63</v>
      </c>
      <c r="K2201">
        <v>5</v>
      </c>
      <c r="L2201">
        <v>12.63</v>
      </c>
      <c r="M2201">
        <v>63.150000000000006</v>
      </c>
      <c r="N2201" s="5">
        <v>3.1810931072118218</v>
      </c>
      <c r="O2201" t="s">
        <v>233</v>
      </c>
      <c r="P2201" t="s">
        <v>340</v>
      </c>
      <c r="Q2201" s="10" t="s">
        <v>24</v>
      </c>
      <c r="R2201" t="s">
        <v>232</v>
      </c>
    </row>
    <row r="2202" spans="1:18" hidden="1" x14ac:dyDescent="0.25">
      <c r="A2202" s="2" t="s">
        <v>513</v>
      </c>
      <c r="B2202" s="3" t="str">
        <f t="shared" si="58"/>
        <v>18/8/4</v>
      </c>
      <c r="C2202" s="10">
        <v>4</v>
      </c>
      <c r="D2202" s="10">
        <v>8</v>
      </c>
      <c r="E2202">
        <v>18</v>
      </c>
      <c r="F2202" t="s">
        <v>635</v>
      </c>
      <c r="I2202" t="s">
        <v>72</v>
      </c>
      <c r="J2202">
        <v>4.09</v>
      </c>
      <c r="K2202">
        <v>5</v>
      </c>
      <c r="L2202">
        <v>4.09</v>
      </c>
      <c r="M2202">
        <v>20.45</v>
      </c>
      <c r="N2202" s="5">
        <v>1.0301402065317775</v>
      </c>
      <c r="O2202" t="s">
        <v>233</v>
      </c>
      <c r="P2202" t="s">
        <v>340</v>
      </c>
      <c r="Q2202" s="10" t="s">
        <v>24</v>
      </c>
      <c r="R2202" t="s">
        <v>635</v>
      </c>
    </row>
    <row r="2203" spans="1:18" hidden="1" x14ac:dyDescent="0.25">
      <c r="A2203" s="2" t="s">
        <v>513</v>
      </c>
      <c r="B2203" s="3" t="str">
        <f t="shared" si="58"/>
        <v>18/8/4</v>
      </c>
      <c r="C2203" s="10">
        <v>4</v>
      </c>
      <c r="D2203" s="10">
        <v>8</v>
      </c>
      <c r="E2203">
        <v>18</v>
      </c>
      <c r="F2203" t="s">
        <v>1424</v>
      </c>
      <c r="I2203" t="s">
        <v>72</v>
      </c>
      <c r="J2203">
        <v>45.78</v>
      </c>
      <c r="K2203">
        <v>2</v>
      </c>
      <c r="L2203">
        <v>45.78</v>
      </c>
      <c r="M2203">
        <v>91.56</v>
      </c>
      <c r="N2203" s="5">
        <v>4.612207203425406</v>
      </c>
      <c r="O2203" t="s">
        <v>233</v>
      </c>
      <c r="P2203" t="s">
        <v>340</v>
      </c>
      <c r="Q2203" s="10" t="s">
        <v>24</v>
      </c>
      <c r="R2203" t="s">
        <v>602</v>
      </c>
    </row>
    <row r="2204" spans="1:18" hidden="1" x14ac:dyDescent="0.25">
      <c r="A2204" s="2" t="s">
        <v>513</v>
      </c>
      <c r="B2204" s="3" t="str">
        <f t="shared" si="58"/>
        <v>18/8/4</v>
      </c>
      <c r="C2204" s="10">
        <v>4</v>
      </c>
      <c r="D2204" s="10">
        <v>8</v>
      </c>
      <c r="E2204">
        <v>18</v>
      </c>
      <c r="F2204" t="s">
        <v>151</v>
      </c>
      <c r="I2204" t="s">
        <v>72</v>
      </c>
      <c r="J2204">
        <v>37.869999999999997</v>
      </c>
      <c r="K2204">
        <v>1</v>
      </c>
      <c r="L2204">
        <v>37.869999999999997</v>
      </c>
      <c r="M2204">
        <v>37.869999999999997</v>
      </c>
      <c r="N2204" s="5">
        <v>1.9076483922424652</v>
      </c>
      <c r="O2204" t="s">
        <v>233</v>
      </c>
      <c r="P2204" t="s">
        <v>340</v>
      </c>
      <c r="Q2204" s="10" t="s">
        <v>24</v>
      </c>
      <c r="R2204" t="s">
        <v>481</v>
      </c>
    </row>
    <row r="2205" spans="1:18" hidden="1" x14ac:dyDescent="0.25">
      <c r="A2205" s="2" t="s">
        <v>513</v>
      </c>
      <c r="B2205" s="3" t="str">
        <f t="shared" si="58"/>
        <v>18/8/4</v>
      </c>
      <c r="C2205" s="10">
        <v>4</v>
      </c>
      <c r="D2205" s="10">
        <v>8</v>
      </c>
      <c r="E2205">
        <v>18</v>
      </c>
      <c r="F2205" t="s">
        <v>1666</v>
      </c>
      <c r="I2205" t="s">
        <v>72</v>
      </c>
      <c r="J2205">
        <v>67.2</v>
      </c>
      <c r="K2205">
        <v>1</v>
      </c>
      <c r="L2205">
        <v>67.2</v>
      </c>
      <c r="M2205">
        <v>67.2</v>
      </c>
      <c r="N2205" s="5">
        <v>3.3851062043489217</v>
      </c>
      <c r="O2205" t="s">
        <v>233</v>
      </c>
      <c r="P2205" t="s">
        <v>340</v>
      </c>
      <c r="Q2205" s="10" t="s">
        <v>24</v>
      </c>
      <c r="R2205" t="s">
        <v>636</v>
      </c>
    </row>
    <row r="2206" spans="1:18" hidden="1" x14ac:dyDescent="0.25">
      <c r="A2206" s="2" t="s">
        <v>513</v>
      </c>
      <c r="B2206" s="3" t="str">
        <f t="shared" si="58"/>
        <v>18/8/4</v>
      </c>
      <c r="C2206" s="10">
        <v>4</v>
      </c>
      <c r="D2206" s="10">
        <v>8</v>
      </c>
      <c r="E2206">
        <v>18</v>
      </c>
      <c r="F2206" t="s">
        <v>146</v>
      </c>
      <c r="H2206" t="s">
        <v>49</v>
      </c>
      <c r="I2206" t="s">
        <v>50</v>
      </c>
      <c r="J2206">
        <v>0.1</v>
      </c>
      <c r="K2206">
        <v>1</v>
      </c>
      <c r="L2206">
        <v>0.1</v>
      </c>
      <c r="M2206">
        <v>0.1</v>
      </c>
      <c r="N2206" s="5">
        <v>5.0373604231382764E-3</v>
      </c>
      <c r="O2206" t="s">
        <v>233</v>
      </c>
      <c r="P2206" t="s">
        <v>340</v>
      </c>
      <c r="Q2206" s="10" t="s">
        <v>24</v>
      </c>
      <c r="R2206" t="s">
        <v>517</v>
      </c>
    </row>
    <row r="2207" spans="1:18" hidden="1" x14ac:dyDescent="0.25">
      <c r="A2207" s="36" t="str">
        <f>IF(D2207=1,"Jan-18",IF(D2207=2,"Feb-18",IF(D2207=3,"Mar-18",IF(D2207=4,"Apr-18",IF(D2207=5,"May-18",IF(D2207=6,"Jun-18",(IF(D2207=7,"Jul-18",IF(D2207=8,"Aug-18",IF(D2207=9,"Sep-18",IF(D2207=10,"Oct-18",IF(D2207=11,"Nov-18",IF(D2207=12,"Dec-18","...")))))))))))))</f>
        <v>Aug-18</v>
      </c>
      <c r="B2207" s="3" t="s">
        <v>1252</v>
      </c>
      <c r="C2207" s="10">
        <v>4</v>
      </c>
      <c r="D2207" s="10">
        <v>8</v>
      </c>
      <c r="E2207" s="10">
        <v>18</v>
      </c>
      <c r="F2207" t="s">
        <v>234</v>
      </c>
      <c r="G2207" t="s">
        <v>889</v>
      </c>
      <c r="H2207" t="s">
        <v>53</v>
      </c>
      <c r="I2207" t="s">
        <v>27</v>
      </c>
      <c r="J2207" s="4">
        <v>20</v>
      </c>
      <c r="K2207">
        <v>1</v>
      </c>
      <c r="L2207">
        <v>20</v>
      </c>
      <c r="M2207">
        <v>20</v>
      </c>
      <c r="N2207" s="5">
        <v>1.0123734533183351</v>
      </c>
      <c r="O2207" t="s">
        <v>101</v>
      </c>
      <c r="P2207" t="s">
        <v>340</v>
      </c>
      <c r="Q2207" s="10" t="s">
        <v>1102</v>
      </c>
    </row>
    <row r="2208" spans="1:18" hidden="1" x14ac:dyDescent="0.25">
      <c r="A2208" s="9" t="s">
        <v>513</v>
      </c>
      <c r="B2208" s="3" t="s">
        <v>1252</v>
      </c>
      <c r="C2208" s="10">
        <v>4</v>
      </c>
      <c r="D2208" s="10">
        <v>8</v>
      </c>
      <c r="E2208" s="10">
        <v>18</v>
      </c>
      <c r="F2208" t="s">
        <v>234</v>
      </c>
      <c r="G2208" t="s">
        <v>889</v>
      </c>
      <c r="H2208" t="s">
        <v>53</v>
      </c>
      <c r="I2208" t="s">
        <v>27</v>
      </c>
      <c r="J2208" s="4">
        <v>17.899999999999999</v>
      </c>
      <c r="K2208">
        <v>2</v>
      </c>
      <c r="L2208">
        <v>17.899999999999999</v>
      </c>
      <c r="M2208">
        <v>35.799999999999997</v>
      </c>
      <c r="N2208" s="5">
        <v>1.8121484814398199</v>
      </c>
      <c r="O2208" t="s">
        <v>46</v>
      </c>
      <c r="P2208" t="s">
        <v>340</v>
      </c>
      <c r="Q2208" s="10" t="s">
        <v>1102</v>
      </c>
    </row>
    <row r="2209" spans="1:18" hidden="1" x14ac:dyDescent="0.25">
      <c r="A2209" s="9" t="s">
        <v>513</v>
      </c>
      <c r="B2209" s="3" t="s">
        <v>1252</v>
      </c>
      <c r="C2209" s="10">
        <v>4</v>
      </c>
      <c r="D2209" s="10">
        <v>8</v>
      </c>
      <c r="E2209" s="10">
        <v>18</v>
      </c>
      <c r="F2209" t="s">
        <v>662</v>
      </c>
      <c r="G2209" t="s">
        <v>889</v>
      </c>
      <c r="H2209" t="s">
        <v>56</v>
      </c>
      <c r="I2209" t="s">
        <v>27</v>
      </c>
      <c r="J2209" s="4">
        <v>10</v>
      </c>
      <c r="K2209">
        <v>2.4</v>
      </c>
      <c r="L2209">
        <v>10</v>
      </c>
      <c r="M2209">
        <v>24</v>
      </c>
      <c r="N2209" s="5">
        <v>1.2148481439820022</v>
      </c>
      <c r="O2209" t="s">
        <v>593</v>
      </c>
      <c r="P2209" t="s">
        <v>340</v>
      </c>
      <c r="Q2209" s="10" t="s">
        <v>1102</v>
      </c>
    </row>
    <row r="2210" spans="1:18" hidden="1" x14ac:dyDescent="0.25">
      <c r="A2210" s="9" t="s">
        <v>513</v>
      </c>
      <c r="B2210" s="3" t="s">
        <v>1252</v>
      </c>
      <c r="C2210" s="10">
        <v>4</v>
      </c>
      <c r="D2210" s="10">
        <v>8</v>
      </c>
      <c r="E2210" s="10">
        <v>18</v>
      </c>
      <c r="F2210" t="s">
        <v>1051</v>
      </c>
      <c r="G2210" t="s">
        <v>889</v>
      </c>
      <c r="H2210" t="s">
        <v>56</v>
      </c>
      <c r="I2210" t="s">
        <v>27</v>
      </c>
      <c r="J2210" s="4">
        <v>20</v>
      </c>
      <c r="K2210">
        <v>1</v>
      </c>
      <c r="L2210">
        <v>20</v>
      </c>
      <c r="M2210">
        <v>20</v>
      </c>
      <c r="N2210" s="5">
        <v>1.0123734533183351</v>
      </c>
      <c r="O2210" t="s">
        <v>593</v>
      </c>
      <c r="P2210" t="s">
        <v>340</v>
      </c>
      <c r="Q2210" s="10" t="s">
        <v>1102</v>
      </c>
    </row>
    <row r="2211" spans="1:18" hidden="1" x14ac:dyDescent="0.25">
      <c r="A2211" s="9" t="s">
        <v>513</v>
      </c>
      <c r="B2211" s="3" t="s">
        <v>1252</v>
      </c>
      <c r="C2211" s="10">
        <v>4</v>
      </c>
      <c r="D2211" s="10">
        <v>8</v>
      </c>
      <c r="E2211" s="10">
        <v>18</v>
      </c>
      <c r="F2211" t="s">
        <v>55</v>
      </c>
      <c r="G2211" t="s">
        <v>889</v>
      </c>
      <c r="H2211" t="s">
        <v>56</v>
      </c>
      <c r="I2211" t="s">
        <v>27</v>
      </c>
      <c r="J2211" s="4">
        <v>32</v>
      </c>
      <c r="K2211">
        <v>1</v>
      </c>
      <c r="L2211">
        <v>32</v>
      </c>
      <c r="M2211">
        <v>32</v>
      </c>
      <c r="N2211" s="5">
        <v>1.6197975253093362</v>
      </c>
      <c r="O2211" t="s">
        <v>593</v>
      </c>
      <c r="P2211" t="s">
        <v>340</v>
      </c>
      <c r="Q2211" s="10" t="s">
        <v>1102</v>
      </c>
    </row>
    <row r="2212" spans="1:18" hidden="1" x14ac:dyDescent="0.25">
      <c r="A2212" s="9" t="s">
        <v>513</v>
      </c>
      <c r="B2212" s="3" t="s">
        <v>1252</v>
      </c>
      <c r="C2212" s="10">
        <v>4</v>
      </c>
      <c r="D2212" s="10">
        <v>8</v>
      </c>
      <c r="E2212" s="10">
        <v>18</v>
      </c>
      <c r="F2212" t="s">
        <v>744</v>
      </c>
      <c r="G2212" t="s">
        <v>889</v>
      </c>
      <c r="H2212" t="s">
        <v>54</v>
      </c>
      <c r="I2212" t="s">
        <v>27</v>
      </c>
      <c r="J2212" s="4">
        <v>11</v>
      </c>
      <c r="K2212">
        <v>1</v>
      </c>
      <c r="L2212">
        <v>11</v>
      </c>
      <c r="M2212">
        <v>11</v>
      </c>
      <c r="N2212" s="5">
        <v>0.55680539932508433</v>
      </c>
      <c r="O2212" t="s">
        <v>593</v>
      </c>
      <c r="P2212" t="s">
        <v>340</v>
      </c>
      <c r="Q2212" s="10" t="s">
        <v>1102</v>
      </c>
    </row>
    <row r="2213" spans="1:18" hidden="1" x14ac:dyDescent="0.25">
      <c r="A2213" s="9" t="s">
        <v>513</v>
      </c>
      <c r="B2213" s="3" t="s">
        <v>1252</v>
      </c>
      <c r="C2213" s="10">
        <v>4</v>
      </c>
      <c r="D2213" s="10">
        <v>8</v>
      </c>
      <c r="E2213" s="10">
        <v>18</v>
      </c>
      <c r="F2213" t="s">
        <v>1144</v>
      </c>
      <c r="G2213" t="s">
        <v>31</v>
      </c>
      <c r="H2213" t="s">
        <v>26</v>
      </c>
      <c r="I2213" t="s">
        <v>27</v>
      </c>
      <c r="J2213" s="4">
        <v>23.4</v>
      </c>
      <c r="K2213">
        <v>1</v>
      </c>
      <c r="L2213">
        <v>23.4</v>
      </c>
      <c r="M2213">
        <v>23.4</v>
      </c>
      <c r="N2213" s="5">
        <v>1.184476940382452</v>
      </c>
      <c r="O2213" t="s">
        <v>39</v>
      </c>
      <c r="P2213" t="s">
        <v>340</v>
      </c>
      <c r="Q2213" s="10" t="s">
        <v>24</v>
      </c>
    </row>
    <row r="2214" spans="1:18" hidden="1" x14ac:dyDescent="0.25">
      <c r="A2214" s="2" t="s">
        <v>513</v>
      </c>
      <c r="B2214" s="3" t="str">
        <f t="shared" ref="B2214:B2225" si="59">CONCATENATE(E2214,"/",D2214,"/",C2214)</f>
        <v>18/8/5</v>
      </c>
      <c r="C2214" s="10">
        <v>5</v>
      </c>
      <c r="D2214" s="10">
        <v>8</v>
      </c>
      <c r="E2214">
        <v>18</v>
      </c>
      <c r="F2214" t="s">
        <v>641</v>
      </c>
      <c r="H2214" t="s">
        <v>53</v>
      </c>
      <c r="I2214" t="s">
        <v>27</v>
      </c>
      <c r="J2214">
        <v>49.75</v>
      </c>
      <c r="K2214">
        <v>5</v>
      </c>
      <c r="L2214">
        <v>49.75</v>
      </c>
      <c r="M2214">
        <v>228.82999999999998</v>
      </c>
      <c r="N2214" s="5">
        <v>11.629689521345405</v>
      </c>
      <c r="O2214" t="s">
        <v>51</v>
      </c>
      <c r="P2214" t="s">
        <v>340</v>
      </c>
      <c r="Q2214" s="10" t="s">
        <v>84</v>
      </c>
      <c r="R2214" t="s">
        <v>642</v>
      </c>
    </row>
    <row r="2215" spans="1:18" hidden="1" x14ac:dyDescent="0.25">
      <c r="A2215" s="2" t="s">
        <v>513</v>
      </c>
      <c r="B2215" s="3" t="str">
        <f t="shared" si="59"/>
        <v>18/8/5</v>
      </c>
      <c r="C2215" s="10">
        <v>5</v>
      </c>
      <c r="D2215" s="10">
        <v>8</v>
      </c>
      <c r="E2215">
        <v>18</v>
      </c>
      <c r="F2215" t="s">
        <v>53</v>
      </c>
      <c r="H2215" t="s">
        <v>53</v>
      </c>
      <c r="I2215" t="s">
        <v>27</v>
      </c>
      <c r="J2215">
        <v>51.9</v>
      </c>
      <c r="K2215">
        <v>1</v>
      </c>
      <c r="L2215">
        <v>51.9</v>
      </c>
      <c r="M2215">
        <v>51.9</v>
      </c>
      <c r="N2215" s="5">
        <v>2.637682498613934</v>
      </c>
      <c r="O2215" t="s">
        <v>51</v>
      </c>
      <c r="P2215" t="s">
        <v>340</v>
      </c>
      <c r="Q2215" s="10" t="s">
        <v>84</v>
      </c>
      <c r="R2215" t="s">
        <v>642</v>
      </c>
    </row>
    <row r="2216" spans="1:18" hidden="1" x14ac:dyDescent="0.25">
      <c r="A2216" s="2" t="s">
        <v>513</v>
      </c>
      <c r="B2216" s="3" t="str">
        <f t="shared" si="59"/>
        <v>18/8/5</v>
      </c>
      <c r="C2216" s="10">
        <v>5</v>
      </c>
      <c r="D2216" s="10">
        <v>8</v>
      </c>
      <c r="E2216">
        <v>18</v>
      </c>
      <c r="F2216" t="s">
        <v>643</v>
      </c>
      <c r="H2216" t="s">
        <v>44</v>
      </c>
      <c r="I2216" t="s">
        <v>27</v>
      </c>
      <c r="J2216">
        <v>122.88</v>
      </c>
      <c r="K2216">
        <v>2</v>
      </c>
      <c r="L2216">
        <v>122.88</v>
      </c>
      <c r="M2216">
        <v>245.76</v>
      </c>
      <c r="N2216" s="5">
        <v>12.490112733321011</v>
      </c>
      <c r="O2216" t="s">
        <v>51</v>
      </c>
      <c r="P2216" t="s">
        <v>340</v>
      </c>
      <c r="Q2216" s="10" t="s">
        <v>84</v>
      </c>
      <c r="R2216" t="s">
        <v>642</v>
      </c>
    </row>
    <row r="2217" spans="1:18" hidden="1" x14ac:dyDescent="0.25">
      <c r="A2217" s="2" t="s">
        <v>513</v>
      </c>
      <c r="B2217" s="3" t="str">
        <f t="shared" si="59"/>
        <v>18/8/5</v>
      </c>
      <c r="C2217" s="10">
        <v>5</v>
      </c>
      <c r="D2217" s="10">
        <v>8</v>
      </c>
      <c r="E2217">
        <v>18</v>
      </c>
      <c r="F2217" t="s">
        <v>644</v>
      </c>
      <c r="G2217" t="s">
        <v>67</v>
      </c>
      <c r="H2217" t="s">
        <v>59</v>
      </c>
      <c r="I2217" t="s">
        <v>27</v>
      </c>
      <c r="J2217">
        <v>79.900000000000006</v>
      </c>
      <c r="K2217">
        <v>7</v>
      </c>
      <c r="L2217">
        <v>79.900000000000006</v>
      </c>
      <c r="M2217">
        <v>545.36</v>
      </c>
      <c r="N2217" s="5">
        <v>27.71650341896137</v>
      </c>
      <c r="O2217" t="s">
        <v>51</v>
      </c>
      <c r="P2217" t="s">
        <v>340</v>
      </c>
      <c r="Q2217" s="10" t="s">
        <v>84</v>
      </c>
      <c r="R2217" t="s">
        <v>642</v>
      </c>
    </row>
    <row r="2218" spans="1:18" hidden="1" x14ac:dyDescent="0.25">
      <c r="A2218" s="2" t="s">
        <v>513</v>
      </c>
      <c r="B2218" s="3" t="str">
        <f t="shared" si="59"/>
        <v>18/8/5</v>
      </c>
      <c r="C2218" s="10">
        <v>5</v>
      </c>
      <c r="D2218" s="10">
        <v>8</v>
      </c>
      <c r="E2218">
        <v>18</v>
      </c>
      <c r="F2218" t="s">
        <v>387</v>
      </c>
      <c r="H2218" t="s">
        <v>44</v>
      </c>
      <c r="I2218" t="s">
        <v>27</v>
      </c>
      <c r="J2218">
        <v>14.99</v>
      </c>
      <c r="K2218">
        <v>23</v>
      </c>
      <c r="L2218">
        <v>14.99</v>
      </c>
      <c r="M2218">
        <v>344.77</v>
      </c>
      <c r="N2218" s="5">
        <v>17.522038440214374</v>
      </c>
      <c r="O2218" t="s">
        <v>51</v>
      </c>
      <c r="P2218" t="s">
        <v>340</v>
      </c>
      <c r="Q2218" s="10" t="s">
        <v>84</v>
      </c>
      <c r="R2218" t="s">
        <v>642</v>
      </c>
    </row>
    <row r="2219" spans="1:18" hidden="1" x14ac:dyDescent="0.25">
      <c r="A2219" s="2" t="s">
        <v>513</v>
      </c>
      <c r="B2219" s="3" t="str">
        <f t="shared" si="59"/>
        <v>18/8/5</v>
      </c>
      <c r="C2219" s="10">
        <v>5</v>
      </c>
      <c r="D2219" s="10">
        <v>8</v>
      </c>
      <c r="E2219">
        <v>18</v>
      </c>
      <c r="F2219" t="s">
        <v>645</v>
      </c>
      <c r="G2219" t="s">
        <v>39</v>
      </c>
      <c r="H2219" t="s">
        <v>59</v>
      </c>
      <c r="I2219" t="s">
        <v>27</v>
      </c>
      <c r="J2219">
        <v>42.9</v>
      </c>
      <c r="K2219">
        <v>7</v>
      </c>
      <c r="L2219">
        <v>42.9</v>
      </c>
      <c r="M2219">
        <v>300.3</v>
      </c>
      <c r="N2219" s="5">
        <v>15.261966364812418</v>
      </c>
      <c r="O2219" t="s">
        <v>51</v>
      </c>
      <c r="P2219" t="s">
        <v>340</v>
      </c>
      <c r="Q2219" s="10" t="s">
        <v>84</v>
      </c>
      <c r="R2219" t="s">
        <v>642</v>
      </c>
    </row>
    <row r="2220" spans="1:18" hidden="1" x14ac:dyDescent="0.25">
      <c r="A2220" s="2" t="s">
        <v>513</v>
      </c>
      <c r="B2220" s="3" t="str">
        <f t="shared" si="59"/>
        <v>18/8/5</v>
      </c>
      <c r="C2220" s="10">
        <v>5</v>
      </c>
      <c r="D2220" s="10">
        <v>8</v>
      </c>
      <c r="E2220">
        <v>18</v>
      </c>
      <c r="F2220" t="s">
        <v>61</v>
      </c>
      <c r="H2220" t="s">
        <v>62</v>
      </c>
      <c r="I2220" t="s">
        <v>27</v>
      </c>
      <c r="J2220">
        <v>9.98</v>
      </c>
      <c r="K2220">
        <v>10</v>
      </c>
      <c r="L2220">
        <v>9.98</v>
      </c>
      <c r="M2220">
        <v>94.76</v>
      </c>
      <c r="N2220" s="5">
        <v>4.8159305119201621</v>
      </c>
      <c r="O2220" t="s">
        <v>51</v>
      </c>
      <c r="P2220" t="s">
        <v>340</v>
      </c>
      <c r="Q2220" s="10" t="s">
        <v>84</v>
      </c>
    </row>
    <row r="2221" spans="1:18" hidden="1" x14ac:dyDescent="0.25">
      <c r="A2221" s="2" t="s">
        <v>513</v>
      </c>
      <c r="B2221" s="3" t="str">
        <f t="shared" si="59"/>
        <v>18/8/5</v>
      </c>
      <c r="C2221" s="10">
        <v>5</v>
      </c>
      <c r="D2221" s="10">
        <v>8</v>
      </c>
      <c r="E2221">
        <v>18</v>
      </c>
      <c r="F2221" t="s">
        <v>525</v>
      </c>
      <c r="H2221" t="s">
        <v>49</v>
      </c>
      <c r="I2221" t="s">
        <v>50</v>
      </c>
      <c r="J2221">
        <v>13.9</v>
      </c>
      <c r="K2221">
        <v>1</v>
      </c>
      <c r="L2221">
        <v>13.9</v>
      </c>
      <c r="M2221">
        <v>13.9</v>
      </c>
      <c r="N2221" s="5">
        <v>0.70643134355941595</v>
      </c>
      <c r="O2221" t="s">
        <v>51</v>
      </c>
      <c r="P2221" t="s">
        <v>340</v>
      </c>
      <c r="Q2221" s="10" t="s">
        <v>24</v>
      </c>
    </row>
    <row r="2222" spans="1:18" hidden="1" x14ac:dyDescent="0.25">
      <c r="A2222" s="2" t="s">
        <v>513</v>
      </c>
      <c r="B2222" s="3" t="str">
        <f t="shared" si="59"/>
        <v>18/8/5</v>
      </c>
      <c r="C2222" s="10">
        <v>5</v>
      </c>
      <c r="D2222" s="10">
        <v>8</v>
      </c>
      <c r="E2222">
        <v>18</v>
      </c>
      <c r="F2222" t="s">
        <v>2187</v>
      </c>
      <c r="G2222" t="s">
        <v>320</v>
      </c>
      <c r="H2222" t="s">
        <v>49</v>
      </c>
      <c r="I2222" t="s">
        <v>50</v>
      </c>
      <c r="J2222">
        <v>93.7</v>
      </c>
      <c r="K2222">
        <v>1</v>
      </c>
      <c r="L2222">
        <v>93.7</v>
      </c>
      <c r="M2222">
        <v>93.7</v>
      </c>
      <c r="N2222" s="5">
        <v>4.7620587691739047</v>
      </c>
      <c r="O2222" t="s">
        <v>51</v>
      </c>
      <c r="P2222" t="s">
        <v>340</v>
      </c>
      <c r="Q2222" s="10" t="s">
        <v>24</v>
      </c>
    </row>
    <row r="2223" spans="1:18" hidden="1" x14ac:dyDescent="0.25">
      <c r="A2223" s="2" t="s">
        <v>513</v>
      </c>
      <c r="B2223" s="3" t="str">
        <f t="shared" si="59"/>
        <v>18/8/5</v>
      </c>
      <c r="C2223" s="10">
        <v>5</v>
      </c>
      <c r="D2223" s="10">
        <v>8</v>
      </c>
      <c r="E2223">
        <v>18</v>
      </c>
      <c r="F2223" t="s">
        <v>48</v>
      </c>
      <c r="H2223" t="s">
        <v>49</v>
      </c>
      <c r="I2223" t="s">
        <v>50</v>
      </c>
      <c r="J2223">
        <v>34.9</v>
      </c>
      <c r="K2223">
        <v>1</v>
      </c>
      <c r="L2223">
        <v>34.9</v>
      </c>
      <c r="M2223">
        <v>34.9</v>
      </c>
      <c r="N2223" s="5">
        <v>1.7737017187211233</v>
      </c>
      <c r="O2223" t="s">
        <v>51</v>
      </c>
      <c r="P2223" t="s">
        <v>340</v>
      </c>
      <c r="Q2223" s="10" t="s">
        <v>24</v>
      </c>
    </row>
    <row r="2224" spans="1:18" hidden="1" x14ac:dyDescent="0.25">
      <c r="A2224" s="2" t="s">
        <v>513</v>
      </c>
      <c r="B2224" s="3" t="str">
        <f t="shared" si="59"/>
        <v>18/8/5</v>
      </c>
      <c r="C2224" s="10">
        <v>5</v>
      </c>
      <c r="D2224" s="10">
        <v>8</v>
      </c>
      <c r="E2224">
        <v>18</v>
      </c>
      <c r="F2224" t="s">
        <v>39</v>
      </c>
      <c r="I2224" t="s">
        <v>87</v>
      </c>
      <c r="J2224">
        <v>91.08</v>
      </c>
      <c r="K2224">
        <v>1</v>
      </c>
      <c r="L2224">
        <v>91.08</v>
      </c>
      <c r="M2224">
        <v>91.08</v>
      </c>
      <c r="N2224" s="5">
        <v>4.6289040842727767</v>
      </c>
      <c r="O2224" t="s">
        <v>51</v>
      </c>
      <c r="P2224" t="s">
        <v>340</v>
      </c>
      <c r="Q2224" s="10" t="s">
        <v>84</v>
      </c>
      <c r="R2224" t="s">
        <v>1574</v>
      </c>
    </row>
    <row r="2225" spans="1:18" hidden="1" x14ac:dyDescent="0.25">
      <c r="A2225" s="2" t="s">
        <v>513</v>
      </c>
      <c r="B2225" s="3" t="str">
        <f t="shared" si="59"/>
        <v>18/8/5</v>
      </c>
      <c r="C2225" s="10">
        <v>5</v>
      </c>
      <c r="D2225" s="10">
        <v>8</v>
      </c>
      <c r="E2225">
        <v>18</v>
      </c>
      <c r="F2225" t="s">
        <v>387</v>
      </c>
      <c r="H2225" t="s">
        <v>44</v>
      </c>
      <c r="I2225" t="s">
        <v>27</v>
      </c>
      <c r="J2225">
        <v>10.99</v>
      </c>
      <c r="K2225">
        <v>1</v>
      </c>
      <c r="L2225">
        <v>10.99</v>
      </c>
      <c r="M2225">
        <v>10.99</v>
      </c>
      <c r="N2225" s="5">
        <v>0.55853816300129355</v>
      </c>
      <c r="O2225" t="s">
        <v>51</v>
      </c>
      <c r="P2225" t="s">
        <v>340</v>
      </c>
      <c r="Q2225" s="10" t="s">
        <v>84</v>
      </c>
      <c r="R2225" t="s">
        <v>642</v>
      </c>
    </row>
    <row r="2226" spans="1:18" hidden="1" x14ac:dyDescent="0.25">
      <c r="A2226" s="9" t="s">
        <v>513</v>
      </c>
      <c r="B2226" s="3" t="s">
        <v>1443</v>
      </c>
      <c r="C2226" s="10">
        <v>5</v>
      </c>
      <c r="D2226" s="10">
        <v>8</v>
      </c>
      <c r="E2226" s="10">
        <v>18</v>
      </c>
      <c r="F2226" t="s">
        <v>146</v>
      </c>
      <c r="H2226" t="s">
        <v>49</v>
      </c>
      <c r="I2226" t="s">
        <v>50</v>
      </c>
      <c r="J2226" s="4">
        <v>5.5</v>
      </c>
      <c r="K2226">
        <v>1</v>
      </c>
      <c r="L2226">
        <v>5.5</v>
      </c>
      <c r="M2226">
        <v>5.5</v>
      </c>
      <c r="N2226" s="5">
        <v>0.27840269966254216</v>
      </c>
      <c r="O2226" t="s">
        <v>39</v>
      </c>
      <c r="P2226" t="s">
        <v>340</v>
      </c>
      <c r="Q2226" s="10" t="s">
        <v>84</v>
      </c>
    </row>
    <row r="2227" spans="1:18" hidden="1" x14ac:dyDescent="0.25">
      <c r="A2227" s="9" t="s">
        <v>513</v>
      </c>
      <c r="B2227" s="3" t="s">
        <v>1443</v>
      </c>
      <c r="C2227" s="10">
        <v>5</v>
      </c>
      <c r="D2227" s="10">
        <v>8</v>
      </c>
      <c r="E2227" s="10">
        <v>18</v>
      </c>
      <c r="F2227" t="s">
        <v>1432</v>
      </c>
      <c r="G2227" t="s">
        <v>889</v>
      </c>
      <c r="H2227" t="s">
        <v>131</v>
      </c>
      <c r="I2227" t="s">
        <v>27</v>
      </c>
      <c r="J2227" s="4">
        <v>119.7</v>
      </c>
      <c r="K2227">
        <v>2.988</v>
      </c>
      <c r="L2227">
        <v>119.7</v>
      </c>
      <c r="M2227">
        <v>357.66360000000003</v>
      </c>
      <c r="N2227" s="5">
        <v>18.104456692913388</v>
      </c>
      <c r="O2227" t="s">
        <v>88</v>
      </c>
      <c r="P2227" t="s">
        <v>340</v>
      </c>
      <c r="Q2227" s="10" t="s">
        <v>84</v>
      </c>
    </row>
    <row r="2228" spans="1:18" hidden="1" x14ac:dyDescent="0.25">
      <c r="A2228" s="9" t="s">
        <v>513</v>
      </c>
      <c r="B2228" s="3" t="s">
        <v>1443</v>
      </c>
      <c r="C2228" s="10">
        <v>5</v>
      </c>
      <c r="D2228" s="10">
        <v>8</v>
      </c>
      <c r="E2228" s="10">
        <v>18</v>
      </c>
      <c r="F2228" t="s">
        <v>1433</v>
      </c>
      <c r="G2228" t="s">
        <v>889</v>
      </c>
      <c r="H2228" t="s">
        <v>131</v>
      </c>
      <c r="I2228" t="s">
        <v>27</v>
      </c>
      <c r="J2228" s="4">
        <v>133.1</v>
      </c>
      <c r="K2228">
        <v>2.052</v>
      </c>
      <c r="L2228">
        <v>133.1</v>
      </c>
      <c r="M2228">
        <v>273.12119999999999</v>
      </c>
      <c r="N2228" s="5">
        <v>13.825032620922384</v>
      </c>
      <c r="O2228" t="s">
        <v>39</v>
      </c>
      <c r="P2228" t="s">
        <v>340</v>
      </c>
      <c r="Q2228" s="10" t="s">
        <v>84</v>
      </c>
    </row>
    <row r="2229" spans="1:18" hidden="1" x14ac:dyDescent="0.25">
      <c r="A2229" s="9" t="s">
        <v>513</v>
      </c>
      <c r="B2229" s="3" t="s">
        <v>1443</v>
      </c>
      <c r="C2229" s="10">
        <v>5</v>
      </c>
      <c r="D2229" s="10">
        <v>8</v>
      </c>
      <c r="E2229" s="10">
        <v>18</v>
      </c>
      <c r="F2229" t="s">
        <v>146</v>
      </c>
      <c r="H2229" t="s">
        <v>49</v>
      </c>
      <c r="I2229" t="s">
        <v>50</v>
      </c>
      <c r="J2229" s="4">
        <v>1.5</v>
      </c>
      <c r="K2229">
        <v>2</v>
      </c>
      <c r="L2229">
        <v>1.5</v>
      </c>
      <c r="M2229">
        <v>3</v>
      </c>
      <c r="N2229" s="5">
        <v>0.15185601799775028</v>
      </c>
      <c r="O2229" t="s">
        <v>39</v>
      </c>
      <c r="P2229" t="s">
        <v>340</v>
      </c>
      <c r="Q2229" s="10" t="s">
        <v>24</v>
      </c>
    </row>
    <row r="2230" spans="1:18" hidden="1" x14ac:dyDescent="0.25">
      <c r="A2230" s="9" t="s">
        <v>513</v>
      </c>
      <c r="B2230" s="3" t="s">
        <v>1435</v>
      </c>
      <c r="C2230" s="10">
        <v>6</v>
      </c>
      <c r="D2230" s="10">
        <v>8</v>
      </c>
      <c r="E2230" s="10">
        <v>18</v>
      </c>
      <c r="F2230" t="s">
        <v>202</v>
      </c>
      <c r="G2230" t="s">
        <v>889</v>
      </c>
      <c r="H2230" t="s">
        <v>54</v>
      </c>
      <c r="I2230" t="s">
        <v>27</v>
      </c>
      <c r="J2230" s="4">
        <v>99.99</v>
      </c>
      <c r="K2230">
        <v>0.252</v>
      </c>
      <c r="L2230">
        <v>99.99</v>
      </c>
      <c r="M2230">
        <v>25.197479999999999</v>
      </c>
      <c r="N2230" s="5">
        <v>1.2754629921259841</v>
      </c>
      <c r="O2230" t="s">
        <v>28</v>
      </c>
      <c r="P2230" t="s">
        <v>340</v>
      </c>
      <c r="Q2230" s="10" t="s">
        <v>24</v>
      </c>
    </row>
    <row r="2231" spans="1:18" hidden="1" x14ac:dyDescent="0.25">
      <c r="A2231" s="9" t="s">
        <v>513</v>
      </c>
      <c r="B2231" s="3" t="s">
        <v>1435</v>
      </c>
      <c r="C2231" s="10">
        <v>6</v>
      </c>
      <c r="D2231" s="10">
        <v>8</v>
      </c>
      <c r="E2231" s="10">
        <v>18</v>
      </c>
      <c r="F2231" t="s">
        <v>590</v>
      </c>
      <c r="G2231" t="s">
        <v>31</v>
      </c>
      <c r="H2231" t="s">
        <v>26</v>
      </c>
      <c r="I2231" t="s">
        <v>27</v>
      </c>
      <c r="J2231" s="4">
        <v>12</v>
      </c>
      <c r="K2231">
        <v>2</v>
      </c>
      <c r="L2231">
        <v>12</v>
      </c>
      <c r="M2231">
        <v>24</v>
      </c>
      <c r="N2231" s="5">
        <v>1.2148481439820022</v>
      </c>
      <c r="O2231" t="s">
        <v>28</v>
      </c>
      <c r="P2231" t="s">
        <v>340</v>
      </c>
      <c r="Q2231" s="10" t="s">
        <v>24</v>
      </c>
    </row>
    <row r="2232" spans="1:18" hidden="1" x14ac:dyDescent="0.25">
      <c r="A2232" s="9" t="s">
        <v>513</v>
      </c>
      <c r="B2232" s="3" t="s">
        <v>1435</v>
      </c>
      <c r="C2232" s="10">
        <v>6</v>
      </c>
      <c r="D2232" s="10">
        <v>8</v>
      </c>
      <c r="E2232" s="10">
        <v>18</v>
      </c>
      <c r="F2232" t="s">
        <v>146</v>
      </c>
      <c r="H2232" t="s">
        <v>49</v>
      </c>
      <c r="I2232" t="s">
        <v>50</v>
      </c>
      <c r="J2232" s="4">
        <v>0.4</v>
      </c>
      <c r="K2232">
        <v>1</v>
      </c>
      <c r="L2232">
        <v>0.4</v>
      </c>
      <c r="M2232">
        <v>0.4</v>
      </c>
      <c r="N2232" s="5">
        <v>2.0247469066366704E-2</v>
      </c>
      <c r="O2232" t="s">
        <v>28</v>
      </c>
      <c r="P2232" t="s">
        <v>340</v>
      </c>
      <c r="Q2232" s="10" t="s">
        <v>24</v>
      </c>
    </row>
    <row r="2233" spans="1:18" hidden="1" x14ac:dyDescent="0.25">
      <c r="A2233" s="9" t="s">
        <v>513</v>
      </c>
      <c r="B2233" s="3" t="s">
        <v>1435</v>
      </c>
      <c r="C2233" s="10">
        <v>6</v>
      </c>
      <c r="D2233" s="10">
        <v>8</v>
      </c>
      <c r="E2233" s="10">
        <v>18</v>
      </c>
      <c r="F2233" t="s">
        <v>55</v>
      </c>
      <c r="G2233" t="s">
        <v>889</v>
      </c>
      <c r="H2233" t="s">
        <v>56</v>
      </c>
      <c r="I2233" t="s">
        <v>27</v>
      </c>
      <c r="J2233" s="4">
        <v>16.989999999999998</v>
      </c>
      <c r="K2233">
        <v>0.86599999999999999</v>
      </c>
      <c r="L2233">
        <v>16.989999999999998</v>
      </c>
      <c r="M2233">
        <v>14.713339999999999</v>
      </c>
      <c r="N2233" s="5">
        <v>0.74476974128233964</v>
      </c>
      <c r="O2233" t="s">
        <v>28</v>
      </c>
      <c r="P2233" t="s">
        <v>340</v>
      </c>
      <c r="Q2233" s="10" t="s">
        <v>24</v>
      </c>
    </row>
    <row r="2234" spans="1:18" hidden="1" x14ac:dyDescent="0.25">
      <c r="A2234" s="9" t="s">
        <v>513</v>
      </c>
      <c r="B2234" s="3" t="str">
        <f t="shared" ref="B2234:B2247" si="60">CONCATENATE(E2234,"/",D2234,"/",C2234)</f>
        <v>18/8/7</v>
      </c>
      <c r="C2234" s="10">
        <v>7</v>
      </c>
      <c r="D2234" s="10">
        <v>8</v>
      </c>
      <c r="E2234" s="10">
        <v>18</v>
      </c>
      <c r="F2234" t="s">
        <v>234</v>
      </c>
      <c r="G2234" t="s">
        <v>889</v>
      </c>
      <c r="H2234" t="s">
        <v>53</v>
      </c>
      <c r="I2234" t="s">
        <v>27</v>
      </c>
      <c r="J2234">
        <v>20</v>
      </c>
      <c r="K2234">
        <v>2</v>
      </c>
      <c r="L2234">
        <v>20</v>
      </c>
      <c r="M2234">
        <v>40</v>
      </c>
      <c r="N2234" s="5">
        <v>2.0149441692553105</v>
      </c>
      <c r="O2234" t="s">
        <v>101</v>
      </c>
      <c r="P2234" t="s">
        <v>340</v>
      </c>
      <c r="Q2234" s="10" t="s">
        <v>24</v>
      </c>
      <c r="R2234" t="s">
        <v>517</v>
      </c>
    </row>
    <row r="2235" spans="1:18" hidden="1" x14ac:dyDescent="0.25">
      <c r="A2235" s="2" t="s">
        <v>513</v>
      </c>
      <c r="B2235" s="3" t="str">
        <f t="shared" si="60"/>
        <v>18/8/7</v>
      </c>
      <c r="C2235" s="10">
        <v>7</v>
      </c>
      <c r="D2235" s="10">
        <v>8</v>
      </c>
      <c r="E2235">
        <v>18</v>
      </c>
      <c r="F2235" t="s">
        <v>71</v>
      </c>
      <c r="I2235" t="s">
        <v>72</v>
      </c>
      <c r="J2235">
        <v>250</v>
      </c>
      <c r="K2235">
        <v>1</v>
      </c>
      <c r="L2235">
        <v>250</v>
      </c>
      <c r="M2235">
        <v>250</v>
      </c>
      <c r="N2235" s="5">
        <v>12.593401057845691</v>
      </c>
      <c r="O2235" t="s">
        <v>562</v>
      </c>
      <c r="P2235" t="s">
        <v>340</v>
      </c>
      <c r="Q2235" s="10" t="s">
        <v>24</v>
      </c>
      <c r="R2235" t="s">
        <v>574</v>
      </c>
    </row>
    <row r="2236" spans="1:18" hidden="1" x14ac:dyDescent="0.25">
      <c r="A2236" s="2" t="s">
        <v>513</v>
      </c>
      <c r="B2236" s="3" t="str">
        <f t="shared" si="60"/>
        <v>18/8/7</v>
      </c>
      <c r="C2236" s="10">
        <v>7</v>
      </c>
      <c r="D2236" s="10">
        <v>8</v>
      </c>
      <c r="E2236">
        <v>18</v>
      </c>
      <c r="F2236" t="s">
        <v>104</v>
      </c>
      <c r="I2236" t="s">
        <v>72</v>
      </c>
      <c r="J2236">
        <v>53.18</v>
      </c>
      <c r="K2236">
        <v>2</v>
      </c>
      <c r="L2236">
        <v>53.18</v>
      </c>
      <c r="M2236">
        <v>106.36</v>
      </c>
      <c r="N2236" s="5">
        <v>5.3577365460498712</v>
      </c>
      <c r="O2236" t="s">
        <v>233</v>
      </c>
      <c r="P2236" t="s">
        <v>340</v>
      </c>
      <c r="Q2236" s="10" t="s">
        <v>24</v>
      </c>
      <c r="R2236" t="s">
        <v>565</v>
      </c>
    </row>
    <row r="2237" spans="1:18" hidden="1" x14ac:dyDescent="0.25">
      <c r="A2237" s="2" t="s">
        <v>513</v>
      </c>
      <c r="B2237" s="3" t="str">
        <f t="shared" si="60"/>
        <v>18/8/7</v>
      </c>
      <c r="C2237" s="10">
        <v>7</v>
      </c>
      <c r="D2237" s="10">
        <v>8</v>
      </c>
      <c r="E2237">
        <v>18</v>
      </c>
      <c r="F2237" t="s">
        <v>104</v>
      </c>
      <c r="I2237" t="s">
        <v>72</v>
      </c>
      <c r="J2237">
        <v>215.3</v>
      </c>
      <c r="K2237">
        <v>1</v>
      </c>
      <c r="L2237">
        <v>215.3</v>
      </c>
      <c r="M2237">
        <v>215.3</v>
      </c>
      <c r="N2237" s="5">
        <v>10.84543699101671</v>
      </c>
      <c r="O2237" t="s">
        <v>233</v>
      </c>
      <c r="P2237" t="s">
        <v>340</v>
      </c>
      <c r="Q2237" s="10" t="s">
        <v>24</v>
      </c>
      <c r="R2237" t="s">
        <v>616</v>
      </c>
    </row>
    <row r="2238" spans="1:18" hidden="1" x14ac:dyDescent="0.25">
      <c r="A2238" s="2" t="s">
        <v>513</v>
      </c>
      <c r="B2238" s="3" t="str">
        <f t="shared" si="60"/>
        <v>18/8/7</v>
      </c>
      <c r="C2238" s="10">
        <v>7</v>
      </c>
      <c r="D2238" s="10">
        <v>8</v>
      </c>
      <c r="E2238">
        <v>18</v>
      </c>
      <c r="F2238" t="s">
        <v>104</v>
      </c>
      <c r="I2238" t="s">
        <v>72</v>
      </c>
      <c r="J2238">
        <v>13.87</v>
      </c>
      <c r="K2238">
        <v>1</v>
      </c>
      <c r="L2238">
        <v>13.87</v>
      </c>
      <c r="M2238">
        <v>13.87</v>
      </c>
      <c r="N2238" s="5">
        <v>0.69868189068927888</v>
      </c>
      <c r="O2238" t="s">
        <v>233</v>
      </c>
      <c r="P2238" t="s">
        <v>340</v>
      </c>
      <c r="Q2238" s="10" t="s">
        <v>24</v>
      </c>
      <c r="R2238" t="s">
        <v>617</v>
      </c>
    </row>
    <row r="2239" spans="1:18" hidden="1" x14ac:dyDescent="0.25">
      <c r="A2239" s="2" t="s">
        <v>513</v>
      </c>
      <c r="B2239" s="3" t="str">
        <f t="shared" si="60"/>
        <v>18/8/7</v>
      </c>
      <c r="C2239" s="10">
        <v>7</v>
      </c>
      <c r="D2239" s="10">
        <v>8</v>
      </c>
      <c r="E2239">
        <v>18</v>
      </c>
      <c r="F2239" t="s">
        <v>104</v>
      </c>
      <c r="I2239" t="s">
        <v>72</v>
      </c>
      <c r="J2239">
        <v>36.380000000000003</v>
      </c>
      <c r="K2239">
        <v>1</v>
      </c>
      <c r="L2239">
        <v>36.380000000000003</v>
      </c>
      <c r="M2239">
        <v>36.380000000000003</v>
      </c>
      <c r="N2239" s="5">
        <v>1.832591721937705</v>
      </c>
      <c r="O2239" t="s">
        <v>233</v>
      </c>
      <c r="P2239" t="s">
        <v>340</v>
      </c>
      <c r="Q2239" s="10" t="s">
        <v>24</v>
      </c>
      <c r="R2239" t="s">
        <v>444</v>
      </c>
    </row>
    <row r="2240" spans="1:18" hidden="1" x14ac:dyDescent="0.25">
      <c r="A2240" s="2" t="s">
        <v>513</v>
      </c>
      <c r="B2240" s="3" t="str">
        <f t="shared" si="60"/>
        <v>18/8/7</v>
      </c>
      <c r="C2240" s="10">
        <v>7</v>
      </c>
      <c r="D2240" s="10">
        <v>8</v>
      </c>
      <c r="E2240">
        <v>18</v>
      </c>
      <c r="F2240" t="s">
        <v>159</v>
      </c>
      <c r="I2240" t="s">
        <v>72</v>
      </c>
      <c r="J2240">
        <v>9.16</v>
      </c>
      <c r="K2240">
        <v>1</v>
      </c>
      <c r="L2240">
        <v>9.16</v>
      </c>
      <c r="M2240">
        <v>9.16</v>
      </c>
      <c r="N2240" s="5">
        <v>0.46142221475946615</v>
      </c>
      <c r="O2240" t="s">
        <v>233</v>
      </c>
      <c r="P2240" t="s">
        <v>340</v>
      </c>
      <c r="Q2240" s="10" t="s">
        <v>24</v>
      </c>
      <c r="R2240" t="s">
        <v>637</v>
      </c>
    </row>
    <row r="2241" spans="1:18" hidden="1" x14ac:dyDescent="0.25">
      <c r="A2241" s="2" t="s">
        <v>513</v>
      </c>
      <c r="B2241" s="3" t="str">
        <f t="shared" si="60"/>
        <v>18/8/7</v>
      </c>
      <c r="C2241" s="10">
        <v>7</v>
      </c>
      <c r="D2241" s="10">
        <v>8</v>
      </c>
      <c r="E2241">
        <v>18</v>
      </c>
      <c r="F2241" t="s">
        <v>638</v>
      </c>
      <c r="I2241" t="s">
        <v>72</v>
      </c>
      <c r="J2241">
        <v>21.89</v>
      </c>
      <c r="K2241">
        <v>1</v>
      </c>
      <c r="L2241">
        <v>21.89</v>
      </c>
      <c r="M2241">
        <v>21.89</v>
      </c>
      <c r="N2241" s="5">
        <v>1.1026781966249688</v>
      </c>
      <c r="O2241" t="s">
        <v>233</v>
      </c>
      <c r="P2241" t="s">
        <v>340</v>
      </c>
      <c r="Q2241" s="10" t="s">
        <v>24</v>
      </c>
      <c r="R2241" t="s">
        <v>638</v>
      </c>
    </row>
    <row r="2242" spans="1:18" hidden="1" x14ac:dyDescent="0.25">
      <c r="A2242" s="2" t="s">
        <v>513</v>
      </c>
      <c r="B2242" s="3" t="str">
        <f t="shared" si="60"/>
        <v>18/8/7</v>
      </c>
      <c r="C2242" s="10">
        <v>7</v>
      </c>
      <c r="D2242" s="10">
        <v>8</v>
      </c>
      <c r="E2242">
        <v>18</v>
      </c>
      <c r="F2242" t="s">
        <v>722</v>
      </c>
      <c r="I2242" t="s">
        <v>72</v>
      </c>
      <c r="J2242">
        <v>40.130000000000003</v>
      </c>
      <c r="K2242">
        <v>1</v>
      </c>
      <c r="L2242">
        <v>40.130000000000003</v>
      </c>
      <c r="M2242">
        <v>40.130000000000003</v>
      </c>
      <c r="N2242" s="5">
        <v>2.0214927378053904</v>
      </c>
      <c r="O2242" t="s">
        <v>233</v>
      </c>
      <c r="P2242" t="s">
        <v>340</v>
      </c>
      <c r="Q2242" s="10" t="s">
        <v>24</v>
      </c>
      <c r="R2242" t="s">
        <v>722</v>
      </c>
    </row>
    <row r="2243" spans="1:18" hidden="1" x14ac:dyDescent="0.25">
      <c r="A2243" s="2" t="s">
        <v>513</v>
      </c>
      <c r="B2243" s="3" t="str">
        <f t="shared" si="60"/>
        <v>18/8/7</v>
      </c>
      <c r="C2243" s="10">
        <v>7</v>
      </c>
      <c r="D2243" s="10">
        <v>8</v>
      </c>
      <c r="E2243">
        <v>18</v>
      </c>
      <c r="F2243" t="s">
        <v>639</v>
      </c>
      <c r="I2243" t="s">
        <v>72</v>
      </c>
      <c r="J2243">
        <v>38.15</v>
      </c>
      <c r="K2243">
        <v>1</v>
      </c>
      <c r="L2243">
        <v>38.15</v>
      </c>
      <c r="M2243">
        <v>38.15</v>
      </c>
      <c r="N2243" s="5">
        <v>1.9217530014272524</v>
      </c>
      <c r="O2243" t="s">
        <v>233</v>
      </c>
      <c r="P2243" t="s">
        <v>340</v>
      </c>
      <c r="Q2243" s="10" t="s">
        <v>24</v>
      </c>
      <c r="R2243" t="s">
        <v>517</v>
      </c>
    </row>
    <row r="2244" spans="1:18" hidden="1" x14ac:dyDescent="0.25">
      <c r="A2244" s="2" t="s">
        <v>513</v>
      </c>
      <c r="B2244" s="3" t="str">
        <f t="shared" si="60"/>
        <v>18/8/7</v>
      </c>
      <c r="C2244" s="10">
        <v>7</v>
      </c>
      <c r="D2244" s="10">
        <v>8</v>
      </c>
      <c r="E2244">
        <v>18</v>
      </c>
      <c r="F2244" t="s">
        <v>639</v>
      </c>
      <c r="I2244" t="s">
        <v>72</v>
      </c>
      <c r="J2244">
        <v>24.6</v>
      </c>
      <c r="K2244">
        <v>1</v>
      </c>
      <c r="L2244">
        <v>24.6</v>
      </c>
      <c r="M2244">
        <v>24.6</v>
      </c>
      <c r="N2244" s="5">
        <v>1.2391906640920161</v>
      </c>
      <c r="O2244" t="s">
        <v>233</v>
      </c>
      <c r="P2244" t="s">
        <v>340</v>
      </c>
      <c r="Q2244" s="10" t="s">
        <v>24</v>
      </c>
      <c r="R2244" t="s">
        <v>517</v>
      </c>
    </row>
    <row r="2245" spans="1:18" hidden="1" x14ac:dyDescent="0.25">
      <c r="A2245" s="2" t="s">
        <v>513</v>
      </c>
      <c r="B2245" s="3" t="str">
        <f t="shared" si="60"/>
        <v>18/8/7</v>
      </c>
      <c r="C2245" s="10">
        <v>7</v>
      </c>
      <c r="D2245" s="10">
        <v>8</v>
      </c>
      <c r="E2245">
        <v>18</v>
      </c>
      <c r="F2245" t="s">
        <v>146</v>
      </c>
      <c r="H2245" t="s">
        <v>49</v>
      </c>
      <c r="I2245" t="s">
        <v>50</v>
      </c>
      <c r="J2245">
        <v>0.15</v>
      </c>
      <c r="K2245">
        <v>1</v>
      </c>
      <c r="L2245">
        <v>0.15</v>
      </c>
      <c r="M2245">
        <v>0.15</v>
      </c>
      <c r="N2245" s="5">
        <v>7.5560406347074142E-3</v>
      </c>
      <c r="O2245" t="s">
        <v>233</v>
      </c>
      <c r="P2245" t="s">
        <v>340</v>
      </c>
      <c r="Q2245" s="10" t="s">
        <v>24</v>
      </c>
      <c r="R2245" t="s">
        <v>517</v>
      </c>
    </row>
    <row r="2246" spans="1:18" hidden="1" x14ac:dyDescent="0.25">
      <c r="A2246" s="2" t="s">
        <v>513</v>
      </c>
      <c r="B2246" s="3" t="str">
        <f t="shared" si="60"/>
        <v>18/8/7</v>
      </c>
      <c r="C2246" s="10">
        <v>7</v>
      </c>
      <c r="D2246" s="10">
        <v>8</v>
      </c>
      <c r="E2246">
        <v>18</v>
      </c>
      <c r="F2246" t="s">
        <v>140</v>
      </c>
      <c r="H2246" t="s">
        <v>49</v>
      </c>
      <c r="I2246" t="s">
        <v>50</v>
      </c>
      <c r="J2246">
        <v>0.01</v>
      </c>
      <c r="K2246">
        <v>1</v>
      </c>
      <c r="L2246">
        <v>0.01</v>
      </c>
      <c r="M2246">
        <v>0.01</v>
      </c>
      <c r="N2246" s="5">
        <v>5.0373604231382764E-4</v>
      </c>
      <c r="O2246" t="s">
        <v>233</v>
      </c>
      <c r="P2246" t="s">
        <v>340</v>
      </c>
      <c r="Q2246" s="10" t="s">
        <v>24</v>
      </c>
      <c r="R2246" t="s">
        <v>517</v>
      </c>
    </row>
    <row r="2247" spans="1:18" hidden="1" x14ac:dyDescent="0.25">
      <c r="A2247" s="2" t="s">
        <v>513</v>
      </c>
      <c r="B2247" s="3" t="str">
        <f t="shared" si="60"/>
        <v>18/8/7</v>
      </c>
      <c r="C2247" s="10">
        <v>7</v>
      </c>
      <c r="D2247" s="10">
        <v>8</v>
      </c>
      <c r="E2247">
        <v>18</v>
      </c>
      <c r="F2247" t="s">
        <v>102</v>
      </c>
      <c r="H2247" t="s">
        <v>102</v>
      </c>
      <c r="I2247" t="s">
        <v>27</v>
      </c>
      <c r="J2247">
        <v>29.04</v>
      </c>
      <c r="K2247">
        <v>1</v>
      </c>
      <c r="L2247">
        <v>29.04</v>
      </c>
      <c r="M2247">
        <v>29.04</v>
      </c>
      <c r="N2247" s="5">
        <v>1.4628494668793555</v>
      </c>
      <c r="O2247" t="s">
        <v>233</v>
      </c>
      <c r="P2247" t="s">
        <v>340</v>
      </c>
      <c r="Q2247" s="10" t="s">
        <v>24</v>
      </c>
      <c r="R2247" t="s">
        <v>640</v>
      </c>
    </row>
    <row r="2248" spans="1:18" hidden="1" x14ac:dyDescent="0.25">
      <c r="A2248" s="36" t="str">
        <f>IF(D2248=1,"Jan-18",IF(D2248=2,"Feb-18",IF(D2248=3,"Mar-18",IF(D2248=4,"Apr-18",IF(D2248=5,"May-18",IF(D2248=6,"Jun-18",(IF(D2248=7,"Jul-18",IF(D2248=8,"Aug-18",IF(D2248=9,"Sep-18",IF(D2248=10,"Oct-18",IF(D2248=11,"Nov-18",IF(D2248=12,"Dec-18","...")))))))))))))</f>
        <v>Aug-18</v>
      </c>
      <c r="B2248" s="3" t="s">
        <v>1255</v>
      </c>
      <c r="C2248" s="10">
        <v>7</v>
      </c>
      <c r="D2248" s="10">
        <v>8</v>
      </c>
      <c r="E2248" s="10">
        <v>18</v>
      </c>
      <c r="F2248" t="s">
        <v>55</v>
      </c>
      <c r="G2248" t="s">
        <v>889</v>
      </c>
      <c r="H2248" t="s">
        <v>56</v>
      </c>
      <c r="I2248" t="s">
        <v>27</v>
      </c>
      <c r="J2248" s="4">
        <v>29.99</v>
      </c>
      <c r="K2248">
        <v>0.69</v>
      </c>
      <c r="L2248">
        <v>29.99</v>
      </c>
      <c r="M2248">
        <v>20.693099999999998</v>
      </c>
      <c r="N2248" s="5">
        <v>1.0474572553430819</v>
      </c>
      <c r="O2248" t="s">
        <v>101</v>
      </c>
      <c r="P2248" t="s">
        <v>340</v>
      </c>
      <c r="Q2248" s="10" t="s">
        <v>1102</v>
      </c>
    </row>
    <row r="2249" spans="1:18" hidden="1" x14ac:dyDescent="0.25">
      <c r="A2249" s="2" t="s">
        <v>513</v>
      </c>
      <c r="B2249" s="3" t="str">
        <f>CONCATENATE(E2249,"/",D2249,"/",C2249)</f>
        <v>18/8/8</v>
      </c>
      <c r="C2249" s="10">
        <v>8</v>
      </c>
      <c r="D2249" s="10">
        <v>8</v>
      </c>
      <c r="E2249">
        <v>18</v>
      </c>
      <c r="F2249" t="s">
        <v>104</v>
      </c>
      <c r="I2249" t="s">
        <v>72</v>
      </c>
      <c r="J2249">
        <v>55.36</v>
      </c>
      <c r="K2249">
        <v>1</v>
      </c>
      <c r="L2249">
        <v>55.36</v>
      </c>
      <c r="M2249">
        <v>55.36</v>
      </c>
      <c r="N2249" s="5">
        <v>2.78868273024935</v>
      </c>
      <c r="O2249" t="s">
        <v>629</v>
      </c>
      <c r="P2249" t="s">
        <v>340</v>
      </c>
      <c r="Q2249" s="10" t="s">
        <v>24</v>
      </c>
      <c r="R2249" t="s">
        <v>423</v>
      </c>
    </row>
    <row r="2250" spans="1:18" hidden="1" x14ac:dyDescent="0.25">
      <c r="A2250" s="36" t="str">
        <f>IF(D2250=1,"Jan-18",IF(D2250=2,"Feb-18",IF(D2250=3,"Mar-18",IF(D2250=4,"Apr-18",IF(D2250=5,"May-18",IF(D2250=6,"Jun-18",(IF(D2250=7,"Jul-18",IF(D2250=8,"Aug-18",IF(D2250=9,"Sep-18",IF(D2250=10,"Oct-18",IF(D2250=11,"Nov-18",IF(D2250=12,"Dec-18","...")))))))))))))</f>
        <v>Aug-18</v>
      </c>
      <c r="B2250" s="3" t="s">
        <v>1277</v>
      </c>
      <c r="C2250" s="10">
        <v>8</v>
      </c>
      <c r="D2250" s="10">
        <v>8</v>
      </c>
      <c r="E2250" s="10">
        <v>18</v>
      </c>
      <c r="F2250" t="s">
        <v>1265</v>
      </c>
      <c r="G2250" t="s">
        <v>889</v>
      </c>
      <c r="H2250" t="s">
        <v>26</v>
      </c>
      <c r="I2250" t="s">
        <v>27</v>
      </c>
      <c r="J2250" s="4">
        <v>12.95</v>
      </c>
      <c r="K2250">
        <v>4</v>
      </c>
      <c r="L2250">
        <v>12.95</v>
      </c>
      <c r="M2250">
        <v>51.8</v>
      </c>
      <c r="N2250" s="5">
        <v>2.622047244094488</v>
      </c>
      <c r="O2250" t="s">
        <v>1472</v>
      </c>
      <c r="P2250" t="s">
        <v>340</v>
      </c>
      <c r="Q2250" s="10" t="s">
        <v>1102</v>
      </c>
    </row>
    <row r="2251" spans="1:18" hidden="1" x14ac:dyDescent="0.25">
      <c r="A2251" s="36" t="str">
        <f>IF(D2251=1,"Jan-18",IF(D2251=2,"Feb-18",IF(D2251=3,"Mar-18",IF(D2251=4,"Apr-18",IF(D2251=5,"May-18",IF(D2251=6,"Jun-18",(IF(D2251=7,"Jul-18",IF(D2251=8,"Aug-18",IF(D2251=9,"Sep-18",IF(D2251=10,"Oct-18",IF(D2251=11,"Nov-18",IF(D2251=12,"Dec-18","...")))))))))))))</f>
        <v>Aug-18</v>
      </c>
      <c r="B2251" s="3" t="s">
        <v>1277</v>
      </c>
      <c r="C2251" s="10">
        <v>8</v>
      </c>
      <c r="D2251" s="10">
        <v>8</v>
      </c>
      <c r="E2251" s="10">
        <v>18</v>
      </c>
      <c r="F2251" t="s">
        <v>523</v>
      </c>
      <c r="G2251" t="s">
        <v>889</v>
      </c>
      <c r="H2251" t="s">
        <v>73</v>
      </c>
      <c r="I2251" t="s">
        <v>27</v>
      </c>
      <c r="J2251" s="4">
        <v>21.95</v>
      </c>
      <c r="K2251">
        <v>1</v>
      </c>
      <c r="L2251">
        <v>21.95</v>
      </c>
      <c r="M2251">
        <v>21.95</v>
      </c>
      <c r="N2251" s="5">
        <v>1.1110798650168727</v>
      </c>
      <c r="O2251" t="s">
        <v>1472</v>
      </c>
      <c r="P2251" t="s">
        <v>340</v>
      </c>
      <c r="Q2251" s="10" t="s">
        <v>1102</v>
      </c>
    </row>
    <row r="2252" spans="1:18" hidden="1" x14ac:dyDescent="0.25">
      <c r="A2252" s="36" t="str">
        <f>IF(D2252=1,"Jan-18",IF(D2252=2,"Feb-18",IF(D2252=3,"Mar-18",IF(D2252=4,"Apr-18",IF(D2252=5,"May-18",IF(D2252=6,"Jun-18",(IF(D2252=7,"Jul-18",IF(D2252=8,"Aug-18",IF(D2252=9,"Sep-18",IF(D2252=10,"Oct-18",IF(D2252=11,"Nov-18",IF(D2252=12,"Dec-18","...")))))))))))))</f>
        <v>Aug-18</v>
      </c>
      <c r="B2252" s="3" t="s">
        <v>1277</v>
      </c>
      <c r="C2252" s="10">
        <v>8</v>
      </c>
      <c r="D2252" s="10">
        <v>8</v>
      </c>
      <c r="E2252" s="10">
        <v>18</v>
      </c>
      <c r="F2252" t="s">
        <v>47</v>
      </c>
      <c r="G2252" t="s">
        <v>31</v>
      </c>
      <c r="H2252" t="s">
        <v>26</v>
      </c>
      <c r="I2252" t="s">
        <v>27</v>
      </c>
      <c r="J2252" s="4">
        <v>6.45</v>
      </c>
      <c r="K2252">
        <v>2</v>
      </c>
      <c r="L2252">
        <v>6.45</v>
      </c>
      <c r="M2252">
        <v>12.9</v>
      </c>
      <c r="N2252" s="5">
        <v>0.65298087739032618</v>
      </c>
      <c r="O2252" t="s">
        <v>1472</v>
      </c>
      <c r="P2252" t="s">
        <v>340</v>
      </c>
      <c r="Q2252" s="10" t="s">
        <v>1102</v>
      </c>
    </row>
    <row r="2253" spans="1:18" hidden="1" x14ac:dyDescent="0.25">
      <c r="A2253" s="9" t="s">
        <v>513</v>
      </c>
      <c r="B2253" s="3" t="s">
        <v>1277</v>
      </c>
      <c r="C2253" s="10">
        <v>8</v>
      </c>
      <c r="D2253" s="10">
        <v>8</v>
      </c>
      <c r="E2253" s="10">
        <v>18</v>
      </c>
      <c r="F2253" t="s">
        <v>1319</v>
      </c>
      <c r="G2253" t="s">
        <v>889</v>
      </c>
      <c r="H2253" t="s">
        <v>131</v>
      </c>
      <c r="I2253" t="s">
        <v>27</v>
      </c>
      <c r="J2253" s="4">
        <v>500.62</v>
      </c>
      <c r="K2253">
        <v>1</v>
      </c>
      <c r="L2253">
        <v>500.62</v>
      </c>
      <c r="M2253">
        <v>500.62</v>
      </c>
      <c r="N2253" s="5">
        <v>25.340719910011249</v>
      </c>
      <c r="O2253" t="s">
        <v>39</v>
      </c>
      <c r="P2253" t="s">
        <v>340</v>
      </c>
      <c r="Q2253" s="10" t="s">
        <v>24</v>
      </c>
    </row>
    <row r="2254" spans="1:18" hidden="1" x14ac:dyDescent="0.25">
      <c r="A2254" s="9" t="s">
        <v>513</v>
      </c>
      <c r="B2254" s="3" t="s">
        <v>1277</v>
      </c>
      <c r="C2254" s="10">
        <v>8</v>
      </c>
      <c r="D2254" s="10">
        <v>8</v>
      </c>
      <c r="E2254" s="10">
        <v>18</v>
      </c>
      <c r="F2254" t="s">
        <v>94</v>
      </c>
      <c r="G2254" t="s">
        <v>889</v>
      </c>
      <c r="H2254" t="s">
        <v>889</v>
      </c>
      <c r="I2254" t="s">
        <v>87</v>
      </c>
      <c r="J2254" s="4">
        <v>160</v>
      </c>
      <c r="K2254">
        <v>1</v>
      </c>
      <c r="L2254">
        <v>160</v>
      </c>
      <c r="M2254">
        <v>160</v>
      </c>
      <c r="N2254" s="5">
        <v>8.0989876265466805</v>
      </c>
      <c r="O2254" t="s">
        <v>39</v>
      </c>
      <c r="P2254" t="s">
        <v>340</v>
      </c>
      <c r="Q2254" s="10" t="s">
        <v>24</v>
      </c>
    </row>
    <row r="2255" spans="1:18" hidden="1" x14ac:dyDescent="0.25">
      <c r="A2255" s="36" t="str">
        <f>IF(D2255=1,"Jan-18",IF(D2255=2,"Feb-18",IF(D2255=3,"Mar-18",IF(D2255=4,"Apr-18",IF(D2255=5,"May-18",IF(D2255=6,"Jun-18",(IF(D2255=7,"Jul-18",IF(D2255=8,"Aug-18",IF(D2255=9,"Sep-18",IF(D2255=10,"Oct-18",IF(D2255=11,"Nov-18",IF(D2255=12,"Dec-18","...")))))))))))))</f>
        <v>Aug-18</v>
      </c>
      <c r="B2255" s="3" t="s">
        <v>1250</v>
      </c>
      <c r="C2255" s="10">
        <v>9</v>
      </c>
      <c r="D2255" s="10">
        <v>8</v>
      </c>
      <c r="E2255" s="10">
        <v>18</v>
      </c>
      <c r="F2255" t="s">
        <v>641</v>
      </c>
      <c r="G2255" t="s">
        <v>889</v>
      </c>
      <c r="H2255" t="s">
        <v>53</v>
      </c>
      <c r="I2255" t="s">
        <v>27</v>
      </c>
      <c r="J2255" s="4">
        <v>10</v>
      </c>
      <c r="K2255">
        <v>1</v>
      </c>
      <c r="L2255">
        <v>10</v>
      </c>
      <c r="M2255">
        <v>10</v>
      </c>
      <c r="N2255" s="5">
        <v>0.50618672665916753</v>
      </c>
      <c r="O2255" t="s">
        <v>101</v>
      </c>
      <c r="P2255" t="s">
        <v>340</v>
      </c>
      <c r="Q2255" s="10" t="s">
        <v>1102</v>
      </c>
    </row>
    <row r="2256" spans="1:18" hidden="1" x14ac:dyDescent="0.25">
      <c r="A2256" s="9" t="s">
        <v>513</v>
      </c>
      <c r="B2256" s="3" t="s">
        <v>1250</v>
      </c>
      <c r="C2256" s="10">
        <v>9</v>
      </c>
      <c r="D2256" s="10">
        <v>8</v>
      </c>
      <c r="E2256" s="10">
        <v>18</v>
      </c>
      <c r="F2256" t="s">
        <v>390</v>
      </c>
      <c r="G2256" t="s">
        <v>304</v>
      </c>
      <c r="H2256" t="s">
        <v>39</v>
      </c>
      <c r="I2256" t="s">
        <v>79</v>
      </c>
      <c r="J2256" s="4">
        <v>10</v>
      </c>
      <c r="K2256">
        <v>1</v>
      </c>
      <c r="L2256">
        <v>10</v>
      </c>
      <c r="M2256">
        <v>10</v>
      </c>
      <c r="N2256" s="5">
        <v>0.50618672665916753</v>
      </c>
      <c r="O2256" t="s">
        <v>39</v>
      </c>
      <c r="P2256" t="s">
        <v>340</v>
      </c>
      <c r="Q2256" s="10" t="s">
        <v>24</v>
      </c>
    </row>
    <row r="2257" spans="1:18" hidden="1" x14ac:dyDescent="0.25">
      <c r="A2257" s="9" t="s">
        <v>513</v>
      </c>
      <c r="B2257" s="3" t="s">
        <v>1250</v>
      </c>
      <c r="C2257" s="10">
        <v>9</v>
      </c>
      <c r="D2257" s="10">
        <v>8</v>
      </c>
      <c r="E2257" s="10">
        <v>18</v>
      </c>
      <c r="F2257" t="s">
        <v>78</v>
      </c>
      <c r="G2257" t="s">
        <v>889</v>
      </c>
      <c r="H2257" t="s">
        <v>78</v>
      </c>
      <c r="I2257" t="s">
        <v>79</v>
      </c>
      <c r="J2257" s="4">
        <v>18.899999999999999</v>
      </c>
      <c r="K2257">
        <v>10.58</v>
      </c>
      <c r="L2257">
        <v>18.899999999999999</v>
      </c>
      <c r="M2257">
        <v>199.96199999999999</v>
      </c>
      <c r="N2257" s="5">
        <v>10.121811023622046</v>
      </c>
      <c r="O2257" t="s">
        <v>39</v>
      </c>
      <c r="P2257" t="s">
        <v>340</v>
      </c>
      <c r="Q2257" s="10" t="s">
        <v>24</v>
      </c>
    </row>
    <row r="2258" spans="1:18" hidden="1" x14ac:dyDescent="0.25">
      <c r="A2258" s="9" t="s">
        <v>647</v>
      </c>
      <c r="B2258" s="3" t="str">
        <f>CONCATENATE(E2258,"/",D2258,"/",C2258)</f>
        <v>18/9/1</v>
      </c>
      <c r="C2258" s="10">
        <v>1</v>
      </c>
      <c r="D2258" s="10">
        <v>9</v>
      </c>
      <c r="E2258" s="10">
        <v>18</v>
      </c>
      <c r="F2258" t="s">
        <v>632</v>
      </c>
      <c r="I2258" t="s">
        <v>72</v>
      </c>
      <c r="J2258">
        <v>17</v>
      </c>
      <c r="K2258">
        <v>1</v>
      </c>
      <c r="L2258">
        <v>17</v>
      </c>
      <c r="M2258">
        <v>17</v>
      </c>
      <c r="N2258" s="5">
        <v>0.85635127193350702</v>
      </c>
      <c r="O2258" t="s">
        <v>633</v>
      </c>
      <c r="P2258" t="s">
        <v>340</v>
      </c>
      <c r="Q2258" s="10" t="s">
        <v>24</v>
      </c>
      <c r="R2258" t="s">
        <v>517</v>
      </c>
    </row>
    <row r="2259" spans="1:18" hidden="1" x14ac:dyDescent="0.25">
      <c r="A2259" s="9" t="s">
        <v>647</v>
      </c>
      <c r="B2259" s="3" t="s">
        <v>1266</v>
      </c>
      <c r="C2259" s="10">
        <v>1</v>
      </c>
      <c r="D2259" s="10">
        <v>9</v>
      </c>
      <c r="E2259" s="10">
        <v>18</v>
      </c>
      <c r="F2259" t="s">
        <v>98</v>
      </c>
      <c r="G2259" t="s">
        <v>889</v>
      </c>
      <c r="H2259" t="s">
        <v>26</v>
      </c>
      <c r="I2259" t="s">
        <v>27</v>
      </c>
      <c r="J2259" s="4">
        <v>85.5</v>
      </c>
      <c r="K2259">
        <v>1</v>
      </c>
      <c r="L2259">
        <v>85.5</v>
      </c>
      <c r="M2259">
        <v>85.5</v>
      </c>
      <c r="N2259" s="5">
        <v>4.3278965129358831</v>
      </c>
      <c r="O2259" t="s">
        <v>100</v>
      </c>
      <c r="P2259" t="s">
        <v>340</v>
      </c>
      <c r="Q2259" s="10" t="s">
        <v>1102</v>
      </c>
      <c r="R2259" t="s">
        <v>1257</v>
      </c>
    </row>
    <row r="2260" spans="1:18" hidden="1" x14ac:dyDescent="0.25">
      <c r="A2260" s="9" t="s">
        <v>647</v>
      </c>
      <c r="B2260" s="3" t="s">
        <v>1266</v>
      </c>
      <c r="C2260" s="10">
        <v>1</v>
      </c>
      <c r="D2260" s="10">
        <v>9</v>
      </c>
      <c r="E2260" s="10">
        <v>18</v>
      </c>
      <c r="F2260" t="s">
        <v>146</v>
      </c>
      <c r="H2260" t="s">
        <v>49</v>
      </c>
      <c r="I2260" t="s">
        <v>50</v>
      </c>
      <c r="J2260" s="4">
        <v>0.75</v>
      </c>
      <c r="K2260">
        <v>1</v>
      </c>
      <c r="L2260">
        <v>0.75</v>
      </c>
      <c r="M2260">
        <v>0.75</v>
      </c>
      <c r="N2260" s="5">
        <v>3.796400449943757E-2</v>
      </c>
      <c r="O2260" t="s">
        <v>100</v>
      </c>
      <c r="P2260" t="s">
        <v>340</v>
      </c>
      <c r="Q2260" s="10" t="s">
        <v>1102</v>
      </c>
    </row>
    <row r="2261" spans="1:18" hidden="1" x14ac:dyDescent="0.25">
      <c r="A2261" s="9" t="s">
        <v>647</v>
      </c>
      <c r="B2261" s="3" t="s">
        <v>1266</v>
      </c>
      <c r="C2261" s="10">
        <v>1</v>
      </c>
      <c r="D2261" s="10">
        <v>9</v>
      </c>
      <c r="E2261" s="10">
        <v>18</v>
      </c>
      <c r="F2261" t="s">
        <v>118</v>
      </c>
      <c r="G2261" t="s">
        <v>889</v>
      </c>
      <c r="H2261" t="s">
        <v>40</v>
      </c>
      <c r="I2261" t="s">
        <v>27</v>
      </c>
      <c r="J2261" s="4">
        <v>10</v>
      </c>
      <c r="K2261">
        <v>1</v>
      </c>
      <c r="L2261">
        <v>10</v>
      </c>
      <c r="M2261">
        <v>10</v>
      </c>
      <c r="N2261" s="5">
        <v>0.50618672665916753</v>
      </c>
      <c r="O2261" t="s">
        <v>100</v>
      </c>
      <c r="P2261" t="s">
        <v>340</v>
      </c>
      <c r="Q2261" s="10" t="s">
        <v>1102</v>
      </c>
    </row>
    <row r="2262" spans="1:18" hidden="1" x14ac:dyDescent="0.25">
      <c r="A2262" s="9" t="s">
        <v>647</v>
      </c>
      <c r="B2262" s="3" t="str">
        <f t="shared" ref="B2262:B2272" si="61">CONCATENATE(E2262,"/",D2262,"/",C2262)</f>
        <v>18/9/11</v>
      </c>
      <c r="C2262" s="10">
        <v>11</v>
      </c>
      <c r="D2262" s="10">
        <v>9</v>
      </c>
      <c r="E2262" s="10">
        <v>18</v>
      </c>
      <c r="F2262" t="s">
        <v>890</v>
      </c>
      <c r="H2262" t="s">
        <v>53</v>
      </c>
      <c r="I2262" t="s">
        <v>27</v>
      </c>
      <c r="J2262">
        <v>40.9</v>
      </c>
      <c r="K2262">
        <v>1</v>
      </c>
      <c r="L2262">
        <v>40.9</v>
      </c>
      <c r="M2262">
        <v>40.9</v>
      </c>
      <c r="N2262" s="5">
        <v>2.060280413063555</v>
      </c>
      <c r="O2262" t="s">
        <v>101</v>
      </c>
      <c r="P2262" t="s">
        <v>340</v>
      </c>
      <c r="Q2262" s="10" t="s">
        <v>24</v>
      </c>
      <c r="R2262" t="s">
        <v>517</v>
      </c>
    </row>
    <row r="2263" spans="1:18" hidden="1" x14ac:dyDescent="0.25">
      <c r="A2263" s="9" t="s">
        <v>647</v>
      </c>
      <c r="B2263" s="3" t="str">
        <f t="shared" si="61"/>
        <v>18/9/12</v>
      </c>
      <c r="C2263" s="10">
        <v>12</v>
      </c>
      <c r="D2263" s="10">
        <v>9</v>
      </c>
      <c r="E2263" s="10">
        <v>18</v>
      </c>
      <c r="F2263" t="s">
        <v>389</v>
      </c>
      <c r="G2263" t="s">
        <v>889</v>
      </c>
      <c r="H2263" t="s">
        <v>21</v>
      </c>
      <c r="I2263" t="s">
        <v>22</v>
      </c>
      <c r="J2263">
        <v>4</v>
      </c>
      <c r="K2263">
        <v>1</v>
      </c>
      <c r="L2263">
        <v>4</v>
      </c>
      <c r="M2263">
        <v>4</v>
      </c>
      <c r="N2263" s="5">
        <v>0.20149441692553105</v>
      </c>
      <c r="O2263" t="s">
        <v>354</v>
      </c>
      <c r="P2263" t="s">
        <v>340</v>
      </c>
      <c r="Q2263" s="10" t="s">
        <v>24</v>
      </c>
      <c r="R2263" t="s">
        <v>353</v>
      </c>
    </row>
    <row r="2264" spans="1:18" hidden="1" x14ac:dyDescent="0.25">
      <c r="A2264" s="9" t="s">
        <v>647</v>
      </c>
      <c r="B2264" s="3" t="str">
        <f t="shared" si="61"/>
        <v>18/9/13</v>
      </c>
      <c r="C2264" s="10">
        <v>13</v>
      </c>
      <c r="D2264" s="10">
        <v>9</v>
      </c>
      <c r="E2264" s="10">
        <v>18</v>
      </c>
      <c r="F2264" t="s">
        <v>104</v>
      </c>
      <c r="I2264" t="s">
        <v>72</v>
      </c>
      <c r="J2264">
        <v>136.75</v>
      </c>
      <c r="K2264">
        <v>1</v>
      </c>
      <c r="L2264">
        <v>136.75</v>
      </c>
      <c r="M2264" s="5">
        <v>136.75</v>
      </c>
      <c r="N2264" s="5">
        <v>6.8787726358148893</v>
      </c>
      <c r="O2264" t="s">
        <v>243</v>
      </c>
      <c r="P2264" t="s">
        <v>340</v>
      </c>
      <c r="Q2264" s="10" t="s">
        <v>24</v>
      </c>
      <c r="R2264" t="s">
        <v>664</v>
      </c>
    </row>
    <row r="2265" spans="1:18" hidden="1" x14ac:dyDescent="0.25">
      <c r="A2265" s="9" t="s">
        <v>647</v>
      </c>
      <c r="B2265" s="3" t="str">
        <f t="shared" si="61"/>
        <v>18/9/13</v>
      </c>
      <c r="C2265" s="10">
        <v>13</v>
      </c>
      <c r="D2265" s="10">
        <v>9</v>
      </c>
      <c r="E2265" s="10">
        <v>18</v>
      </c>
      <c r="F2265" t="s">
        <v>104</v>
      </c>
      <c r="I2265" t="s">
        <v>72</v>
      </c>
      <c r="J2265">
        <v>131.80000000000001</v>
      </c>
      <c r="K2265">
        <v>0.33300000000000002</v>
      </c>
      <c r="L2265">
        <v>131.80000000000001</v>
      </c>
      <c r="M2265" s="5">
        <v>43.889400000000009</v>
      </c>
      <c r="N2265" s="5">
        <v>2.2077162977867211</v>
      </c>
      <c r="O2265" t="s">
        <v>243</v>
      </c>
      <c r="P2265" t="s">
        <v>340</v>
      </c>
      <c r="Q2265" s="10" t="s">
        <v>24</v>
      </c>
      <c r="R2265" t="s">
        <v>665</v>
      </c>
    </row>
    <row r="2266" spans="1:18" hidden="1" x14ac:dyDescent="0.25">
      <c r="A2266" s="9" t="s">
        <v>647</v>
      </c>
      <c r="B2266" s="3" t="str">
        <f t="shared" si="61"/>
        <v>18/9/13</v>
      </c>
      <c r="C2266" s="10">
        <v>13</v>
      </c>
      <c r="D2266" s="10">
        <v>9</v>
      </c>
      <c r="E2266" s="10">
        <v>18</v>
      </c>
      <c r="F2266" t="s">
        <v>104</v>
      </c>
      <c r="I2266" t="s">
        <v>72</v>
      </c>
      <c r="J2266">
        <v>116.3</v>
      </c>
      <c r="K2266">
        <v>0.4</v>
      </c>
      <c r="L2266">
        <v>116.3</v>
      </c>
      <c r="M2266" s="5">
        <v>46.52</v>
      </c>
      <c r="N2266" s="5">
        <v>2.3400402414486923</v>
      </c>
      <c r="O2266" t="s">
        <v>243</v>
      </c>
      <c r="P2266" t="s">
        <v>340</v>
      </c>
      <c r="Q2266" s="10" t="s">
        <v>24</v>
      </c>
      <c r="R2266" t="s">
        <v>232</v>
      </c>
    </row>
    <row r="2267" spans="1:18" hidden="1" x14ac:dyDescent="0.25">
      <c r="A2267" s="9" t="s">
        <v>647</v>
      </c>
      <c r="B2267" s="3" t="str">
        <f t="shared" si="61"/>
        <v>18/9/13</v>
      </c>
      <c r="C2267" s="10">
        <v>13</v>
      </c>
      <c r="D2267" s="10">
        <v>9</v>
      </c>
      <c r="E2267" s="10">
        <v>18</v>
      </c>
      <c r="F2267" t="s">
        <v>104</v>
      </c>
      <c r="I2267" t="s">
        <v>72</v>
      </c>
      <c r="J2267">
        <v>117.7</v>
      </c>
      <c r="K2267">
        <v>0.1</v>
      </c>
      <c r="L2267">
        <v>117.7</v>
      </c>
      <c r="M2267" s="5">
        <v>11.770000000000001</v>
      </c>
      <c r="N2267" s="5">
        <v>0.59205231388329993</v>
      </c>
      <c r="O2267" t="s">
        <v>243</v>
      </c>
      <c r="P2267" t="s">
        <v>340</v>
      </c>
      <c r="Q2267" s="10" t="s">
        <v>24</v>
      </c>
      <c r="R2267" t="s">
        <v>232</v>
      </c>
    </row>
    <row r="2268" spans="1:18" hidden="1" x14ac:dyDescent="0.25">
      <c r="A2268" s="9" t="s">
        <v>647</v>
      </c>
      <c r="B2268" s="3" t="str">
        <f t="shared" si="61"/>
        <v>18/9/13</v>
      </c>
      <c r="C2268" s="10">
        <v>13</v>
      </c>
      <c r="D2268" s="10">
        <v>9</v>
      </c>
      <c r="E2268" s="10">
        <v>18</v>
      </c>
      <c r="F2268" t="s">
        <v>146</v>
      </c>
      <c r="H2268" t="s">
        <v>49</v>
      </c>
      <c r="I2268" t="s">
        <v>50</v>
      </c>
      <c r="J2268">
        <v>0.6</v>
      </c>
      <c r="K2268">
        <v>1</v>
      </c>
      <c r="L2268">
        <v>0.6</v>
      </c>
      <c r="M2268" s="5">
        <v>0.6</v>
      </c>
      <c r="N2268" s="5">
        <v>3.0181086519114688E-2</v>
      </c>
      <c r="O2268" t="s">
        <v>243</v>
      </c>
      <c r="P2268" t="s">
        <v>340</v>
      </c>
      <c r="Q2268" s="10" t="s">
        <v>24</v>
      </c>
    </row>
    <row r="2269" spans="1:18" hidden="1" x14ac:dyDescent="0.25">
      <c r="A2269" s="9" t="s">
        <v>647</v>
      </c>
      <c r="B2269" s="3" t="str">
        <f t="shared" si="61"/>
        <v>18/9/13</v>
      </c>
      <c r="C2269" s="10">
        <v>13</v>
      </c>
      <c r="D2269" s="10">
        <v>9</v>
      </c>
      <c r="E2269" s="10">
        <v>18</v>
      </c>
      <c r="F2269" t="s">
        <v>246</v>
      </c>
      <c r="I2269" t="s">
        <v>72</v>
      </c>
      <c r="J2269">
        <v>40</v>
      </c>
      <c r="K2269">
        <v>1</v>
      </c>
      <c r="L2269">
        <v>40</v>
      </c>
      <c r="M2269">
        <v>40</v>
      </c>
      <c r="N2269" s="5">
        <v>2.0120724346076462</v>
      </c>
      <c r="O2269" t="s">
        <v>567</v>
      </c>
      <c r="P2269" t="s">
        <v>340</v>
      </c>
      <c r="Q2269" s="10" t="s">
        <v>24</v>
      </c>
      <c r="R2269" t="s">
        <v>666</v>
      </c>
    </row>
    <row r="2270" spans="1:18" hidden="1" x14ac:dyDescent="0.25">
      <c r="A2270" s="9" t="s">
        <v>647</v>
      </c>
      <c r="B2270" s="3" t="str">
        <f t="shared" si="61"/>
        <v>18/9/13</v>
      </c>
      <c r="C2270" s="10">
        <v>13</v>
      </c>
      <c r="D2270" s="10">
        <v>9</v>
      </c>
      <c r="E2270" s="10">
        <v>18</v>
      </c>
      <c r="F2270" t="s">
        <v>246</v>
      </c>
      <c r="I2270" t="s">
        <v>72</v>
      </c>
      <c r="J2270">
        <v>40</v>
      </c>
      <c r="K2270">
        <v>1</v>
      </c>
      <c r="L2270">
        <v>40</v>
      </c>
      <c r="M2270">
        <v>40</v>
      </c>
      <c r="N2270" s="5">
        <v>2.0120724346076462</v>
      </c>
      <c r="O2270" t="s">
        <v>567</v>
      </c>
      <c r="P2270" t="s">
        <v>340</v>
      </c>
      <c r="Q2270" s="10" t="s">
        <v>24</v>
      </c>
      <c r="R2270" t="s">
        <v>667</v>
      </c>
    </row>
    <row r="2271" spans="1:18" hidden="1" x14ac:dyDescent="0.25">
      <c r="A2271" s="9" t="s">
        <v>647</v>
      </c>
      <c r="B2271" s="3" t="str">
        <f t="shared" si="61"/>
        <v>18/9/13</v>
      </c>
      <c r="C2271" s="10">
        <v>13</v>
      </c>
      <c r="D2271" s="10">
        <v>9</v>
      </c>
      <c r="E2271" s="10">
        <v>18</v>
      </c>
      <c r="F2271" t="s">
        <v>104</v>
      </c>
      <c r="I2271" t="s">
        <v>72</v>
      </c>
      <c r="J2271">
        <v>35.5</v>
      </c>
      <c r="K2271">
        <v>2</v>
      </c>
      <c r="L2271">
        <v>35.5</v>
      </c>
      <c r="M2271">
        <v>71</v>
      </c>
      <c r="N2271" s="5">
        <v>3.5765259004281762</v>
      </c>
      <c r="O2271" t="s">
        <v>243</v>
      </c>
      <c r="P2271" t="s">
        <v>340</v>
      </c>
      <c r="Q2271" s="10" t="s">
        <v>24</v>
      </c>
      <c r="R2271" t="s">
        <v>668</v>
      </c>
    </row>
    <row r="2272" spans="1:18" hidden="1" x14ac:dyDescent="0.25">
      <c r="A2272" s="9" t="s">
        <v>647</v>
      </c>
      <c r="B2272" s="3" t="str">
        <f t="shared" si="61"/>
        <v>18/9/13</v>
      </c>
      <c r="C2272" s="10">
        <v>13</v>
      </c>
      <c r="D2272" s="10">
        <v>9</v>
      </c>
      <c r="E2272" s="10">
        <v>18</v>
      </c>
      <c r="F2272" t="s">
        <v>71</v>
      </c>
      <c r="I2272" t="s">
        <v>72</v>
      </c>
      <c r="J2272">
        <v>333</v>
      </c>
      <c r="K2272">
        <v>1</v>
      </c>
      <c r="L2272">
        <v>333</v>
      </c>
      <c r="M2272">
        <v>333</v>
      </c>
      <c r="N2272" s="5">
        <v>16.774410209050462</v>
      </c>
      <c r="O2272" t="s">
        <v>231</v>
      </c>
      <c r="P2272" t="s">
        <v>340</v>
      </c>
      <c r="Q2272" s="10" t="s">
        <v>24</v>
      </c>
      <c r="R2272" t="s">
        <v>517</v>
      </c>
    </row>
    <row r="2273" spans="1:18" hidden="1" x14ac:dyDescent="0.25">
      <c r="A2273" s="9" t="s">
        <v>647</v>
      </c>
      <c r="B2273" s="3" t="s">
        <v>1891</v>
      </c>
      <c r="C2273" s="10">
        <v>14</v>
      </c>
      <c r="D2273" s="10">
        <v>9</v>
      </c>
      <c r="E2273" s="10">
        <v>18</v>
      </c>
      <c r="F2273" t="s">
        <v>917</v>
      </c>
      <c r="G2273" t="s">
        <v>889</v>
      </c>
      <c r="H2273" t="s">
        <v>40</v>
      </c>
      <c r="I2273" t="s">
        <v>27</v>
      </c>
      <c r="J2273" s="4">
        <v>15.6</v>
      </c>
      <c r="K2273">
        <v>1</v>
      </c>
      <c r="L2273">
        <v>15.6</v>
      </c>
      <c r="M2273">
        <v>15.6</v>
      </c>
      <c r="N2273" s="5">
        <v>0.79282942154869696</v>
      </c>
      <c r="O2273" t="s">
        <v>100</v>
      </c>
      <c r="P2273" t="s">
        <v>340</v>
      </c>
      <c r="Q2273" s="10" t="s">
        <v>24</v>
      </c>
    </row>
    <row r="2274" spans="1:18" hidden="1" x14ac:dyDescent="0.25">
      <c r="A2274" s="9" t="s">
        <v>647</v>
      </c>
      <c r="B2274" s="3" t="s">
        <v>1891</v>
      </c>
      <c r="C2274" s="10">
        <v>14</v>
      </c>
      <c r="D2274" s="10">
        <v>9</v>
      </c>
      <c r="E2274" s="10">
        <v>18</v>
      </c>
      <c r="F2274" t="s">
        <v>372</v>
      </c>
      <c r="G2274" t="s">
        <v>373</v>
      </c>
      <c r="H2274" t="s">
        <v>65</v>
      </c>
      <c r="I2274" t="s">
        <v>27</v>
      </c>
      <c r="J2274" s="4">
        <v>9</v>
      </c>
      <c r="K2274">
        <v>2</v>
      </c>
      <c r="L2274">
        <v>9</v>
      </c>
      <c r="M2274">
        <v>18</v>
      </c>
      <c r="N2274" s="5">
        <v>0.91480317871003503</v>
      </c>
      <c r="O2274" t="s">
        <v>100</v>
      </c>
      <c r="P2274" t="s">
        <v>340</v>
      </c>
      <c r="Q2274" s="10" t="s">
        <v>24</v>
      </c>
    </row>
    <row r="2275" spans="1:18" hidden="1" x14ac:dyDescent="0.25">
      <c r="A2275" s="9" t="s">
        <v>647</v>
      </c>
      <c r="B2275" s="3" t="s">
        <v>1891</v>
      </c>
      <c r="C2275" s="10">
        <v>14</v>
      </c>
      <c r="D2275" s="10">
        <v>9</v>
      </c>
      <c r="E2275" s="10">
        <v>18</v>
      </c>
      <c r="F2275" t="s">
        <v>60</v>
      </c>
      <c r="G2275" t="s">
        <v>31</v>
      </c>
      <c r="H2275" t="s">
        <v>26</v>
      </c>
      <c r="I2275" t="s">
        <v>27</v>
      </c>
      <c r="J2275" s="4">
        <v>7.85</v>
      </c>
      <c r="K2275">
        <v>2</v>
      </c>
      <c r="L2275">
        <v>7.85</v>
      </c>
      <c r="M2275">
        <v>15.7</v>
      </c>
      <c r="N2275" s="5">
        <v>0.79791166143041936</v>
      </c>
      <c r="O2275" t="s">
        <v>100</v>
      </c>
      <c r="P2275" t="s">
        <v>340</v>
      </c>
      <c r="Q2275" s="10" t="s">
        <v>24</v>
      </c>
    </row>
    <row r="2276" spans="1:18" hidden="1" x14ac:dyDescent="0.25">
      <c r="A2276" s="9" t="s">
        <v>647</v>
      </c>
      <c r="B2276" s="3" t="s">
        <v>1891</v>
      </c>
      <c r="C2276" s="10">
        <v>14</v>
      </c>
      <c r="D2276" s="10">
        <v>9</v>
      </c>
      <c r="E2276" s="10">
        <v>18</v>
      </c>
      <c r="F2276" t="s">
        <v>906</v>
      </c>
      <c r="G2276" t="s">
        <v>889</v>
      </c>
      <c r="H2276" t="s">
        <v>65</v>
      </c>
      <c r="I2276" t="s">
        <v>27</v>
      </c>
      <c r="J2276" s="4">
        <v>35.25</v>
      </c>
      <c r="K2276">
        <v>1</v>
      </c>
      <c r="L2276">
        <v>35.25</v>
      </c>
      <c r="M2276">
        <v>35.25</v>
      </c>
      <c r="N2276" s="5">
        <v>1.7914895583071517</v>
      </c>
      <c r="O2276" t="s">
        <v>100</v>
      </c>
      <c r="P2276" t="s">
        <v>340</v>
      </c>
      <c r="Q2276" s="10" t="s">
        <v>24</v>
      </c>
    </row>
    <row r="2277" spans="1:18" hidden="1" x14ac:dyDescent="0.25">
      <c r="A2277" s="9" t="s">
        <v>647</v>
      </c>
      <c r="B2277" s="3" t="s">
        <v>1891</v>
      </c>
      <c r="C2277" s="10">
        <v>14</v>
      </c>
      <c r="D2277" s="10">
        <v>9</v>
      </c>
      <c r="E2277" s="10">
        <v>18</v>
      </c>
      <c r="F2277" t="s">
        <v>25</v>
      </c>
      <c r="G2277" t="s">
        <v>25</v>
      </c>
      <c r="H2277" t="s">
        <v>26</v>
      </c>
      <c r="I2277" t="s">
        <v>27</v>
      </c>
      <c r="J2277" s="4">
        <v>17.2</v>
      </c>
      <c r="K2277">
        <v>1</v>
      </c>
      <c r="L2277">
        <v>17.2</v>
      </c>
      <c r="M2277">
        <v>17.2</v>
      </c>
      <c r="N2277" s="5">
        <v>0.87414525965625556</v>
      </c>
      <c r="O2277" t="s">
        <v>100</v>
      </c>
      <c r="P2277" t="s">
        <v>340</v>
      </c>
      <c r="Q2277" s="10" t="s">
        <v>24</v>
      </c>
    </row>
    <row r="2278" spans="1:18" hidden="1" x14ac:dyDescent="0.25">
      <c r="A2278" s="9" t="s">
        <v>647</v>
      </c>
      <c r="B2278" s="3" t="str">
        <f>CONCATENATE(E2278,"/",D2278,"/",C2278)</f>
        <v>18/9/15</v>
      </c>
      <c r="C2278" s="10">
        <v>15</v>
      </c>
      <c r="D2278" s="10">
        <v>9</v>
      </c>
      <c r="E2278" s="10">
        <v>18</v>
      </c>
      <c r="F2278" t="s">
        <v>169</v>
      </c>
      <c r="H2278" t="s">
        <v>170</v>
      </c>
      <c r="I2278" t="s">
        <v>105</v>
      </c>
      <c r="J2278">
        <v>210</v>
      </c>
      <c r="K2278">
        <v>1</v>
      </c>
      <c r="L2278">
        <v>210</v>
      </c>
      <c r="M2278">
        <v>210</v>
      </c>
      <c r="N2278" s="5">
        <v>10.563380281690142</v>
      </c>
      <c r="O2278" t="s">
        <v>39</v>
      </c>
      <c r="Q2278" s="10" t="s">
        <v>24</v>
      </c>
    </row>
    <row r="2279" spans="1:18" hidden="1" x14ac:dyDescent="0.25">
      <c r="A2279" s="9" t="s">
        <v>647</v>
      </c>
      <c r="B2279" s="3" t="s">
        <v>1282</v>
      </c>
      <c r="C2279" s="10">
        <v>16</v>
      </c>
      <c r="D2279" s="10">
        <v>9</v>
      </c>
      <c r="E2279" s="10">
        <v>18</v>
      </c>
      <c r="F2279" t="s">
        <v>55</v>
      </c>
      <c r="G2279" t="s">
        <v>889</v>
      </c>
      <c r="H2279" t="s">
        <v>56</v>
      </c>
      <c r="I2279" t="s">
        <v>27</v>
      </c>
      <c r="J2279" s="4">
        <v>20.65</v>
      </c>
      <c r="K2279">
        <v>1.3440000000000001</v>
      </c>
      <c r="L2279">
        <v>20.65</v>
      </c>
      <c r="M2279">
        <v>27.753599999999999</v>
      </c>
      <c r="N2279" s="5">
        <v>1.4048503937007872</v>
      </c>
      <c r="O2279" t="s">
        <v>1472</v>
      </c>
      <c r="P2279" t="s">
        <v>340</v>
      </c>
      <c r="Q2279" s="10" t="s">
        <v>1102</v>
      </c>
    </row>
    <row r="2280" spans="1:18" hidden="1" x14ac:dyDescent="0.25">
      <c r="A2280" s="9" t="s">
        <v>647</v>
      </c>
      <c r="B2280" s="3" t="s">
        <v>1282</v>
      </c>
      <c r="C2280" s="10">
        <v>16</v>
      </c>
      <c r="D2280" s="10">
        <v>9</v>
      </c>
      <c r="E2280" s="10">
        <v>18</v>
      </c>
      <c r="F2280" t="s">
        <v>701</v>
      </c>
      <c r="G2280" t="s">
        <v>889</v>
      </c>
      <c r="H2280" t="s">
        <v>49</v>
      </c>
      <c r="I2280" t="s">
        <v>50</v>
      </c>
      <c r="J2280" s="4">
        <v>14.6</v>
      </c>
      <c r="K2280">
        <v>1</v>
      </c>
      <c r="L2280">
        <v>14.6</v>
      </c>
      <c r="M2280">
        <v>14.6</v>
      </c>
      <c r="N2280" s="5">
        <v>0.73903262092238464</v>
      </c>
      <c r="O2280" t="s">
        <v>1472</v>
      </c>
      <c r="P2280" t="s">
        <v>340</v>
      </c>
      <c r="Q2280" s="10" t="s">
        <v>1102</v>
      </c>
    </row>
    <row r="2281" spans="1:18" hidden="1" x14ac:dyDescent="0.25">
      <c r="A2281" s="9" t="s">
        <v>647</v>
      </c>
      <c r="B2281" s="3" t="s">
        <v>1282</v>
      </c>
      <c r="C2281" s="10">
        <v>16</v>
      </c>
      <c r="D2281" s="10">
        <v>9</v>
      </c>
      <c r="E2281" s="10">
        <v>18</v>
      </c>
      <c r="F2281" t="s">
        <v>60</v>
      </c>
      <c r="G2281" t="s">
        <v>31</v>
      </c>
      <c r="H2281" t="s">
        <v>26</v>
      </c>
      <c r="I2281" t="s">
        <v>27</v>
      </c>
      <c r="J2281" s="4">
        <v>7.45</v>
      </c>
      <c r="K2281">
        <v>2</v>
      </c>
      <c r="L2281">
        <v>7.45</v>
      </c>
      <c r="M2281">
        <v>14.9</v>
      </c>
      <c r="N2281" s="5">
        <v>0.75421822272215977</v>
      </c>
      <c r="O2281" t="s">
        <v>1472</v>
      </c>
      <c r="P2281" t="s">
        <v>340</v>
      </c>
      <c r="Q2281" s="10" t="s">
        <v>1102</v>
      </c>
    </row>
    <row r="2282" spans="1:18" hidden="1" x14ac:dyDescent="0.25">
      <c r="A2282" s="9" t="s">
        <v>647</v>
      </c>
      <c r="B2282" s="3" t="s">
        <v>1282</v>
      </c>
      <c r="C2282" s="10">
        <v>16</v>
      </c>
      <c r="D2282" s="10">
        <v>9</v>
      </c>
      <c r="E2282" s="10">
        <v>18</v>
      </c>
      <c r="F2282" t="s">
        <v>669</v>
      </c>
      <c r="I2282" t="s">
        <v>72</v>
      </c>
      <c r="J2282" s="4">
        <v>7.28</v>
      </c>
      <c r="K2282">
        <v>3</v>
      </c>
      <c r="L2282">
        <v>7.28</v>
      </c>
      <c r="M2282">
        <v>21.84</v>
      </c>
      <c r="N2282" s="5">
        <v>1.1055118110236219</v>
      </c>
      <c r="O2282" t="s">
        <v>39</v>
      </c>
      <c r="P2282" t="s">
        <v>340</v>
      </c>
      <c r="Q2282" s="10" t="s">
        <v>24</v>
      </c>
    </row>
    <row r="2283" spans="1:18" hidden="1" x14ac:dyDescent="0.25">
      <c r="A2283" s="9" t="s">
        <v>647</v>
      </c>
      <c r="B2283" s="3" t="str">
        <f>CONCATENATE(E2283,"/",D2283,"/",C2283)</f>
        <v>18/9/18</v>
      </c>
      <c r="C2283" s="10">
        <v>18</v>
      </c>
      <c r="D2283" s="10">
        <v>9</v>
      </c>
      <c r="E2283" s="10">
        <v>18</v>
      </c>
      <c r="F2283" t="s">
        <v>384</v>
      </c>
      <c r="G2283" t="s">
        <v>75</v>
      </c>
      <c r="H2283" t="s">
        <v>65</v>
      </c>
      <c r="I2283" t="s">
        <v>27</v>
      </c>
      <c r="J2283">
        <v>8.25</v>
      </c>
      <c r="K2283">
        <v>1</v>
      </c>
      <c r="L2283">
        <v>8.25</v>
      </c>
      <c r="M2283">
        <v>8.25</v>
      </c>
      <c r="N2283" s="5">
        <v>0.41498993963782699</v>
      </c>
      <c r="O2283" t="s">
        <v>101</v>
      </c>
      <c r="P2283" t="s">
        <v>340</v>
      </c>
      <c r="Q2283" t="s">
        <v>24</v>
      </c>
    </row>
    <row r="2284" spans="1:18" hidden="1" x14ac:dyDescent="0.25">
      <c r="A2284" s="9" t="s">
        <v>647</v>
      </c>
      <c r="B2284" s="3" t="str">
        <f>CONCATENATE(E2284,"/",D2284,"/",C2284)</f>
        <v>18/9/18</v>
      </c>
      <c r="C2284" s="10">
        <v>18</v>
      </c>
      <c r="D2284" s="10">
        <v>9</v>
      </c>
      <c r="E2284" s="10">
        <v>18</v>
      </c>
      <c r="F2284" t="s">
        <v>648</v>
      </c>
      <c r="G2284" t="s">
        <v>75</v>
      </c>
      <c r="H2284" t="s">
        <v>65</v>
      </c>
      <c r="I2284" t="s">
        <v>27</v>
      </c>
      <c r="J2284">
        <v>13</v>
      </c>
      <c r="K2284">
        <v>1</v>
      </c>
      <c r="L2284">
        <v>13</v>
      </c>
      <c r="M2284">
        <v>13</v>
      </c>
      <c r="N2284" s="5">
        <v>0.65392354124748497</v>
      </c>
      <c r="O2284" t="s">
        <v>101</v>
      </c>
      <c r="P2284" t="s">
        <v>340</v>
      </c>
      <c r="Q2284" t="s">
        <v>24</v>
      </c>
    </row>
    <row r="2285" spans="1:18" hidden="1" x14ac:dyDescent="0.25">
      <c r="A2285" s="9" t="s">
        <v>647</v>
      </c>
      <c r="B2285" s="3" t="str">
        <f>CONCATENATE(E2285,"/",D2285,"/",C2285)</f>
        <v>18/9/18</v>
      </c>
      <c r="C2285" s="10">
        <v>18</v>
      </c>
      <c r="D2285" s="10">
        <v>9</v>
      </c>
      <c r="E2285" s="10">
        <v>18</v>
      </c>
      <c r="F2285" t="s">
        <v>71</v>
      </c>
      <c r="I2285" t="s">
        <v>72</v>
      </c>
      <c r="J2285">
        <v>190</v>
      </c>
      <c r="K2285">
        <v>1</v>
      </c>
      <c r="L2285">
        <v>190</v>
      </c>
      <c r="M2285">
        <v>190</v>
      </c>
      <c r="N2285" s="5">
        <v>9.570984803962725</v>
      </c>
      <c r="O2285" t="s">
        <v>231</v>
      </c>
      <c r="P2285" t="s">
        <v>340</v>
      </c>
      <c r="Q2285" s="10" t="s">
        <v>24</v>
      </c>
      <c r="R2285" t="s">
        <v>517</v>
      </c>
    </row>
    <row r="2286" spans="1:18" hidden="1" x14ac:dyDescent="0.25">
      <c r="A2286" s="9" t="s">
        <v>647</v>
      </c>
      <c r="B2286" s="3" t="s">
        <v>1247</v>
      </c>
      <c r="C2286" s="10">
        <v>18</v>
      </c>
      <c r="D2286" s="10">
        <v>9</v>
      </c>
      <c r="E2286" s="10">
        <v>18</v>
      </c>
      <c r="F2286" t="s">
        <v>234</v>
      </c>
      <c r="G2286" t="s">
        <v>889</v>
      </c>
      <c r="H2286" t="s">
        <v>53</v>
      </c>
      <c r="I2286" t="s">
        <v>27</v>
      </c>
      <c r="J2286" s="4">
        <v>20</v>
      </c>
      <c r="K2286">
        <v>1</v>
      </c>
      <c r="L2286">
        <v>20</v>
      </c>
      <c r="M2286">
        <v>20</v>
      </c>
      <c r="N2286" s="5">
        <v>1.0123734533183351</v>
      </c>
      <c r="O2286" t="s">
        <v>101</v>
      </c>
      <c r="P2286" t="s">
        <v>340</v>
      </c>
      <c r="Q2286" s="10" t="s">
        <v>1102</v>
      </c>
    </row>
    <row r="2287" spans="1:18" hidden="1" x14ac:dyDescent="0.25">
      <c r="A2287" s="9" t="s">
        <v>647</v>
      </c>
      <c r="B2287" s="3" t="s">
        <v>1247</v>
      </c>
      <c r="C2287" s="10">
        <v>18</v>
      </c>
      <c r="D2287" s="10">
        <v>9</v>
      </c>
      <c r="E2287" s="10">
        <v>18</v>
      </c>
      <c r="F2287" t="s">
        <v>55</v>
      </c>
      <c r="G2287" t="s">
        <v>889</v>
      </c>
      <c r="H2287" t="s">
        <v>56</v>
      </c>
      <c r="I2287" t="s">
        <v>27</v>
      </c>
      <c r="J2287" s="4">
        <v>37.99</v>
      </c>
      <c r="K2287">
        <v>0.7</v>
      </c>
      <c r="L2287">
        <v>37.99</v>
      </c>
      <c r="M2287">
        <v>26.593</v>
      </c>
      <c r="N2287" s="5">
        <v>1.3461023622047243</v>
      </c>
      <c r="O2287" t="s">
        <v>101</v>
      </c>
      <c r="P2287" t="s">
        <v>340</v>
      </c>
      <c r="Q2287" s="10" t="s">
        <v>1102</v>
      </c>
    </row>
    <row r="2288" spans="1:18" hidden="1" x14ac:dyDescent="0.25">
      <c r="A2288" s="9" t="s">
        <v>647</v>
      </c>
      <c r="B2288" s="3" t="str">
        <f>CONCATENATE(E2288,"/",D2288,"/",C2288)</f>
        <v>18/9/19</v>
      </c>
      <c r="C2288" s="10">
        <v>19</v>
      </c>
      <c r="D2288" s="10">
        <v>9</v>
      </c>
      <c r="E2288" s="10">
        <v>18</v>
      </c>
      <c r="F2288" t="s">
        <v>104</v>
      </c>
      <c r="I2288" t="s">
        <v>72</v>
      </c>
      <c r="J2288">
        <v>12.63</v>
      </c>
      <c r="K2288">
        <v>6</v>
      </c>
      <c r="L2288">
        <v>12.63</v>
      </c>
      <c r="M2288">
        <v>75.78</v>
      </c>
      <c r="N2288" s="5">
        <v>3.817311728654186</v>
      </c>
      <c r="O2288" t="s">
        <v>233</v>
      </c>
      <c r="P2288" t="s">
        <v>340</v>
      </c>
      <c r="Q2288" s="10" t="s">
        <v>24</v>
      </c>
      <c r="R2288" t="s">
        <v>232</v>
      </c>
    </row>
    <row r="2289" spans="1:18" hidden="1" x14ac:dyDescent="0.25">
      <c r="A2289" s="9" t="s">
        <v>647</v>
      </c>
      <c r="B2289" s="3" t="str">
        <f>CONCATENATE(E2289,"/",D2289,"/",C2289)</f>
        <v>18/9/19</v>
      </c>
      <c r="C2289" s="10">
        <v>19</v>
      </c>
      <c r="D2289" s="10">
        <v>9</v>
      </c>
      <c r="E2289" s="10">
        <v>18</v>
      </c>
      <c r="F2289" t="s">
        <v>102</v>
      </c>
      <c r="H2289" t="s">
        <v>102</v>
      </c>
      <c r="I2289" t="s">
        <v>27</v>
      </c>
      <c r="J2289">
        <v>30.22</v>
      </c>
      <c r="K2289">
        <v>1</v>
      </c>
      <c r="L2289">
        <v>30.22</v>
      </c>
      <c r="M2289">
        <v>30.22</v>
      </c>
      <c r="N2289" s="5">
        <v>1.5222903198723872</v>
      </c>
      <c r="O2289" t="s">
        <v>233</v>
      </c>
      <c r="P2289" t="s">
        <v>340</v>
      </c>
      <c r="Q2289" s="10" t="s">
        <v>24</v>
      </c>
      <c r="R2289" t="s">
        <v>649</v>
      </c>
    </row>
    <row r="2290" spans="1:18" hidden="1" x14ac:dyDescent="0.25">
      <c r="A2290" s="9" t="s">
        <v>647</v>
      </c>
      <c r="B2290" s="3" t="s">
        <v>1245</v>
      </c>
      <c r="C2290" s="10">
        <v>19</v>
      </c>
      <c r="D2290" s="10">
        <v>9</v>
      </c>
      <c r="E2290" s="10">
        <v>18</v>
      </c>
      <c r="F2290" t="s">
        <v>641</v>
      </c>
      <c r="G2290" t="s">
        <v>889</v>
      </c>
      <c r="H2290" t="s">
        <v>53</v>
      </c>
      <c r="I2290" t="s">
        <v>27</v>
      </c>
      <c r="J2290" s="4">
        <v>10</v>
      </c>
      <c r="K2290">
        <v>1</v>
      </c>
      <c r="L2290">
        <v>10</v>
      </c>
      <c r="M2290">
        <v>10</v>
      </c>
      <c r="N2290" s="5">
        <v>0.50618672665916753</v>
      </c>
      <c r="O2290" t="s">
        <v>101</v>
      </c>
      <c r="P2290" t="s">
        <v>340</v>
      </c>
      <c r="Q2290" s="10" t="s">
        <v>1102</v>
      </c>
    </row>
    <row r="2291" spans="1:18" hidden="1" x14ac:dyDescent="0.25">
      <c r="A2291" s="9" t="s">
        <v>647</v>
      </c>
      <c r="B2291" s="3" t="s">
        <v>1245</v>
      </c>
      <c r="C2291" s="10">
        <v>19</v>
      </c>
      <c r="D2291" s="10">
        <v>9</v>
      </c>
      <c r="E2291" s="10">
        <v>18</v>
      </c>
      <c r="F2291" t="s">
        <v>55</v>
      </c>
      <c r="G2291" t="s">
        <v>889</v>
      </c>
      <c r="H2291" t="s">
        <v>56</v>
      </c>
      <c r="I2291" t="s">
        <v>27</v>
      </c>
      <c r="J2291" s="4">
        <v>37.99</v>
      </c>
      <c r="K2291">
        <v>0.63</v>
      </c>
      <c r="L2291">
        <v>37.99</v>
      </c>
      <c r="M2291">
        <v>23.933700000000002</v>
      </c>
      <c r="N2291" s="5">
        <v>1.2114921259842519</v>
      </c>
      <c r="O2291" t="s">
        <v>101</v>
      </c>
      <c r="P2291" t="s">
        <v>340</v>
      </c>
      <c r="Q2291" s="10" t="s">
        <v>1102</v>
      </c>
    </row>
    <row r="2292" spans="1:18" hidden="1" x14ac:dyDescent="0.25">
      <c r="A2292" s="9" t="s">
        <v>647</v>
      </c>
      <c r="B2292" s="3" t="s">
        <v>1245</v>
      </c>
      <c r="C2292" s="10">
        <v>19</v>
      </c>
      <c r="D2292" s="10">
        <v>9</v>
      </c>
      <c r="E2292" s="10">
        <v>18</v>
      </c>
      <c r="F2292" t="s">
        <v>2242</v>
      </c>
      <c r="G2292" t="s">
        <v>345</v>
      </c>
      <c r="H2292" t="s">
        <v>26</v>
      </c>
      <c r="I2292" t="s">
        <v>27</v>
      </c>
      <c r="J2292" s="4">
        <v>6.5</v>
      </c>
      <c r="K2292">
        <v>1</v>
      </c>
      <c r="L2292">
        <v>6.5</v>
      </c>
      <c r="M2292">
        <v>6.5</v>
      </c>
      <c r="N2292" s="5">
        <v>0.32902137232845891</v>
      </c>
      <c r="O2292" t="s">
        <v>101</v>
      </c>
      <c r="P2292" t="s">
        <v>340</v>
      </c>
      <c r="Q2292" s="10" t="s">
        <v>1102</v>
      </c>
    </row>
    <row r="2293" spans="1:18" hidden="1" x14ac:dyDescent="0.25">
      <c r="A2293" s="9" t="s">
        <v>647</v>
      </c>
      <c r="B2293" s="3" t="s">
        <v>1245</v>
      </c>
      <c r="C2293" s="10">
        <v>19</v>
      </c>
      <c r="D2293" s="10">
        <v>9</v>
      </c>
      <c r="E2293" s="10">
        <v>18</v>
      </c>
      <c r="F2293" t="s">
        <v>174</v>
      </c>
      <c r="G2293" t="s">
        <v>889</v>
      </c>
      <c r="H2293" t="s">
        <v>54</v>
      </c>
      <c r="I2293" t="s">
        <v>27</v>
      </c>
      <c r="J2293" s="4">
        <v>6.99</v>
      </c>
      <c r="K2293">
        <v>0.96499999999999997</v>
      </c>
      <c r="L2293">
        <v>6.99</v>
      </c>
      <c r="M2293">
        <v>6.7453500000000002</v>
      </c>
      <c r="N2293" s="5">
        <v>0.34144066366704162</v>
      </c>
      <c r="O2293" t="s">
        <v>101</v>
      </c>
      <c r="P2293" t="s">
        <v>340</v>
      </c>
      <c r="Q2293" s="10" t="s">
        <v>1102</v>
      </c>
    </row>
    <row r="2294" spans="1:18" hidden="1" x14ac:dyDescent="0.25">
      <c r="A2294" s="9" t="s">
        <v>647</v>
      </c>
      <c r="B2294" s="3" t="s">
        <v>1253</v>
      </c>
      <c r="C2294" s="10">
        <v>2</v>
      </c>
      <c r="D2294" s="10">
        <v>9</v>
      </c>
      <c r="E2294" s="10">
        <v>18</v>
      </c>
      <c r="F2294" t="s">
        <v>234</v>
      </c>
      <c r="G2294" t="s">
        <v>889</v>
      </c>
      <c r="H2294" t="s">
        <v>53</v>
      </c>
      <c r="I2294" t="s">
        <v>27</v>
      </c>
      <c r="J2294" s="4">
        <v>20</v>
      </c>
      <c r="K2294">
        <v>2</v>
      </c>
      <c r="L2294">
        <v>20</v>
      </c>
      <c r="M2294">
        <v>40</v>
      </c>
      <c r="N2294" s="5">
        <v>2.0247469066366701</v>
      </c>
      <c r="O2294" t="s">
        <v>101</v>
      </c>
      <c r="P2294" t="s">
        <v>340</v>
      </c>
      <c r="Q2294" s="10" t="s">
        <v>1102</v>
      </c>
    </row>
    <row r="2295" spans="1:18" hidden="1" x14ac:dyDescent="0.25">
      <c r="A2295" s="9" t="s">
        <v>647</v>
      </c>
      <c r="B2295" s="3" t="s">
        <v>1253</v>
      </c>
      <c r="C2295" s="10">
        <v>2</v>
      </c>
      <c r="D2295" s="10">
        <v>9</v>
      </c>
      <c r="E2295" s="10">
        <v>18</v>
      </c>
      <c r="F2295" t="s">
        <v>1265</v>
      </c>
      <c r="G2295" t="s">
        <v>31</v>
      </c>
      <c r="H2295" t="s">
        <v>26</v>
      </c>
      <c r="I2295" t="s">
        <v>27</v>
      </c>
      <c r="J2295" s="4">
        <v>10.19</v>
      </c>
      <c r="K2295">
        <v>4</v>
      </c>
      <c r="L2295">
        <v>10.19</v>
      </c>
      <c r="M2295">
        <v>40.76</v>
      </c>
      <c r="N2295" s="5">
        <v>2.0632170978627671</v>
      </c>
      <c r="O2295" t="s">
        <v>181</v>
      </c>
      <c r="P2295" t="s">
        <v>340</v>
      </c>
      <c r="Q2295" s="10" t="s">
        <v>1102</v>
      </c>
    </row>
    <row r="2296" spans="1:18" hidden="1" x14ac:dyDescent="0.25">
      <c r="A2296" s="9" t="s">
        <v>647</v>
      </c>
      <c r="B2296" s="3" t="s">
        <v>1253</v>
      </c>
      <c r="C2296" s="10">
        <v>2</v>
      </c>
      <c r="D2296" s="10">
        <v>9</v>
      </c>
      <c r="E2296" s="10">
        <v>18</v>
      </c>
      <c r="F2296" t="s">
        <v>60</v>
      </c>
      <c r="G2296" t="s">
        <v>31</v>
      </c>
      <c r="H2296" t="s">
        <v>26</v>
      </c>
      <c r="I2296" t="s">
        <v>27</v>
      </c>
      <c r="J2296" s="4">
        <v>6.76</v>
      </c>
      <c r="K2296">
        <v>1</v>
      </c>
      <c r="L2296">
        <v>6.76</v>
      </c>
      <c r="M2296">
        <v>6.76</v>
      </c>
      <c r="N2296" s="5">
        <v>0.3421822272215973</v>
      </c>
      <c r="O2296" t="s">
        <v>181</v>
      </c>
      <c r="P2296" t="s">
        <v>340</v>
      </c>
      <c r="Q2296" s="10" t="s">
        <v>1102</v>
      </c>
    </row>
    <row r="2297" spans="1:18" hidden="1" x14ac:dyDescent="0.25">
      <c r="A2297" s="9" t="s">
        <v>647</v>
      </c>
      <c r="B2297" s="3" t="s">
        <v>1253</v>
      </c>
      <c r="C2297" s="10">
        <v>2</v>
      </c>
      <c r="D2297" s="10">
        <v>9</v>
      </c>
      <c r="E2297" s="10">
        <v>18</v>
      </c>
      <c r="F2297" t="s">
        <v>47</v>
      </c>
      <c r="G2297" t="s">
        <v>31</v>
      </c>
      <c r="H2297" t="s">
        <v>26</v>
      </c>
      <c r="I2297" t="s">
        <v>27</v>
      </c>
      <c r="J2297" s="4">
        <v>5.88</v>
      </c>
      <c r="K2297">
        <v>1</v>
      </c>
      <c r="L2297">
        <v>5.88</v>
      </c>
      <c r="M2297">
        <v>5.88</v>
      </c>
      <c r="N2297" s="5">
        <v>0.29763779527559053</v>
      </c>
      <c r="O2297" t="s">
        <v>181</v>
      </c>
      <c r="P2297" t="s">
        <v>340</v>
      </c>
      <c r="Q2297" s="10" t="s">
        <v>1102</v>
      </c>
    </row>
    <row r="2298" spans="1:18" hidden="1" x14ac:dyDescent="0.25">
      <c r="A2298" s="9" t="s">
        <v>647</v>
      </c>
      <c r="B2298" s="3" t="s">
        <v>1253</v>
      </c>
      <c r="C2298" s="10">
        <v>2</v>
      </c>
      <c r="D2298" s="10">
        <v>9</v>
      </c>
      <c r="E2298" s="10">
        <v>18</v>
      </c>
      <c r="F2298" t="s">
        <v>984</v>
      </c>
      <c r="G2298" t="s">
        <v>889</v>
      </c>
      <c r="H2298" t="s">
        <v>40</v>
      </c>
      <c r="I2298" t="s">
        <v>27</v>
      </c>
      <c r="J2298" s="4">
        <v>14.21</v>
      </c>
      <c r="K2298">
        <v>1</v>
      </c>
      <c r="L2298">
        <v>14.21</v>
      </c>
      <c r="M2298">
        <v>14.21</v>
      </c>
      <c r="N2298" s="5">
        <v>0.71929133858267713</v>
      </c>
      <c r="O2298" t="s">
        <v>181</v>
      </c>
      <c r="P2298" t="s">
        <v>340</v>
      </c>
      <c r="Q2298" s="10" t="s">
        <v>1102</v>
      </c>
    </row>
    <row r="2299" spans="1:18" hidden="1" x14ac:dyDescent="0.25">
      <c r="A2299" s="9" t="s">
        <v>647</v>
      </c>
      <c r="B2299" s="3" t="s">
        <v>1253</v>
      </c>
      <c r="C2299" s="10">
        <v>2</v>
      </c>
      <c r="D2299" s="10">
        <v>9</v>
      </c>
      <c r="E2299" s="10">
        <v>18</v>
      </c>
      <c r="F2299" t="s">
        <v>508</v>
      </c>
      <c r="G2299" t="s">
        <v>889</v>
      </c>
      <c r="H2299" t="s">
        <v>73</v>
      </c>
      <c r="I2299" t="s">
        <v>27</v>
      </c>
      <c r="J2299" s="4">
        <v>20.87</v>
      </c>
      <c r="K2299">
        <v>1</v>
      </c>
      <c r="L2299">
        <v>20.87</v>
      </c>
      <c r="M2299">
        <v>20.87</v>
      </c>
      <c r="N2299" s="5">
        <v>1.0564116985376828</v>
      </c>
      <c r="O2299" t="s">
        <v>181</v>
      </c>
      <c r="P2299" t="s">
        <v>340</v>
      </c>
      <c r="Q2299" s="10" t="s">
        <v>1102</v>
      </c>
    </row>
    <row r="2300" spans="1:18" hidden="1" x14ac:dyDescent="0.25">
      <c r="A2300" s="9" t="s">
        <v>647</v>
      </c>
      <c r="B2300" s="3" t="s">
        <v>1253</v>
      </c>
      <c r="C2300" s="10">
        <v>2</v>
      </c>
      <c r="D2300" s="10">
        <v>9</v>
      </c>
      <c r="E2300" s="10">
        <v>18</v>
      </c>
      <c r="F2300" t="s">
        <v>1284</v>
      </c>
      <c r="G2300" t="s">
        <v>889</v>
      </c>
      <c r="H2300" t="s">
        <v>44</v>
      </c>
      <c r="I2300" t="s">
        <v>27</v>
      </c>
      <c r="J2300" s="4">
        <v>34.200000000000003</v>
      </c>
      <c r="K2300">
        <v>2</v>
      </c>
      <c r="L2300">
        <v>34.200000000000003</v>
      </c>
      <c r="M2300">
        <v>68.400000000000006</v>
      </c>
      <c r="N2300" s="5">
        <v>3.4623172103487065</v>
      </c>
      <c r="O2300" t="s">
        <v>181</v>
      </c>
      <c r="P2300" t="s">
        <v>340</v>
      </c>
      <c r="Q2300" s="10" t="s">
        <v>1102</v>
      </c>
    </row>
    <row r="2301" spans="1:18" hidden="1" x14ac:dyDescent="0.25">
      <c r="A2301" s="9" t="s">
        <v>647</v>
      </c>
      <c r="B2301" s="3" t="s">
        <v>1253</v>
      </c>
      <c r="C2301" s="10">
        <v>2</v>
      </c>
      <c r="D2301" s="10">
        <v>9</v>
      </c>
      <c r="E2301" s="10">
        <v>18</v>
      </c>
      <c r="F2301" t="s">
        <v>73</v>
      </c>
      <c r="G2301" t="s">
        <v>889</v>
      </c>
      <c r="H2301" t="s">
        <v>73</v>
      </c>
      <c r="I2301" t="s">
        <v>27</v>
      </c>
      <c r="J2301" s="4">
        <v>11.86</v>
      </c>
      <c r="K2301">
        <v>1</v>
      </c>
      <c r="L2301">
        <v>11.86</v>
      </c>
      <c r="M2301">
        <v>11.86</v>
      </c>
      <c r="N2301" s="5">
        <v>0.6003374578177727</v>
      </c>
      <c r="O2301" t="s">
        <v>181</v>
      </c>
      <c r="P2301" t="s">
        <v>340</v>
      </c>
      <c r="Q2301" s="10" t="s">
        <v>1102</v>
      </c>
    </row>
    <row r="2302" spans="1:18" hidden="1" x14ac:dyDescent="0.25">
      <c r="A2302" s="9" t="s">
        <v>647</v>
      </c>
      <c r="B2302" s="3" t="s">
        <v>1253</v>
      </c>
      <c r="C2302" s="10">
        <v>2</v>
      </c>
      <c r="D2302" s="10">
        <v>9</v>
      </c>
      <c r="E2302" s="10">
        <v>18</v>
      </c>
      <c r="F2302" t="s">
        <v>1285</v>
      </c>
      <c r="G2302" t="s">
        <v>889</v>
      </c>
      <c r="H2302" t="s">
        <v>56</v>
      </c>
      <c r="I2302" t="s">
        <v>27</v>
      </c>
      <c r="J2302" s="4">
        <v>41.65</v>
      </c>
      <c r="K2302">
        <v>1</v>
      </c>
      <c r="L2302">
        <v>41.65</v>
      </c>
      <c r="M2302">
        <v>41.65</v>
      </c>
      <c r="N2302" s="5">
        <v>2.1082677165354329</v>
      </c>
      <c r="O2302" t="s">
        <v>181</v>
      </c>
      <c r="P2302" t="s">
        <v>340</v>
      </c>
      <c r="Q2302" s="10" t="s">
        <v>1102</v>
      </c>
    </row>
    <row r="2303" spans="1:18" hidden="1" x14ac:dyDescent="0.25">
      <c r="A2303" s="9" t="s">
        <v>647</v>
      </c>
      <c r="B2303" s="3" t="s">
        <v>1253</v>
      </c>
      <c r="C2303" s="10">
        <v>2</v>
      </c>
      <c r="D2303" s="10">
        <v>9</v>
      </c>
      <c r="E2303" s="10">
        <v>18</v>
      </c>
      <c r="F2303" t="s">
        <v>1051</v>
      </c>
      <c r="G2303" t="s">
        <v>889</v>
      </c>
      <c r="H2303" t="s">
        <v>56</v>
      </c>
      <c r="I2303" t="s">
        <v>27</v>
      </c>
      <c r="J2303" s="4">
        <v>25.7</v>
      </c>
      <c r="K2303">
        <v>0.44</v>
      </c>
      <c r="L2303">
        <v>25.7</v>
      </c>
      <c r="M2303">
        <v>11.308</v>
      </c>
      <c r="N2303" s="5">
        <v>0.57239595050618675</v>
      </c>
      <c r="O2303" t="s">
        <v>181</v>
      </c>
      <c r="P2303" t="s">
        <v>340</v>
      </c>
      <c r="Q2303" s="10" t="s">
        <v>1102</v>
      </c>
    </row>
    <row r="2304" spans="1:18" hidden="1" x14ac:dyDescent="0.25">
      <c r="A2304" s="9" t="s">
        <v>647</v>
      </c>
      <c r="B2304" s="3" t="s">
        <v>1253</v>
      </c>
      <c r="C2304" s="10">
        <v>2</v>
      </c>
      <c r="D2304" s="10">
        <v>9</v>
      </c>
      <c r="E2304" s="10">
        <v>18</v>
      </c>
      <c r="F2304" t="s">
        <v>55</v>
      </c>
      <c r="G2304" t="s">
        <v>889</v>
      </c>
      <c r="H2304" t="s">
        <v>56</v>
      </c>
      <c r="I2304" t="s">
        <v>27</v>
      </c>
      <c r="J2304" s="4">
        <v>16.8</v>
      </c>
      <c r="K2304">
        <v>0.94399999999999995</v>
      </c>
      <c r="L2304">
        <v>16.8</v>
      </c>
      <c r="M2304">
        <v>15.8592</v>
      </c>
      <c r="N2304" s="5">
        <v>0.80277165354330704</v>
      </c>
      <c r="O2304" t="s">
        <v>181</v>
      </c>
      <c r="P2304" t="s">
        <v>340</v>
      </c>
      <c r="Q2304" s="10" t="s">
        <v>1102</v>
      </c>
    </row>
    <row r="2305" spans="1:18" hidden="1" x14ac:dyDescent="0.25">
      <c r="A2305" s="9" t="s">
        <v>647</v>
      </c>
      <c r="B2305" s="3" t="s">
        <v>1327</v>
      </c>
      <c r="C2305" s="10">
        <v>20</v>
      </c>
      <c r="D2305" s="10">
        <v>9</v>
      </c>
      <c r="E2305" s="10">
        <v>18</v>
      </c>
      <c r="F2305" t="s">
        <v>390</v>
      </c>
      <c r="G2305" t="s">
        <v>304</v>
      </c>
      <c r="H2305" t="s">
        <v>39</v>
      </c>
      <c r="I2305" t="s">
        <v>79</v>
      </c>
      <c r="J2305" s="4">
        <v>20</v>
      </c>
      <c r="K2305">
        <v>1</v>
      </c>
      <c r="L2305">
        <v>20</v>
      </c>
      <c r="M2305">
        <v>20</v>
      </c>
      <c r="N2305" s="5">
        <v>1.0123734533183351</v>
      </c>
      <c r="O2305" t="s">
        <v>39</v>
      </c>
      <c r="P2305" t="s">
        <v>340</v>
      </c>
      <c r="Q2305" s="10" t="s">
        <v>24</v>
      </c>
    </row>
    <row r="2306" spans="1:18" hidden="1" x14ac:dyDescent="0.25">
      <c r="A2306" s="9" t="s">
        <v>647</v>
      </c>
      <c r="B2306" s="3" t="s">
        <v>1327</v>
      </c>
      <c r="C2306" s="10">
        <v>20</v>
      </c>
      <c r="D2306" s="10">
        <v>9</v>
      </c>
      <c r="E2306" s="10">
        <v>18</v>
      </c>
      <c r="F2306" t="s">
        <v>1326</v>
      </c>
      <c r="G2306" t="s">
        <v>889</v>
      </c>
      <c r="H2306" t="s">
        <v>56</v>
      </c>
      <c r="I2306" t="s">
        <v>27</v>
      </c>
      <c r="J2306" s="4">
        <v>39</v>
      </c>
      <c r="K2306">
        <v>1</v>
      </c>
      <c r="L2306">
        <v>39</v>
      </c>
      <c r="M2306">
        <v>39</v>
      </c>
      <c r="N2306" s="5">
        <v>1.9741282339707535</v>
      </c>
      <c r="O2306" t="s">
        <v>593</v>
      </c>
      <c r="P2306" t="s">
        <v>340</v>
      </c>
      <c r="Q2306" s="10" t="s">
        <v>24</v>
      </c>
    </row>
    <row r="2307" spans="1:18" hidden="1" x14ac:dyDescent="0.25">
      <c r="A2307" s="9" t="s">
        <v>647</v>
      </c>
      <c r="B2307" s="3" t="str">
        <f>CONCATENATE(E2307,"/",D2307,"/",C2307)</f>
        <v>18/9/21</v>
      </c>
      <c r="C2307" s="10">
        <v>21</v>
      </c>
      <c r="D2307" s="10">
        <v>9</v>
      </c>
      <c r="E2307" s="10">
        <v>18</v>
      </c>
      <c r="F2307" t="s">
        <v>104</v>
      </c>
      <c r="I2307" t="s">
        <v>72</v>
      </c>
      <c r="J2307">
        <v>12.63</v>
      </c>
      <c r="K2307">
        <v>5</v>
      </c>
      <c r="L2307">
        <v>12.63</v>
      </c>
      <c r="M2307">
        <v>63.150000000000006</v>
      </c>
      <c r="N2307" s="5">
        <v>3.1810931072118218</v>
      </c>
      <c r="O2307" t="s">
        <v>233</v>
      </c>
      <c r="P2307" t="s">
        <v>340</v>
      </c>
      <c r="Q2307" s="10" t="s">
        <v>24</v>
      </c>
      <c r="R2307" t="s">
        <v>232</v>
      </c>
    </row>
    <row r="2308" spans="1:18" hidden="1" x14ac:dyDescent="0.25">
      <c r="A2308" s="9" t="s">
        <v>647</v>
      </c>
      <c r="B2308" s="3" t="str">
        <f>CONCATENATE(E2308,"/",D2308,"/",C2308)</f>
        <v>18/9/21</v>
      </c>
      <c r="C2308" s="10">
        <v>21</v>
      </c>
      <c r="D2308" s="10">
        <v>9</v>
      </c>
      <c r="E2308" s="10">
        <v>18</v>
      </c>
      <c r="F2308" t="s">
        <v>650</v>
      </c>
      <c r="I2308" t="s">
        <v>72</v>
      </c>
      <c r="J2308">
        <v>113.61</v>
      </c>
      <c r="K2308">
        <v>1</v>
      </c>
      <c r="L2308">
        <v>113.61</v>
      </c>
      <c r="M2308">
        <v>113.61</v>
      </c>
      <c r="N2308" s="5">
        <v>5.7229451767273956</v>
      </c>
      <c r="O2308" t="s">
        <v>233</v>
      </c>
      <c r="P2308" t="s">
        <v>340</v>
      </c>
      <c r="Q2308" s="10" t="s">
        <v>24</v>
      </c>
      <c r="R2308" t="s">
        <v>650</v>
      </c>
    </row>
    <row r="2309" spans="1:18" hidden="1" x14ac:dyDescent="0.25">
      <c r="A2309" s="9" t="s">
        <v>647</v>
      </c>
      <c r="B2309" s="3" t="s">
        <v>1248</v>
      </c>
      <c r="C2309" s="10">
        <v>21</v>
      </c>
      <c r="D2309" s="10">
        <v>9</v>
      </c>
      <c r="E2309" s="10">
        <v>18</v>
      </c>
      <c r="F2309" t="s">
        <v>878</v>
      </c>
      <c r="G2309" t="s">
        <v>889</v>
      </c>
      <c r="H2309" t="s">
        <v>53</v>
      </c>
      <c r="I2309" t="s">
        <v>27</v>
      </c>
      <c r="J2309" s="4">
        <v>7.5</v>
      </c>
      <c r="K2309">
        <v>3</v>
      </c>
      <c r="L2309">
        <v>7.5</v>
      </c>
      <c r="M2309">
        <v>22.5</v>
      </c>
      <c r="N2309" s="5">
        <v>1.1389201349831271</v>
      </c>
      <c r="O2309" t="s">
        <v>101</v>
      </c>
      <c r="P2309" t="s">
        <v>340</v>
      </c>
      <c r="Q2309" s="10" t="s">
        <v>1102</v>
      </c>
    </row>
    <row r="2310" spans="1:18" hidden="1" x14ac:dyDescent="0.25">
      <c r="A2310" s="9" t="s">
        <v>647</v>
      </c>
      <c r="B2310" s="3" t="s">
        <v>1248</v>
      </c>
      <c r="C2310" s="10">
        <v>21</v>
      </c>
      <c r="D2310" s="10">
        <v>9</v>
      </c>
      <c r="E2310" s="10">
        <v>18</v>
      </c>
      <c r="F2310" t="s">
        <v>234</v>
      </c>
      <c r="G2310" t="s">
        <v>889</v>
      </c>
      <c r="H2310" t="s">
        <v>53</v>
      </c>
      <c r="I2310" t="s">
        <v>27</v>
      </c>
      <c r="J2310" s="4">
        <v>20</v>
      </c>
      <c r="K2310">
        <v>1</v>
      </c>
      <c r="L2310">
        <v>20</v>
      </c>
      <c r="M2310">
        <v>20</v>
      </c>
      <c r="N2310" s="5">
        <v>1.0123734533183351</v>
      </c>
      <c r="O2310" t="s">
        <v>101</v>
      </c>
      <c r="P2310" t="s">
        <v>340</v>
      </c>
      <c r="Q2310" s="10" t="s">
        <v>1102</v>
      </c>
    </row>
    <row r="2311" spans="1:18" hidden="1" x14ac:dyDescent="0.25">
      <c r="A2311" s="9" t="s">
        <v>647</v>
      </c>
      <c r="B2311" s="3" t="s">
        <v>1248</v>
      </c>
      <c r="C2311" s="10">
        <v>21</v>
      </c>
      <c r="D2311" s="10">
        <v>9</v>
      </c>
      <c r="E2311" s="10">
        <v>18</v>
      </c>
      <c r="F2311" t="s">
        <v>1244</v>
      </c>
      <c r="G2311" t="s">
        <v>889</v>
      </c>
      <c r="H2311" t="s">
        <v>53</v>
      </c>
      <c r="I2311" t="s">
        <v>27</v>
      </c>
      <c r="J2311" s="4">
        <v>13.6</v>
      </c>
      <c r="K2311">
        <v>1</v>
      </c>
      <c r="L2311">
        <v>13.6</v>
      </c>
      <c r="M2311">
        <v>13.6</v>
      </c>
      <c r="N2311" s="5">
        <v>0.68841394825646784</v>
      </c>
      <c r="O2311" t="s">
        <v>101</v>
      </c>
      <c r="P2311" t="s">
        <v>340</v>
      </c>
      <c r="Q2311" s="10" t="s">
        <v>1102</v>
      </c>
    </row>
    <row r="2312" spans="1:18" hidden="1" x14ac:dyDescent="0.25">
      <c r="A2312" s="9" t="s">
        <v>647</v>
      </c>
      <c r="B2312" s="3" t="s">
        <v>1248</v>
      </c>
      <c r="C2312" s="10">
        <v>21</v>
      </c>
      <c r="D2312" s="10">
        <v>9</v>
      </c>
      <c r="E2312" s="10">
        <v>18</v>
      </c>
      <c r="F2312" t="s">
        <v>55</v>
      </c>
      <c r="G2312" t="s">
        <v>889</v>
      </c>
      <c r="H2312" t="s">
        <v>56</v>
      </c>
      <c r="I2312" t="s">
        <v>27</v>
      </c>
      <c r="J2312" s="4">
        <v>37.99</v>
      </c>
      <c r="K2312">
        <v>1.145</v>
      </c>
      <c r="L2312">
        <v>37.99</v>
      </c>
      <c r="M2312">
        <v>43.498550000000002</v>
      </c>
      <c r="N2312" s="5">
        <v>2.2018388638920134</v>
      </c>
      <c r="O2312" t="s">
        <v>101</v>
      </c>
      <c r="P2312" t="s">
        <v>340</v>
      </c>
      <c r="Q2312" s="10" t="s">
        <v>1102</v>
      </c>
    </row>
    <row r="2313" spans="1:18" hidden="1" x14ac:dyDescent="0.25">
      <c r="A2313" s="9" t="s">
        <v>647</v>
      </c>
      <c r="B2313" s="3" t="str">
        <f t="shared" ref="B2313:B2319" si="62">CONCATENATE(E2313,"/",D2313,"/",C2313)</f>
        <v>18/9/27</v>
      </c>
      <c r="C2313" s="10">
        <v>27</v>
      </c>
      <c r="D2313" s="10">
        <v>9</v>
      </c>
      <c r="E2313" s="10">
        <v>18</v>
      </c>
      <c r="F2313" t="s">
        <v>94</v>
      </c>
      <c r="I2313" t="s">
        <v>87</v>
      </c>
      <c r="J2313">
        <v>115</v>
      </c>
      <c r="K2313">
        <v>2</v>
      </c>
      <c r="L2313">
        <v>115</v>
      </c>
      <c r="M2313">
        <v>230</v>
      </c>
      <c r="N2313" s="5">
        <v>11.569416498993965</v>
      </c>
      <c r="O2313" t="s">
        <v>39</v>
      </c>
      <c r="Q2313" t="s">
        <v>24</v>
      </c>
      <c r="R2313" t="s">
        <v>1489</v>
      </c>
    </row>
    <row r="2314" spans="1:18" hidden="1" x14ac:dyDescent="0.25">
      <c r="A2314" s="9" t="s">
        <v>647</v>
      </c>
      <c r="B2314" s="3" t="str">
        <f t="shared" si="62"/>
        <v>18/9/28</v>
      </c>
      <c r="C2314" s="10">
        <v>28</v>
      </c>
      <c r="D2314" s="10">
        <v>9</v>
      </c>
      <c r="E2314" s="10">
        <v>18</v>
      </c>
      <c r="F2314" t="s">
        <v>596</v>
      </c>
      <c r="G2314" t="s">
        <v>889</v>
      </c>
      <c r="H2314" t="s">
        <v>56</v>
      </c>
      <c r="I2314" t="s">
        <v>27</v>
      </c>
      <c r="J2314">
        <v>11</v>
      </c>
      <c r="K2314">
        <v>1</v>
      </c>
      <c r="L2314">
        <v>11</v>
      </c>
      <c r="M2314">
        <v>11</v>
      </c>
      <c r="N2314" s="5">
        <v>0.55752660922453112</v>
      </c>
      <c r="O2314" t="s">
        <v>593</v>
      </c>
      <c r="P2314" t="s">
        <v>340</v>
      </c>
      <c r="Q2314" s="10" t="s">
        <v>24</v>
      </c>
    </row>
    <row r="2315" spans="1:18" hidden="1" x14ac:dyDescent="0.25">
      <c r="A2315" s="9" t="s">
        <v>647</v>
      </c>
      <c r="B2315" s="3" t="str">
        <f t="shared" si="62"/>
        <v>18/9/28</v>
      </c>
      <c r="C2315" s="10">
        <v>28</v>
      </c>
      <c r="D2315" s="10">
        <v>9</v>
      </c>
      <c r="E2315" s="10">
        <v>18</v>
      </c>
      <c r="F2315" t="s">
        <v>94</v>
      </c>
      <c r="I2315" t="s">
        <v>87</v>
      </c>
      <c r="J2315">
        <v>100</v>
      </c>
      <c r="K2315">
        <v>1</v>
      </c>
      <c r="L2315">
        <v>100</v>
      </c>
      <c r="M2315">
        <v>100</v>
      </c>
      <c r="N2315" s="5">
        <v>5.0301810865191152</v>
      </c>
      <c r="O2315" t="s">
        <v>652</v>
      </c>
      <c r="P2315" t="s">
        <v>340</v>
      </c>
      <c r="Q2315" t="s">
        <v>24</v>
      </c>
    </row>
    <row r="2316" spans="1:18" hidden="1" x14ac:dyDescent="0.25">
      <c r="A2316" s="9" t="s">
        <v>647</v>
      </c>
      <c r="B2316" s="3" t="str">
        <f t="shared" si="62"/>
        <v>18/9/28</v>
      </c>
      <c r="C2316" s="10">
        <v>28</v>
      </c>
      <c r="D2316" s="10">
        <v>9</v>
      </c>
      <c r="E2316" s="10">
        <v>18</v>
      </c>
      <c r="F2316" t="s">
        <v>653</v>
      </c>
      <c r="H2316" t="s">
        <v>131</v>
      </c>
      <c r="I2316" t="s">
        <v>27</v>
      </c>
      <c r="J2316">
        <v>14.7</v>
      </c>
      <c r="K2316">
        <v>2</v>
      </c>
      <c r="L2316">
        <v>14.7</v>
      </c>
      <c r="M2316">
        <v>29.4</v>
      </c>
      <c r="N2316" s="5">
        <v>1.4788732394366197</v>
      </c>
      <c r="O2316" t="s">
        <v>654</v>
      </c>
      <c r="P2316" t="s">
        <v>340</v>
      </c>
      <c r="Q2316" t="s">
        <v>84</v>
      </c>
    </row>
    <row r="2317" spans="1:18" hidden="1" x14ac:dyDescent="0.25">
      <c r="A2317" s="9" t="s">
        <v>647</v>
      </c>
      <c r="B2317" s="3" t="str">
        <f t="shared" si="62"/>
        <v>18/9/28</v>
      </c>
      <c r="C2317" s="10">
        <v>28</v>
      </c>
      <c r="D2317" s="10">
        <v>9</v>
      </c>
      <c r="E2317" s="10">
        <v>18</v>
      </c>
      <c r="F2317" t="s">
        <v>71</v>
      </c>
      <c r="I2317" t="s">
        <v>72</v>
      </c>
      <c r="J2317">
        <v>150</v>
      </c>
      <c r="K2317">
        <v>1</v>
      </c>
      <c r="L2317">
        <v>150</v>
      </c>
      <c r="M2317">
        <v>150</v>
      </c>
      <c r="N2317" s="5">
        <v>7.5452716297786724</v>
      </c>
      <c r="O2317" t="s">
        <v>39</v>
      </c>
      <c r="Q2317" t="s">
        <v>24</v>
      </c>
    </row>
    <row r="2318" spans="1:18" hidden="1" x14ac:dyDescent="0.25">
      <c r="A2318" s="9" t="s">
        <v>647</v>
      </c>
      <c r="B2318" s="3" t="str">
        <f t="shared" si="62"/>
        <v>18/9/28</v>
      </c>
      <c r="C2318" s="10">
        <v>28</v>
      </c>
      <c r="D2318" s="10">
        <v>9</v>
      </c>
      <c r="E2318" s="10">
        <v>18</v>
      </c>
      <c r="F2318" t="s">
        <v>596</v>
      </c>
      <c r="H2318" t="s">
        <v>56</v>
      </c>
      <c r="I2318" t="s">
        <v>27</v>
      </c>
      <c r="J2318">
        <v>11</v>
      </c>
      <c r="K2318">
        <v>1</v>
      </c>
      <c r="L2318">
        <v>11</v>
      </c>
      <c r="M2318">
        <v>11</v>
      </c>
      <c r="N2318" s="5">
        <v>0.55331991951710269</v>
      </c>
      <c r="O2318" t="s">
        <v>593</v>
      </c>
      <c r="P2318" t="s">
        <v>340</v>
      </c>
      <c r="Q2318" t="s">
        <v>24</v>
      </c>
    </row>
    <row r="2319" spans="1:18" hidden="1" x14ac:dyDescent="0.25">
      <c r="A2319" s="2" t="s">
        <v>655</v>
      </c>
      <c r="B2319" s="3" t="str">
        <f t="shared" si="62"/>
        <v>18/9/28</v>
      </c>
      <c r="C2319" s="10">
        <v>28</v>
      </c>
      <c r="D2319" s="10">
        <v>9</v>
      </c>
      <c r="E2319" s="10">
        <v>18</v>
      </c>
      <c r="F2319" t="s">
        <v>141</v>
      </c>
      <c r="H2319" t="s">
        <v>172</v>
      </c>
      <c r="I2319" t="s">
        <v>39</v>
      </c>
      <c r="J2319">
        <v>2</v>
      </c>
      <c r="K2319">
        <v>2</v>
      </c>
      <c r="L2319">
        <v>2</v>
      </c>
      <c r="M2319">
        <v>4</v>
      </c>
      <c r="N2319" s="5">
        <v>0.2012072434607646</v>
      </c>
      <c r="O2319" t="s">
        <v>39</v>
      </c>
      <c r="Q2319" t="s">
        <v>24</v>
      </c>
    </row>
    <row r="2320" spans="1:18" hidden="1" x14ac:dyDescent="0.25">
      <c r="A2320" s="9" t="s">
        <v>647</v>
      </c>
      <c r="B2320" s="3" t="s">
        <v>986</v>
      </c>
      <c r="C2320" s="10">
        <v>28</v>
      </c>
      <c r="D2320" s="10">
        <v>9</v>
      </c>
      <c r="E2320" s="10">
        <v>18</v>
      </c>
      <c r="F2320" t="s">
        <v>596</v>
      </c>
      <c r="G2320" t="s">
        <v>889</v>
      </c>
      <c r="H2320" t="s">
        <v>56</v>
      </c>
      <c r="I2320" t="s">
        <v>27</v>
      </c>
      <c r="J2320" s="4">
        <v>11</v>
      </c>
      <c r="K2320">
        <v>1</v>
      </c>
      <c r="L2320">
        <v>11</v>
      </c>
      <c r="M2320">
        <v>11</v>
      </c>
      <c r="N2320" s="5">
        <v>0.55752660922453112</v>
      </c>
      <c r="O2320" t="s">
        <v>593</v>
      </c>
      <c r="P2320" t="s">
        <v>340</v>
      </c>
      <c r="Q2320" s="10" t="s">
        <v>24</v>
      </c>
    </row>
    <row r="2321" spans="1:18" hidden="1" x14ac:dyDescent="0.25">
      <c r="A2321" s="9" t="s">
        <v>647</v>
      </c>
      <c r="B2321" s="3" t="str">
        <f t="shared" ref="B2321:B2354" si="63">CONCATENATE(E2321,"/",D2321,"/",C2321)</f>
        <v>18/9/30</v>
      </c>
      <c r="C2321" s="10">
        <v>30</v>
      </c>
      <c r="D2321" s="10">
        <v>9</v>
      </c>
      <c r="E2321" s="10">
        <v>18</v>
      </c>
      <c r="F2321" t="s">
        <v>146</v>
      </c>
      <c r="H2321" t="s">
        <v>49</v>
      </c>
      <c r="I2321" t="s">
        <v>50</v>
      </c>
      <c r="J2321">
        <v>0.75</v>
      </c>
      <c r="K2321">
        <v>1</v>
      </c>
      <c r="L2321">
        <v>0.75</v>
      </c>
      <c r="M2321">
        <v>0.75</v>
      </c>
      <c r="N2321" s="5">
        <v>3.7726358148893364E-2</v>
      </c>
      <c r="O2321" t="s">
        <v>100</v>
      </c>
      <c r="P2321" t="s">
        <v>340</v>
      </c>
      <c r="Q2321" t="s">
        <v>24</v>
      </c>
    </row>
    <row r="2322" spans="1:18" hidden="1" x14ac:dyDescent="0.25">
      <c r="A2322" s="9" t="s">
        <v>647</v>
      </c>
      <c r="B2322" s="3" t="str">
        <f t="shared" si="63"/>
        <v>18/9/30</v>
      </c>
      <c r="C2322" s="10">
        <v>30</v>
      </c>
      <c r="D2322" s="10">
        <v>9</v>
      </c>
      <c r="E2322" s="10">
        <v>18</v>
      </c>
      <c r="F2322" t="s">
        <v>656</v>
      </c>
      <c r="G2322" t="s">
        <v>33</v>
      </c>
      <c r="H2322" t="s">
        <v>35</v>
      </c>
      <c r="I2322" t="s">
        <v>27</v>
      </c>
      <c r="J2322">
        <v>103.6</v>
      </c>
      <c r="K2322">
        <v>0.89200000000000002</v>
      </c>
      <c r="L2322">
        <v>103.6</v>
      </c>
      <c r="M2322">
        <v>92.411199999999994</v>
      </c>
      <c r="N2322" s="5">
        <v>4.6484507042253522</v>
      </c>
      <c r="O2322" t="s">
        <v>100</v>
      </c>
      <c r="P2322" t="s">
        <v>340</v>
      </c>
      <c r="Q2322" t="s">
        <v>24</v>
      </c>
    </row>
    <row r="2323" spans="1:18" hidden="1" x14ac:dyDescent="0.25">
      <c r="A2323" s="9" t="s">
        <v>647</v>
      </c>
      <c r="B2323" s="3" t="str">
        <f t="shared" si="63"/>
        <v>18/9/30</v>
      </c>
      <c r="C2323" s="10">
        <v>30</v>
      </c>
      <c r="D2323" s="10">
        <v>9</v>
      </c>
      <c r="E2323" s="10">
        <v>18</v>
      </c>
      <c r="F2323" t="s">
        <v>73</v>
      </c>
      <c r="H2323" t="s">
        <v>73</v>
      </c>
      <c r="I2323" t="s">
        <v>27</v>
      </c>
      <c r="J2323">
        <v>19.45</v>
      </c>
      <c r="K2323">
        <v>1</v>
      </c>
      <c r="L2323">
        <v>19.45</v>
      </c>
      <c r="M2323">
        <v>19.45</v>
      </c>
      <c r="N2323" s="5">
        <v>0.9783702213279678</v>
      </c>
      <c r="O2323" t="s">
        <v>100</v>
      </c>
      <c r="P2323" t="s">
        <v>340</v>
      </c>
      <c r="Q2323" t="s">
        <v>24</v>
      </c>
    </row>
    <row r="2324" spans="1:18" hidden="1" x14ac:dyDescent="0.25">
      <c r="A2324" s="9" t="s">
        <v>647</v>
      </c>
      <c r="B2324" s="3" t="str">
        <f t="shared" si="63"/>
        <v>18/9/30</v>
      </c>
      <c r="C2324" s="10">
        <v>30</v>
      </c>
      <c r="D2324" s="10">
        <v>9</v>
      </c>
      <c r="E2324" s="10">
        <v>18</v>
      </c>
      <c r="F2324" t="s">
        <v>60</v>
      </c>
      <c r="G2324" t="s">
        <v>31</v>
      </c>
      <c r="H2324" t="s">
        <v>26</v>
      </c>
      <c r="I2324" t="s">
        <v>27</v>
      </c>
      <c r="J2324">
        <v>7.7</v>
      </c>
      <c r="K2324">
        <v>2</v>
      </c>
      <c r="L2324">
        <v>7.7</v>
      </c>
      <c r="M2324">
        <v>15.4</v>
      </c>
      <c r="N2324" s="5">
        <v>0.77464788732394374</v>
      </c>
      <c r="O2324" t="s">
        <v>100</v>
      </c>
      <c r="P2324" t="s">
        <v>340</v>
      </c>
      <c r="Q2324" t="s">
        <v>24</v>
      </c>
    </row>
    <row r="2325" spans="1:18" hidden="1" x14ac:dyDescent="0.25">
      <c r="A2325" s="9" t="s">
        <v>647</v>
      </c>
      <c r="B2325" s="3" t="str">
        <f t="shared" si="63"/>
        <v>18/9/30</v>
      </c>
      <c r="C2325" s="10">
        <v>30</v>
      </c>
      <c r="D2325" s="10">
        <v>9</v>
      </c>
      <c r="E2325" s="10">
        <v>18</v>
      </c>
      <c r="F2325" t="s">
        <v>99</v>
      </c>
      <c r="H2325" t="s">
        <v>40</v>
      </c>
      <c r="I2325" t="s">
        <v>27</v>
      </c>
      <c r="J2325">
        <v>10</v>
      </c>
      <c r="K2325">
        <v>1</v>
      </c>
      <c r="L2325">
        <v>10</v>
      </c>
      <c r="M2325">
        <v>10</v>
      </c>
      <c r="N2325" s="5">
        <v>0.50301810865191154</v>
      </c>
      <c r="O2325" t="s">
        <v>100</v>
      </c>
      <c r="P2325" t="s">
        <v>340</v>
      </c>
      <c r="Q2325" t="s">
        <v>24</v>
      </c>
    </row>
    <row r="2326" spans="1:18" hidden="1" x14ac:dyDescent="0.25">
      <c r="A2326" s="9" t="s">
        <v>647</v>
      </c>
      <c r="B2326" s="3" t="str">
        <f t="shared" si="63"/>
        <v>18/9/30</v>
      </c>
      <c r="C2326" s="10">
        <v>30</v>
      </c>
      <c r="D2326" s="10">
        <v>9</v>
      </c>
      <c r="E2326" s="10">
        <v>18</v>
      </c>
      <c r="F2326" t="s">
        <v>657</v>
      </c>
      <c r="H2326" t="s">
        <v>40</v>
      </c>
      <c r="I2326" t="s">
        <v>27</v>
      </c>
      <c r="J2326">
        <v>14</v>
      </c>
      <c r="K2326">
        <v>1</v>
      </c>
      <c r="L2326">
        <v>14</v>
      </c>
      <c r="M2326">
        <v>14</v>
      </c>
      <c r="N2326" s="5">
        <v>0.70422535211267612</v>
      </c>
      <c r="O2326" t="s">
        <v>100</v>
      </c>
      <c r="P2326" t="s">
        <v>340</v>
      </c>
      <c r="Q2326" t="s">
        <v>24</v>
      </c>
    </row>
    <row r="2327" spans="1:18" hidden="1" x14ac:dyDescent="0.25">
      <c r="A2327" s="9" t="s">
        <v>647</v>
      </c>
      <c r="B2327" s="3" t="str">
        <f t="shared" si="63"/>
        <v>18/9/30</v>
      </c>
      <c r="C2327" s="10">
        <v>30</v>
      </c>
      <c r="D2327" s="10">
        <v>9</v>
      </c>
      <c r="E2327" s="10">
        <v>18</v>
      </c>
      <c r="F2327" t="s">
        <v>75</v>
      </c>
      <c r="H2327" t="s">
        <v>65</v>
      </c>
      <c r="I2327" t="s">
        <v>27</v>
      </c>
      <c r="J2327">
        <v>10.5</v>
      </c>
      <c r="K2327">
        <v>4</v>
      </c>
      <c r="L2327">
        <v>10.5</v>
      </c>
      <c r="M2327">
        <v>42</v>
      </c>
      <c r="N2327" s="5">
        <v>2.1126760563380285</v>
      </c>
      <c r="O2327" t="s">
        <v>100</v>
      </c>
      <c r="P2327" t="s">
        <v>340</v>
      </c>
      <c r="Q2327" t="s">
        <v>24</v>
      </c>
    </row>
    <row r="2328" spans="1:18" hidden="1" x14ac:dyDescent="0.25">
      <c r="A2328" s="9" t="s">
        <v>647</v>
      </c>
      <c r="B2328" s="3" t="str">
        <f t="shared" si="63"/>
        <v>18/9/30</v>
      </c>
      <c r="C2328" s="10">
        <v>30</v>
      </c>
      <c r="D2328" s="10">
        <v>9</v>
      </c>
      <c r="E2328" s="10">
        <v>18</v>
      </c>
      <c r="F2328" t="s">
        <v>508</v>
      </c>
      <c r="H2328" t="s">
        <v>73</v>
      </c>
      <c r="I2328" t="s">
        <v>27</v>
      </c>
      <c r="J2328">
        <v>29.55</v>
      </c>
      <c r="K2328">
        <v>1</v>
      </c>
      <c r="L2328">
        <v>29.55</v>
      </c>
      <c r="M2328">
        <v>29.55</v>
      </c>
      <c r="N2328" s="5">
        <v>1.4864185110663986</v>
      </c>
      <c r="O2328" t="s">
        <v>100</v>
      </c>
      <c r="P2328" t="s">
        <v>340</v>
      </c>
      <c r="Q2328" t="s">
        <v>24</v>
      </c>
    </row>
    <row r="2329" spans="1:18" hidden="1" x14ac:dyDescent="0.25">
      <c r="A2329" s="9" t="s">
        <v>647</v>
      </c>
      <c r="B2329" s="3" t="str">
        <f t="shared" si="63"/>
        <v>18/9/30</v>
      </c>
      <c r="C2329" s="10">
        <v>30</v>
      </c>
      <c r="D2329" s="10">
        <v>9</v>
      </c>
      <c r="E2329" s="10">
        <v>18</v>
      </c>
      <c r="F2329" t="s">
        <v>341</v>
      </c>
      <c r="G2329" t="s">
        <v>25</v>
      </c>
      <c r="H2329" t="s">
        <v>26</v>
      </c>
      <c r="I2329" t="s">
        <v>27</v>
      </c>
      <c r="J2329">
        <v>264</v>
      </c>
      <c r="K2329">
        <v>0.15</v>
      </c>
      <c r="L2329">
        <v>264</v>
      </c>
      <c r="M2329">
        <v>39.6</v>
      </c>
      <c r="N2329" s="5">
        <v>1.9919517102615696</v>
      </c>
      <c r="O2329" t="s">
        <v>100</v>
      </c>
      <c r="P2329" t="s">
        <v>340</v>
      </c>
      <c r="Q2329" t="s">
        <v>24</v>
      </c>
    </row>
    <row r="2330" spans="1:18" hidden="1" x14ac:dyDescent="0.25">
      <c r="A2330" s="9" t="s">
        <v>647</v>
      </c>
      <c r="B2330" s="3" t="str">
        <f t="shared" si="63"/>
        <v>18/9/30</v>
      </c>
      <c r="C2330" s="10">
        <v>30</v>
      </c>
      <c r="D2330" s="10">
        <v>9</v>
      </c>
      <c r="E2330" s="10">
        <v>18</v>
      </c>
      <c r="F2330" t="s">
        <v>98</v>
      </c>
      <c r="H2330" t="s">
        <v>26</v>
      </c>
      <c r="I2330" t="s">
        <v>27</v>
      </c>
      <c r="J2330">
        <v>46.75</v>
      </c>
      <c r="K2330">
        <v>1</v>
      </c>
      <c r="L2330">
        <v>46.75</v>
      </c>
      <c r="M2330">
        <v>46.75</v>
      </c>
      <c r="N2330" s="5">
        <v>2.3516096579476864</v>
      </c>
      <c r="O2330" t="s">
        <v>100</v>
      </c>
      <c r="P2330" t="s">
        <v>340</v>
      </c>
      <c r="Q2330" t="s">
        <v>24</v>
      </c>
      <c r="R2330" t="s">
        <v>1258</v>
      </c>
    </row>
    <row r="2331" spans="1:18" hidden="1" x14ac:dyDescent="0.25">
      <c r="A2331" s="9" t="s">
        <v>647</v>
      </c>
      <c r="B2331" s="3" t="str">
        <f t="shared" si="63"/>
        <v>18/9/30</v>
      </c>
      <c r="C2331" s="10">
        <v>30</v>
      </c>
      <c r="D2331" s="10">
        <v>9</v>
      </c>
      <c r="E2331" s="10">
        <v>18</v>
      </c>
      <c r="F2331" t="s">
        <v>658</v>
      </c>
      <c r="H2331" t="s">
        <v>54</v>
      </c>
      <c r="I2331" t="s">
        <v>27</v>
      </c>
      <c r="J2331">
        <v>30</v>
      </c>
      <c r="K2331">
        <v>1</v>
      </c>
      <c r="L2331">
        <v>30</v>
      </c>
      <c r="M2331">
        <v>30</v>
      </c>
      <c r="N2331" s="5">
        <v>1.5090543259557345</v>
      </c>
      <c r="O2331" t="s">
        <v>593</v>
      </c>
      <c r="P2331" t="s">
        <v>340</v>
      </c>
      <c r="Q2331" t="s">
        <v>24</v>
      </c>
    </row>
    <row r="2332" spans="1:18" hidden="1" x14ac:dyDescent="0.25">
      <c r="A2332" s="9" t="s">
        <v>647</v>
      </c>
      <c r="B2332" s="3" t="str">
        <f t="shared" si="63"/>
        <v>18/9/30</v>
      </c>
      <c r="C2332" s="10">
        <v>30</v>
      </c>
      <c r="D2332" s="10">
        <v>9</v>
      </c>
      <c r="E2332" s="10">
        <v>18</v>
      </c>
      <c r="F2332" t="s">
        <v>120</v>
      </c>
      <c r="H2332" t="s">
        <v>54</v>
      </c>
      <c r="I2332" t="s">
        <v>27</v>
      </c>
      <c r="J2332">
        <v>10</v>
      </c>
      <c r="K2332">
        <v>1</v>
      </c>
      <c r="L2332">
        <v>10</v>
      </c>
      <c r="M2332">
        <v>10</v>
      </c>
      <c r="N2332" s="5">
        <v>0.50301810865191154</v>
      </c>
      <c r="O2332" t="s">
        <v>593</v>
      </c>
      <c r="P2332" t="s">
        <v>340</v>
      </c>
      <c r="Q2332" t="s">
        <v>24</v>
      </c>
    </row>
    <row r="2333" spans="1:18" hidden="1" x14ac:dyDescent="0.25">
      <c r="A2333" s="9" t="s">
        <v>647</v>
      </c>
      <c r="B2333" s="3" t="str">
        <f t="shared" si="63"/>
        <v>18/9/30</v>
      </c>
      <c r="C2333" s="10">
        <v>30</v>
      </c>
      <c r="D2333" s="10">
        <v>9</v>
      </c>
      <c r="E2333" s="10">
        <v>18</v>
      </c>
      <c r="F2333" t="s">
        <v>659</v>
      </c>
      <c r="H2333" t="s">
        <v>56</v>
      </c>
      <c r="I2333" t="s">
        <v>27</v>
      </c>
      <c r="J2333">
        <v>10</v>
      </c>
      <c r="K2333">
        <v>1</v>
      </c>
      <c r="L2333">
        <v>10</v>
      </c>
      <c r="M2333">
        <v>10</v>
      </c>
      <c r="N2333" s="5">
        <v>0.50301810865191154</v>
      </c>
      <c r="O2333" t="s">
        <v>593</v>
      </c>
      <c r="P2333" t="s">
        <v>340</v>
      </c>
      <c r="Q2333" t="s">
        <v>24</v>
      </c>
    </row>
    <row r="2334" spans="1:18" hidden="1" x14ac:dyDescent="0.25">
      <c r="A2334" s="9" t="s">
        <v>647</v>
      </c>
      <c r="B2334" s="3" t="str">
        <f t="shared" si="63"/>
        <v>18/9/30</v>
      </c>
      <c r="C2334" s="10">
        <v>30</v>
      </c>
      <c r="D2334" s="10">
        <v>9</v>
      </c>
      <c r="E2334" s="10">
        <v>18</v>
      </c>
      <c r="F2334" t="s">
        <v>506</v>
      </c>
      <c r="H2334" t="s">
        <v>54</v>
      </c>
      <c r="I2334" t="s">
        <v>27</v>
      </c>
      <c r="J2334">
        <v>60</v>
      </c>
      <c r="K2334">
        <v>1</v>
      </c>
      <c r="L2334">
        <v>60</v>
      </c>
      <c r="M2334">
        <v>60</v>
      </c>
      <c r="N2334" s="5">
        <v>3.018108651911469</v>
      </c>
      <c r="O2334" t="s">
        <v>593</v>
      </c>
      <c r="P2334" t="s">
        <v>340</v>
      </c>
      <c r="Q2334" t="s">
        <v>24</v>
      </c>
    </row>
    <row r="2335" spans="1:18" hidden="1" x14ac:dyDescent="0.25">
      <c r="A2335" s="9" t="s">
        <v>647</v>
      </c>
      <c r="B2335" s="3" t="str">
        <f t="shared" si="63"/>
        <v>18/9/30</v>
      </c>
      <c r="C2335" s="10">
        <v>30</v>
      </c>
      <c r="D2335" s="10">
        <v>9</v>
      </c>
      <c r="E2335" s="10">
        <v>18</v>
      </c>
      <c r="F2335" t="s">
        <v>660</v>
      </c>
      <c r="H2335" t="s">
        <v>56</v>
      </c>
      <c r="I2335" t="s">
        <v>27</v>
      </c>
      <c r="J2335">
        <v>7</v>
      </c>
      <c r="K2335">
        <v>1.6</v>
      </c>
      <c r="L2335">
        <v>7</v>
      </c>
      <c r="M2335">
        <v>11.200000000000001</v>
      </c>
      <c r="N2335" s="5">
        <v>0.56338028169014087</v>
      </c>
      <c r="O2335" t="s">
        <v>593</v>
      </c>
      <c r="P2335" t="s">
        <v>340</v>
      </c>
      <c r="Q2335" t="s">
        <v>24</v>
      </c>
    </row>
    <row r="2336" spans="1:18" hidden="1" x14ac:dyDescent="0.25">
      <c r="A2336" s="9" t="s">
        <v>647</v>
      </c>
      <c r="B2336" s="3" t="str">
        <f t="shared" si="63"/>
        <v>18/9/30</v>
      </c>
      <c r="C2336" s="10">
        <v>30</v>
      </c>
      <c r="D2336" s="10">
        <v>9</v>
      </c>
      <c r="E2336" s="10">
        <v>18</v>
      </c>
      <c r="F2336" t="s">
        <v>661</v>
      </c>
      <c r="H2336" t="s">
        <v>56</v>
      </c>
      <c r="I2336" t="s">
        <v>27</v>
      </c>
      <c r="J2336">
        <v>7</v>
      </c>
      <c r="K2336">
        <v>1.6</v>
      </c>
      <c r="L2336">
        <v>7</v>
      </c>
      <c r="M2336">
        <v>11.200000000000001</v>
      </c>
      <c r="N2336" s="5">
        <v>0.56338028169014087</v>
      </c>
      <c r="O2336" t="s">
        <v>593</v>
      </c>
      <c r="P2336" t="s">
        <v>340</v>
      </c>
      <c r="Q2336" t="s">
        <v>24</v>
      </c>
    </row>
    <row r="2337" spans="1:17" hidden="1" x14ac:dyDescent="0.25">
      <c r="A2337" s="9" t="s">
        <v>647</v>
      </c>
      <c r="B2337" s="3" t="str">
        <f t="shared" si="63"/>
        <v>18/9/30</v>
      </c>
      <c r="C2337" s="10">
        <v>30</v>
      </c>
      <c r="D2337" s="10">
        <v>9</v>
      </c>
      <c r="E2337" s="10">
        <v>18</v>
      </c>
      <c r="F2337" t="s">
        <v>555</v>
      </c>
      <c r="H2337" t="s">
        <v>54</v>
      </c>
      <c r="I2337" t="s">
        <v>27</v>
      </c>
      <c r="J2337">
        <v>26</v>
      </c>
      <c r="K2337">
        <v>1</v>
      </c>
      <c r="L2337">
        <v>26</v>
      </c>
      <c r="M2337">
        <v>26</v>
      </c>
      <c r="N2337" s="5">
        <v>1.3078470824949699</v>
      </c>
      <c r="O2337" t="s">
        <v>593</v>
      </c>
      <c r="P2337" t="s">
        <v>340</v>
      </c>
      <c r="Q2337" t="s">
        <v>24</v>
      </c>
    </row>
    <row r="2338" spans="1:17" hidden="1" x14ac:dyDescent="0.25">
      <c r="A2338" s="9" t="s">
        <v>647</v>
      </c>
      <c r="B2338" s="3" t="str">
        <f t="shared" si="63"/>
        <v>18/9/30</v>
      </c>
      <c r="C2338" s="10">
        <v>30</v>
      </c>
      <c r="D2338" s="10">
        <v>9</v>
      </c>
      <c r="E2338" s="10">
        <v>18</v>
      </c>
      <c r="F2338" t="s">
        <v>404</v>
      </c>
      <c r="H2338" t="s">
        <v>54</v>
      </c>
      <c r="I2338" t="s">
        <v>27</v>
      </c>
      <c r="J2338">
        <v>20</v>
      </c>
      <c r="K2338">
        <v>1</v>
      </c>
      <c r="L2338">
        <v>20</v>
      </c>
      <c r="M2338">
        <v>20</v>
      </c>
      <c r="N2338" s="5">
        <v>1.0060362173038231</v>
      </c>
      <c r="O2338" t="s">
        <v>593</v>
      </c>
      <c r="P2338" t="s">
        <v>340</v>
      </c>
      <c r="Q2338" t="s">
        <v>24</v>
      </c>
    </row>
    <row r="2339" spans="1:17" hidden="1" x14ac:dyDescent="0.25">
      <c r="A2339" s="9" t="s">
        <v>647</v>
      </c>
      <c r="B2339" s="3" t="str">
        <f t="shared" si="63"/>
        <v>18/9/30</v>
      </c>
      <c r="C2339" s="10">
        <v>30</v>
      </c>
      <c r="D2339" s="10">
        <v>9</v>
      </c>
      <c r="E2339" s="10">
        <v>18</v>
      </c>
      <c r="F2339" t="s">
        <v>115</v>
      </c>
      <c r="G2339" t="s">
        <v>364</v>
      </c>
      <c r="H2339" t="s">
        <v>63</v>
      </c>
      <c r="I2339" t="s">
        <v>27</v>
      </c>
      <c r="J2339">
        <v>10</v>
      </c>
      <c r="K2339">
        <v>1</v>
      </c>
      <c r="L2339">
        <v>10</v>
      </c>
      <c r="M2339">
        <v>10</v>
      </c>
      <c r="N2339" s="5">
        <v>0.50301810865191154</v>
      </c>
      <c r="O2339" t="s">
        <v>593</v>
      </c>
      <c r="P2339" t="s">
        <v>340</v>
      </c>
      <c r="Q2339" t="s">
        <v>24</v>
      </c>
    </row>
    <row r="2340" spans="1:17" hidden="1" x14ac:dyDescent="0.25">
      <c r="A2340" s="9" t="s">
        <v>647</v>
      </c>
      <c r="B2340" s="3" t="str">
        <f t="shared" si="63"/>
        <v>18/9/30</v>
      </c>
      <c r="C2340" s="10">
        <v>30</v>
      </c>
      <c r="D2340" s="10">
        <v>9</v>
      </c>
      <c r="E2340" s="10">
        <v>18</v>
      </c>
      <c r="F2340" t="s">
        <v>240</v>
      </c>
      <c r="H2340" t="s">
        <v>54</v>
      </c>
      <c r="I2340" t="s">
        <v>27</v>
      </c>
      <c r="J2340">
        <v>10</v>
      </c>
      <c r="K2340">
        <v>1</v>
      </c>
      <c r="L2340">
        <v>10</v>
      </c>
      <c r="M2340">
        <v>10</v>
      </c>
      <c r="N2340" s="5">
        <v>0.50301810865191154</v>
      </c>
      <c r="O2340" t="s">
        <v>593</v>
      </c>
      <c r="P2340" t="s">
        <v>340</v>
      </c>
      <c r="Q2340" t="s">
        <v>24</v>
      </c>
    </row>
    <row r="2341" spans="1:17" hidden="1" x14ac:dyDescent="0.25">
      <c r="A2341" s="9" t="s">
        <v>647</v>
      </c>
      <c r="B2341" s="3" t="str">
        <f t="shared" si="63"/>
        <v>18/9/30</v>
      </c>
      <c r="C2341" s="10">
        <v>30</v>
      </c>
      <c r="D2341" s="10">
        <v>9</v>
      </c>
      <c r="E2341" s="10">
        <v>18</v>
      </c>
      <c r="F2341" t="s">
        <v>1205</v>
      </c>
      <c r="H2341" t="s">
        <v>54</v>
      </c>
      <c r="I2341" t="s">
        <v>27</v>
      </c>
      <c r="J2341">
        <v>10</v>
      </c>
      <c r="K2341">
        <v>1</v>
      </c>
      <c r="L2341">
        <v>10</v>
      </c>
      <c r="M2341">
        <v>10</v>
      </c>
      <c r="N2341" s="5">
        <v>0.50301810865191154</v>
      </c>
      <c r="O2341" t="s">
        <v>593</v>
      </c>
      <c r="P2341" t="s">
        <v>340</v>
      </c>
      <c r="Q2341" t="s">
        <v>24</v>
      </c>
    </row>
    <row r="2342" spans="1:17" hidden="1" x14ac:dyDescent="0.25">
      <c r="A2342" s="9" t="s">
        <v>647</v>
      </c>
      <c r="B2342" s="3" t="str">
        <f t="shared" si="63"/>
        <v>18/9/30</v>
      </c>
      <c r="C2342" s="10">
        <v>30</v>
      </c>
      <c r="D2342" s="10">
        <v>9</v>
      </c>
      <c r="E2342" s="10">
        <v>18</v>
      </c>
      <c r="F2342" t="s">
        <v>484</v>
      </c>
      <c r="H2342" t="s">
        <v>54</v>
      </c>
      <c r="I2342" t="s">
        <v>27</v>
      </c>
      <c r="J2342">
        <v>5</v>
      </c>
      <c r="K2342">
        <v>2</v>
      </c>
      <c r="L2342">
        <v>5</v>
      </c>
      <c r="M2342">
        <v>10</v>
      </c>
      <c r="N2342" s="5">
        <v>0.50301810865191154</v>
      </c>
      <c r="O2342" t="s">
        <v>593</v>
      </c>
      <c r="P2342" t="s">
        <v>340</v>
      </c>
      <c r="Q2342" t="s">
        <v>24</v>
      </c>
    </row>
    <row r="2343" spans="1:17" hidden="1" x14ac:dyDescent="0.25">
      <c r="A2343" s="9" t="s">
        <v>647</v>
      </c>
      <c r="B2343" s="3" t="str">
        <f t="shared" si="63"/>
        <v>18/9/30</v>
      </c>
      <c r="C2343" s="10">
        <v>30</v>
      </c>
      <c r="D2343" s="10">
        <v>9</v>
      </c>
      <c r="E2343" s="10">
        <v>18</v>
      </c>
      <c r="F2343" t="s">
        <v>662</v>
      </c>
      <c r="H2343" t="s">
        <v>56</v>
      </c>
      <c r="I2343" t="s">
        <v>27</v>
      </c>
      <c r="J2343">
        <v>15</v>
      </c>
      <c r="K2343">
        <v>1</v>
      </c>
      <c r="L2343">
        <v>15</v>
      </c>
      <c r="M2343">
        <v>15</v>
      </c>
      <c r="N2343" s="5">
        <v>0.75452716297786726</v>
      </c>
      <c r="O2343" t="s">
        <v>593</v>
      </c>
      <c r="P2343" t="s">
        <v>340</v>
      </c>
      <c r="Q2343" t="s">
        <v>24</v>
      </c>
    </row>
    <row r="2344" spans="1:17" hidden="1" x14ac:dyDescent="0.25">
      <c r="A2344" s="9" t="s">
        <v>647</v>
      </c>
      <c r="B2344" s="3" t="str">
        <f t="shared" si="63"/>
        <v>18/9/30</v>
      </c>
      <c r="C2344" s="10">
        <v>30</v>
      </c>
      <c r="D2344" s="10">
        <v>9</v>
      </c>
      <c r="E2344" s="10">
        <v>18</v>
      </c>
      <c r="F2344" t="s">
        <v>211</v>
      </c>
      <c r="H2344" t="s">
        <v>56</v>
      </c>
      <c r="I2344" t="s">
        <v>27</v>
      </c>
      <c r="J2344">
        <v>15</v>
      </c>
      <c r="K2344">
        <v>1</v>
      </c>
      <c r="L2344">
        <v>15</v>
      </c>
      <c r="M2344">
        <v>15</v>
      </c>
      <c r="N2344" s="5">
        <v>0.75452716297786726</v>
      </c>
      <c r="O2344" t="s">
        <v>593</v>
      </c>
      <c r="P2344" t="s">
        <v>340</v>
      </c>
      <c r="Q2344" t="s">
        <v>24</v>
      </c>
    </row>
    <row r="2345" spans="1:17" hidden="1" x14ac:dyDescent="0.25">
      <c r="A2345" s="9" t="s">
        <v>647</v>
      </c>
      <c r="B2345" s="3" t="str">
        <f t="shared" si="63"/>
        <v>18/9/30</v>
      </c>
      <c r="C2345" s="10">
        <v>30</v>
      </c>
      <c r="D2345" s="10">
        <v>9</v>
      </c>
      <c r="E2345" s="10">
        <v>18</v>
      </c>
      <c r="F2345" t="s">
        <v>122</v>
      </c>
      <c r="H2345" t="s">
        <v>54</v>
      </c>
      <c r="I2345" t="s">
        <v>27</v>
      </c>
      <c r="J2345">
        <v>4</v>
      </c>
      <c r="K2345">
        <v>1</v>
      </c>
      <c r="L2345">
        <v>4</v>
      </c>
      <c r="M2345">
        <v>4</v>
      </c>
      <c r="N2345" s="5">
        <v>0.2012072434607646</v>
      </c>
      <c r="O2345" t="s">
        <v>593</v>
      </c>
      <c r="P2345" t="s">
        <v>340</v>
      </c>
      <c r="Q2345" t="s">
        <v>24</v>
      </c>
    </row>
    <row r="2346" spans="1:17" hidden="1" x14ac:dyDescent="0.25">
      <c r="A2346" s="9" t="s">
        <v>647</v>
      </c>
      <c r="B2346" s="3" t="str">
        <f t="shared" si="63"/>
        <v>18/9/30</v>
      </c>
      <c r="C2346" s="10">
        <v>30</v>
      </c>
      <c r="D2346" s="10">
        <v>9</v>
      </c>
      <c r="E2346" s="10">
        <v>18</v>
      </c>
      <c r="F2346" t="s">
        <v>538</v>
      </c>
      <c r="H2346" t="s">
        <v>54</v>
      </c>
      <c r="I2346" t="s">
        <v>27</v>
      </c>
      <c r="J2346">
        <v>9</v>
      </c>
      <c r="K2346">
        <v>1</v>
      </c>
      <c r="L2346">
        <v>9</v>
      </c>
      <c r="M2346">
        <v>9</v>
      </c>
      <c r="N2346" s="5">
        <v>0.45271629778672035</v>
      </c>
      <c r="O2346" t="s">
        <v>593</v>
      </c>
      <c r="P2346" t="s">
        <v>340</v>
      </c>
      <c r="Q2346" t="s">
        <v>24</v>
      </c>
    </row>
    <row r="2347" spans="1:17" hidden="1" x14ac:dyDescent="0.25">
      <c r="A2347" s="9" t="s">
        <v>647</v>
      </c>
      <c r="B2347" s="3" t="str">
        <f t="shared" si="63"/>
        <v>18/9/30</v>
      </c>
      <c r="C2347" s="10">
        <v>30</v>
      </c>
      <c r="D2347" s="10">
        <v>9</v>
      </c>
      <c r="E2347" s="10">
        <v>18</v>
      </c>
      <c r="F2347" t="s">
        <v>596</v>
      </c>
      <c r="H2347" t="s">
        <v>56</v>
      </c>
      <c r="I2347" t="s">
        <v>27</v>
      </c>
      <c r="J2347">
        <v>15</v>
      </c>
      <c r="K2347">
        <v>1</v>
      </c>
      <c r="L2347">
        <v>15</v>
      </c>
      <c r="M2347">
        <v>15</v>
      </c>
      <c r="N2347" s="5">
        <v>0.75452716297786726</v>
      </c>
      <c r="O2347" t="s">
        <v>593</v>
      </c>
      <c r="P2347" t="s">
        <v>340</v>
      </c>
      <c r="Q2347" t="s">
        <v>24</v>
      </c>
    </row>
    <row r="2348" spans="1:17" hidden="1" x14ac:dyDescent="0.25">
      <c r="A2348" s="9" t="s">
        <v>647</v>
      </c>
      <c r="B2348" s="3" t="str">
        <f t="shared" si="63"/>
        <v>18/9/30</v>
      </c>
      <c r="C2348" s="10">
        <v>30</v>
      </c>
      <c r="D2348" s="10">
        <v>9</v>
      </c>
      <c r="E2348" s="10">
        <v>18</v>
      </c>
      <c r="F2348" t="s">
        <v>108</v>
      </c>
      <c r="H2348" t="s">
        <v>54</v>
      </c>
      <c r="I2348" t="s">
        <v>27</v>
      </c>
      <c r="J2348">
        <v>30</v>
      </c>
      <c r="K2348">
        <v>1</v>
      </c>
      <c r="L2348">
        <v>30</v>
      </c>
      <c r="M2348">
        <v>30</v>
      </c>
      <c r="N2348" s="5">
        <v>1.5090543259557345</v>
      </c>
      <c r="O2348" t="s">
        <v>593</v>
      </c>
      <c r="P2348" t="s">
        <v>340</v>
      </c>
      <c r="Q2348" t="s">
        <v>24</v>
      </c>
    </row>
    <row r="2349" spans="1:17" hidden="1" x14ac:dyDescent="0.25">
      <c r="A2349" s="9" t="s">
        <v>647</v>
      </c>
      <c r="B2349" s="3" t="str">
        <f t="shared" si="63"/>
        <v>18/9/30</v>
      </c>
      <c r="C2349" s="10">
        <v>30</v>
      </c>
      <c r="D2349" s="10">
        <v>9</v>
      </c>
      <c r="E2349" s="10">
        <v>18</v>
      </c>
      <c r="F2349" t="s">
        <v>355</v>
      </c>
      <c r="G2349" t="s">
        <v>174</v>
      </c>
      <c r="H2349" t="s">
        <v>54</v>
      </c>
      <c r="I2349" t="s">
        <v>27</v>
      </c>
      <c r="J2349">
        <v>10</v>
      </c>
      <c r="K2349">
        <v>1</v>
      </c>
      <c r="L2349">
        <v>10</v>
      </c>
      <c r="M2349">
        <v>10</v>
      </c>
      <c r="N2349" s="5">
        <v>0.50301810865191154</v>
      </c>
      <c r="O2349" t="s">
        <v>593</v>
      </c>
      <c r="P2349" t="s">
        <v>340</v>
      </c>
      <c r="Q2349" t="s">
        <v>24</v>
      </c>
    </row>
    <row r="2350" spans="1:17" hidden="1" x14ac:dyDescent="0.25">
      <c r="A2350" s="9" t="s">
        <v>647</v>
      </c>
      <c r="B2350" s="3" t="str">
        <f t="shared" si="63"/>
        <v>18/9/30</v>
      </c>
      <c r="C2350" s="10">
        <v>30</v>
      </c>
      <c r="D2350" s="10">
        <v>9</v>
      </c>
      <c r="E2350" s="10">
        <v>18</v>
      </c>
      <c r="F2350" t="s">
        <v>663</v>
      </c>
      <c r="G2350" t="s">
        <v>75</v>
      </c>
      <c r="H2350" t="s">
        <v>65</v>
      </c>
      <c r="I2350" t="s">
        <v>27</v>
      </c>
      <c r="J2350">
        <v>45</v>
      </c>
      <c r="K2350">
        <v>1</v>
      </c>
      <c r="L2350">
        <v>45</v>
      </c>
      <c r="M2350">
        <v>45</v>
      </c>
      <c r="N2350" s="5">
        <v>2.2635814889336019</v>
      </c>
      <c r="O2350" t="s">
        <v>593</v>
      </c>
      <c r="P2350" t="s">
        <v>340</v>
      </c>
      <c r="Q2350" t="s">
        <v>24</v>
      </c>
    </row>
    <row r="2351" spans="1:17" hidden="1" x14ac:dyDescent="0.25">
      <c r="A2351" s="9" t="s">
        <v>647</v>
      </c>
      <c r="B2351" s="3" t="str">
        <f t="shared" si="63"/>
        <v>18/9/30</v>
      </c>
      <c r="C2351" s="10">
        <v>30</v>
      </c>
      <c r="D2351" s="10">
        <v>9</v>
      </c>
      <c r="E2351" s="10">
        <v>18</v>
      </c>
      <c r="F2351" t="s">
        <v>173</v>
      </c>
      <c r="G2351" t="s">
        <v>174</v>
      </c>
      <c r="H2351" t="s">
        <v>54</v>
      </c>
      <c r="I2351" t="s">
        <v>27</v>
      </c>
      <c r="J2351">
        <v>15</v>
      </c>
      <c r="K2351">
        <v>1</v>
      </c>
      <c r="L2351">
        <v>15</v>
      </c>
      <c r="M2351">
        <v>15</v>
      </c>
      <c r="N2351" s="5">
        <v>0.75452716297786726</v>
      </c>
      <c r="O2351" t="s">
        <v>593</v>
      </c>
      <c r="P2351" t="s">
        <v>340</v>
      </c>
      <c r="Q2351" t="s">
        <v>24</v>
      </c>
    </row>
    <row r="2352" spans="1:17" hidden="1" x14ac:dyDescent="0.25">
      <c r="A2352" s="9" t="s">
        <v>647</v>
      </c>
      <c r="B2352" s="3" t="str">
        <f t="shared" si="63"/>
        <v>18/9/30</v>
      </c>
      <c r="C2352" s="10">
        <v>30</v>
      </c>
      <c r="D2352" s="10">
        <v>9</v>
      </c>
      <c r="E2352" s="10">
        <v>18</v>
      </c>
      <c r="F2352" s="18" t="s">
        <v>594</v>
      </c>
      <c r="G2352" t="s">
        <v>595</v>
      </c>
      <c r="H2352" t="s">
        <v>54</v>
      </c>
      <c r="I2352" t="s">
        <v>27</v>
      </c>
      <c r="J2352">
        <v>5</v>
      </c>
      <c r="K2352">
        <v>3</v>
      </c>
      <c r="L2352">
        <v>5</v>
      </c>
      <c r="M2352" s="44">
        <v>15</v>
      </c>
      <c r="N2352" s="5">
        <v>0.75452716297786726</v>
      </c>
      <c r="O2352" t="s">
        <v>593</v>
      </c>
      <c r="P2352" t="s">
        <v>340</v>
      </c>
      <c r="Q2352" t="s">
        <v>24</v>
      </c>
    </row>
    <row r="2353" spans="1:18" hidden="1" x14ac:dyDescent="0.25">
      <c r="A2353" s="9" t="s">
        <v>647</v>
      </c>
      <c r="B2353" s="3" t="str">
        <f t="shared" si="63"/>
        <v>18/9/4</v>
      </c>
      <c r="C2353" s="10">
        <v>4</v>
      </c>
      <c r="D2353" s="10">
        <v>9</v>
      </c>
      <c r="E2353" s="10">
        <v>18</v>
      </c>
      <c r="F2353" t="s">
        <v>165</v>
      </c>
      <c r="G2353" t="s">
        <v>304</v>
      </c>
      <c r="H2353" t="s">
        <v>1593</v>
      </c>
      <c r="I2353" t="s">
        <v>79</v>
      </c>
      <c r="J2353">
        <v>1300</v>
      </c>
      <c r="K2353">
        <v>1</v>
      </c>
      <c r="L2353">
        <v>1300</v>
      </c>
      <c r="M2353" s="32">
        <v>1300</v>
      </c>
      <c r="N2353" s="5">
        <v>65.392354124748493</v>
      </c>
      <c r="O2353" t="s">
        <v>39</v>
      </c>
      <c r="Q2353" t="s">
        <v>24</v>
      </c>
      <c r="R2353" t="s">
        <v>1594</v>
      </c>
    </row>
    <row r="2354" spans="1:18" hidden="1" x14ac:dyDescent="0.25">
      <c r="A2354" s="9" t="s">
        <v>647</v>
      </c>
      <c r="B2354" s="3" t="str">
        <f t="shared" si="63"/>
        <v>18/9/4</v>
      </c>
      <c r="C2354" s="10">
        <v>4</v>
      </c>
      <c r="D2354" s="10">
        <v>9</v>
      </c>
      <c r="E2354" s="10">
        <v>18</v>
      </c>
      <c r="F2354" t="s">
        <v>632</v>
      </c>
      <c r="I2354" t="s">
        <v>72</v>
      </c>
      <c r="J2354">
        <v>17</v>
      </c>
      <c r="K2354">
        <v>1</v>
      </c>
      <c r="L2354">
        <v>17</v>
      </c>
      <c r="M2354">
        <v>17</v>
      </c>
      <c r="N2354" s="5">
        <v>0.85635127193350702</v>
      </c>
      <c r="O2354" t="s">
        <v>633</v>
      </c>
      <c r="P2354" t="s">
        <v>340</v>
      </c>
      <c r="Q2354" s="10" t="s">
        <v>24</v>
      </c>
      <c r="R2354" t="s">
        <v>517</v>
      </c>
    </row>
    <row r="2355" spans="1:18" hidden="1" x14ac:dyDescent="0.25">
      <c r="A2355" s="9" t="s">
        <v>647</v>
      </c>
      <c r="B2355" s="3" t="s">
        <v>1890</v>
      </c>
      <c r="C2355" s="10">
        <v>6</v>
      </c>
      <c r="D2355" s="10">
        <v>9</v>
      </c>
      <c r="E2355" s="10">
        <v>18</v>
      </c>
      <c r="F2355" t="s">
        <v>146</v>
      </c>
      <c r="G2355" t="s">
        <v>889</v>
      </c>
      <c r="H2355" t="s">
        <v>49</v>
      </c>
      <c r="I2355" t="s">
        <v>50</v>
      </c>
      <c r="J2355" s="4">
        <v>0.75</v>
      </c>
      <c r="K2355">
        <v>1</v>
      </c>
      <c r="L2355">
        <v>0.75</v>
      </c>
      <c r="M2355">
        <v>0.75</v>
      </c>
      <c r="N2355" s="5">
        <v>3.8116799112918126E-2</v>
      </c>
      <c r="O2355" t="s">
        <v>100</v>
      </c>
      <c r="P2355" t="s">
        <v>340</v>
      </c>
      <c r="Q2355" s="10" t="s">
        <v>24</v>
      </c>
    </row>
    <row r="2356" spans="1:18" hidden="1" x14ac:dyDescent="0.25">
      <c r="A2356" s="9" t="s">
        <v>647</v>
      </c>
      <c r="B2356" s="3" t="s">
        <v>1890</v>
      </c>
      <c r="C2356" s="10">
        <v>6</v>
      </c>
      <c r="D2356" s="10">
        <v>9</v>
      </c>
      <c r="E2356" s="10">
        <v>18</v>
      </c>
      <c r="F2356" t="s">
        <v>586</v>
      </c>
      <c r="G2356" t="s">
        <v>31</v>
      </c>
      <c r="H2356" t="s">
        <v>26</v>
      </c>
      <c r="I2356" t="s">
        <v>27</v>
      </c>
      <c r="J2356" s="4">
        <v>5.2</v>
      </c>
      <c r="K2356">
        <v>1</v>
      </c>
      <c r="L2356">
        <v>5.2</v>
      </c>
      <c r="M2356">
        <v>5.2</v>
      </c>
      <c r="N2356" s="5">
        <v>0.26427647384956565</v>
      </c>
      <c r="O2356" t="s">
        <v>100</v>
      </c>
      <c r="P2356" t="s">
        <v>340</v>
      </c>
      <c r="Q2356" s="10" t="s">
        <v>24</v>
      </c>
    </row>
    <row r="2357" spans="1:18" hidden="1" x14ac:dyDescent="0.25">
      <c r="A2357" s="9" t="s">
        <v>647</v>
      </c>
      <c r="B2357" s="3" t="s">
        <v>1890</v>
      </c>
      <c r="C2357" s="10">
        <v>6</v>
      </c>
      <c r="D2357" s="10">
        <v>9</v>
      </c>
      <c r="E2357" s="10">
        <v>18</v>
      </c>
      <c r="F2357" t="s">
        <v>60</v>
      </c>
      <c r="G2357" t="s">
        <v>31</v>
      </c>
      <c r="H2357" t="s">
        <v>26</v>
      </c>
      <c r="I2357" t="s">
        <v>27</v>
      </c>
      <c r="J2357" s="4">
        <v>7.85</v>
      </c>
      <c r="K2357">
        <v>1</v>
      </c>
      <c r="L2357">
        <v>7.85</v>
      </c>
      <c r="M2357">
        <v>7.85</v>
      </c>
      <c r="N2357" s="5">
        <v>0.39895583071520968</v>
      </c>
      <c r="O2357" t="s">
        <v>100</v>
      </c>
      <c r="P2357" t="s">
        <v>340</v>
      </c>
      <c r="Q2357" s="10" t="s">
        <v>24</v>
      </c>
    </row>
    <row r="2358" spans="1:18" hidden="1" x14ac:dyDescent="0.25">
      <c r="A2358" s="9" t="s">
        <v>647</v>
      </c>
      <c r="B2358" s="3" t="s">
        <v>1890</v>
      </c>
      <c r="C2358" s="10">
        <v>6</v>
      </c>
      <c r="D2358" s="10">
        <v>9</v>
      </c>
      <c r="E2358" s="10">
        <v>18</v>
      </c>
      <c r="F2358" t="s">
        <v>55</v>
      </c>
      <c r="G2358" t="s">
        <v>889</v>
      </c>
      <c r="H2358" t="s">
        <v>56</v>
      </c>
      <c r="I2358" t="s">
        <v>27</v>
      </c>
      <c r="J2358" s="4">
        <v>28</v>
      </c>
      <c r="K2358">
        <v>0.54800000000000004</v>
      </c>
      <c r="L2358">
        <v>28</v>
      </c>
      <c r="M2358">
        <v>15.344000000000001</v>
      </c>
      <c r="N2358" s="5">
        <v>0.77981888745148764</v>
      </c>
      <c r="O2358" t="s">
        <v>100</v>
      </c>
      <c r="P2358" t="s">
        <v>340</v>
      </c>
      <c r="Q2358" s="10" t="s">
        <v>24</v>
      </c>
    </row>
    <row r="2359" spans="1:18" hidden="1" x14ac:dyDescent="0.25">
      <c r="A2359" s="9" t="s">
        <v>647</v>
      </c>
      <c r="B2359" s="3" t="s">
        <v>1890</v>
      </c>
      <c r="C2359" s="10">
        <v>6</v>
      </c>
      <c r="D2359" s="10">
        <v>9</v>
      </c>
      <c r="E2359" s="10">
        <v>18</v>
      </c>
      <c r="F2359" t="s">
        <v>1468</v>
      </c>
      <c r="G2359" t="s">
        <v>889</v>
      </c>
      <c r="H2359" t="s">
        <v>56</v>
      </c>
      <c r="I2359" t="s">
        <v>27</v>
      </c>
      <c r="J2359" s="4">
        <v>13.45</v>
      </c>
      <c r="K2359">
        <v>2</v>
      </c>
      <c r="L2359">
        <v>13.45</v>
      </c>
      <c r="M2359">
        <v>26.9</v>
      </c>
      <c r="N2359" s="5">
        <v>1.3671225281833299</v>
      </c>
      <c r="O2359" t="s">
        <v>100</v>
      </c>
      <c r="P2359" t="s">
        <v>340</v>
      </c>
      <c r="Q2359" s="10" t="s">
        <v>24</v>
      </c>
    </row>
    <row r="2360" spans="1:18" hidden="1" x14ac:dyDescent="0.25">
      <c r="A2360" s="9" t="s">
        <v>647</v>
      </c>
      <c r="B2360" s="3" t="s">
        <v>1890</v>
      </c>
      <c r="C2360" s="10">
        <v>6</v>
      </c>
      <c r="D2360" s="10">
        <v>9</v>
      </c>
      <c r="E2360" s="10">
        <v>18</v>
      </c>
      <c r="F2360" t="s">
        <v>1468</v>
      </c>
      <c r="G2360" t="s">
        <v>889</v>
      </c>
      <c r="H2360" t="s">
        <v>56</v>
      </c>
      <c r="I2360" t="s">
        <v>27</v>
      </c>
      <c r="J2360" s="4">
        <v>13</v>
      </c>
      <c r="K2360">
        <v>2</v>
      </c>
      <c r="L2360">
        <v>13</v>
      </c>
      <c r="M2360">
        <v>26</v>
      </c>
      <c r="N2360" s="5">
        <v>1.3213823692478284</v>
      </c>
      <c r="O2360" t="s">
        <v>100</v>
      </c>
      <c r="P2360" t="s">
        <v>340</v>
      </c>
      <c r="Q2360" s="10" t="s">
        <v>24</v>
      </c>
    </row>
    <row r="2361" spans="1:18" hidden="1" x14ac:dyDescent="0.25">
      <c r="A2361" s="9" t="s">
        <v>647</v>
      </c>
      <c r="B2361" s="3" t="s">
        <v>1890</v>
      </c>
      <c r="C2361" s="10">
        <v>6</v>
      </c>
      <c r="D2361" s="10">
        <v>9</v>
      </c>
      <c r="E2361" s="10">
        <v>18</v>
      </c>
      <c r="F2361" t="s">
        <v>917</v>
      </c>
      <c r="G2361" t="s">
        <v>889</v>
      </c>
      <c r="H2361" t="s">
        <v>40</v>
      </c>
      <c r="I2361" t="s">
        <v>27</v>
      </c>
      <c r="J2361" s="4">
        <v>15.6</v>
      </c>
      <c r="K2361">
        <v>1</v>
      </c>
      <c r="L2361">
        <v>15.6</v>
      </c>
      <c r="M2361">
        <v>15.6</v>
      </c>
      <c r="N2361" s="5">
        <v>0.79282942154869696</v>
      </c>
      <c r="O2361" t="s">
        <v>100</v>
      </c>
      <c r="P2361" t="s">
        <v>340</v>
      </c>
      <c r="Q2361" s="10" t="s">
        <v>24</v>
      </c>
    </row>
    <row r="2362" spans="1:18" hidden="1" x14ac:dyDescent="0.25">
      <c r="A2362" s="9" t="s">
        <v>647</v>
      </c>
      <c r="B2362" s="3" t="str">
        <f t="shared" ref="B2362:B2386" si="64">CONCATENATE(E2362,"/",D2362,"/",C2362)</f>
        <v>18/9/8</v>
      </c>
      <c r="C2362" s="10">
        <v>8</v>
      </c>
      <c r="D2362" s="10">
        <v>9</v>
      </c>
      <c r="E2362" s="10">
        <v>18</v>
      </c>
      <c r="F2362" t="s">
        <v>104</v>
      </c>
      <c r="I2362" t="s">
        <v>72</v>
      </c>
      <c r="J2362">
        <v>12.63</v>
      </c>
      <c r="K2362">
        <v>5</v>
      </c>
      <c r="L2362">
        <v>12.63</v>
      </c>
      <c r="M2362">
        <v>63.150000000000006</v>
      </c>
      <c r="N2362" s="5">
        <v>3.1765593561368215</v>
      </c>
      <c r="O2362" t="s">
        <v>233</v>
      </c>
      <c r="P2362" t="s">
        <v>340</v>
      </c>
      <c r="Q2362" s="10" t="s">
        <v>24</v>
      </c>
      <c r="R2362" t="s">
        <v>232</v>
      </c>
    </row>
    <row r="2363" spans="1:18" hidden="1" x14ac:dyDescent="0.25">
      <c r="A2363" s="9" t="s">
        <v>647</v>
      </c>
      <c r="B2363" s="3" t="str">
        <f t="shared" si="64"/>
        <v>18/9/8</v>
      </c>
      <c r="C2363" s="10">
        <v>8</v>
      </c>
      <c r="D2363" s="10">
        <v>9</v>
      </c>
      <c r="E2363" s="10">
        <v>18</v>
      </c>
      <c r="F2363" t="s">
        <v>669</v>
      </c>
      <c r="I2363" t="s">
        <v>72</v>
      </c>
      <c r="J2363">
        <v>13.74</v>
      </c>
      <c r="K2363">
        <v>1</v>
      </c>
      <c r="L2363">
        <v>13.74</v>
      </c>
      <c r="M2363">
        <v>13.74</v>
      </c>
      <c r="N2363" s="5">
        <v>0.69114688128772639</v>
      </c>
      <c r="O2363" t="s">
        <v>233</v>
      </c>
      <c r="P2363" t="s">
        <v>340</v>
      </c>
      <c r="Q2363" s="10" t="s">
        <v>24</v>
      </c>
    </row>
    <row r="2364" spans="1:18" hidden="1" x14ac:dyDescent="0.25">
      <c r="A2364" s="9" t="s">
        <v>899</v>
      </c>
      <c r="B2364" s="3" t="str">
        <f t="shared" si="64"/>
        <v>19/1/1</v>
      </c>
      <c r="C2364" s="10">
        <v>1</v>
      </c>
      <c r="D2364" s="10">
        <v>1</v>
      </c>
      <c r="E2364" s="10">
        <v>19</v>
      </c>
      <c r="F2364" t="s">
        <v>1215</v>
      </c>
      <c r="G2364" t="s">
        <v>77</v>
      </c>
      <c r="H2364" t="s">
        <v>26</v>
      </c>
      <c r="I2364" t="s">
        <v>27</v>
      </c>
      <c r="J2364">
        <v>14.85</v>
      </c>
      <c r="K2364">
        <v>1</v>
      </c>
      <c r="L2364">
        <v>14.85</v>
      </c>
      <c r="M2364">
        <v>14.85</v>
      </c>
      <c r="N2364" s="5">
        <v>0.748048022836034</v>
      </c>
      <c r="O2364" t="s">
        <v>101</v>
      </c>
      <c r="P2364" t="s">
        <v>340</v>
      </c>
      <c r="Q2364" t="s">
        <v>24</v>
      </c>
    </row>
    <row r="2365" spans="1:18" hidden="1" x14ac:dyDescent="0.25">
      <c r="A2365" s="9" t="s">
        <v>899</v>
      </c>
      <c r="B2365" s="3" t="str">
        <f t="shared" si="64"/>
        <v>19/1/1</v>
      </c>
      <c r="C2365" s="10">
        <v>1</v>
      </c>
      <c r="D2365" s="10">
        <v>1</v>
      </c>
      <c r="E2365" s="10">
        <v>19</v>
      </c>
      <c r="F2365" t="s">
        <v>910</v>
      </c>
      <c r="H2365" t="s">
        <v>131</v>
      </c>
      <c r="I2365" t="s">
        <v>27</v>
      </c>
      <c r="J2365">
        <v>110</v>
      </c>
      <c r="K2365">
        <v>1</v>
      </c>
      <c r="L2365">
        <v>110</v>
      </c>
      <c r="M2365">
        <v>110</v>
      </c>
      <c r="N2365" s="5">
        <v>5.541096465452104</v>
      </c>
      <c r="O2365" t="s">
        <v>1472</v>
      </c>
      <c r="P2365" t="s">
        <v>340</v>
      </c>
      <c r="Q2365" t="s">
        <v>84</v>
      </c>
    </row>
    <row r="2366" spans="1:18" hidden="1" x14ac:dyDescent="0.25">
      <c r="A2366" s="9" t="s">
        <v>899</v>
      </c>
      <c r="B2366" s="3" t="str">
        <f t="shared" si="64"/>
        <v>19/1/1</v>
      </c>
      <c r="C2366" s="10">
        <v>1</v>
      </c>
      <c r="D2366" s="10">
        <v>1</v>
      </c>
      <c r="E2366" s="10">
        <v>19</v>
      </c>
      <c r="F2366" t="s">
        <v>911</v>
      </c>
      <c r="G2366" t="s">
        <v>155</v>
      </c>
      <c r="H2366" t="s">
        <v>131</v>
      </c>
      <c r="I2366" t="s">
        <v>27</v>
      </c>
      <c r="J2366">
        <v>108.85</v>
      </c>
      <c r="K2366">
        <v>1</v>
      </c>
      <c r="L2366">
        <v>108.85</v>
      </c>
      <c r="M2366">
        <v>108.85</v>
      </c>
      <c r="N2366" s="5">
        <v>5.483166820586014</v>
      </c>
      <c r="O2366" t="s">
        <v>1472</v>
      </c>
      <c r="P2366" t="s">
        <v>340</v>
      </c>
      <c r="Q2366" t="s">
        <v>84</v>
      </c>
    </row>
    <row r="2367" spans="1:18" hidden="1" x14ac:dyDescent="0.25">
      <c r="A2367" s="9" t="s">
        <v>899</v>
      </c>
      <c r="B2367" s="3" t="str">
        <f t="shared" si="64"/>
        <v>19/1/1</v>
      </c>
      <c r="C2367" s="10">
        <v>1</v>
      </c>
      <c r="D2367" s="10">
        <v>1</v>
      </c>
      <c r="E2367" s="10">
        <v>19</v>
      </c>
      <c r="F2367" t="s">
        <v>397</v>
      </c>
      <c r="G2367" t="s">
        <v>155</v>
      </c>
      <c r="H2367" t="s">
        <v>131</v>
      </c>
      <c r="I2367" t="s">
        <v>27</v>
      </c>
      <c r="J2367">
        <v>40.5</v>
      </c>
      <c r="K2367">
        <v>2</v>
      </c>
      <c r="L2367">
        <v>40.5</v>
      </c>
      <c r="M2367">
        <v>81</v>
      </c>
      <c r="N2367" s="5">
        <v>4.0802619427420037</v>
      </c>
      <c r="O2367" t="s">
        <v>1472</v>
      </c>
      <c r="P2367" t="s">
        <v>340</v>
      </c>
      <c r="Q2367" t="s">
        <v>84</v>
      </c>
    </row>
    <row r="2368" spans="1:18" hidden="1" x14ac:dyDescent="0.25">
      <c r="A2368" s="9" t="s">
        <v>899</v>
      </c>
      <c r="B2368" s="3" t="str">
        <f t="shared" si="64"/>
        <v>19/1/1</v>
      </c>
      <c r="C2368" s="10">
        <v>1</v>
      </c>
      <c r="D2368" s="10">
        <v>1</v>
      </c>
      <c r="E2368" s="10">
        <v>19</v>
      </c>
      <c r="F2368" t="s">
        <v>913</v>
      </c>
      <c r="G2368" t="s">
        <v>155</v>
      </c>
      <c r="H2368" t="s">
        <v>131</v>
      </c>
      <c r="I2368" t="s">
        <v>27</v>
      </c>
      <c r="J2368">
        <v>43.55</v>
      </c>
      <c r="K2368">
        <v>1</v>
      </c>
      <c r="L2368">
        <v>43.55</v>
      </c>
      <c r="M2368">
        <v>43.55</v>
      </c>
      <c r="N2368" s="5">
        <v>2.1937704642767191</v>
      </c>
      <c r="O2368" t="s">
        <v>1472</v>
      </c>
      <c r="P2368" t="s">
        <v>340</v>
      </c>
      <c r="Q2368" t="s">
        <v>84</v>
      </c>
    </row>
    <row r="2369" spans="1:18" hidden="1" x14ac:dyDescent="0.25">
      <c r="A2369" s="9" t="s">
        <v>899</v>
      </c>
      <c r="B2369" s="3" t="str">
        <f t="shared" si="64"/>
        <v>19/1/1</v>
      </c>
      <c r="C2369" s="10">
        <v>1</v>
      </c>
      <c r="D2369" s="10">
        <v>1</v>
      </c>
      <c r="E2369" s="10">
        <v>19</v>
      </c>
      <c r="F2369" t="s">
        <v>848</v>
      </c>
      <c r="I2369" t="s">
        <v>431</v>
      </c>
      <c r="J2369">
        <v>52.7</v>
      </c>
      <c r="K2369">
        <v>2</v>
      </c>
      <c r="L2369">
        <v>52.7</v>
      </c>
      <c r="M2369">
        <v>105.4</v>
      </c>
      <c r="N2369" s="5">
        <v>5.3093778859877441</v>
      </c>
      <c r="O2369" t="s">
        <v>1472</v>
      </c>
      <c r="P2369" t="s">
        <v>340</v>
      </c>
      <c r="Q2369" t="s">
        <v>84</v>
      </c>
      <c r="R2369" t="s">
        <v>1555</v>
      </c>
    </row>
    <row r="2370" spans="1:18" hidden="1" x14ac:dyDescent="0.25">
      <c r="A2370" s="9" t="s">
        <v>899</v>
      </c>
      <c r="B2370" s="3" t="str">
        <f t="shared" si="64"/>
        <v>19/1/1</v>
      </c>
      <c r="C2370" s="10">
        <v>1</v>
      </c>
      <c r="D2370" s="10">
        <v>1</v>
      </c>
      <c r="E2370" s="10">
        <v>19</v>
      </c>
      <c r="F2370" t="s">
        <v>81</v>
      </c>
      <c r="I2370" t="s">
        <v>39</v>
      </c>
      <c r="J2370">
        <v>9.1</v>
      </c>
      <c r="K2370">
        <v>2</v>
      </c>
      <c r="L2370">
        <v>9.1</v>
      </c>
      <c r="M2370">
        <v>18.2</v>
      </c>
      <c r="N2370" s="5">
        <v>0.91679959701116631</v>
      </c>
      <c r="O2370" t="s">
        <v>1472</v>
      </c>
      <c r="P2370" t="s">
        <v>340</v>
      </c>
      <c r="Q2370" t="s">
        <v>84</v>
      </c>
      <c r="R2370" t="s">
        <v>915</v>
      </c>
    </row>
    <row r="2371" spans="1:18" hidden="1" x14ac:dyDescent="0.25">
      <c r="A2371" s="9" t="s">
        <v>899</v>
      </c>
      <c r="B2371" s="3" t="str">
        <f t="shared" si="64"/>
        <v>19/1/1</v>
      </c>
      <c r="C2371" s="10">
        <v>1</v>
      </c>
      <c r="D2371" s="10">
        <v>1</v>
      </c>
      <c r="E2371" s="10">
        <v>19</v>
      </c>
      <c r="F2371" t="s">
        <v>81</v>
      </c>
      <c r="I2371" t="s">
        <v>39</v>
      </c>
      <c r="J2371">
        <v>6.6</v>
      </c>
      <c r="K2371">
        <v>3</v>
      </c>
      <c r="L2371">
        <v>6.6</v>
      </c>
      <c r="M2371">
        <v>19.799999999999997</v>
      </c>
      <c r="N2371" s="5">
        <v>0.99739736378137855</v>
      </c>
      <c r="O2371" t="s">
        <v>1472</v>
      </c>
      <c r="P2371" t="s">
        <v>340</v>
      </c>
      <c r="Q2371" t="s">
        <v>84</v>
      </c>
      <c r="R2371" t="s">
        <v>915</v>
      </c>
    </row>
    <row r="2372" spans="1:18" hidden="1" x14ac:dyDescent="0.25">
      <c r="A2372" s="9" t="s">
        <v>899</v>
      </c>
      <c r="B2372" s="3" t="str">
        <f t="shared" si="64"/>
        <v>19/1/10</v>
      </c>
      <c r="C2372" s="10">
        <v>10</v>
      </c>
      <c r="D2372" s="10">
        <v>1</v>
      </c>
      <c r="E2372" s="10">
        <v>19</v>
      </c>
      <c r="F2372" t="s">
        <v>389</v>
      </c>
      <c r="G2372" t="s">
        <v>889</v>
      </c>
      <c r="H2372" t="s">
        <v>21</v>
      </c>
      <c r="I2372" t="s">
        <v>22</v>
      </c>
      <c r="J2372">
        <v>4</v>
      </c>
      <c r="K2372">
        <v>1</v>
      </c>
      <c r="L2372">
        <v>4</v>
      </c>
      <c r="M2372">
        <v>4</v>
      </c>
      <c r="N2372" s="5">
        <v>0.20149441692553105</v>
      </c>
      <c r="O2372" t="s">
        <v>354</v>
      </c>
      <c r="P2372" t="s">
        <v>340</v>
      </c>
      <c r="Q2372" t="s">
        <v>24</v>
      </c>
      <c r="R2372" t="s">
        <v>353</v>
      </c>
    </row>
    <row r="2373" spans="1:18" hidden="1" x14ac:dyDescent="0.25">
      <c r="A2373" s="9" t="s">
        <v>899</v>
      </c>
      <c r="B2373" s="3" t="str">
        <f t="shared" si="64"/>
        <v>19/1/12</v>
      </c>
      <c r="C2373" s="10">
        <v>12</v>
      </c>
      <c r="D2373" s="10">
        <v>1</v>
      </c>
      <c r="E2373" s="10">
        <v>19</v>
      </c>
      <c r="F2373" t="s">
        <v>848</v>
      </c>
      <c r="I2373" t="s">
        <v>431</v>
      </c>
      <c r="J2373">
        <v>56</v>
      </c>
      <c r="K2373">
        <v>2</v>
      </c>
      <c r="L2373">
        <v>56</v>
      </c>
      <c r="M2373">
        <v>112</v>
      </c>
      <c r="N2373" s="5">
        <v>5.6338028169014089</v>
      </c>
      <c r="O2373" t="s">
        <v>39</v>
      </c>
      <c r="P2373" t="s">
        <v>340</v>
      </c>
      <c r="Q2373" s="10" t="s">
        <v>24</v>
      </c>
      <c r="R2373" t="s">
        <v>1534</v>
      </c>
    </row>
    <row r="2374" spans="1:18" hidden="1" x14ac:dyDescent="0.25">
      <c r="A2374" s="9" t="s">
        <v>899</v>
      </c>
      <c r="B2374" s="3" t="str">
        <f t="shared" si="64"/>
        <v>19/1/12</v>
      </c>
      <c r="C2374" s="10">
        <v>12</v>
      </c>
      <c r="D2374" s="10">
        <v>1</v>
      </c>
      <c r="E2374" s="10">
        <v>19</v>
      </c>
      <c r="F2374" t="s">
        <v>711</v>
      </c>
      <c r="G2374" t="s">
        <v>708</v>
      </c>
      <c r="H2374" t="s">
        <v>131</v>
      </c>
      <c r="I2374" t="s">
        <v>27</v>
      </c>
      <c r="J2374">
        <v>128</v>
      </c>
      <c r="K2374">
        <v>0.18</v>
      </c>
      <c r="L2374">
        <v>128</v>
      </c>
      <c r="M2374">
        <v>23.04</v>
      </c>
      <c r="N2374" s="5">
        <v>1.1589537223340041</v>
      </c>
      <c r="O2374" t="s">
        <v>100</v>
      </c>
      <c r="P2374" t="s">
        <v>340</v>
      </c>
      <c r="Q2374" s="10" t="s">
        <v>24</v>
      </c>
    </row>
    <row r="2375" spans="1:18" hidden="1" x14ac:dyDescent="0.25">
      <c r="A2375" s="9" t="s">
        <v>899</v>
      </c>
      <c r="B2375" s="3" t="str">
        <f t="shared" si="64"/>
        <v>19/1/12</v>
      </c>
      <c r="C2375" s="10">
        <v>12</v>
      </c>
      <c r="D2375" s="10">
        <v>1</v>
      </c>
      <c r="E2375" s="10">
        <v>19</v>
      </c>
      <c r="F2375" t="s">
        <v>118</v>
      </c>
      <c r="H2375" t="s">
        <v>40</v>
      </c>
      <c r="I2375" t="s">
        <v>27</v>
      </c>
      <c r="J2375">
        <v>10</v>
      </c>
      <c r="K2375">
        <v>1</v>
      </c>
      <c r="L2375">
        <v>10</v>
      </c>
      <c r="M2375">
        <v>10</v>
      </c>
      <c r="N2375" s="5">
        <v>0.50301810865191154</v>
      </c>
      <c r="O2375" t="s">
        <v>100</v>
      </c>
      <c r="P2375" t="s">
        <v>340</v>
      </c>
      <c r="Q2375" s="10" t="s">
        <v>24</v>
      </c>
    </row>
    <row r="2376" spans="1:18" hidden="1" x14ac:dyDescent="0.25">
      <c r="A2376" s="9" t="s">
        <v>899</v>
      </c>
      <c r="B2376" s="3" t="str">
        <f t="shared" si="64"/>
        <v>19/1/12</v>
      </c>
      <c r="C2376" s="10">
        <v>12</v>
      </c>
      <c r="D2376" s="10">
        <v>1</v>
      </c>
      <c r="E2376" s="10">
        <v>19</v>
      </c>
      <c r="F2376" t="s">
        <v>885</v>
      </c>
      <c r="H2376" t="s">
        <v>53</v>
      </c>
      <c r="I2376" t="s">
        <v>27</v>
      </c>
      <c r="J2376">
        <v>13</v>
      </c>
      <c r="K2376">
        <v>4</v>
      </c>
      <c r="L2376">
        <v>13</v>
      </c>
      <c r="M2376">
        <v>52</v>
      </c>
      <c r="N2376" s="5">
        <v>2.6156941649899399</v>
      </c>
      <c r="O2376" t="s">
        <v>101</v>
      </c>
      <c r="P2376" t="s">
        <v>340</v>
      </c>
      <c r="Q2376" s="10" t="s">
        <v>24</v>
      </c>
    </row>
    <row r="2377" spans="1:18" hidden="1" x14ac:dyDescent="0.25">
      <c r="A2377" s="9" t="s">
        <v>899</v>
      </c>
      <c r="B2377" s="3" t="str">
        <f t="shared" si="64"/>
        <v>19/1/12</v>
      </c>
      <c r="C2377" s="10">
        <v>12</v>
      </c>
      <c r="D2377" s="10">
        <v>1</v>
      </c>
      <c r="E2377" s="10">
        <v>19</v>
      </c>
      <c r="F2377" t="s">
        <v>887</v>
      </c>
      <c r="G2377" t="s">
        <v>155</v>
      </c>
      <c r="H2377" t="s">
        <v>131</v>
      </c>
      <c r="I2377" t="s">
        <v>27</v>
      </c>
      <c r="J2377">
        <v>16.5</v>
      </c>
      <c r="K2377">
        <v>2</v>
      </c>
      <c r="L2377">
        <v>16.5</v>
      </c>
      <c r="M2377">
        <v>33</v>
      </c>
      <c r="N2377" s="5">
        <v>1.659959758551308</v>
      </c>
      <c r="O2377" t="s">
        <v>101</v>
      </c>
      <c r="P2377" t="s">
        <v>340</v>
      </c>
      <c r="Q2377" s="10" t="s">
        <v>24</v>
      </c>
    </row>
    <row r="2378" spans="1:18" hidden="1" x14ac:dyDescent="0.25">
      <c r="A2378" s="9" t="s">
        <v>899</v>
      </c>
      <c r="B2378" s="3" t="str">
        <f t="shared" si="64"/>
        <v>19/1/12</v>
      </c>
      <c r="C2378" s="10">
        <v>12</v>
      </c>
      <c r="D2378" s="10">
        <v>1</v>
      </c>
      <c r="E2378" s="10">
        <v>19</v>
      </c>
      <c r="F2378" t="s">
        <v>852</v>
      </c>
      <c r="G2378" t="s">
        <v>155</v>
      </c>
      <c r="H2378" t="s">
        <v>131</v>
      </c>
      <c r="I2378" t="s">
        <v>27</v>
      </c>
      <c r="J2378">
        <v>11.5</v>
      </c>
      <c r="K2378">
        <v>1</v>
      </c>
      <c r="L2378">
        <v>11.5</v>
      </c>
      <c r="M2378">
        <v>11.5</v>
      </c>
      <c r="N2378" s="5">
        <v>0.57847082494969826</v>
      </c>
      <c r="O2378" t="s">
        <v>101</v>
      </c>
      <c r="P2378" t="s">
        <v>340</v>
      </c>
      <c r="Q2378" s="10" t="s">
        <v>24</v>
      </c>
    </row>
    <row r="2379" spans="1:18" hidden="1" x14ac:dyDescent="0.25">
      <c r="A2379" s="9" t="s">
        <v>899</v>
      </c>
      <c r="B2379" s="3" t="str">
        <f t="shared" si="64"/>
        <v>19/1/12</v>
      </c>
      <c r="C2379" s="10">
        <v>12</v>
      </c>
      <c r="D2379" s="10">
        <v>1</v>
      </c>
      <c r="E2379" s="10">
        <v>19</v>
      </c>
      <c r="F2379" t="s">
        <v>81</v>
      </c>
      <c r="I2379" t="s">
        <v>39</v>
      </c>
      <c r="J2379">
        <v>200</v>
      </c>
      <c r="K2379">
        <v>1</v>
      </c>
      <c r="L2379">
        <v>3946</v>
      </c>
      <c r="M2379">
        <v>3946</v>
      </c>
      <c r="N2379" s="5">
        <v>198.49094567404427</v>
      </c>
      <c r="O2379" t="s">
        <v>39</v>
      </c>
      <c r="P2379" t="s">
        <v>340</v>
      </c>
      <c r="Q2379" s="10" t="s">
        <v>84</v>
      </c>
      <c r="R2379" t="s">
        <v>1312</v>
      </c>
    </row>
    <row r="2380" spans="1:18" hidden="1" x14ac:dyDescent="0.25">
      <c r="A2380" s="9" t="s">
        <v>899</v>
      </c>
      <c r="B2380" s="3" t="str">
        <f t="shared" si="64"/>
        <v>19/1/12</v>
      </c>
      <c r="C2380" s="10">
        <v>12</v>
      </c>
      <c r="D2380" s="10">
        <v>1</v>
      </c>
      <c r="E2380" s="10">
        <v>19</v>
      </c>
      <c r="F2380" t="s">
        <v>39</v>
      </c>
      <c r="I2380" t="s">
        <v>39</v>
      </c>
      <c r="J2380">
        <v>10</v>
      </c>
      <c r="K2380">
        <v>1</v>
      </c>
      <c r="L2380">
        <v>10</v>
      </c>
      <c r="M2380">
        <v>10</v>
      </c>
      <c r="N2380" s="5">
        <v>0.50301810865191154</v>
      </c>
      <c r="O2380" t="s">
        <v>39</v>
      </c>
      <c r="P2380" t="s">
        <v>340</v>
      </c>
      <c r="Q2380" s="10" t="s">
        <v>24</v>
      </c>
      <c r="R2380" t="s">
        <v>2032</v>
      </c>
    </row>
    <row r="2381" spans="1:18" hidden="1" x14ac:dyDescent="0.25">
      <c r="A2381" s="9" t="s">
        <v>899</v>
      </c>
      <c r="B2381" s="3" t="str">
        <f t="shared" si="64"/>
        <v>19/1/12</v>
      </c>
      <c r="C2381" s="10">
        <v>12</v>
      </c>
      <c r="D2381" s="10">
        <v>1</v>
      </c>
      <c r="E2381" s="10">
        <v>19</v>
      </c>
      <c r="F2381" t="s">
        <v>1568</v>
      </c>
      <c r="I2381" t="s">
        <v>96</v>
      </c>
      <c r="J2381">
        <v>25.04</v>
      </c>
      <c r="K2381">
        <v>1</v>
      </c>
      <c r="L2381">
        <v>434.14352000000002</v>
      </c>
      <c r="M2381">
        <v>434.14352000000002</v>
      </c>
      <c r="N2381" s="5">
        <v>22.089321257759234</v>
      </c>
      <c r="O2381" t="s">
        <v>39</v>
      </c>
      <c r="P2381" t="s">
        <v>340</v>
      </c>
      <c r="Q2381" s="10" t="s">
        <v>24</v>
      </c>
      <c r="R2381" t="s">
        <v>1573</v>
      </c>
    </row>
    <row r="2382" spans="1:18" hidden="1" x14ac:dyDescent="0.25">
      <c r="A2382" s="9" t="s">
        <v>899</v>
      </c>
      <c r="B2382" s="3" t="str">
        <f t="shared" si="64"/>
        <v>19/1/12</v>
      </c>
      <c r="C2382" s="10">
        <v>12</v>
      </c>
      <c r="D2382" s="10">
        <v>1</v>
      </c>
      <c r="E2382" s="10">
        <v>19</v>
      </c>
      <c r="F2382" t="s">
        <v>956</v>
      </c>
      <c r="I2382" t="s">
        <v>72</v>
      </c>
      <c r="J2382">
        <v>9.74</v>
      </c>
      <c r="K2382">
        <v>2</v>
      </c>
      <c r="L2382">
        <v>9.74</v>
      </c>
      <c r="M2382">
        <v>19.48</v>
      </c>
      <c r="N2382" s="5">
        <v>0.97987927565392363</v>
      </c>
      <c r="O2382" t="s">
        <v>233</v>
      </c>
      <c r="P2382" t="s">
        <v>340</v>
      </c>
      <c r="Q2382" s="10" t="s">
        <v>24</v>
      </c>
      <c r="R2382" t="s">
        <v>956</v>
      </c>
    </row>
    <row r="2383" spans="1:18" hidden="1" x14ac:dyDescent="0.25">
      <c r="A2383" s="9" t="s">
        <v>899</v>
      </c>
      <c r="B2383" s="3" t="str">
        <f t="shared" si="64"/>
        <v>19/1/12</v>
      </c>
      <c r="C2383" s="10">
        <v>12</v>
      </c>
      <c r="D2383" s="10">
        <v>1</v>
      </c>
      <c r="E2383" s="10">
        <v>19</v>
      </c>
      <c r="F2383" t="s">
        <v>957</v>
      </c>
      <c r="I2383" t="s">
        <v>72</v>
      </c>
      <c r="J2383">
        <v>8.5399999999999991</v>
      </c>
      <c r="K2383">
        <v>1</v>
      </c>
      <c r="L2383">
        <v>8.5399999999999991</v>
      </c>
      <c r="M2383">
        <v>8.5399999999999991</v>
      </c>
      <c r="N2383" s="5">
        <v>0.42957746478873238</v>
      </c>
      <c r="O2383" t="s">
        <v>233</v>
      </c>
      <c r="P2383" t="s">
        <v>340</v>
      </c>
      <c r="Q2383" s="10" t="s">
        <v>24</v>
      </c>
      <c r="R2383" t="s">
        <v>957</v>
      </c>
    </row>
    <row r="2384" spans="1:18" hidden="1" x14ac:dyDescent="0.25">
      <c r="A2384" s="9" t="s">
        <v>899</v>
      </c>
      <c r="B2384" s="3" t="str">
        <f t="shared" si="64"/>
        <v>19/1/12</v>
      </c>
      <c r="C2384" s="10">
        <v>12</v>
      </c>
      <c r="D2384" s="10">
        <v>1</v>
      </c>
      <c r="E2384" s="10">
        <v>19</v>
      </c>
      <c r="F2384" t="s">
        <v>669</v>
      </c>
      <c r="I2384" t="s">
        <v>72</v>
      </c>
      <c r="J2384">
        <v>4.4800000000000004</v>
      </c>
      <c r="K2384">
        <v>2</v>
      </c>
      <c r="L2384">
        <v>4.4800000000000004</v>
      </c>
      <c r="M2384">
        <v>8.9600000000000009</v>
      </c>
      <c r="N2384" s="5">
        <v>0.45070422535211274</v>
      </c>
      <c r="O2384" t="s">
        <v>233</v>
      </c>
      <c r="P2384" t="s">
        <v>340</v>
      </c>
      <c r="Q2384" s="10" t="s">
        <v>24</v>
      </c>
    </row>
    <row r="2385" spans="1:18" hidden="1" x14ac:dyDescent="0.25">
      <c r="A2385" s="9" t="s">
        <v>899</v>
      </c>
      <c r="B2385" s="3" t="str">
        <f t="shared" si="64"/>
        <v>19/1/12</v>
      </c>
      <c r="C2385" s="10">
        <v>12</v>
      </c>
      <c r="D2385" s="10">
        <v>1</v>
      </c>
      <c r="E2385" s="10">
        <v>19</v>
      </c>
      <c r="F2385" t="s">
        <v>146</v>
      </c>
      <c r="H2385" t="s">
        <v>49</v>
      </c>
      <c r="I2385" t="s">
        <v>50</v>
      </c>
      <c r="J2385">
        <v>0.1</v>
      </c>
      <c r="K2385">
        <v>1</v>
      </c>
      <c r="L2385">
        <v>0.1</v>
      </c>
      <c r="M2385">
        <v>0.1</v>
      </c>
      <c r="N2385" s="5">
        <v>5.0301810865191155E-3</v>
      </c>
      <c r="O2385" t="s">
        <v>233</v>
      </c>
      <c r="P2385" t="s">
        <v>340</v>
      </c>
      <c r="Q2385" s="10" t="s">
        <v>24</v>
      </c>
    </row>
    <row r="2386" spans="1:18" hidden="1" x14ac:dyDescent="0.25">
      <c r="A2386" s="9" t="s">
        <v>899</v>
      </c>
      <c r="B2386" s="3" t="str">
        <f t="shared" si="64"/>
        <v>19/1/12</v>
      </c>
      <c r="C2386" s="10">
        <v>12</v>
      </c>
      <c r="D2386" s="10">
        <v>1</v>
      </c>
      <c r="E2386" s="10">
        <v>19</v>
      </c>
      <c r="F2386" t="s">
        <v>141</v>
      </c>
      <c r="G2386" t="s">
        <v>889</v>
      </c>
      <c r="H2386" t="s">
        <v>172</v>
      </c>
      <c r="I2386" t="s">
        <v>39</v>
      </c>
      <c r="J2386" s="4">
        <f>Spending_raw[[#This Row],[Price, lei]]</f>
        <v>2</v>
      </c>
      <c r="K2386">
        <v>3</v>
      </c>
      <c r="L2386">
        <v>2</v>
      </c>
      <c r="M2386">
        <v>6</v>
      </c>
      <c r="N2386" s="5">
        <v>0.30410542321338063</v>
      </c>
      <c r="O2386" t="s">
        <v>39</v>
      </c>
      <c r="P2386" t="s">
        <v>340</v>
      </c>
      <c r="Q2386" s="10" t="s">
        <v>24</v>
      </c>
    </row>
    <row r="2387" spans="1:18" hidden="1" x14ac:dyDescent="0.25">
      <c r="A2387" s="9" t="s">
        <v>899</v>
      </c>
      <c r="B2387" s="3" t="s">
        <v>2247</v>
      </c>
      <c r="C2387" s="10">
        <v>13</v>
      </c>
      <c r="D2387" s="10">
        <v>1</v>
      </c>
      <c r="E2387" s="10">
        <v>19</v>
      </c>
      <c r="F2387" t="s">
        <v>197</v>
      </c>
      <c r="G2387" t="s">
        <v>889</v>
      </c>
      <c r="H2387" t="s">
        <v>1094</v>
      </c>
      <c r="I2387" t="s">
        <v>105</v>
      </c>
      <c r="J2387" s="4">
        <v>200</v>
      </c>
      <c r="K2387">
        <v>1</v>
      </c>
      <c r="L2387">
        <v>200</v>
      </c>
      <c r="M2387">
        <v>200</v>
      </c>
      <c r="N2387" s="5">
        <v>10.13684744044602</v>
      </c>
      <c r="O2387" t="s">
        <v>39</v>
      </c>
      <c r="P2387" t="s">
        <v>340</v>
      </c>
      <c r="Q2387" s="10" t="s">
        <v>24</v>
      </c>
    </row>
    <row r="2388" spans="1:18" hidden="1" x14ac:dyDescent="0.25">
      <c r="A2388" s="9" t="s">
        <v>899</v>
      </c>
      <c r="B2388" s="3" t="s">
        <v>2247</v>
      </c>
      <c r="C2388" s="10">
        <v>13</v>
      </c>
      <c r="D2388" s="10">
        <v>1</v>
      </c>
      <c r="E2388" s="10">
        <v>19</v>
      </c>
      <c r="F2388" t="s">
        <v>199</v>
      </c>
      <c r="G2388" t="s">
        <v>889</v>
      </c>
      <c r="H2388" t="s">
        <v>1094</v>
      </c>
      <c r="I2388" t="s">
        <v>105</v>
      </c>
      <c r="J2388" s="4">
        <v>200</v>
      </c>
      <c r="K2388">
        <v>1</v>
      </c>
      <c r="L2388">
        <v>200</v>
      </c>
      <c r="M2388">
        <v>200</v>
      </c>
      <c r="N2388" s="5">
        <v>10.13684744044602</v>
      </c>
      <c r="O2388" t="s">
        <v>39</v>
      </c>
      <c r="P2388" t="s">
        <v>340</v>
      </c>
      <c r="Q2388" s="10" t="s">
        <v>24</v>
      </c>
    </row>
    <row r="2389" spans="1:18" hidden="1" x14ac:dyDescent="0.25">
      <c r="A2389" s="9" t="s">
        <v>899</v>
      </c>
      <c r="B2389" s="3" t="str">
        <f t="shared" ref="B2389:B2425" si="65">CONCATENATE(E2389,"/",D2389,"/",C2389)</f>
        <v>19/1/14</v>
      </c>
      <c r="C2389" s="10">
        <v>14</v>
      </c>
      <c r="D2389" s="10">
        <v>1</v>
      </c>
      <c r="E2389" s="10">
        <v>19</v>
      </c>
      <c r="F2389" t="s">
        <v>933</v>
      </c>
      <c r="I2389" t="s">
        <v>72</v>
      </c>
      <c r="J2389">
        <v>150</v>
      </c>
      <c r="K2389">
        <v>1</v>
      </c>
      <c r="L2389">
        <v>150</v>
      </c>
      <c r="M2389">
        <v>150</v>
      </c>
      <c r="N2389" s="5">
        <v>7.5560406347074149</v>
      </c>
      <c r="O2389" t="s">
        <v>39</v>
      </c>
      <c r="P2389" t="s">
        <v>340</v>
      </c>
      <c r="Q2389" t="s">
        <v>24</v>
      </c>
    </row>
    <row r="2390" spans="1:18" hidden="1" x14ac:dyDescent="0.25">
      <c r="A2390" s="9" t="s">
        <v>899</v>
      </c>
      <c r="B2390" s="3" t="str">
        <f t="shared" si="65"/>
        <v>19/1/14</v>
      </c>
      <c r="C2390" s="10">
        <v>14</v>
      </c>
      <c r="D2390" s="10">
        <v>1</v>
      </c>
      <c r="E2390" s="10">
        <v>19</v>
      </c>
      <c r="F2390" t="s">
        <v>71</v>
      </c>
      <c r="I2390" t="s">
        <v>72</v>
      </c>
      <c r="J2390" s="4">
        <v>300</v>
      </c>
      <c r="K2390">
        <v>1</v>
      </c>
      <c r="L2390">
        <v>300</v>
      </c>
      <c r="M2390">
        <v>300</v>
      </c>
      <c r="N2390" s="5">
        <v>15.205271160669032</v>
      </c>
      <c r="O2390" t="s">
        <v>562</v>
      </c>
      <c r="P2390" t="s">
        <v>340</v>
      </c>
      <c r="Q2390" s="10" t="s">
        <v>24</v>
      </c>
      <c r="R2390" t="s">
        <v>834</v>
      </c>
    </row>
    <row r="2391" spans="1:18" hidden="1" x14ac:dyDescent="0.25">
      <c r="A2391" s="9" t="s">
        <v>899</v>
      </c>
      <c r="B2391" s="3" t="str">
        <f t="shared" si="65"/>
        <v>19/1/15</v>
      </c>
      <c r="C2391" s="10">
        <v>15</v>
      </c>
      <c r="D2391" s="10">
        <v>1</v>
      </c>
      <c r="E2391" s="10">
        <v>19</v>
      </c>
      <c r="F2391" t="s">
        <v>73</v>
      </c>
      <c r="G2391" t="s">
        <v>889</v>
      </c>
      <c r="H2391" t="s">
        <v>73</v>
      </c>
      <c r="I2391" t="s">
        <v>27</v>
      </c>
      <c r="J2391" s="4">
        <v>15.96</v>
      </c>
      <c r="K2391">
        <v>1</v>
      </c>
      <c r="L2391">
        <v>15.96</v>
      </c>
      <c r="M2391">
        <v>15.96</v>
      </c>
      <c r="N2391" s="5">
        <v>0.80892042574759249</v>
      </c>
      <c r="O2391" t="s">
        <v>51</v>
      </c>
      <c r="P2391" t="s">
        <v>340</v>
      </c>
      <c r="Q2391" s="10" t="s">
        <v>24</v>
      </c>
    </row>
    <row r="2392" spans="1:18" hidden="1" x14ac:dyDescent="0.25">
      <c r="A2392" s="9" t="s">
        <v>899</v>
      </c>
      <c r="B2392" s="3" t="str">
        <f t="shared" si="65"/>
        <v>19/1/15</v>
      </c>
      <c r="C2392" s="10">
        <v>15</v>
      </c>
      <c r="D2392" s="10">
        <v>1</v>
      </c>
      <c r="E2392" s="10">
        <v>19</v>
      </c>
      <c r="F2392" t="s">
        <v>106</v>
      </c>
      <c r="G2392" t="s">
        <v>889</v>
      </c>
      <c r="H2392" t="s">
        <v>56</v>
      </c>
      <c r="I2392" t="s">
        <v>27</v>
      </c>
      <c r="J2392" s="4">
        <v>32.9</v>
      </c>
      <c r="K2392">
        <v>1.8819999999999999</v>
      </c>
      <c r="L2392">
        <v>32.9</v>
      </c>
      <c r="M2392">
        <v>61.917799999999993</v>
      </c>
      <c r="N2392" s="5">
        <v>3.1382564622402427</v>
      </c>
      <c r="O2392" t="s">
        <v>51</v>
      </c>
      <c r="P2392" t="s">
        <v>340</v>
      </c>
      <c r="Q2392" s="10" t="s">
        <v>24</v>
      </c>
    </row>
    <row r="2393" spans="1:18" hidden="1" x14ac:dyDescent="0.25">
      <c r="A2393" s="9" t="s">
        <v>899</v>
      </c>
      <c r="B2393" s="3" t="str">
        <f t="shared" si="65"/>
        <v>19/1/15</v>
      </c>
      <c r="C2393" s="10">
        <v>15</v>
      </c>
      <c r="D2393" s="10">
        <v>1</v>
      </c>
      <c r="E2393" s="10">
        <v>19</v>
      </c>
      <c r="F2393" t="s">
        <v>945</v>
      </c>
      <c r="G2393" t="s">
        <v>889</v>
      </c>
      <c r="H2393" t="s">
        <v>54</v>
      </c>
      <c r="I2393" t="s">
        <v>27</v>
      </c>
      <c r="J2393" s="4">
        <v>44</v>
      </c>
      <c r="K2393">
        <v>0.626</v>
      </c>
      <c r="L2393">
        <v>44</v>
      </c>
      <c r="M2393">
        <v>27.544</v>
      </c>
      <c r="N2393" s="5">
        <v>1.3960466294982261</v>
      </c>
      <c r="O2393" t="s">
        <v>51</v>
      </c>
      <c r="P2393" t="s">
        <v>340</v>
      </c>
      <c r="Q2393" s="10" t="s">
        <v>24</v>
      </c>
    </row>
    <row r="2394" spans="1:18" hidden="1" x14ac:dyDescent="0.25">
      <c r="A2394" s="9" t="s">
        <v>899</v>
      </c>
      <c r="B2394" s="3" t="str">
        <f t="shared" si="65"/>
        <v>19/1/15</v>
      </c>
      <c r="C2394" s="10">
        <v>15</v>
      </c>
      <c r="D2394" s="10">
        <v>1</v>
      </c>
      <c r="E2394" s="10">
        <v>19</v>
      </c>
      <c r="F2394" t="s">
        <v>55</v>
      </c>
      <c r="G2394" t="s">
        <v>889</v>
      </c>
      <c r="H2394" t="s">
        <v>56</v>
      </c>
      <c r="I2394" t="s">
        <v>27</v>
      </c>
      <c r="J2394" s="4">
        <v>20.5</v>
      </c>
      <c r="K2394">
        <v>1.286</v>
      </c>
      <c r="L2394">
        <v>20.5</v>
      </c>
      <c r="M2394">
        <v>26.363</v>
      </c>
      <c r="N2394" s="5">
        <v>1.3361885453623923</v>
      </c>
      <c r="O2394" t="s">
        <v>51</v>
      </c>
      <c r="P2394" t="s">
        <v>340</v>
      </c>
      <c r="Q2394" s="10" t="s">
        <v>24</v>
      </c>
    </row>
    <row r="2395" spans="1:18" hidden="1" x14ac:dyDescent="0.25">
      <c r="A2395" s="9" t="s">
        <v>899</v>
      </c>
      <c r="B2395" s="3" t="str">
        <f t="shared" si="65"/>
        <v>19/1/15</v>
      </c>
      <c r="C2395" s="10">
        <v>15</v>
      </c>
      <c r="D2395" s="10">
        <v>1</v>
      </c>
      <c r="E2395" s="10">
        <v>19</v>
      </c>
      <c r="F2395" t="s">
        <v>129</v>
      </c>
      <c r="G2395" t="s">
        <v>889</v>
      </c>
      <c r="H2395" t="s">
        <v>54</v>
      </c>
      <c r="I2395" t="s">
        <v>27</v>
      </c>
      <c r="J2395" s="4">
        <v>27.9</v>
      </c>
      <c r="K2395">
        <v>1.1100000000000001</v>
      </c>
      <c r="L2395">
        <v>27.9</v>
      </c>
      <c r="M2395">
        <v>30.969000000000001</v>
      </c>
      <c r="N2395" s="5">
        <v>1.5696401419158641</v>
      </c>
      <c r="O2395" t="s">
        <v>51</v>
      </c>
      <c r="P2395" t="s">
        <v>340</v>
      </c>
      <c r="Q2395" s="10" t="s">
        <v>24</v>
      </c>
    </row>
    <row r="2396" spans="1:18" hidden="1" x14ac:dyDescent="0.25">
      <c r="A2396" s="9" t="s">
        <v>899</v>
      </c>
      <c r="B2396" s="3" t="str">
        <f t="shared" si="65"/>
        <v>19/1/15</v>
      </c>
      <c r="C2396" s="10">
        <v>15</v>
      </c>
      <c r="D2396" s="10">
        <v>1</v>
      </c>
      <c r="E2396" s="10">
        <v>19</v>
      </c>
      <c r="F2396" t="s">
        <v>960</v>
      </c>
      <c r="G2396" t="s">
        <v>889</v>
      </c>
      <c r="H2396" t="s">
        <v>69</v>
      </c>
      <c r="I2396" t="s">
        <v>27</v>
      </c>
      <c r="J2396" s="4">
        <v>116.9</v>
      </c>
      <c r="K2396">
        <v>1</v>
      </c>
      <c r="L2396">
        <v>116.9</v>
      </c>
      <c r="M2396">
        <v>116.9</v>
      </c>
      <c r="N2396" s="5">
        <v>5.9249873289406993</v>
      </c>
      <c r="O2396" t="s">
        <v>51</v>
      </c>
      <c r="P2396" t="s">
        <v>340</v>
      </c>
      <c r="Q2396" s="10" t="s">
        <v>24</v>
      </c>
    </row>
    <row r="2397" spans="1:18" hidden="1" x14ac:dyDescent="0.25">
      <c r="A2397" s="9" t="s">
        <v>899</v>
      </c>
      <c r="B2397" s="3" t="str">
        <f t="shared" si="65"/>
        <v>19/1/15</v>
      </c>
      <c r="C2397" s="10">
        <v>15</v>
      </c>
      <c r="D2397" s="10">
        <v>1</v>
      </c>
      <c r="E2397" s="10">
        <v>19</v>
      </c>
      <c r="F2397" t="s">
        <v>1621</v>
      </c>
      <c r="H2397" t="s">
        <v>62</v>
      </c>
      <c r="I2397" t="s">
        <v>27</v>
      </c>
      <c r="J2397" s="4">
        <v>7.99</v>
      </c>
      <c r="K2397">
        <v>1</v>
      </c>
      <c r="L2397">
        <v>7.99</v>
      </c>
      <c r="M2397">
        <v>7.99</v>
      </c>
      <c r="N2397" s="5">
        <v>0.40496705524581855</v>
      </c>
      <c r="O2397" t="s">
        <v>51</v>
      </c>
      <c r="P2397" t="s">
        <v>340</v>
      </c>
      <c r="Q2397" s="10" t="s">
        <v>24</v>
      </c>
      <c r="R2397" t="s">
        <v>1619</v>
      </c>
    </row>
    <row r="2398" spans="1:18" hidden="1" x14ac:dyDescent="0.25">
      <c r="A2398" s="9" t="s">
        <v>899</v>
      </c>
      <c r="B2398" s="3" t="str">
        <f t="shared" si="65"/>
        <v>19/1/15</v>
      </c>
      <c r="C2398" s="10">
        <v>15</v>
      </c>
      <c r="D2398" s="10">
        <v>1</v>
      </c>
      <c r="E2398" s="10">
        <v>19</v>
      </c>
      <c r="F2398" t="s">
        <v>60</v>
      </c>
      <c r="G2398" t="s">
        <v>31</v>
      </c>
      <c r="H2398" t="s">
        <v>26</v>
      </c>
      <c r="I2398" t="s">
        <v>27</v>
      </c>
      <c r="J2398" s="4">
        <v>6.99</v>
      </c>
      <c r="K2398">
        <v>2</v>
      </c>
      <c r="L2398">
        <v>6.99</v>
      </c>
      <c r="M2398">
        <v>13.98</v>
      </c>
      <c r="N2398" s="5">
        <v>0.70856563608717693</v>
      </c>
      <c r="O2398" t="s">
        <v>51</v>
      </c>
      <c r="P2398" t="s">
        <v>340</v>
      </c>
      <c r="Q2398" s="10" t="s">
        <v>24</v>
      </c>
    </row>
    <row r="2399" spans="1:18" hidden="1" x14ac:dyDescent="0.25">
      <c r="A2399" s="9" t="s">
        <v>899</v>
      </c>
      <c r="B2399" s="3" t="str">
        <f t="shared" si="65"/>
        <v>19/1/15</v>
      </c>
      <c r="C2399" s="10">
        <v>15</v>
      </c>
      <c r="D2399" s="10">
        <v>1</v>
      </c>
      <c r="E2399" s="10">
        <v>19</v>
      </c>
      <c r="F2399" t="s">
        <v>75</v>
      </c>
      <c r="G2399" t="s">
        <v>889</v>
      </c>
      <c r="H2399" t="s">
        <v>65</v>
      </c>
      <c r="I2399" t="s">
        <v>27</v>
      </c>
      <c r="J2399" s="4">
        <v>8.59</v>
      </c>
      <c r="K2399">
        <v>6</v>
      </c>
      <c r="L2399">
        <v>8.59</v>
      </c>
      <c r="M2399">
        <v>47.44</v>
      </c>
      <c r="N2399" s="5">
        <v>2.4044602128737962</v>
      </c>
      <c r="O2399" t="s">
        <v>51</v>
      </c>
      <c r="P2399" t="s">
        <v>340</v>
      </c>
      <c r="Q2399" s="10" t="s">
        <v>24</v>
      </c>
    </row>
    <row r="2400" spans="1:18" hidden="1" x14ac:dyDescent="0.25">
      <c r="A2400" s="9" t="s">
        <v>899</v>
      </c>
      <c r="B2400" s="3" t="str">
        <f t="shared" si="65"/>
        <v>19/1/15</v>
      </c>
      <c r="C2400" s="10">
        <v>15</v>
      </c>
      <c r="D2400" s="10">
        <v>1</v>
      </c>
      <c r="E2400" s="10">
        <v>19</v>
      </c>
      <c r="F2400" t="s">
        <v>1621</v>
      </c>
      <c r="H2400" t="s">
        <v>62</v>
      </c>
      <c r="I2400" t="s">
        <v>27</v>
      </c>
      <c r="J2400" s="4">
        <v>7.08</v>
      </c>
      <c r="K2400">
        <v>1</v>
      </c>
      <c r="L2400">
        <v>7.08</v>
      </c>
      <c r="M2400">
        <v>7.08</v>
      </c>
      <c r="N2400" s="5">
        <v>0.35884439939178914</v>
      </c>
      <c r="O2400" t="s">
        <v>51</v>
      </c>
      <c r="P2400" t="s">
        <v>340</v>
      </c>
      <c r="Q2400" s="10" t="s">
        <v>24</v>
      </c>
      <c r="R2400" t="s">
        <v>1620</v>
      </c>
    </row>
    <row r="2401" spans="1:18" hidden="1" x14ac:dyDescent="0.25">
      <c r="A2401" s="9" t="s">
        <v>899</v>
      </c>
      <c r="B2401" s="3" t="str">
        <f t="shared" si="65"/>
        <v>19/1/15</v>
      </c>
      <c r="C2401" s="10">
        <v>15</v>
      </c>
      <c r="D2401" s="10">
        <v>1</v>
      </c>
      <c r="E2401" s="10">
        <v>19</v>
      </c>
      <c r="F2401" t="s">
        <v>1621</v>
      </c>
      <c r="H2401" t="s">
        <v>62</v>
      </c>
      <c r="I2401" t="s">
        <v>27</v>
      </c>
      <c r="J2401" s="4">
        <v>9.2899999999999991</v>
      </c>
      <c r="K2401">
        <v>1</v>
      </c>
      <c r="L2401">
        <v>9.2899999999999991</v>
      </c>
      <c r="M2401">
        <v>9.2899999999999991</v>
      </c>
      <c r="N2401" s="5">
        <v>0.47085656360871764</v>
      </c>
      <c r="O2401" t="s">
        <v>51</v>
      </c>
      <c r="P2401" t="s">
        <v>340</v>
      </c>
      <c r="Q2401" s="10" t="s">
        <v>24</v>
      </c>
      <c r="R2401" t="s">
        <v>1620</v>
      </c>
    </row>
    <row r="2402" spans="1:18" hidden="1" x14ac:dyDescent="0.25">
      <c r="A2402" s="9" t="s">
        <v>899</v>
      </c>
      <c r="B2402" s="3" t="str">
        <f t="shared" si="65"/>
        <v>19/1/15</v>
      </c>
      <c r="C2402" s="10">
        <v>15</v>
      </c>
      <c r="D2402" s="10">
        <v>1</v>
      </c>
      <c r="E2402" s="10">
        <v>19</v>
      </c>
      <c r="F2402" t="s">
        <v>595</v>
      </c>
      <c r="G2402" t="s">
        <v>889</v>
      </c>
      <c r="H2402" t="s">
        <v>54</v>
      </c>
      <c r="I2402" t="s">
        <v>27</v>
      </c>
      <c r="J2402" s="4">
        <v>11.9</v>
      </c>
      <c r="K2402">
        <v>1</v>
      </c>
      <c r="L2402">
        <v>11.9</v>
      </c>
      <c r="M2402">
        <v>11.9</v>
      </c>
      <c r="N2402" s="5">
        <v>0.60314242270653828</v>
      </c>
      <c r="O2402" t="s">
        <v>51</v>
      </c>
      <c r="P2402" t="s">
        <v>340</v>
      </c>
      <c r="Q2402" s="10" t="s">
        <v>24</v>
      </c>
    </row>
    <row r="2403" spans="1:18" hidden="1" x14ac:dyDescent="0.25">
      <c r="A2403" s="9" t="s">
        <v>899</v>
      </c>
      <c r="B2403" s="3" t="str">
        <f t="shared" si="65"/>
        <v>19/1/15</v>
      </c>
      <c r="C2403" s="10">
        <v>15</v>
      </c>
      <c r="D2403" s="10">
        <v>1</v>
      </c>
      <c r="E2403" s="10">
        <v>19</v>
      </c>
      <c r="F2403" t="s">
        <v>961</v>
      </c>
      <c r="G2403" t="s">
        <v>38</v>
      </c>
      <c r="H2403" t="s">
        <v>39</v>
      </c>
      <c r="I2403" t="s">
        <v>27</v>
      </c>
      <c r="J2403" s="4">
        <v>25.9</v>
      </c>
      <c r="K2403">
        <v>1</v>
      </c>
      <c r="L2403">
        <v>25.9</v>
      </c>
      <c r="M2403">
        <v>25.9</v>
      </c>
      <c r="N2403" s="5">
        <v>1.3127217435377596</v>
      </c>
      <c r="O2403" t="s">
        <v>51</v>
      </c>
      <c r="P2403" t="s">
        <v>340</v>
      </c>
      <c r="Q2403" s="10" t="s">
        <v>24</v>
      </c>
    </row>
    <row r="2404" spans="1:18" hidden="1" x14ac:dyDescent="0.25">
      <c r="A2404" s="9" t="s">
        <v>899</v>
      </c>
      <c r="B2404" s="3" t="str">
        <f t="shared" si="65"/>
        <v>19/1/15</v>
      </c>
      <c r="C2404" s="10">
        <v>15</v>
      </c>
      <c r="D2404" s="10">
        <v>1</v>
      </c>
      <c r="E2404" s="10">
        <v>19</v>
      </c>
      <c r="F2404" t="s">
        <v>962</v>
      </c>
      <c r="G2404" t="s">
        <v>889</v>
      </c>
      <c r="H2404" t="s">
        <v>49</v>
      </c>
      <c r="I2404" t="s">
        <v>50</v>
      </c>
      <c r="J2404" s="4">
        <v>85.62</v>
      </c>
      <c r="K2404">
        <v>1</v>
      </c>
      <c r="L2404">
        <v>85.62</v>
      </c>
      <c r="M2404">
        <v>81.335000000000008</v>
      </c>
      <c r="N2404" s="5">
        <v>4.1224024328433861</v>
      </c>
      <c r="O2404" t="s">
        <v>51</v>
      </c>
      <c r="P2404" t="s">
        <v>340</v>
      </c>
      <c r="Q2404" s="10" t="s">
        <v>24</v>
      </c>
    </row>
    <row r="2405" spans="1:18" hidden="1" x14ac:dyDescent="0.25">
      <c r="A2405" s="9" t="s">
        <v>899</v>
      </c>
      <c r="B2405" s="3" t="str">
        <f t="shared" si="65"/>
        <v>19/1/15</v>
      </c>
      <c r="C2405" s="10">
        <v>15</v>
      </c>
      <c r="D2405" s="10">
        <v>1</v>
      </c>
      <c r="E2405" s="10">
        <v>19</v>
      </c>
      <c r="F2405" t="s">
        <v>962</v>
      </c>
      <c r="G2405" t="s">
        <v>889</v>
      </c>
      <c r="H2405" t="s">
        <v>49</v>
      </c>
      <c r="I2405" t="s">
        <v>50</v>
      </c>
      <c r="J2405" s="4">
        <v>85.62</v>
      </c>
      <c r="K2405">
        <v>1</v>
      </c>
      <c r="L2405">
        <v>85.62</v>
      </c>
      <c r="M2405">
        <v>81.335000000000008</v>
      </c>
      <c r="N2405" s="5">
        <v>4.1224024328433861</v>
      </c>
      <c r="O2405" t="s">
        <v>51</v>
      </c>
      <c r="P2405" t="s">
        <v>340</v>
      </c>
      <c r="Q2405" s="10" t="s">
        <v>84</v>
      </c>
    </row>
    <row r="2406" spans="1:18" hidden="1" x14ac:dyDescent="0.25">
      <c r="A2406" s="9" t="s">
        <v>899</v>
      </c>
      <c r="B2406" s="3" t="str">
        <f t="shared" si="65"/>
        <v>19/1/15</v>
      </c>
      <c r="C2406" s="10">
        <v>15</v>
      </c>
      <c r="D2406" s="10">
        <v>1</v>
      </c>
      <c r="E2406" s="10">
        <v>19</v>
      </c>
      <c r="F2406" t="s">
        <v>963</v>
      </c>
      <c r="G2406" t="s">
        <v>58</v>
      </c>
      <c r="H2406" t="s">
        <v>59</v>
      </c>
      <c r="I2406" t="s">
        <v>27</v>
      </c>
      <c r="J2406" s="4">
        <v>68.989999999999995</v>
      </c>
      <c r="K2406">
        <v>2</v>
      </c>
      <c r="L2406">
        <v>68.989999999999995</v>
      </c>
      <c r="M2406">
        <v>137.97999999999999</v>
      </c>
      <c r="N2406" s="5">
        <v>6.9934110491637096</v>
      </c>
      <c r="O2406" t="s">
        <v>51</v>
      </c>
      <c r="P2406" t="s">
        <v>340</v>
      </c>
      <c r="Q2406" s="10" t="s">
        <v>24</v>
      </c>
    </row>
    <row r="2407" spans="1:18" hidden="1" x14ac:dyDescent="0.25">
      <c r="A2407" s="9" t="s">
        <v>899</v>
      </c>
      <c r="B2407" s="3" t="str">
        <f t="shared" si="65"/>
        <v>19/1/15</v>
      </c>
      <c r="C2407" s="10">
        <v>15</v>
      </c>
      <c r="D2407" s="10">
        <v>1</v>
      </c>
      <c r="E2407" s="10">
        <v>19</v>
      </c>
      <c r="F2407" t="s">
        <v>2341</v>
      </c>
      <c r="G2407" t="s">
        <v>58</v>
      </c>
      <c r="H2407" t="s">
        <v>59</v>
      </c>
      <c r="I2407" t="s">
        <v>27</v>
      </c>
      <c r="J2407" s="4">
        <v>99.9</v>
      </c>
      <c r="K2407">
        <v>1</v>
      </c>
      <c r="L2407">
        <v>99.9</v>
      </c>
      <c r="M2407">
        <v>99.9</v>
      </c>
      <c r="N2407" s="5">
        <v>5.0633552965027881</v>
      </c>
      <c r="O2407" t="s">
        <v>51</v>
      </c>
      <c r="P2407" t="s">
        <v>340</v>
      </c>
      <c r="Q2407" s="10" t="s">
        <v>24</v>
      </c>
    </row>
    <row r="2408" spans="1:18" hidden="1" x14ac:dyDescent="0.25">
      <c r="A2408" s="9" t="s">
        <v>899</v>
      </c>
      <c r="B2408" s="3" t="str">
        <f t="shared" si="65"/>
        <v>19/1/15</v>
      </c>
      <c r="C2408" s="10">
        <v>15</v>
      </c>
      <c r="D2408" s="10">
        <v>1</v>
      </c>
      <c r="E2408" s="10">
        <v>19</v>
      </c>
      <c r="F2408" t="s">
        <v>2341</v>
      </c>
      <c r="G2408" t="s">
        <v>58</v>
      </c>
      <c r="H2408" t="s">
        <v>59</v>
      </c>
      <c r="I2408" t="s">
        <v>27</v>
      </c>
      <c r="J2408" s="4">
        <v>99.9</v>
      </c>
      <c r="K2408">
        <v>1</v>
      </c>
      <c r="L2408">
        <v>99.9</v>
      </c>
      <c r="M2408">
        <v>99.9</v>
      </c>
      <c r="N2408" s="5">
        <v>5.0633552965027881</v>
      </c>
      <c r="O2408" t="s">
        <v>51</v>
      </c>
      <c r="P2408" t="s">
        <v>340</v>
      </c>
      <c r="Q2408" s="10" t="s">
        <v>84</v>
      </c>
    </row>
    <row r="2409" spans="1:18" hidden="1" x14ac:dyDescent="0.25">
      <c r="A2409" s="9" t="s">
        <v>899</v>
      </c>
      <c r="B2409" s="3" t="str">
        <f t="shared" si="65"/>
        <v>19/1/15</v>
      </c>
      <c r="C2409" s="10">
        <v>15</v>
      </c>
      <c r="D2409" s="10">
        <v>1</v>
      </c>
      <c r="E2409" s="10">
        <v>19</v>
      </c>
      <c r="F2409" t="s">
        <v>964</v>
      </c>
      <c r="G2409" t="s">
        <v>58</v>
      </c>
      <c r="H2409" t="s">
        <v>59</v>
      </c>
      <c r="I2409" t="s">
        <v>27</v>
      </c>
      <c r="J2409" s="4">
        <v>114.9</v>
      </c>
      <c r="K2409">
        <v>1</v>
      </c>
      <c r="L2409">
        <v>114.9</v>
      </c>
      <c r="M2409">
        <v>114.9</v>
      </c>
      <c r="N2409" s="5">
        <v>5.8236188545362397</v>
      </c>
      <c r="O2409" t="s">
        <v>51</v>
      </c>
      <c r="P2409" t="s">
        <v>340</v>
      </c>
      <c r="Q2409" s="10" t="s">
        <v>24</v>
      </c>
    </row>
    <row r="2410" spans="1:18" hidden="1" x14ac:dyDescent="0.25">
      <c r="A2410" s="9" t="s">
        <v>899</v>
      </c>
      <c r="B2410" s="3" t="str">
        <f t="shared" si="65"/>
        <v>19/1/15</v>
      </c>
      <c r="C2410" s="10">
        <v>15</v>
      </c>
      <c r="D2410" s="10">
        <v>1</v>
      </c>
      <c r="E2410" s="10">
        <v>19</v>
      </c>
      <c r="F2410" t="s">
        <v>577</v>
      </c>
      <c r="G2410" t="s">
        <v>889</v>
      </c>
      <c r="H2410" t="s">
        <v>49</v>
      </c>
      <c r="I2410" t="s">
        <v>50</v>
      </c>
      <c r="J2410" s="4">
        <v>99</v>
      </c>
      <c r="K2410">
        <v>1</v>
      </c>
      <c r="L2410">
        <v>99</v>
      </c>
      <c r="M2410">
        <v>99</v>
      </c>
      <c r="N2410" s="5">
        <v>5.0177394830207804</v>
      </c>
      <c r="O2410" t="s">
        <v>51</v>
      </c>
      <c r="P2410" t="s">
        <v>340</v>
      </c>
      <c r="Q2410" s="10" t="s">
        <v>24</v>
      </c>
      <c r="R2410" t="s">
        <v>1519</v>
      </c>
    </row>
    <row r="2411" spans="1:18" hidden="1" x14ac:dyDescent="0.25">
      <c r="A2411" s="9" t="s">
        <v>899</v>
      </c>
      <c r="B2411" s="3" t="str">
        <f t="shared" si="65"/>
        <v>19/1/15</v>
      </c>
      <c r="C2411" s="10">
        <v>15</v>
      </c>
      <c r="D2411" s="10">
        <v>1</v>
      </c>
      <c r="E2411" s="10">
        <v>19</v>
      </c>
      <c r="F2411" t="s">
        <v>328</v>
      </c>
      <c r="G2411" t="s">
        <v>328</v>
      </c>
      <c r="H2411" t="s">
        <v>49</v>
      </c>
      <c r="I2411" t="s">
        <v>50</v>
      </c>
      <c r="J2411" s="4">
        <v>49</v>
      </c>
      <c r="K2411">
        <v>1</v>
      </c>
      <c r="L2411">
        <v>49</v>
      </c>
      <c r="M2411">
        <v>49</v>
      </c>
      <c r="N2411" s="5">
        <v>2.4835276229092753</v>
      </c>
      <c r="O2411" t="s">
        <v>51</v>
      </c>
      <c r="P2411" t="s">
        <v>340</v>
      </c>
      <c r="Q2411" s="10" t="s">
        <v>24</v>
      </c>
    </row>
    <row r="2412" spans="1:18" hidden="1" x14ac:dyDescent="0.25">
      <c r="A2412" s="9" t="s">
        <v>899</v>
      </c>
      <c r="B2412" s="3" t="str">
        <f t="shared" si="65"/>
        <v>19/1/15</v>
      </c>
      <c r="C2412" s="10">
        <v>15</v>
      </c>
      <c r="D2412" s="10">
        <v>1</v>
      </c>
      <c r="E2412" s="10">
        <v>19</v>
      </c>
      <c r="F2412" t="s">
        <v>965</v>
      </c>
      <c r="G2412" t="s">
        <v>58</v>
      </c>
      <c r="H2412" t="s">
        <v>59</v>
      </c>
      <c r="I2412" t="s">
        <v>27</v>
      </c>
      <c r="J2412" s="4">
        <v>79.900000000000006</v>
      </c>
      <c r="K2412">
        <v>1</v>
      </c>
      <c r="L2412">
        <v>79.900000000000006</v>
      </c>
      <c r="M2412">
        <v>79.900000000000006</v>
      </c>
      <c r="N2412" s="5">
        <v>4.0496705524581857</v>
      </c>
      <c r="O2412" t="s">
        <v>51</v>
      </c>
      <c r="P2412" t="s">
        <v>340</v>
      </c>
      <c r="Q2412" s="10" t="s">
        <v>24</v>
      </c>
    </row>
    <row r="2413" spans="1:18" hidden="1" x14ac:dyDescent="0.25">
      <c r="A2413" s="9" t="s">
        <v>899</v>
      </c>
      <c r="B2413" s="3" t="str">
        <f t="shared" si="65"/>
        <v>19/1/15</v>
      </c>
      <c r="C2413" s="10">
        <v>15</v>
      </c>
      <c r="D2413" s="10">
        <v>1</v>
      </c>
      <c r="E2413" s="10">
        <v>19</v>
      </c>
      <c r="F2413" t="s">
        <v>328</v>
      </c>
      <c r="G2413" t="s">
        <v>328</v>
      </c>
      <c r="H2413" t="s">
        <v>49</v>
      </c>
      <c r="I2413" t="s">
        <v>50</v>
      </c>
      <c r="J2413" s="4">
        <v>11.34</v>
      </c>
      <c r="K2413">
        <v>1</v>
      </c>
      <c r="L2413">
        <v>11.34</v>
      </c>
      <c r="M2413">
        <v>11.34</v>
      </c>
      <c r="N2413" s="5">
        <v>0.57475924987328941</v>
      </c>
      <c r="O2413" t="s">
        <v>51</v>
      </c>
      <c r="P2413" t="s">
        <v>340</v>
      </c>
      <c r="Q2413" s="10" t="s">
        <v>24</v>
      </c>
    </row>
    <row r="2414" spans="1:18" hidden="1" x14ac:dyDescent="0.25">
      <c r="A2414" s="9" t="s">
        <v>899</v>
      </c>
      <c r="B2414" s="3" t="str">
        <f t="shared" si="65"/>
        <v>19/1/15</v>
      </c>
      <c r="C2414" s="10">
        <v>15</v>
      </c>
      <c r="D2414" s="10">
        <v>1</v>
      </c>
      <c r="E2414" s="10">
        <v>19</v>
      </c>
      <c r="F2414" t="s">
        <v>316</v>
      </c>
      <c r="H2414" t="s">
        <v>49</v>
      </c>
      <c r="I2414" t="s">
        <v>79</v>
      </c>
      <c r="J2414" s="4">
        <v>36.9</v>
      </c>
      <c r="K2414">
        <v>2</v>
      </c>
      <c r="L2414">
        <v>36.9</v>
      </c>
      <c r="M2414">
        <v>66.41</v>
      </c>
      <c r="N2414" s="5">
        <v>3.3659401926001009</v>
      </c>
      <c r="O2414" t="s">
        <v>51</v>
      </c>
      <c r="P2414" t="s">
        <v>340</v>
      </c>
      <c r="Q2414" s="10" t="s">
        <v>24</v>
      </c>
      <c r="R2414" t="s">
        <v>1583</v>
      </c>
    </row>
    <row r="2415" spans="1:18" hidden="1" x14ac:dyDescent="0.25">
      <c r="A2415" s="9" t="s">
        <v>899</v>
      </c>
      <c r="B2415" s="3" t="str">
        <f t="shared" si="65"/>
        <v>19/1/15</v>
      </c>
      <c r="C2415" s="10">
        <v>15</v>
      </c>
      <c r="D2415" s="10">
        <v>1</v>
      </c>
      <c r="E2415" s="10">
        <v>19</v>
      </c>
      <c r="F2415" t="s">
        <v>107</v>
      </c>
      <c r="G2415" t="s">
        <v>889</v>
      </c>
      <c r="H2415" t="s">
        <v>53</v>
      </c>
      <c r="I2415" t="s">
        <v>27</v>
      </c>
      <c r="J2415" s="4">
        <v>59.5</v>
      </c>
      <c r="K2415">
        <v>2</v>
      </c>
      <c r="L2415">
        <v>59.5</v>
      </c>
      <c r="M2415">
        <v>119</v>
      </c>
      <c r="N2415" s="5">
        <v>6.0314242270653828</v>
      </c>
      <c r="O2415" t="s">
        <v>51</v>
      </c>
      <c r="P2415" t="s">
        <v>340</v>
      </c>
      <c r="Q2415" s="10" t="s">
        <v>24</v>
      </c>
    </row>
    <row r="2416" spans="1:18" hidden="1" x14ac:dyDescent="0.25">
      <c r="A2416" s="9" t="s">
        <v>899</v>
      </c>
      <c r="B2416" s="3" t="str">
        <f t="shared" si="65"/>
        <v>19/1/15</v>
      </c>
      <c r="C2416" s="10">
        <v>15</v>
      </c>
      <c r="D2416" s="10">
        <v>1</v>
      </c>
      <c r="E2416" s="10">
        <v>19</v>
      </c>
      <c r="F2416" t="s">
        <v>81</v>
      </c>
      <c r="I2416" t="s">
        <v>39</v>
      </c>
      <c r="J2416" s="4">
        <v>200</v>
      </c>
      <c r="K2416">
        <v>1</v>
      </c>
      <c r="L2416">
        <v>3911.9999999999995</v>
      </c>
      <c r="M2416" s="8">
        <v>3911.9999999999995</v>
      </c>
      <c r="N2416" s="5">
        <v>197.95134443021772</v>
      </c>
      <c r="O2416" t="s">
        <v>39</v>
      </c>
      <c r="P2416" t="s">
        <v>340</v>
      </c>
      <c r="Q2416" s="10" t="s">
        <v>84</v>
      </c>
      <c r="R2416" t="s">
        <v>987</v>
      </c>
    </row>
    <row r="2417" spans="1:18" hidden="1" x14ac:dyDescent="0.25">
      <c r="A2417" s="9" t="s">
        <v>899</v>
      </c>
      <c r="B2417" s="3" t="str">
        <f t="shared" si="65"/>
        <v>19/1/16</v>
      </c>
      <c r="C2417" s="10">
        <v>16</v>
      </c>
      <c r="D2417" s="10">
        <v>1</v>
      </c>
      <c r="E2417" s="10">
        <v>19</v>
      </c>
      <c r="F2417" t="s">
        <v>933</v>
      </c>
      <c r="I2417" t="s">
        <v>72</v>
      </c>
      <c r="J2417">
        <v>150</v>
      </c>
      <c r="K2417">
        <v>1</v>
      </c>
      <c r="L2417">
        <v>150</v>
      </c>
      <c r="M2417">
        <v>150</v>
      </c>
      <c r="N2417" s="5">
        <v>7.5560406347074149</v>
      </c>
      <c r="O2417" t="s">
        <v>39</v>
      </c>
      <c r="P2417" t="s">
        <v>340</v>
      </c>
      <c r="Q2417" s="10" t="s">
        <v>24</v>
      </c>
    </row>
    <row r="2418" spans="1:18" hidden="1" x14ac:dyDescent="0.25">
      <c r="A2418" s="9" t="s">
        <v>899</v>
      </c>
      <c r="B2418" s="3" t="str">
        <f t="shared" si="65"/>
        <v>19/1/16</v>
      </c>
      <c r="C2418" s="10">
        <v>16</v>
      </c>
      <c r="D2418" s="10">
        <v>1</v>
      </c>
      <c r="E2418" s="10">
        <v>19</v>
      </c>
      <c r="F2418" t="s">
        <v>957</v>
      </c>
      <c r="I2418" t="s">
        <v>72</v>
      </c>
      <c r="J2418" s="4">
        <v>7.76</v>
      </c>
      <c r="K2418">
        <v>1</v>
      </c>
      <c r="L2418">
        <v>7.76</v>
      </c>
      <c r="M2418">
        <v>7.76</v>
      </c>
      <c r="N2418" s="5">
        <v>0.39330968068930561</v>
      </c>
      <c r="O2418" t="s">
        <v>629</v>
      </c>
      <c r="P2418" t="s">
        <v>340</v>
      </c>
      <c r="Q2418" s="10" t="s">
        <v>24</v>
      </c>
      <c r="R2418" t="s">
        <v>957</v>
      </c>
    </row>
    <row r="2419" spans="1:18" hidden="1" x14ac:dyDescent="0.25">
      <c r="A2419" s="9" t="s">
        <v>899</v>
      </c>
      <c r="B2419" s="3" t="str">
        <f t="shared" si="65"/>
        <v>19/1/18</v>
      </c>
      <c r="C2419" s="10">
        <v>18</v>
      </c>
      <c r="D2419" s="10">
        <v>1</v>
      </c>
      <c r="E2419" s="10">
        <v>19</v>
      </c>
      <c r="F2419" t="s">
        <v>933</v>
      </c>
      <c r="I2419" t="s">
        <v>72</v>
      </c>
      <c r="J2419">
        <v>150</v>
      </c>
      <c r="K2419">
        <v>1</v>
      </c>
      <c r="L2419">
        <v>150</v>
      </c>
      <c r="M2419">
        <v>150</v>
      </c>
      <c r="N2419" s="5">
        <v>7.5560406347074149</v>
      </c>
      <c r="O2419" t="s">
        <v>39</v>
      </c>
      <c r="P2419" t="s">
        <v>340</v>
      </c>
      <c r="Q2419" s="10" t="s">
        <v>24</v>
      </c>
    </row>
    <row r="2420" spans="1:18" hidden="1" x14ac:dyDescent="0.25">
      <c r="A2420" s="9" t="s">
        <v>899</v>
      </c>
      <c r="B2420" s="3" t="str">
        <f t="shared" si="65"/>
        <v>19/1/18</v>
      </c>
      <c r="C2420" s="10">
        <v>18</v>
      </c>
      <c r="D2420" s="10">
        <v>1</v>
      </c>
      <c r="E2420" s="10">
        <v>19</v>
      </c>
      <c r="F2420" t="s">
        <v>104</v>
      </c>
      <c r="I2420" t="s">
        <v>72</v>
      </c>
      <c r="J2420" s="4">
        <v>96.55</v>
      </c>
      <c r="K2420">
        <v>1</v>
      </c>
      <c r="L2420">
        <v>96.55</v>
      </c>
      <c r="M2420">
        <v>96.55</v>
      </c>
      <c r="N2420" s="5">
        <v>4.8935631018753165</v>
      </c>
      <c r="O2420" t="s">
        <v>233</v>
      </c>
      <c r="P2420" t="s">
        <v>340</v>
      </c>
      <c r="Q2420" s="10" t="s">
        <v>24</v>
      </c>
      <c r="R2420" t="s">
        <v>969</v>
      </c>
    </row>
    <row r="2421" spans="1:18" hidden="1" x14ac:dyDescent="0.25">
      <c r="A2421" s="9" t="s">
        <v>899</v>
      </c>
      <c r="B2421" s="3" t="str">
        <f t="shared" si="65"/>
        <v>19/1/18</v>
      </c>
      <c r="C2421" s="10">
        <v>18</v>
      </c>
      <c r="D2421" s="10">
        <v>1</v>
      </c>
      <c r="E2421" s="10">
        <v>19</v>
      </c>
      <c r="F2421" t="s">
        <v>779</v>
      </c>
      <c r="I2421" t="s">
        <v>72</v>
      </c>
      <c r="J2421" s="4">
        <v>0.82</v>
      </c>
      <c r="K2421">
        <v>5</v>
      </c>
      <c r="L2421">
        <v>0.82</v>
      </c>
      <c r="M2421">
        <v>4.0999999999999996</v>
      </c>
      <c r="N2421" s="5">
        <v>0.20780537252914341</v>
      </c>
      <c r="O2421" t="s">
        <v>233</v>
      </c>
      <c r="P2421" t="s">
        <v>340</v>
      </c>
      <c r="Q2421" s="10" t="s">
        <v>24</v>
      </c>
    </row>
    <row r="2422" spans="1:18" hidden="1" x14ac:dyDescent="0.25">
      <c r="A2422" s="9" t="s">
        <v>899</v>
      </c>
      <c r="B2422" s="3" t="str">
        <f t="shared" si="65"/>
        <v>19/1/18</v>
      </c>
      <c r="C2422" s="10">
        <v>18</v>
      </c>
      <c r="D2422" s="10">
        <v>1</v>
      </c>
      <c r="E2422" s="10">
        <v>19</v>
      </c>
      <c r="F2422" t="s">
        <v>1666</v>
      </c>
      <c r="I2422" t="s">
        <v>72</v>
      </c>
      <c r="J2422" s="4">
        <v>44.95</v>
      </c>
      <c r="K2422">
        <v>1</v>
      </c>
      <c r="L2422">
        <v>44.95</v>
      </c>
      <c r="M2422">
        <v>44.95</v>
      </c>
      <c r="N2422" s="5">
        <v>2.2782564622402433</v>
      </c>
      <c r="O2422" t="s">
        <v>233</v>
      </c>
      <c r="P2422" t="s">
        <v>340</v>
      </c>
      <c r="Q2422" s="10" t="s">
        <v>24</v>
      </c>
      <c r="R2422" t="s">
        <v>970</v>
      </c>
    </row>
    <row r="2423" spans="1:18" hidden="1" x14ac:dyDescent="0.25">
      <c r="A2423" s="9" t="s">
        <v>899</v>
      </c>
      <c r="B2423" s="3" t="str">
        <f t="shared" si="65"/>
        <v>19/1/18</v>
      </c>
      <c r="C2423" s="10">
        <v>18</v>
      </c>
      <c r="D2423" s="10">
        <v>1</v>
      </c>
      <c r="E2423" s="10">
        <v>19</v>
      </c>
      <c r="F2423" t="s">
        <v>104</v>
      </c>
      <c r="I2423" t="s">
        <v>72</v>
      </c>
      <c r="J2423" s="4">
        <v>87.2</v>
      </c>
      <c r="K2423">
        <v>1</v>
      </c>
      <c r="L2423">
        <v>87.2</v>
      </c>
      <c r="M2423">
        <v>87.2</v>
      </c>
      <c r="N2423" s="5">
        <v>4.4196654840344651</v>
      </c>
      <c r="O2423" t="s">
        <v>233</v>
      </c>
      <c r="P2423" t="s">
        <v>340</v>
      </c>
      <c r="Q2423" s="10" t="s">
        <v>24</v>
      </c>
      <c r="R2423" t="s">
        <v>971</v>
      </c>
    </row>
    <row r="2424" spans="1:18" hidden="1" x14ac:dyDescent="0.25">
      <c r="A2424" s="9" t="s">
        <v>899</v>
      </c>
      <c r="B2424" s="3" t="str">
        <f t="shared" si="65"/>
        <v>19/1/18</v>
      </c>
      <c r="C2424" s="10">
        <v>18</v>
      </c>
      <c r="D2424" s="10">
        <v>1</v>
      </c>
      <c r="E2424" s="10">
        <v>19</v>
      </c>
      <c r="F2424" t="s">
        <v>146</v>
      </c>
      <c r="H2424" t="s">
        <v>49</v>
      </c>
      <c r="I2424" t="s">
        <v>50</v>
      </c>
      <c r="J2424" s="4">
        <v>0.15</v>
      </c>
      <c r="K2424">
        <v>1</v>
      </c>
      <c r="L2424">
        <v>0.15</v>
      </c>
      <c r="M2424">
        <v>0.15</v>
      </c>
      <c r="N2424" s="5">
        <v>7.6026355803345156E-3</v>
      </c>
      <c r="O2424" t="s">
        <v>233</v>
      </c>
      <c r="P2424" t="s">
        <v>340</v>
      </c>
      <c r="Q2424" s="10" t="s">
        <v>24</v>
      </c>
    </row>
    <row r="2425" spans="1:18" hidden="1" x14ac:dyDescent="0.25">
      <c r="A2425" s="9" t="s">
        <v>899</v>
      </c>
      <c r="B2425" s="3" t="str">
        <f t="shared" si="65"/>
        <v>19/1/18</v>
      </c>
      <c r="C2425" s="10">
        <v>18</v>
      </c>
      <c r="D2425" s="10">
        <v>1</v>
      </c>
      <c r="E2425" s="10">
        <v>19</v>
      </c>
      <c r="F2425" t="s">
        <v>972</v>
      </c>
      <c r="I2425" t="s">
        <v>72</v>
      </c>
      <c r="J2425" s="4">
        <v>9.0399999999999991</v>
      </c>
      <c r="K2425">
        <v>1</v>
      </c>
      <c r="L2425">
        <v>9.0399999999999991</v>
      </c>
      <c r="M2425">
        <v>9.0399999999999991</v>
      </c>
      <c r="N2425" s="5">
        <v>0.45818550430816013</v>
      </c>
      <c r="O2425" t="s">
        <v>233</v>
      </c>
      <c r="P2425" t="s">
        <v>340</v>
      </c>
      <c r="Q2425" s="10" t="s">
        <v>24</v>
      </c>
      <c r="R2425" t="s">
        <v>972</v>
      </c>
    </row>
    <row r="2426" spans="1:18" hidden="1" x14ac:dyDescent="0.25">
      <c r="A2426" s="9" t="s">
        <v>899</v>
      </c>
      <c r="B2426" s="3" t="s">
        <v>1434</v>
      </c>
      <c r="C2426" s="10">
        <v>18</v>
      </c>
      <c r="D2426" s="10">
        <v>1</v>
      </c>
      <c r="E2426" s="10">
        <v>19</v>
      </c>
      <c r="F2426" t="s">
        <v>71</v>
      </c>
      <c r="I2426" t="s">
        <v>72</v>
      </c>
      <c r="J2426" s="4">
        <v>124.32</v>
      </c>
      <c r="K2426">
        <v>1</v>
      </c>
      <c r="L2426">
        <v>124.32</v>
      </c>
      <c r="M2426">
        <v>124.32</v>
      </c>
      <c r="N2426" s="5">
        <v>6.292913385826771</v>
      </c>
      <c r="O2426" t="s">
        <v>39</v>
      </c>
      <c r="P2426" t="s">
        <v>340</v>
      </c>
      <c r="Q2426" s="10" t="s">
        <v>24</v>
      </c>
    </row>
    <row r="2427" spans="1:18" hidden="1" x14ac:dyDescent="0.25">
      <c r="A2427" s="9" t="s">
        <v>899</v>
      </c>
      <c r="B2427" s="3" t="s">
        <v>1434</v>
      </c>
      <c r="C2427" s="10">
        <v>18</v>
      </c>
      <c r="D2427" s="10">
        <v>1</v>
      </c>
      <c r="E2427" s="10">
        <v>19</v>
      </c>
      <c r="F2427" t="s">
        <v>55</v>
      </c>
      <c r="G2427" t="s">
        <v>889</v>
      </c>
      <c r="H2427" t="s">
        <v>56</v>
      </c>
      <c r="I2427" t="s">
        <v>27</v>
      </c>
      <c r="J2427" s="4">
        <v>21.95</v>
      </c>
      <c r="K2427">
        <v>1.59</v>
      </c>
      <c r="L2427">
        <v>21.95</v>
      </c>
      <c r="M2427">
        <v>34.900500000000001</v>
      </c>
      <c r="N2427" s="5">
        <v>1.7737271299205319</v>
      </c>
      <c r="O2427" t="s">
        <v>1472</v>
      </c>
      <c r="P2427" t="s">
        <v>340</v>
      </c>
      <c r="Q2427" s="10" t="s">
        <v>24</v>
      </c>
    </row>
    <row r="2428" spans="1:18" hidden="1" x14ac:dyDescent="0.25">
      <c r="A2428" s="9" t="s">
        <v>899</v>
      </c>
      <c r="B2428" s="3" t="s">
        <v>1434</v>
      </c>
      <c r="C2428" s="10">
        <v>18</v>
      </c>
      <c r="D2428" s="10">
        <v>1</v>
      </c>
      <c r="E2428" s="10">
        <v>19</v>
      </c>
      <c r="F2428" t="s">
        <v>146</v>
      </c>
      <c r="G2428" t="s">
        <v>889</v>
      </c>
      <c r="H2428" t="s">
        <v>49</v>
      </c>
      <c r="I2428" t="s">
        <v>50</v>
      </c>
      <c r="J2428" s="4">
        <v>1</v>
      </c>
      <c r="K2428">
        <v>1</v>
      </c>
      <c r="L2428">
        <v>1</v>
      </c>
      <c r="M2428">
        <v>1</v>
      </c>
      <c r="N2428" s="5">
        <v>5.0822398817224168E-2</v>
      </c>
      <c r="O2428" t="s">
        <v>1472</v>
      </c>
      <c r="P2428" t="s">
        <v>340</v>
      </c>
      <c r="Q2428" s="10" t="s">
        <v>24</v>
      </c>
    </row>
    <row r="2429" spans="1:18" hidden="1" x14ac:dyDescent="0.25">
      <c r="A2429" s="9" t="s">
        <v>899</v>
      </c>
      <c r="B2429" s="3" t="s">
        <v>1434</v>
      </c>
      <c r="C2429" s="10">
        <v>18</v>
      </c>
      <c r="D2429" s="10">
        <v>1</v>
      </c>
      <c r="E2429" s="10">
        <v>19</v>
      </c>
      <c r="F2429" t="s">
        <v>770</v>
      </c>
      <c r="G2429" t="s">
        <v>31</v>
      </c>
      <c r="H2429" t="s">
        <v>26</v>
      </c>
      <c r="I2429" t="s">
        <v>27</v>
      </c>
      <c r="J2429" s="4">
        <v>7.65</v>
      </c>
      <c r="K2429">
        <v>2</v>
      </c>
      <c r="L2429">
        <v>7.65</v>
      </c>
      <c r="M2429">
        <v>15.3</v>
      </c>
      <c r="N2429" s="5">
        <v>0.77758270190352974</v>
      </c>
      <c r="O2429" t="s">
        <v>1472</v>
      </c>
      <c r="P2429" t="s">
        <v>340</v>
      </c>
      <c r="Q2429" s="10" t="s">
        <v>24</v>
      </c>
    </row>
    <row r="2430" spans="1:18" hidden="1" x14ac:dyDescent="0.25">
      <c r="A2430" s="9" t="s">
        <v>899</v>
      </c>
      <c r="B2430" s="3" t="s">
        <v>1434</v>
      </c>
      <c r="C2430" s="10">
        <v>18</v>
      </c>
      <c r="D2430" s="10">
        <v>1</v>
      </c>
      <c r="E2430" s="10">
        <v>19</v>
      </c>
      <c r="F2430" t="s">
        <v>910</v>
      </c>
      <c r="G2430" t="s">
        <v>889</v>
      </c>
      <c r="H2430" t="s">
        <v>131</v>
      </c>
      <c r="I2430" t="s">
        <v>27</v>
      </c>
      <c r="J2430" s="4">
        <v>69.989999999999995</v>
      </c>
      <c r="K2430">
        <v>1</v>
      </c>
      <c r="L2430">
        <v>69.989999999999995</v>
      </c>
      <c r="M2430">
        <v>69.989999999999995</v>
      </c>
      <c r="N2430" s="5">
        <v>3.5570596932175191</v>
      </c>
      <c r="O2430" t="s">
        <v>1472</v>
      </c>
      <c r="P2430" t="s">
        <v>340</v>
      </c>
      <c r="Q2430" s="10" t="s">
        <v>24</v>
      </c>
    </row>
    <row r="2431" spans="1:18" hidden="1" x14ac:dyDescent="0.25">
      <c r="A2431" s="9" t="s">
        <v>899</v>
      </c>
      <c r="B2431" s="3" t="s">
        <v>1434</v>
      </c>
      <c r="C2431" s="10">
        <v>18</v>
      </c>
      <c r="D2431" s="10">
        <v>1</v>
      </c>
      <c r="E2431" s="10">
        <v>19</v>
      </c>
      <c r="F2431" t="s">
        <v>1274</v>
      </c>
      <c r="G2431" t="s">
        <v>889</v>
      </c>
      <c r="H2431" t="s">
        <v>73</v>
      </c>
      <c r="I2431" t="s">
        <v>27</v>
      </c>
      <c r="J2431" s="4">
        <v>21.6</v>
      </c>
      <c r="K2431">
        <v>1</v>
      </c>
      <c r="L2431">
        <v>21.6</v>
      </c>
      <c r="M2431">
        <v>21.6</v>
      </c>
      <c r="N2431" s="5">
        <v>1.0977638144520421</v>
      </c>
      <c r="O2431" t="s">
        <v>1472</v>
      </c>
      <c r="P2431" t="s">
        <v>340</v>
      </c>
      <c r="Q2431" s="10" t="s">
        <v>24</v>
      </c>
    </row>
    <row r="2432" spans="1:18" hidden="1" x14ac:dyDescent="0.25">
      <c r="A2432" s="9" t="s">
        <v>899</v>
      </c>
      <c r="B2432" s="3" t="s">
        <v>1434</v>
      </c>
      <c r="C2432" s="10">
        <v>18</v>
      </c>
      <c r="D2432" s="10">
        <v>1</v>
      </c>
      <c r="E2432" s="10">
        <v>19</v>
      </c>
      <c r="F2432" t="s">
        <v>99</v>
      </c>
      <c r="G2432" t="s">
        <v>889</v>
      </c>
      <c r="H2432" t="s">
        <v>40</v>
      </c>
      <c r="I2432" t="s">
        <v>27</v>
      </c>
      <c r="J2432" s="4">
        <v>10</v>
      </c>
      <c r="K2432">
        <v>1</v>
      </c>
      <c r="L2432">
        <v>10</v>
      </c>
      <c r="M2432">
        <v>10</v>
      </c>
      <c r="N2432" s="5">
        <v>0.50822398817224168</v>
      </c>
      <c r="O2432" t="s">
        <v>100</v>
      </c>
      <c r="P2432" t="s">
        <v>340</v>
      </c>
      <c r="Q2432" s="10" t="s">
        <v>24</v>
      </c>
    </row>
    <row r="2433" spans="1:18" hidden="1" x14ac:dyDescent="0.25">
      <c r="A2433" s="9" t="s">
        <v>899</v>
      </c>
      <c r="B2433" s="3" t="s">
        <v>1434</v>
      </c>
      <c r="C2433" s="10">
        <v>18</v>
      </c>
      <c r="D2433" s="10">
        <v>1</v>
      </c>
      <c r="E2433" s="10">
        <v>19</v>
      </c>
      <c r="F2433" t="s">
        <v>1468</v>
      </c>
      <c r="G2433" t="s">
        <v>889</v>
      </c>
      <c r="H2433" t="s">
        <v>56</v>
      </c>
      <c r="I2433" t="s">
        <v>27</v>
      </c>
      <c r="J2433" s="4">
        <v>27.6</v>
      </c>
      <c r="K2433">
        <v>1</v>
      </c>
      <c r="L2433">
        <v>27.6</v>
      </c>
      <c r="M2433">
        <v>27.6</v>
      </c>
      <c r="N2433" s="5">
        <v>1.4026982073553871</v>
      </c>
      <c r="O2433" t="s">
        <v>100</v>
      </c>
      <c r="P2433" t="s">
        <v>340</v>
      </c>
      <c r="Q2433" s="10" t="s">
        <v>24</v>
      </c>
    </row>
    <row r="2434" spans="1:18" hidden="1" x14ac:dyDescent="0.25">
      <c r="A2434" s="9" t="s">
        <v>899</v>
      </c>
      <c r="B2434" s="3" t="s">
        <v>1434</v>
      </c>
      <c r="C2434" s="10">
        <v>18</v>
      </c>
      <c r="D2434" s="10">
        <v>1</v>
      </c>
      <c r="E2434" s="10">
        <v>19</v>
      </c>
      <c r="F2434" t="s">
        <v>1897</v>
      </c>
      <c r="G2434" t="s">
        <v>889</v>
      </c>
      <c r="H2434" t="s">
        <v>62</v>
      </c>
      <c r="I2434" t="s">
        <v>27</v>
      </c>
      <c r="J2434" s="4">
        <v>49</v>
      </c>
      <c r="K2434">
        <v>1</v>
      </c>
      <c r="L2434">
        <v>49</v>
      </c>
      <c r="M2434">
        <v>49</v>
      </c>
      <c r="N2434" s="5">
        <v>2.4902975420439839</v>
      </c>
      <c r="O2434" t="s">
        <v>100</v>
      </c>
      <c r="P2434" t="s">
        <v>340</v>
      </c>
      <c r="Q2434" s="10" t="s">
        <v>24</v>
      </c>
    </row>
    <row r="2435" spans="1:18" hidden="1" x14ac:dyDescent="0.25">
      <c r="A2435" s="9" t="s">
        <v>899</v>
      </c>
      <c r="B2435" s="3" t="s">
        <v>1434</v>
      </c>
      <c r="C2435" s="10">
        <v>18</v>
      </c>
      <c r="D2435" s="10">
        <v>1</v>
      </c>
      <c r="E2435" s="10">
        <v>19</v>
      </c>
      <c r="F2435" t="s">
        <v>708</v>
      </c>
      <c r="G2435" t="s">
        <v>708</v>
      </c>
      <c r="H2435" t="s">
        <v>131</v>
      </c>
      <c r="I2435" t="s">
        <v>27</v>
      </c>
      <c r="J2435" s="4">
        <v>57.6</v>
      </c>
      <c r="K2435">
        <v>1</v>
      </c>
      <c r="L2435">
        <v>57.6</v>
      </c>
      <c r="M2435">
        <v>57.6</v>
      </c>
      <c r="N2435" s="5">
        <v>2.9273701718721119</v>
      </c>
      <c r="O2435" t="s">
        <v>100</v>
      </c>
      <c r="P2435" t="s">
        <v>340</v>
      </c>
      <c r="Q2435" s="10" t="s">
        <v>24</v>
      </c>
    </row>
    <row r="2436" spans="1:18" hidden="1" x14ac:dyDescent="0.25">
      <c r="A2436" s="9" t="s">
        <v>899</v>
      </c>
      <c r="B2436" s="3" t="s">
        <v>1434</v>
      </c>
      <c r="C2436" s="10">
        <v>18</v>
      </c>
      <c r="D2436" s="10">
        <v>1</v>
      </c>
      <c r="E2436" s="10">
        <v>19</v>
      </c>
      <c r="F2436" t="s">
        <v>708</v>
      </c>
      <c r="G2436" t="s">
        <v>708</v>
      </c>
      <c r="H2436" t="s">
        <v>131</v>
      </c>
      <c r="I2436" t="s">
        <v>27</v>
      </c>
      <c r="J2436" s="4">
        <v>43.6</v>
      </c>
      <c r="K2436">
        <v>1</v>
      </c>
      <c r="L2436">
        <v>43.6</v>
      </c>
      <c r="M2436">
        <v>43.6</v>
      </c>
      <c r="N2436" s="5">
        <v>2.2158565884309738</v>
      </c>
      <c r="O2436" t="s">
        <v>100</v>
      </c>
      <c r="P2436" t="s">
        <v>340</v>
      </c>
      <c r="Q2436" s="10" t="s">
        <v>24</v>
      </c>
    </row>
    <row r="2437" spans="1:18" hidden="1" x14ac:dyDescent="0.25">
      <c r="A2437" s="9" t="s">
        <v>899</v>
      </c>
      <c r="B2437" s="3" t="s">
        <v>1434</v>
      </c>
      <c r="C2437" s="10">
        <v>18</v>
      </c>
      <c r="D2437" s="10">
        <v>1</v>
      </c>
      <c r="E2437" s="10">
        <v>19</v>
      </c>
      <c r="F2437" t="s">
        <v>98</v>
      </c>
      <c r="G2437" t="s">
        <v>889</v>
      </c>
      <c r="H2437" t="s">
        <v>26</v>
      </c>
      <c r="I2437" t="s">
        <v>27</v>
      </c>
      <c r="J2437" s="4">
        <v>84.6</v>
      </c>
      <c r="K2437">
        <v>1</v>
      </c>
      <c r="L2437">
        <v>84.6</v>
      </c>
      <c r="M2437">
        <v>84.6</v>
      </c>
      <c r="N2437" s="5">
        <v>4.2995749399371643</v>
      </c>
      <c r="O2437" t="s">
        <v>100</v>
      </c>
      <c r="P2437" t="s">
        <v>340</v>
      </c>
      <c r="Q2437" s="10" t="s">
        <v>24</v>
      </c>
      <c r="R2437" t="s">
        <v>1896</v>
      </c>
    </row>
    <row r="2438" spans="1:18" hidden="1" x14ac:dyDescent="0.25">
      <c r="A2438" s="9" t="s">
        <v>899</v>
      </c>
      <c r="B2438" s="3" t="s">
        <v>1434</v>
      </c>
      <c r="C2438" s="10">
        <v>18</v>
      </c>
      <c r="D2438" s="10">
        <v>1</v>
      </c>
      <c r="E2438" s="10">
        <v>19</v>
      </c>
      <c r="F2438" t="s">
        <v>131</v>
      </c>
      <c r="G2438" t="s">
        <v>889</v>
      </c>
      <c r="H2438" t="s">
        <v>131</v>
      </c>
      <c r="I2438" t="s">
        <v>27</v>
      </c>
      <c r="J2438" s="4">
        <v>355</v>
      </c>
      <c r="K2438">
        <v>0.20399999999999999</v>
      </c>
      <c r="L2438">
        <v>355</v>
      </c>
      <c r="M2438">
        <v>72.42</v>
      </c>
      <c r="N2438" s="5">
        <v>3.6805581223433741</v>
      </c>
      <c r="O2438" t="s">
        <v>100</v>
      </c>
      <c r="P2438" t="s">
        <v>340</v>
      </c>
      <c r="Q2438" s="10" t="s">
        <v>24</v>
      </c>
      <c r="R2438" t="s">
        <v>1907</v>
      </c>
    </row>
    <row r="2439" spans="1:18" hidden="1" x14ac:dyDescent="0.25">
      <c r="A2439" s="9" t="s">
        <v>899</v>
      </c>
      <c r="B2439" s="3" t="s">
        <v>1434</v>
      </c>
      <c r="C2439" s="10">
        <v>18</v>
      </c>
      <c r="D2439" s="10">
        <v>1</v>
      </c>
      <c r="E2439" s="10">
        <v>19</v>
      </c>
      <c r="F2439" t="s">
        <v>802</v>
      </c>
      <c r="G2439" t="s">
        <v>708</v>
      </c>
      <c r="H2439" t="s">
        <v>1612</v>
      </c>
      <c r="I2439" t="s">
        <v>27</v>
      </c>
      <c r="J2439" s="4">
        <v>128</v>
      </c>
      <c r="K2439">
        <v>0.308</v>
      </c>
      <c r="L2439">
        <v>128</v>
      </c>
      <c r="M2439">
        <v>39.423999999999999</v>
      </c>
      <c r="N2439" s="5">
        <v>2.0036222509702455</v>
      </c>
      <c r="O2439" t="s">
        <v>100</v>
      </c>
      <c r="P2439" t="s">
        <v>340</v>
      </c>
      <c r="Q2439" s="10" t="s">
        <v>24</v>
      </c>
    </row>
    <row r="2440" spans="1:18" hidden="1" x14ac:dyDescent="0.25">
      <c r="A2440" s="9" t="s">
        <v>899</v>
      </c>
      <c r="B2440" s="3" t="str">
        <f>CONCATENATE(E2440,"/",D2440,"/",C2440)</f>
        <v>19/1/19</v>
      </c>
      <c r="C2440" s="10">
        <v>19</v>
      </c>
      <c r="D2440" s="10">
        <v>1</v>
      </c>
      <c r="E2440" s="10">
        <v>19</v>
      </c>
      <c r="F2440" t="s">
        <v>1497</v>
      </c>
      <c r="I2440" t="s">
        <v>72</v>
      </c>
      <c r="J2440">
        <v>203.68</v>
      </c>
      <c r="K2440">
        <v>1</v>
      </c>
      <c r="L2440">
        <v>203.68</v>
      </c>
      <c r="M2440">
        <v>203.68</v>
      </c>
      <c r="N2440" s="5">
        <v>10.323365433350228</v>
      </c>
      <c r="O2440" t="s">
        <v>39</v>
      </c>
      <c r="P2440" t="s">
        <v>340</v>
      </c>
      <c r="Q2440" s="10" t="s">
        <v>84</v>
      </c>
      <c r="R2440" t="s">
        <v>968</v>
      </c>
    </row>
    <row r="2441" spans="1:18" hidden="1" x14ac:dyDescent="0.25">
      <c r="A2441" s="9" t="s">
        <v>899</v>
      </c>
      <c r="B2441" s="3" t="s">
        <v>1087</v>
      </c>
      <c r="C2441" s="10">
        <v>19</v>
      </c>
      <c r="D2441" s="10">
        <v>1</v>
      </c>
      <c r="E2441" s="10">
        <v>19</v>
      </c>
      <c r="F2441" t="s">
        <v>184</v>
      </c>
      <c r="G2441" t="s">
        <v>889</v>
      </c>
      <c r="H2441" t="s">
        <v>184</v>
      </c>
      <c r="I2441" t="s">
        <v>79</v>
      </c>
      <c r="J2441" s="4">
        <v>70</v>
      </c>
      <c r="K2441">
        <v>1</v>
      </c>
      <c r="L2441">
        <v>70</v>
      </c>
      <c r="M2441">
        <v>70</v>
      </c>
      <c r="N2441" s="5">
        <v>3.5616159560394829</v>
      </c>
      <c r="O2441" t="s">
        <v>39</v>
      </c>
      <c r="P2441" t="s">
        <v>340</v>
      </c>
      <c r="Q2441" s="10" t="s">
        <v>24</v>
      </c>
      <c r="R2441" t="s">
        <v>1547</v>
      </c>
    </row>
    <row r="2442" spans="1:18" hidden="1" x14ac:dyDescent="0.25">
      <c r="A2442" s="9" t="s">
        <v>899</v>
      </c>
      <c r="B2442" s="3" t="s">
        <v>1087</v>
      </c>
      <c r="C2442" s="10">
        <v>19</v>
      </c>
      <c r="D2442" s="10">
        <v>1</v>
      </c>
      <c r="E2442" s="10">
        <v>19</v>
      </c>
      <c r="F2442" t="s">
        <v>1088</v>
      </c>
      <c r="G2442" t="s">
        <v>889</v>
      </c>
      <c r="H2442" t="s">
        <v>889</v>
      </c>
      <c r="I2442" t="s">
        <v>96</v>
      </c>
      <c r="J2442" s="4">
        <v>974.56898000000012</v>
      </c>
      <c r="K2442">
        <v>1</v>
      </c>
      <c r="L2442">
        <v>974.56898000000012</v>
      </c>
      <c r="M2442">
        <v>974.56898000000012</v>
      </c>
      <c r="N2442" s="5">
        <v>49.586291848987493</v>
      </c>
      <c r="O2442" t="s">
        <v>39</v>
      </c>
      <c r="P2442" t="s">
        <v>340</v>
      </c>
      <c r="Q2442" s="10" t="s">
        <v>24</v>
      </c>
    </row>
    <row r="2443" spans="1:18" hidden="1" x14ac:dyDescent="0.25">
      <c r="A2443" s="9" t="s">
        <v>899</v>
      </c>
      <c r="B2443" s="3" t="str">
        <f>CONCATENATE(E2443,"/",D2443,"/",C2443)</f>
        <v>19/1/2</v>
      </c>
      <c r="C2443" s="10">
        <v>2</v>
      </c>
      <c r="D2443" s="10">
        <v>1</v>
      </c>
      <c r="E2443" s="10">
        <v>19</v>
      </c>
      <c r="F2443" t="s">
        <v>802</v>
      </c>
      <c r="G2443" t="s">
        <v>708</v>
      </c>
      <c r="H2443" t="s">
        <v>1612</v>
      </c>
      <c r="I2443" t="s">
        <v>27</v>
      </c>
      <c r="J2443">
        <v>128</v>
      </c>
      <c r="K2443">
        <v>0.2</v>
      </c>
      <c r="L2443">
        <v>128</v>
      </c>
      <c r="M2443">
        <v>25.6</v>
      </c>
      <c r="N2443" s="5">
        <v>1.2895642683233988</v>
      </c>
      <c r="O2443" t="s">
        <v>100</v>
      </c>
      <c r="P2443" t="s">
        <v>340</v>
      </c>
      <c r="Q2443" t="s">
        <v>24</v>
      </c>
    </row>
    <row r="2444" spans="1:18" hidden="1" x14ac:dyDescent="0.25">
      <c r="A2444" s="9" t="s">
        <v>899</v>
      </c>
      <c r="B2444" s="3" t="str">
        <f>CONCATENATE(E2444,"/",D2444,"/",C2444)</f>
        <v>19/1/2</v>
      </c>
      <c r="C2444" s="10">
        <v>2</v>
      </c>
      <c r="D2444" s="10">
        <v>1</v>
      </c>
      <c r="E2444" s="10">
        <v>19</v>
      </c>
      <c r="F2444" t="s">
        <v>917</v>
      </c>
      <c r="H2444" t="s">
        <v>40</v>
      </c>
      <c r="I2444" t="s">
        <v>27</v>
      </c>
      <c r="J2444">
        <v>15.6</v>
      </c>
      <c r="K2444">
        <v>1</v>
      </c>
      <c r="L2444">
        <v>15.6</v>
      </c>
      <c r="M2444">
        <v>15.6</v>
      </c>
      <c r="N2444" s="5">
        <v>0.78582822600957114</v>
      </c>
      <c r="O2444" t="s">
        <v>100</v>
      </c>
      <c r="P2444" t="s">
        <v>340</v>
      </c>
      <c r="Q2444" t="s">
        <v>24</v>
      </c>
    </row>
    <row r="2445" spans="1:18" hidden="1" x14ac:dyDescent="0.25">
      <c r="A2445" s="9" t="s">
        <v>899</v>
      </c>
      <c r="B2445" s="3" t="str">
        <f>CONCATENATE(E2445,"/",D2445,"/",C2445)</f>
        <v>19/1/2</v>
      </c>
      <c r="C2445" s="10">
        <v>2</v>
      </c>
      <c r="D2445" s="10">
        <v>1</v>
      </c>
      <c r="E2445" s="10">
        <v>19</v>
      </c>
      <c r="F2445" t="s">
        <v>918</v>
      </c>
      <c r="G2445" t="s">
        <v>708</v>
      </c>
      <c r="H2445" t="s">
        <v>1612</v>
      </c>
      <c r="I2445" t="s">
        <v>27</v>
      </c>
      <c r="J2445">
        <v>47.5</v>
      </c>
      <c r="K2445">
        <v>1</v>
      </c>
      <c r="L2445">
        <v>47.5</v>
      </c>
      <c r="M2445">
        <v>47.5</v>
      </c>
      <c r="N2445" s="5">
        <v>2.3927462009906812</v>
      </c>
      <c r="O2445" t="s">
        <v>100</v>
      </c>
      <c r="P2445" t="s">
        <v>340</v>
      </c>
      <c r="Q2445" t="s">
        <v>24</v>
      </c>
    </row>
    <row r="2446" spans="1:18" hidden="1" x14ac:dyDescent="0.25">
      <c r="A2446" s="9" t="s">
        <v>899</v>
      </c>
      <c r="B2446" s="3" t="str">
        <f>CONCATENATE(E2446,"/",D2446,"/",C2446)</f>
        <v>19/1/2</v>
      </c>
      <c r="C2446" s="10">
        <v>2</v>
      </c>
      <c r="D2446" s="10">
        <v>1</v>
      </c>
      <c r="E2446" s="10">
        <v>19</v>
      </c>
      <c r="F2446" t="s">
        <v>78</v>
      </c>
      <c r="H2446" t="s">
        <v>78</v>
      </c>
      <c r="I2446" t="s">
        <v>79</v>
      </c>
      <c r="J2446">
        <v>19.010000000000002</v>
      </c>
      <c r="K2446">
        <v>48.4</v>
      </c>
      <c r="L2446">
        <v>19.010000000000002</v>
      </c>
      <c r="M2446">
        <v>920.08400000000006</v>
      </c>
      <c r="N2446" s="5">
        <v>46.347947275627583</v>
      </c>
      <c r="O2446" t="s">
        <v>103</v>
      </c>
      <c r="P2446" t="s">
        <v>340</v>
      </c>
      <c r="Q2446" t="s">
        <v>24</v>
      </c>
    </row>
    <row r="2447" spans="1:18" hidden="1" x14ac:dyDescent="0.25">
      <c r="A2447" s="9" t="s">
        <v>2172</v>
      </c>
      <c r="B2447" s="3" t="s">
        <v>2204</v>
      </c>
      <c r="C2447" s="10">
        <v>2</v>
      </c>
      <c r="D2447" s="10">
        <v>1</v>
      </c>
      <c r="E2447" s="10">
        <v>19</v>
      </c>
      <c r="F2447" t="s">
        <v>1466</v>
      </c>
      <c r="G2447" t="s">
        <v>31</v>
      </c>
      <c r="H2447" t="s">
        <v>26</v>
      </c>
      <c r="I2447" t="s">
        <v>27</v>
      </c>
      <c r="J2447" s="4">
        <v>38.6</v>
      </c>
      <c r="K2447">
        <v>1</v>
      </c>
      <c r="L2447">
        <v>38.6</v>
      </c>
      <c r="M2447">
        <v>38.6</v>
      </c>
      <c r="N2447" s="5">
        <v>1.9564115560060822</v>
      </c>
      <c r="O2447" t="s">
        <v>100</v>
      </c>
      <c r="P2447" t="s">
        <v>340</v>
      </c>
      <c r="Q2447" s="10" t="s">
        <v>24</v>
      </c>
      <c r="R2447" t="s">
        <v>2202</v>
      </c>
    </row>
    <row r="2448" spans="1:18" hidden="1" x14ac:dyDescent="0.25">
      <c r="A2448" s="9" t="s">
        <v>2172</v>
      </c>
      <c r="B2448" s="3" t="s">
        <v>2204</v>
      </c>
      <c r="C2448" s="10">
        <v>2</v>
      </c>
      <c r="D2448" s="10">
        <v>1</v>
      </c>
      <c r="E2448" s="10">
        <v>19</v>
      </c>
      <c r="F2448" t="s">
        <v>974</v>
      </c>
      <c r="G2448" t="s">
        <v>25</v>
      </c>
      <c r="H2448" t="s">
        <v>26</v>
      </c>
      <c r="I2448" t="s">
        <v>27</v>
      </c>
      <c r="J2448" s="4">
        <v>211.6</v>
      </c>
      <c r="K2448">
        <v>0.56200000000000006</v>
      </c>
      <c r="L2448">
        <v>211.6</v>
      </c>
      <c r="M2448">
        <v>118.9192</v>
      </c>
      <c r="N2448" s="5">
        <v>6.0273289406994426</v>
      </c>
      <c r="O2448" t="s">
        <v>100</v>
      </c>
      <c r="P2448" t="s">
        <v>340</v>
      </c>
      <c r="Q2448" s="10" t="s">
        <v>24</v>
      </c>
      <c r="R2448" t="s">
        <v>2202</v>
      </c>
    </row>
    <row r="2449" spans="1:18" hidden="1" x14ac:dyDescent="0.25">
      <c r="A2449" s="9" t="s">
        <v>2172</v>
      </c>
      <c r="B2449" s="3" t="s">
        <v>2204</v>
      </c>
      <c r="C2449" s="10">
        <v>2</v>
      </c>
      <c r="D2449" s="10">
        <v>1</v>
      </c>
      <c r="E2449" s="10">
        <v>19</v>
      </c>
      <c r="F2449" t="s">
        <v>2271</v>
      </c>
      <c r="G2449" t="s">
        <v>155</v>
      </c>
      <c r="H2449" t="s">
        <v>131</v>
      </c>
      <c r="I2449" t="s">
        <v>27</v>
      </c>
      <c r="J2449" s="4">
        <v>16.600000000000001</v>
      </c>
      <c r="K2449">
        <v>2</v>
      </c>
      <c r="L2449">
        <v>16.600000000000001</v>
      </c>
      <c r="M2449">
        <v>33.200000000000003</v>
      </c>
      <c r="N2449" s="5">
        <v>1.6827166751140397</v>
      </c>
      <c r="O2449" t="s">
        <v>100</v>
      </c>
      <c r="P2449" t="s">
        <v>340</v>
      </c>
      <c r="Q2449" s="10" t="s">
        <v>24</v>
      </c>
      <c r="R2449" t="s">
        <v>2202</v>
      </c>
    </row>
    <row r="2450" spans="1:18" hidden="1" x14ac:dyDescent="0.25">
      <c r="A2450" s="9" t="s">
        <v>899</v>
      </c>
      <c r="B2450" s="3" t="str">
        <f t="shared" ref="B2450:B2457" si="66">CONCATENATE(E2450,"/",D2450,"/",C2450)</f>
        <v>19/1/21</v>
      </c>
      <c r="C2450" s="10">
        <v>21</v>
      </c>
      <c r="D2450" s="10">
        <v>1</v>
      </c>
      <c r="E2450" s="10">
        <v>19</v>
      </c>
      <c r="F2450" t="s">
        <v>770</v>
      </c>
      <c r="G2450" t="s">
        <v>31</v>
      </c>
      <c r="H2450" t="s">
        <v>26</v>
      </c>
      <c r="I2450" t="s">
        <v>27</v>
      </c>
      <c r="J2450">
        <v>7.8</v>
      </c>
      <c r="K2450">
        <v>2</v>
      </c>
      <c r="L2450">
        <v>7.8</v>
      </c>
      <c r="M2450">
        <v>15.6</v>
      </c>
      <c r="N2450" s="5">
        <v>0.79067410035478958</v>
      </c>
      <c r="O2450" t="s">
        <v>101</v>
      </c>
      <c r="P2450" t="s">
        <v>340</v>
      </c>
      <c r="Q2450" s="10" t="s">
        <v>24</v>
      </c>
    </row>
    <row r="2451" spans="1:18" hidden="1" x14ac:dyDescent="0.25">
      <c r="A2451" s="9" t="s">
        <v>899</v>
      </c>
      <c r="B2451" s="3" t="str">
        <f t="shared" si="66"/>
        <v>19/1/21</v>
      </c>
      <c r="C2451" s="10">
        <v>21</v>
      </c>
      <c r="D2451" s="10">
        <v>1</v>
      </c>
      <c r="E2451" s="10">
        <v>19</v>
      </c>
      <c r="F2451" t="s">
        <v>200</v>
      </c>
      <c r="G2451" t="s">
        <v>77</v>
      </c>
      <c r="H2451" t="s">
        <v>26</v>
      </c>
      <c r="I2451" t="s">
        <v>27</v>
      </c>
      <c r="J2451">
        <v>14</v>
      </c>
      <c r="K2451">
        <v>1</v>
      </c>
      <c r="L2451">
        <v>14</v>
      </c>
      <c r="M2451">
        <v>14</v>
      </c>
      <c r="N2451" s="5">
        <v>0.70957932083122144</v>
      </c>
      <c r="O2451" t="s">
        <v>101</v>
      </c>
      <c r="P2451" t="s">
        <v>340</v>
      </c>
      <c r="Q2451" s="10" t="s">
        <v>24</v>
      </c>
    </row>
    <row r="2452" spans="1:18" hidden="1" x14ac:dyDescent="0.25">
      <c r="A2452" s="9" t="s">
        <v>899</v>
      </c>
      <c r="B2452" s="3" t="str">
        <f t="shared" si="66"/>
        <v>19/1/22</v>
      </c>
      <c r="C2452" s="10">
        <v>22</v>
      </c>
      <c r="D2452" s="10">
        <v>1</v>
      </c>
      <c r="E2452" s="10">
        <v>19</v>
      </c>
      <c r="F2452" t="s">
        <v>933</v>
      </c>
      <c r="G2452" t="s">
        <v>889</v>
      </c>
      <c r="H2452" t="s">
        <v>49</v>
      </c>
      <c r="I2452" t="s">
        <v>50</v>
      </c>
      <c r="J2452">
        <v>28.84</v>
      </c>
      <c r="K2452">
        <v>1</v>
      </c>
      <c r="L2452">
        <v>28.84</v>
      </c>
      <c r="M2452">
        <v>28.84</v>
      </c>
      <c r="N2452" s="5">
        <v>1.4617334009123162</v>
      </c>
      <c r="O2452" t="s">
        <v>39</v>
      </c>
      <c r="P2452" t="s">
        <v>340</v>
      </c>
      <c r="Q2452" s="10" t="s">
        <v>24</v>
      </c>
    </row>
    <row r="2453" spans="1:18" hidden="1" x14ac:dyDescent="0.25">
      <c r="A2453" s="9" t="s">
        <v>899</v>
      </c>
      <c r="B2453" s="3" t="str">
        <f t="shared" si="66"/>
        <v>19/1/22</v>
      </c>
      <c r="C2453" s="10">
        <v>22</v>
      </c>
      <c r="D2453" s="10">
        <v>1</v>
      </c>
      <c r="E2453" s="10">
        <v>19</v>
      </c>
      <c r="F2453" t="s">
        <v>39</v>
      </c>
      <c r="I2453" t="s">
        <v>72</v>
      </c>
      <c r="J2453">
        <v>261</v>
      </c>
      <c r="K2453">
        <v>1</v>
      </c>
      <c r="L2453">
        <v>261</v>
      </c>
      <c r="M2453">
        <v>261</v>
      </c>
      <c r="N2453" s="5">
        <v>13.228585909782057</v>
      </c>
      <c r="O2453" t="s">
        <v>39</v>
      </c>
      <c r="P2453" t="s">
        <v>340</v>
      </c>
      <c r="Q2453" s="10" t="s">
        <v>84</v>
      </c>
      <c r="R2453" t="s">
        <v>967</v>
      </c>
    </row>
    <row r="2454" spans="1:18" hidden="1" x14ac:dyDescent="0.25">
      <c r="A2454" s="9" t="s">
        <v>899</v>
      </c>
      <c r="B2454" s="3" t="str">
        <f t="shared" si="66"/>
        <v>19/1/22</v>
      </c>
      <c r="C2454" s="10">
        <v>22</v>
      </c>
      <c r="D2454" s="10">
        <v>1</v>
      </c>
      <c r="E2454" s="10">
        <v>19</v>
      </c>
      <c r="F2454" t="s">
        <v>78</v>
      </c>
      <c r="G2454" t="s">
        <v>889</v>
      </c>
      <c r="H2454" t="s">
        <v>78</v>
      </c>
      <c r="I2454" t="s">
        <v>79</v>
      </c>
      <c r="J2454">
        <v>18.690000000000001</v>
      </c>
      <c r="K2454">
        <v>51.18</v>
      </c>
      <c r="L2454">
        <v>18.690000000000001</v>
      </c>
      <c r="M2454">
        <v>956.55420000000004</v>
      </c>
      <c r="N2454" s="5">
        <v>48.482219969589458</v>
      </c>
      <c r="O2454" t="s">
        <v>80</v>
      </c>
      <c r="P2454" t="s">
        <v>340</v>
      </c>
      <c r="Q2454" s="10" t="s">
        <v>24</v>
      </c>
    </row>
    <row r="2455" spans="1:18" hidden="1" x14ac:dyDescent="0.25">
      <c r="A2455" s="9" t="s">
        <v>899</v>
      </c>
      <c r="B2455" s="3" t="str">
        <f t="shared" si="66"/>
        <v>19/1/22</v>
      </c>
      <c r="C2455" s="10">
        <v>22</v>
      </c>
      <c r="D2455" s="10">
        <v>1</v>
      </c>
      <c r="E2455" s="10">
        <v>19</v>
      </c>
      <c r="F2455" t="s">
        <v>246</v>
      </c>
      <c r="I2455" t="s">
        <v>72</v>
      </c>
      <c r="J2455">
        <v>124.32</v>
      </c>
      <c r="K2455">
        <v>1</v>
      </c>
      <c r="L2455">
        <v>124.32</v>
      </c>
      <c r="M2455">
        <v>124.32</v>
      </c>
      <c r="N2455" s="5">
        <v>6.3010643689812467</v>
      </c>
      <c r="O2455" t="s">
        <v>979</v>
      </c>
      <c r="P2455" t="s">
        <v>340</v>
      </c>
      <c r="Q2455" s="10" t="s">
        <v>24</v>
      </c>
    </row>
    <row r="2456" spans="1:18" hidden="1" x14ac:dyDescent="0.25">
      <c r="A2456" s="9" t="s">
        <v>899</v>
      </c>
      <c r="B2456" s="3" t="str">
        <f t="shared" si="66"/>
        <v>19/1/22</v>
      </c>
      <c r="C2456" s="10">
        <v>22</v>
      </c>
      <c r="D2456" s="10">
        <v>1</v>
      </c>
      <c r="E2456" s="10">
        <v>19</v>
      </c>
      <c r="F2456" t="s">
        <v>770</v>
      </c>
      <c r="G2456" t="s">
        <v>31</v>
      </c>
      <c r="H2456" t="s">
        <v>26</v>
      </c>
      <c r="I2456" t="s">
        <v>27</v>
      </c>
      <c r="J2456">
        <v>7.75</v>
      </c>
      <c r="K2456">
        <v>3</v>
      </c>
      <c r="L2456">
        <v>7.75</v>
      </c>
      <c r="M2456">
        <v>23.25</v>
      </c>
      <c r="N2456" s="5">
        <v>1.17840851495185</v>
      </c>
      <c r="O2456" t="s">
        <v>101</v>
      </c>
      <c r="P2456" t="s">
        <v>340</v>
      </c>
      <c r="Q2456" s="10" t="s">
        <v>24</v>
      </c>
    </row>
    <row r="2457" spans="1:18" hidden="1" x14ac:dyDescent="0.25">
      <c r="A2457" s="30" t="s">
        <v>899</v>
      </c>
      <c r="B2457" s="3" t="str">
        <f t="shared" si="66"/>
        <v>19/1/22</v>
      </c>
      <c r="C2457" s="31">
        <v>22</v>
      </c>
      <c r="D2457" s="31">
        <v>1</v>
      </c>
      <c r="E2457" s="31">
        <v>19</v>
      </c>
      <c r="F2457" t="s">
        <v>71</v>
      </c>
      <c r="I2457" t="s">
        <v>72</v>
      </c>
      <c r="J2457">
        <v>200</v>
      </c>
      <c r="K2457">
        <v>1</v>
      </c>
      <c r="L2457">
        <v>200</v>
      </c>
      <c r="M2457">
        <v>200</v>
      </c>
      <c r="N2457" s="5">
        <v>10.13684744044602</v>
      </c>
      <c r="O2457" t="s">
        <v>979</v>
      </c>
      <c r="P2457" s="32" t="s">
        <v>340</v>
      </c>
      <c r="Q2457" s="31" t="s">
        <v>24</v>
      </c>
      <c r="R2457" t="s">
        <v>856</v>
      </c>
    </row>
    <row r="2458" spans="1:18" hidden="1" x14ac:dyDescent="0.25">
      <c r="A2458" s="9" t="s">
        <v>899</v>
      </c>
      <c r="B2458" s="3" t="s">
        <v>1090</v>
      </c>
      <c r="C2458" s="10">
        <v>22</v>
      </c>
      <c r="D2458" s="10">
        <v>1</v>
      </c>
      <c r="E2458" s="10">
        <v>19</v>
      </c>
      <c r="F2458" t="s">
        <v>1089</v>
      </c>
      <c r="G2458" t="s">
        <v>889</v>
      </c>
      <c r="H2458" t="s">
        <v>889</v>
      </c>
      <c r="I2458" t="s">
        <v>431</v>
      </c>
      <c r="J2458" s="4">
        <v>50</v>
      </c>
      <c r="K2458">
        <v>1</v>
      </c>
      <c r="L2458">
        <v>866.90000000000009</v>
      </c>
      <c r="M2458">
        <v>866.90000000000009</v>
      </c>
      <c r="N2458" s="5">
        <v>44.108069604151829</v>
      </c>
      <c r="O2458" t="s">
        <v>39</v>
      </c>
      <c r="P2458" t="s">
        <v>340</v>
      </c>
      <c r="Q2458" s="10" t="s">
        <v>24</v>
      </c>
    </row>
    <row r="2459" spans="1:18" hidden="1" x14ac:dyDescent="0.25">
      <c r="A2459" s="9" t="s">
        <v>899</v>
      </c>
      <c r="B2459" s="3" t="s">
        <v>1090</v>
      </c>
      <c r="C2459" s="10">
        <v>22</v>
      </c>
      <c r="D2459" s="10">
        <v>1</v>
      </c>
      <c r="E2459" s="10">
        <v>19</v>
      </c>
      <c r="F2459" t="s">
        <v>1666</v>
      </c>
      <c r="G2459" t="s">
        <v>889</v>
      </c>
      <c r="H2459" t="s">
        <v>889</v>
      </c>
      <c r="I2459" t="s">
        <v>72</v>
      </c>
      <c r="J2459" s="4">
        <v>21.91</v>
      </c>
      <c r="K2459">
        <v>1</v>
      </c>
      <c r="L2459">
        <v>21.91</v>
      </c>
      <c r="M2459">
        <v>21.91</v>
      </c>
      <c r="N2459" s="5">
        <v>1.1135187580853814</v>
      </c>
      <c r="O2459" t="s">
        <v>233</v>
      </c>
      <c r="P2459" t="s">
        <v>340</v>
      </c>
      <c r="Q2459" s="10" t="s">
        <v>24</v>
      </c>
      <c r="R2459" t="s">
        <v>1852</v>
      </c>
    </row>
    <row r="2460" spans="1:18" hidden="1" x14ac:dyDescent="0.25">
      <c r="A2460" s="9" t="s">
        <v>899</v>
      </c>
      <c r="B2460" s="3" t="s">
        <v>1090</v>
      </c>
      <c r="C2460" s="10">
        <v>22</v>
      </c>
      <c r="D2460" s="10">
        <v>1</v>
      </c>
      <c r="E2460" s="10">
        <v>19</v>
      </c>
      <c r="F2460" t="s">
        <v>1666</v>
      </c>
      <c r="G2460" t="s">
        <v>889</v>
      </c>
      <c r="H2460" t="s">
        <v>889</v>
      </c>
      <c r="I2460" t="s">
        <v>72</v>
      </c>
      <c r="J2460" s="4">
        <v>44.95</v>
      </c>
      <c r="K2460">
        <v>1</v>
      </c>
      <c r="L2460">
        <v>44.95</v>
      </c>
      <c r="M2460">
        <v>44.95</v>
      </c>
      <c r="N2460" s="5">
        <v>2.2844668268342265</v>
      </c>
      <c r="O2460" t="s">
        <v>233</v>
      </c>
      <c r="P2460" t="s">
        <v>340</v>
      </c>
      <c r="Q2460" s="10" t="s">
        <v>24</v>
      </c>
      <c r="R2460" t="s">
        <v>1851</v>
      </c>
    </row>
    <row r="2461" spans="1:18" hidden="1" x14ac:dyDescent="0.25">
      <c r="A2461" s="9" t="s">
        <v>899</v>
      </c>
      <c r="B2461" s="3" t="s">
        <v>1090</v>
      </c>
      <c r="C2461" s="10">
        <v>22</v>
      </c>
      <c r="D2461" s="10">
        <v>1</v>
      </c>
      <c r="E2461" s="10">
        <v>19</v>
      </c>
      <c r="F2461" t="s">
        <v>39</v>
      </c>
      <c r="G2461" t="s">
        <v>889</v>
      </c>
      <c r="H2461" t="s">
        <v>889</v>
      </c>
      <c r="I2461" t="s">
        <v>72</v>
      </c>
      <c r="J2461" s="4">
        <v>9.66</v>
      </c>
      <c r="K2461">
        <v>2</v>
      </c>
      <c r="L2461">
        <v>9.66</v>
      </c>
      <c r="M2461">
        <v>19.32</v>
      </c>
      <c r="N2461" s="5">
        <v>0.98188874514877089</v>
      </c>
      <c r="O2461" t="s">
        <v>233</v>
      </c>
      <c r="P2461" t="s">
        <v>340</v>
      </c>
      <c r="Q2461" s="10" t="s">
        <v>24</v>
      </c>
      <c r="R2461" t="s">
        <v>1847</v>
      </c>
    </row>
    <row r="2462" spans="1:18" hidden="1" x14ac:dyDescent="0.25">
      <c r="A2462" s="9" t="s">
        <v>899</v>
      </c>
      <c r="B2462" s="3" t="str">
        <f t="shared" ref="B2462:B2471" si="67">CONCATENATE(E2462,"/",D2462,"/",C2462)</f>
        <v>19/1/23</v>
      </c>
      <c r="C2462" s="10">
        <v>23</v>
      </c>
      <c r="D2462" s="10">
        <v>1</v>
      </c>
      <c r="E2462" s="10">
        <v>19</v>
      </c>
      <c r="F2462" t="s">
        <v>104</v>
      </c>
      <c r="I2462" t="s">
        <v>72</v>
      </c>
      <c r="J2462">
        <v>8.4</v>
      </c>
      <c r="K2462">
        <v>2</v>
      </c>
      <c r="L2462">
        <v>8.4</v>
      </c>
      <c r="M2462">
        <v>16.8</v>
      </c>
      <c r="N2462" s="5">
        <v>0.85149518499746579</v>
      </c>
      <c r="O2462" t="s">
        <v>1659</v>
      </c>
      <c r="P2462" t="s">
        <v>340</v>
      </c>
      <c r="Q2462" s="10" t="s">
        <v>24</v>
      </c>
      <c r="R2462" t="s">
        <v>973</v>
      </c>
    </row>
    <row r="2463" spans="1:18" hidden="1" x14ac:dyDescent="0.25">
      <c r="A2463" s="9" t="s">
        <v>899</v>
      </c>
      <c r="B2463" s="3" t="str">
        <f t="shared" si="67"/>
        <v>19/1/23</v>
      </c>
      <c r="C2463" s="10">
        <v>23</v>
      </c>
      <c r="D2463" s="10">
        <v>1</v>
      </c>
      <c r="E2463" s="10">
        <v>19</v>
      </c>
      <c r="F2463" t="s">
        <v>770</v>
      </c>
      <c r="G2463" t="s">
        <v>31</v>
      </c>
      <c r="H2463" t="s">
        <v>26</v>
      </c>
      <c r="I2463" t="s">
        <v>27</v>
      </c>
      <c r="J2463">
        <v>7.75</v>
      </c>
      <c r="K2463">
        <v>1</v>
      </c>
      <c r="L2463">
        <v>7.75</v>
      </c>
      <c r="M2463">
        <v>7.75</v>
      </c>
      <c r="N2463" s="5">
        <v>0.3928028383172833</v>
      </c>
      <c r="O2463" t="s">
        <v>101</v>
      </c>
      <c r="P2463" t="s">
        <v>340</v>
      </c>
      <c r="Q2463" s="10" t="s">
        <v>24</v>
      </c>
    </row>
    <row r="2464" spans="1:18" hidden="1" x14ac:dyDescent="0.25">
      <c r="A2464" s="9" t="s">
        <v>899</v>
      </c>
      <c r="B2464" s="3" t="str">
        <f t="shared" si="67"/>
        <v>19/1/23</v>
      </c>
      <c r="C2464" s="10">
        <v>23</v>
      </c>
      <c r="D2464" s="10">
        <v>1</v>
      </c>
      <c r="E2464" s="10">
        <v>19</v>
      </c>
      <c r="F2464" t="s">
        <v>865</v>
      </c>
      <c r="G2464" t="s">
        <v>31</v>
      </c>
      <c r="H2464" t="s">
        <v>26</v>
      </c>
      <c r="I2464" t="s">
        <v>27</v>
      </c>
      <c r="J2464">
        <v>6.75</v>
      </c>
      <c r="K2464">
        <v>2</v>
      </c>
      <c r="L2464">
        <v>6.75</v>
      </c>
      <c r="M2464">
        <v>13.5</v>
      </c>
      <c r="N2464" s="5">
        <v>0.68423720223010642</v>
      </c>
      <c r="O2464" t="s">
        <v>101</v>
      </c>
      <c r="P2464" t="s">
        <v>340</v>
      </c>
      <c r="Q2464" s="10" t="s">
        <v>24</v>
      </c>
    </row>
    <row r="2465" spans="1:18" hidden="1" x14ac:dyDescent="0.25">
      <c r="A2465" s="9" t="s">
        <v>899</v>
      </c>
      <c r="B2465" s="3" t="str">
        <f t="shared" si="67"/>
        <v>19/1/23</v>
      </c>
      <c r="C2465" s="10">
        <v>23</v>
      </c>
      <c r="D2465" s="10">
        <v>1</v>
      </c>
      <c r="E2465" s="10">
        <v>19</v>
      </c>
      <c r="F2465" t="s">
        <v>933</v>
      </c>
      <c r="I2465" t="s">
        <v>72</v>
      </c>
      <c r="J2465">
        <v>150</v>
      </c>
      <c r="K2465">
        <v>1</v>
      </c>
      <c r="L2465">
        <v>150</v>
      </c>
      <c r="M2465">
        <v>150</v>
      </c>
      <c r="N2465" s="5">
        <v>7.5560406347074149</v>
      </c>
      <c r="O2465" t="s">
        <v>39</v>
      </c>
      <c r="P2465" t="s">
        <v>340</v>
      </c>
      <c r="Q2465" s="10" t="s">
        <v>24</v>
      </c>
    </row>
    <row r="2466" spans="1:18" hidden="1" x14ac:dyDescent="0.25">
      <c r="A2466" s="30" t="s">
        <v>899</v>
      </c>
      <c r="B2466" s="3" t="str">
        <f t="shared" si="67"/>
        <v>19/1/23</v>
      </c>
      <c r="C2466" s="31">
        <v>23</v>
      </c>
      <c r="D2466" s="31">
        <v>1</v>
      </c>
      <c r="E2466" s="31">
        <v>19</v>
      </c>
      <c r="F2466" t="s">
        <v>102</v>
      </c>
      <c r="H2466" t="s">
        <v>102</v>
      </c>
      <c r="I2466" s="34" t="s">
        <v>27</v>
      </c>
      <c r="J2466" s="32">
        <v>50</v>
      </c>
      <c r="K2466" s="32">
        <v>1</v>
      </c>
      <c r="L2466" s="32">
        <v>50</v>
      </c>
      <c r="M2466" s="32">
        <v>50</v>
      </c>
      <c r="N2466" s="33">
        <v>2.5342118601115051</v>
      </c>
      <c r="O2466" s="32" t="s">
        <v>39</v>
      </c>
      <c r="P2466" s="32" t="s">
        <v>340</v>
      </c>
      <c r="Q2466" s="31" t="s">
        <v>24</v>
      </c>
      <c r="R2466" s="32" t="s">
        <v>966</v>
      </c>
    </row>
    <row r="2467" spans="1:18" hidden="1" x14ac:dyDescent="0.25">
      <c r="A2467" s="9" t="s">
        <v>899</v>
      </c>
      <c r="B2467" s="3" t="str">
        <f t="shared" si="67"/>
        <v>19/1/24</v>
      </c>
      <c r="C2467" s="10">
        <v>24</v>
      </c>
      <c r="D2467" s="10">
        <v>1</v>
      </c>
      <c r="E2467" s="10">
        <v>19</v>
      </c>
      <c r="F2467" t="s">
        <v>75</v>
      </c>
      <c r="G2467" t="s">
        <v>889</v>
      </c>
      <c r="H2467" t="s">
        <v>65</v>
      </c>
      <c r="I2467" t="s">
        <v>27</v>
      </c>
      <c r="J2467">
        <v>10</v>
      </c>
      <c r="K2467">
        <v>3</v>
      </c>
      <c r="L2467">
        <v>10</v>
      </c>
      <c r="M2467">
        <v>30</v>
      </c>
      <c r="N2467" s="5">
        <v>1.5205271160669032</v>
      </c>
      <c r="O2467" t="s">
        <v>101</v>
      </c>
      <c r="P2467" t="s">
        <v>340</v>
      </c>
      <c r="Q2467" s="10" t="s">
        <v>24</v>
      </c>
    </row>
    <row r="2468" spans="1:18" hidden="1" x14ac:dyDescent="0.25">
      <c r="A2468" s="9" t="s">
        <v>899</v>
      </c>
      <c r="B2468" s="3" t="str">
        <f t="shared" si="67"/>
        <v>19/1/24</v>
      </c>
      <c r="C2468" s="10">
        <v>24</v>
      </c>
      <c r="D2468" s="10">
        <v>1</v>
      </c>
      <c r="E2468" s="10">
        <v>19</v>
      </c>
      <c r="F2468" t="s">
        <v>770</v>
      </c>
      <c r="G2468" t="s">
        <v>31</v>
      </c>
      <c r="H2468" t="s">
        <v>26</v>
      </c>
      <c r="I2468" t="s">
        <v>27</v>
      </c>
      <c r="J2468">
        <v>7.75</v>
      </c>
      <c r="K2468">
        <v>2</v>
      </c>
      <c r="L2468">
        <v>7.75</v>
      </c>
      <c r="M2468">
        <v>15.5</v>
      </c>
      <c r="N2468" s="5">
        <v>0.7856056766345666</v>
      </c>
      <c r="O2468" t="s">
        <v>101</v>
      </c>
      <c r="P2468" t="s">
        <v>340</v>
      </c>
      <c r="Q2468" s="10" t="s">
        <v>24</v>
      </c>
    </row>
    <row r="2469" spans="1:18" hidden="1" x14ac:dyDescent="0.25">
      <c r="A2469" s="9" t="s">
        <v>899</v>
      </c>
      <c r="B2469" s="3" t="str">
        <f t="shared" si="67"/>
        <v>19/1/24</v>
      </c>
      <c r="C2469" s="10">
        <v>24</v>
      </c>
      <c r="D2469" s="10">
        <v>1</v>
      </c>
      <c r="E2469" s="10">
        <v>19</v>
      </c>
      <c r="F2469" t="s">
        <v>55</v>
      </c>
      <c r="H2469" t="s">
        <v>56</v>
      </c>
      <c r="I2469" t="s">
        <v>27</v>
      </c>
      <c r="J2469">
        <v>29.99</v>
      </c>
      <c r="K2469">
        <v>1.04</v>
      </c>
      <c r="L2469">
        <v>29.99</v>
      </c>
      <c r="M2469">
        <v>31.189599999999999</v>
      </c>
      <c r="N2469" s="5">
        <v>1.580821084642676</v>
      </c>
      <c r="O2469" t="s">
        <v>101</v>
      </c>
      <c r="P2469" t="s">
        <v>340</v>
      </c>
      <c r="Q2469" s="10" t="s">
        <v>24</v>
      </c>
    </row>
    <row r="2470" spans="1:18" hidden="1" x14ac:dyDescent="0.25">
      <c r="A2470" s="9" t="s">
        <v>899</v>
      </c>
      <c r="B2470" s="3" t="str">
        <f t="shared" si="67"/>
        <v>19/1/24</v>
      </c>
      <c r="C2470" s="10">
        <v>24</v>
      </c>
      <c r="D2470" s="10">
        <v>1</v>
      </c>
      <c r="E2470" s="10">
        <v>19</v>
      </c>
      <c r="F2470" t="s">
        <v>146</v>
      </c>
      <c r="H2470" t="s">
        <v>49</v>
      </c>
      <c r="I2470" t="s">
        <v>50</v>
      </c>
      <c r="J2470">
        <v>0.5</v>
      </c>
      <c r="K2470">
        <v>1</v>
      </c>
      <c r="L2470">
        <v>0.5</v>
      </c>
      <c r="M2470">
        <v>0.5</v>
      </c>
      <c r="N2470" s="5">
        <v>2.5342118601115054E-2</v>
      </c>
      <c r="O2470" t="s">
        <v>101</v>
      </c>
      <c r="P2470" t="s">
        <v>340</v>
      </c>
      <c r="Q2470" s="10" t="s">
        <v>24</v>
      </c>
    </row>
    <row r="2471" spans="1:18" hidden="1" x14ac:dyDescent="0.25">
      <c r="A2471" s="9" t="s">
        <v>899</v>
      </c>
      <c r="B2471" s="3" t="str">
        <f t="shared" si="67"/>
        <v>19/1/24</v>
      </c>
      <c r="C2471" s="10">
        <v>24</v>
      </c>
      <c r="D2471" s="10">
        <v>1</v>
      </c>
      <c r="E2471" s="10">
        <v>19</v>
      </c>
      <c r="F2471" t="s">
        <v>981</v>
      </c>
      <c r="G2471" t="s">
        <v>31</v>
      </c>
      <c r="H2471" t="s">
        <v>26</v>
      </c>
      <c r="I2471" t="s">
        <v>27</v>
      </c>
      <c r="J2471">
        <v>9.5</v>
      </c>
      <c r="K2471">
        <v>2</v>
      </c>
      <c r="L2471">
        <v>9.5</v>
      </c>
      <c r="M2471">
        <v>19</v>
      </c>
      <c r="N2471" s="5">
        <v>0.96300050684237204</v>
      </c>
      <c r="O2471" t="s">
        <v>101</v>
      </c>
      <c r="P2471" t="s">
        <v>340</v>
      </c>
      <c r="Q2471" s="10" t="s">
        <v>24</v>
      </c>
    </row>
    <row r="2472" spans="1:18" hidden="1" x14ac:dyDescent="0.25">
      <c r="A2472" s="9" t="s">
        <v>899</v>
      </c>
      <c r="B2472" s="3" t="s">
        <v>1916</v>
      </c>
      <c r="C2472" s="10">
        <v>24</v>
      </c>
      <c r="D2472" s="10">
        <v>1</v>
      </c>
      <c r="E2472" s="10">
        <v>19</v>
      </c>
      <c r="F2472" t="s">
        <v>708</v>
      </c>
      <c r="G2472" t="s">
        <v>708</v>
      </c>
      <c r="H2472" t="s">
        <v>131</v>
      </c>
      <c r="I2472" t="s">
        <v>27</v>
      </c>
      <c r="J2472" s="4">
        <v>57.6</v>
      </c>
      <c r="K2472">
        <v>2</v>
      </c>
      <c r="L2472">
        <v>57.6</v>
      </c>
      <c r="M2472">
        <v>115.2</v>
      </c>
      <c r="N2472" s="5">
        <v>5.8547403437442238</v>
      </c>
      <c r="O2472" t="s">
        <v>100</v>
      </c>
      <c r="P2472" t="s">
        <v>340</v>
      </c>
      <c r="Q2472" s="10" t="s">
        <v>24</v>
      </c>
    </row>
    <row r="2473" spans="1:18" hidden="1" x14ac:dyDescent="0.25">
      <c r="A2473" s="9" t="s">
        <v>899</v>
      </c>
      <c r="B2473" s="3" t="s">
        <v>1916</v>
      </c>
      <c r="C2473" s="10">
        <v>24</v>
      </c>
      <c r="D2473" s="10">
        <v>1</v>
      </c>
      <c r="E2473" s="10">
        <v>19</v>
      </c>
      <c r="F2473" t="s">
        <v>708</v>
      </c>
      <c r="G2473" t="s">
        <v>708</v>
      </c>
      <c r="H2473" t="s">
        <v>131</v>
      </c>
      <c r="I2473" t="s">
        <v>27</v>
      </c>
      <c r="J2473" s="4">
        <v>31</v>
      </c>
      <c r="K2473">
        <v>1</v>
      </c>
      <c r="L2473">
        <v>31</v>
      </c>
      <c r="M2473">
        <v>31</v>
      </c>
      <c r="N2473" s="5">
        <v>1.5754943633339491</v>
      </c>
      <c r="O2473" t="s">
        <v>100</v>
      </c>
      <c r="P2473" t="s">
        <v>340</v>
      </c>
      <c r="Q2473" s="10" t="s">
        <v>24</v>
      </c>
    </row>
    <row r="2474" spans="1:18" hidden="1" x14ac:dyDescent="0.25">
      <c r="A2474" s="9" t="s">
        <v>899</v>
      </c>
      <c r="B2474" s="3" t="s">
        <v>1916</v>
      </c>
      <c r="C2474" s="10">
        <v>24</v>
      </c>
      <c r="D2474" s="10">
        <v>1</v>
      </c>
      <c r="E2474" s="10">
        <v>19</v>
      </c>
      <c r="F2474" t="s">
        <v>802</v>
      </c>
      <c r="G2474" t="s">
        <v>708</v>
      </c>
      <c r="H2474" t="s">
        <v>1612</v>
      </c>
      <c r="I2474" t="s">
        <v>27</v>
      </c>
      <c r="J2474" s="4">
        <v>128</v>
      </c>
      <c r="K2474">
        <v>0.314</v>
      </c>
      <c r="L2474">
        <v>128</v>
      </c>
      <c r="M2474">
        <v>40.192</v>
      </c>
      <c r="N2474" s="5">
        <v>2.0426538532618737</v>
      </c>
      <c r="O2474" t="s">
        <v>100</v>
      </c>
      <c r="P2474" t="s">
        <v>340</v>
      </c>
      <c r="Q2474" s="10" t="s">
        <v>24</v>
      </c>
    </row>
    <row r="2475" spans="1:18" hidden="1" x14ac:dyDescent="0.25">
      <c r="A2475" s="9" t="s">
        <v>899</v>
      </c>
      <c r="B2475" s="3" t="s">
        <v>1916</v>
      </c>
      <c r="C2475" s="10">
        <v>24</v>
      </c>
      <c r="D2475" s="10">
        <v>1</v>
      </c>
      <c r="E2475" s="10">
        <v>19</v>
      </c>
      <c r="F2475" t="s">
        <v>906</v>
      </c>
      <c r="G2475" t="s">
        <v>889</v>
      </c>
      <c r="H2475" t="s">
        <v>65</v>
      </c>
      <c r="I2475" t="s">
        <v>27</v>
      </c>
      <c r="J2475" s="4">
        <v>34.700000000000003</v>
      </c>
      <c r="K2475">
        <v>2</v>
      </c>
      <c r="L2475">
        <v>34.700000000000003</v>
      </c>
      <c r="M2475">
        <v>69.400000000000006</v>
      </c>
      <c r="N2475" s="5">
        <v>3.5270744779153573</v>
      </c>
      <c r="O2475" t="s">
        <v>100</v>
      </c>
      <c r="P2475" t="s">
        <v>340</v>
      </c>
      <c r="Q2475" s="10" t="s">
        <v>24</v>
      </c>
    </row>
    <row r="2476" spans="1:18" hidden="1" x14ac:dyDescent="0.25">
      <c r="A2476" s="9" t="s">
        <v>899</v>
      </c>
      <c r="B2476" s="3" t="s">
        <v>1916</v>
      </c>
      <c r="C2476" s="10">
        <v>24</v>
      </c>
      <c r="D2476" s="10">
        <v>1</v>
      </c>
      <c r="E2476" s="10">
        <v>19</v>
      </c>
      <c r="F2476" t="s">
        <v>586</v>
      </c>
      <c r="G2476" t="s">
        <v>31</v>
      </c>
      <c r="H2476" t="s">
        <v>26</v>
      </c>
      <c r="I2476" t="s">
        <v>27</v>
      </c>
      <c r="J2476" s="4">
        <v>5.2</v>
      </c>
      <c r="K2476">
        <v>2</v>
      </c>
      <c r="L2476">
        <v>5.2</v>
      </c>
      <c r="M2476">
        <v>10.4</v>
      </c>
      <c r="N2476" s="5">
        <v>0.5285529476991313</v>
      </c>
      <c r="O2476" t="s">
        <v>100</v>
      </c>
      <c r="P2476" t="s">
        <v>340</v>
      </c>
      <c r="Q2476" s="10" t="s">
        <v>24</v>
      </c>
    </row>
    <row r="2477" spans="1:18" hidden="1" x14ac:dyDescent="0.25">
      <c r="A2477" s="9" t="s">
        <v>899</v>
      </c>
      <c r="B2477" s="3" t="s">
        <v>1916</v>
      </c>
      <c r="C2477" s="10">
        <v>24</v>
      </c>
      <c r="D2477" s="10">
        <v>1</v>
      </c>
      <c r="E2477" s="10">
        <v>19</v>
      </c>
      <c r="F2477" t="s">
        <v>25</v>
      </c>
      <c r="G2477" t="s">
        <v>25</v>
      </c>
      <c r="H2477" t="s">
        <v>26</v>
      </c>
      <c r="I2477" t="s">
        <v>27</v>
      </c>
      <c r="J2477" s="4">
        <v>27.6</v>
      </c>
      <c r="K2477">
        <v>1</v>
      </c>
      <c r="L2477">
        <v>27.6</v>
      </c>
      <c r="M2477">
        <v>27.6</v>
      </c>
      <c r="N2477" s="5">
        <v>1.4026982073553871</v>
      </c>
      <c r="O2477" t="s">
        <v>100</v>
      </c>
      <c r="P2477" t="s">
        <v>340</v>
      </c>
      <c r="Q2477" s="10" t="s">
        <v>24</v>
      </c>
    </row>
    <row r="2478" spans="1:18" hidden="1" x14ac:dyDescent="0.25">
      <c r="A2478" s="9" t="s">
        <v>899</v>
      </c>
      <c r="B2478" s="3" t="s">
        <v>1916</v>
      </c>
      <c r="C2478" s="10">
        <v>24</v>
      </c>
      <c r="D2478" s="10">
        <v>1</v>
      </c>
      <c r="E2478" s="10">
        <v>19</v>
      </c>
      <c r="F2478" t="s">
        <v>118</v>
      </c>
      <c r="G2478" t="s">
        <v>889</v>
      </c>
      <c r="H2478" t="s">
        <v>40</v>
      </c>
      <c r="I2478" t="s">
        <v>27</v>
      </c>
      <c r="J2478" s="4">
        <v>10</v>
      </c>
      <c r="K2478">
        <v>1</v>
      </c>
      <c r="L2478">
        <v>10</v>
      </c>
      <c r="M2478">
        <v>10</v>
      </c>
      <c r="N2478" s="5">
        <v>0.50822398817224168</v>
      </c>
      <c r="O2478" t="s">
        <v>100</v>
      </c>
      <c r="P2478" t="s">
        <v>340</v>
      </c>
      <c r="Q2478" s="10" t="s">
        <v>24</v>
      </c>
    </row>
    <row r="2479" spans="1:18" hidden="1" x14ac:dyDescent="0.25">
      <c r="A2479" s="9" t="s">
        <v>899</v>
      </c>
      <c r="B2479" s="3" t="str">
        <f>CONCATENATE(E2479,"/",D2479,"/",C2479)</f>
        <v>19/1/26</v>
      </c>
      <c r="C2479" s="10">
        <v>26</v>
      </c>
      <c r="D2479" s="10">
        <v>1</v>
      </c>
      <c r="E2479" s="10">
        <v>19</v>
      </c>
      <c r="F2479" t="s">
        <v>75</v>
      </c>
      <c r="G2479" t="s">
        <v>889</v>
      </c>
      <c r="H2479" t="s">
        <v>65</v>
      </c>
      <c r="I2479" t="s">
        <v>27</v>
      </c>
      <c r="J2479">
        <v>10</v>
      </c>
      <c r="K2479">
        <v>2</v>
      </c>
      <c r="L2479">
        <v>10</v>
      </c>
      <c r="M2479">
        <v>20</v>
      </c>
      <c r="N2479" s="5">
        <v>1.0136847440446022</v>
      </c>
      <c r="O2479" t="s">
        <v>101</v>
      </c>
      <c r="P2479" t="s">
        <v>340</v>
      </c>
      <c r="Q2479" s="10" t="s">
        <v>24</v>
      </c>
    </row>
    <row r="2480" spans="1:18" hidden="1" x14ac:dyDescent="0.25">
      <c r="A2480" s="9" t="s">
        <v>899</v>
      </c>
      <c r="B2480" s="3" t="str">
        <f>CONCATENATE(E2480,"/",D2480,"/",C2480)</f>
        <v>19/1/26</v>
      </c>
      <c r="C2480" s="10">
        <v>26</v>
      </c>
      <c r="D2480" s="10">
        <v>1</v>
      </c>
      <c r="E2480" s="10">
        <v>19</v>
      </c>
      <c r="F2480" t="s">
        <v>1490</v>
      </c>
      <c r="G2480" t="s">
        <v>31</v>
      </c>
      <c r="H2480" t="s">
        <v>26</v>
      </c>
      <c r="I2480" t="s">
        <v>27</v>
      </c>
      <c r="J2480">
        <v>16.7</v>
      </c>
      <c r="K2480">
        <v>2</v>
      </c>
      <c r="L2480">
        <v>16.7</v>
      </c>
      <c r="M2480">
        <v>33.4</v>
      </c>
      <c r="N2480" s="5">
        <v>1.6928535225544854</v>
      </c>
      <c r="O2480" t="s">
        <v>101</v>
      </c>
      <c r="P2480" t="s">
        <v>340</v>
      </c>
      <c r="Q2480" s="10" t="s">
        <v>24</v>
      </c>
    </row>
    <row r="2481" spans="1:18" hidden="1" x14ac:dyDescent="0.25">
      <c r="A2481" s="9" t="s">
        <v>899</v>
      </c>
      <c r="B2481" s="3" t="str">
        <f>CONCATENATE(E2481,"/",D2481,"/",C2481)</f>
        <v>19/1/26</v>
      </c>
      <c r="C2481" s="10">
        <v>26</v>
      </c>
      <c r="D2481" s="10">
        <v>1</v>
      </c>
      <c r="E2481" s="10">
        <v>19</v>
      </c>
      <c r="F2481" t="s">
        <v>982</v>
      </c>
      <c r="G2481" t="s">
        <v>889</v>
      </c>
      <c r="H2481" t="s">
        <v>39</v>
      </c>
      <c r="I2481" t="s">
        <v>27</v>
      </c>
      <c r="J2481">
        <v>11.7</v>
      </c>
      <c r="K2481">
        <v>1</v>
      </c>
      <c r="L2481">
        <v>11.7</v>
      </c>
      <c r="M2481">
        <v>11.7</v>
      </c>
      <c r="N2481" s="5">
        <v>0.59300557526609221</v>
      </c>
      <c r="O2481" t="s">
        <v>101</v>
      </c>
      <c r="P2481" t="s">
        <v>340</v>
      </c>
      <c r="Q2481" s="10" t="s">
        <v>24</v>
      </c>
    </row>
    <row r="2482" spans="1:18" hidden="1" x14ac:dyDescent="0.25">
      <c r="A2482" s="9" t="s">
        <v>899</v>
      </c>
      <c r="B2482" s="3" t="s">
        <v>1915</v>
      </c>
      <c r="C2482" s="10">
        <v>26</v>
      </c>
      <c r="D2482" s="10">
        <v>1</v>
      </c>
      <c r="E2482" s="10">
        <v>19</v>
      </c>
      <c r="F2482" t="s">
        <v>1468</v>
      </c>
      <c r="G2482" t="s">
        <v>889</v>
      </c>
      <c r="H2482" t="s">
        <v>56</v>
      </c>
      <c r="I2482" t="s">
        <v>27</v>
      </c>
      <c r="J2482" s="4">
        <v>12.6</v>
      </c>
      <c r="K2482">
        <v>4</v>
      </c>
      <c r="L2482">
        <v>12.6</v>
      </c>
      <c r="M2482">
        <v>50.4</v>
      </c>
      <c r="N2482" s="5">
        <v>2.5614489003880978</v>
      </c>
      <c r="O2482" t="s">
        <v>100</v>
      </c>
      <c r="P2482" t="s">
        <v>340</v>
      </c>
      <c r="Q2482" s="10" t="s">
        <v>24</v>
      </c>
      <c r="R2482">
        <v>0.1</v>
      </c>
    </row>
    <row r="2483" spans="1:18" hidden="1" x14ac:dyDescent="0.25">
      <c r="A2483" s="9" t="s">
        <v>899</v>
      </c>
      <c r="B2483" s="3" t="s">
        <v>1915</v>
      </c>
      <c r="C2483" s="10">
        <v>26</v>
      </c>
      <c r="D2483" s="10">
        <v>1</v>
      </c>
      <c r="E2483" s="10">
        <v>19</v>
      </c>
      <c r="F2483" t="s">
        <v>372</v>
      </c>
      <c r="G2483" t="s">
        <v>373</v>
      </c>
      <c r="H2483" t="s">
        <v>65</v>
      </c>
      <c r="I2483" t="s">
        <v>27</v>
      </c>
      <c r="J2483" s="4">
        <v>9</v>
      </c>
      <c r="K2483">
        <v>3</v>
      </c>
      <c r="L2483">
        <v>9</v>
      </c>
      <c r="M2483">
        <v>27</v>
      </c>
      <c r="N2483" s="5">
        <v>1.3722047680650524</v>
      </c>
      <c r="O2483" t="s">
        <v>100</v>
      </c>
      <c r="P2483" t="s">
        <v>340</v>
      </c>
      <c r="Q2483" s="10" t="s">
        <v>24</v>
      </c>
    </row>
    <row r="2484" spans="1:18" hidden="1" x14ac:dyDescent="0.25">
      <c r="A2484" s="9" t="s">
        <v>899</v>
      </c>
      <c r="B2484" s="3" t="s">
        <v>1915</v>
      </c>
      <c r="C2484" s="10">
        <v>26</v>
      </c>
      <c r="D2484" s="10">
        <v>1</v>
      </c>
      <c r="E2484" s="10">
        <v>19</v>
      </c>
      <c r="F2484" t="s">
        <v>656</v>
      </c>
      <c r="G2484" t="s">
        <v>33</v>
      </c>
      <c r="H2484" t="s">
        <v>35</v>
      </c>
      <c r="I2484" t="s">
        <v>27</v>
      </c>
      <c r="J2484" s="4">
        <v>103.6</v>
      </c>
      <c r="K2484">
        <v>0.48199999999999998</v>
      </c>
      <c r="L2484">
        <v>103.6</v>
      </c>
      <c r="M2484">
        <v>49.935199999999995</v>
      </c>
      <c r="N2484" s="5">
        <v>2.5378266494178519</v>
      </c>
      <c r="O2484" t="s">
        <v>100</v>
      </c>
      <c r="P2484" t="s">
        <v>340</v>
      </c>
      <c r="Q2484" s="10" t="s">
        <v>24</v>
      </c>
    </row>
    <row r="2485" spans="1:18" hidden="1" x14ac:dyDescent="0.25">
      <c r="A2485" s="9" t="s">
        <v>899</v>
      </c>
      <c r="B2485" s="3" t="s">
        <v>1915</v>
      </c>
      <c r="C2485" s="10">
        <v>26</v>
      </c>
      <c r="D2485" s="10">
        <v>1</v>
      </c>
      <c r="E2485" s="10">
        <v>19</v>
      </c>
      <c r="F2485" t="s">
        <v>1185</v>
      </c>
      <c r="G2485" t="s">
        <v>889</v>
      </c>
      <c r="H2485" t="s">
        <v>73</v>
      </c>
      <c r="I2485" t="s">
        <v>27</v>
      </c>
      <c r="J2485" s="4">
        <v>29.6</v>
      </c>
      <c r="K2485">
        <v>1</v>
      </c>
      <c r="L2485">
        <v>29.6</v>
      </c>
      <c r="M2485">
        <v>29.6</v>
      </c>
      <c r="N2485" s="5">
        <v>1.5043430049898354</v>
      </c>
      <c r="O2485" t="s">
        <v>100</v>
      </c>
      <c r="P2485" t="s">
        <v>340</v>
      </c>
      <c r="Q2485" s="10" t="s">
        <v>24</v>
      </c>
    </row>
    <row r="2486" spans="1:18" hidden="1" x14ac:dyDescent="0.25">
      <c r="A2486" s="9" t="s">
        <v>899</v>
      </c>
      <c r="B2486" s="3" t="s">
        <v>1915</v>
      </c>
      <c r="C2486" s="10">
        <v>26</v>
      </c>
      <c r="D2486" s="10">
        <v>1</v>
      </c>
      <c r="E2486" s="10">
        <v>19</v>
      </c>
      <c r="F2486" t="s">
        <v>1793</v>
      </c>
      <c r="G2486" t="s">
        <v>889</v>
      </c>
      <c r="H2486" t="s">
        <v>65</v>
      </c>
      <c r="I2486" t="s">
        <v>27</v>
      </c>
      <c r="J2486" s="4">
        <v>10.75</v>
      </c>
      <c r="K2486">
        <v>4</v>
      </c>
      <c r="L2486">
        <v>10.75</v>
      </c>
      <c r="M2486">
        <v>43</v>
      </c>
      <c r="N2486" s="5">
        <v>2.1853631491406391</v>
      </c>
      <c r="O2486" t="s">
        <v>100</v>
      </c>
      <c r="P2486" t="s">
        <v>340</v>
      </c>
      <c r="Q2486" s="10" t="s">
        <v>24</v>
      </c>
    </row>
    <row r="2487" spans="1:18" hidden="1" x14ac:dyDescent="0.25">
      <c r="A2487" s="9" t="s">
        <v>899</v>
      </c>
      <c r="B2487" s="3" t="s">
        <v>1915</v>
      </c>
      <c r="C2487" s="10">
        <v>26</v>
      </c>
      <c r="D2487" s="10">
        <v>1</v>
      </c>
      <c r="E2487" s="10">
        <v>19</v>
      </c>
      <c r="F2487" t="s">
        <v>25</v>
      </c>
      <c r="G2487" t="s">
        <v>25</v>
      </c>
      <c r="H2487" t="s">
        <v>26</v>
      </c>
      <c r="I2487" t="s">
        <v>27</v>
      </c>
      <c r="J2487" s="4">
        <v>35.950000000000003</v>
      </c>
      <c r="K2487">
        <v>1</v>
      </c>
      <c r="L2487">
        <v>35.950000000000003</v>
      </c>
      <c r="M2487">
        <v>35.950000000000003</v>
      </c>
      <c r="N2487" s="5">
        <v>1.8270652374792089</v>
      </c>
      <c r="O2487" t="s">
        <v>100</v>
      </c>
      <c r="P2487" t="s">
        <v>340</v>
      </c>
      <c r="Q2487" s="10" t="s">
        <v>24</v>
      </c>
    </row>
    <row r="2488" spans="1:18" hidden="1" x14ac:dyDescent="0.25">
      <c r="A2488" s="9" t="s">
        <v>899</v>
      </c>
      <c r="B2488" s="3" t="s">
        <v>1915</v>
      </c>
      <c r="C2488" s="10">
        <v>26</v>
      </c>
      <c r="D2488" s="10">
        <v>1</v>
      </c>
      <c r="E2488" s="10">
        <v>19</v>
      </c>
      <c r="F2488" t="s">
        <v>802</v>
      </c>
      <c r="G2488" t="s">
        <v>708</v>
      </c>
      <c r="H2488" t="s">
        <v>1612</v>
      </c>
      <c r="I2488" t="s">
        <v>27</v>
      </c>
      <c r="J2488" s="4">
        <v>128</v>
      </c>
      <c r="K2488">
        <v>0.246</v>
      </c>
      <c r="L2488">
        <v>128</v>
      </c>
      <c r="M2488">
        <v>31.488</v>
      </c>
      <c r="N2488" s="5">
        <v>1.6002956939567545</v>
      </c>
      <c r="O2488" t="s">
        <v>100</v>
      </c>
      <c r="P2488" t="s">
        <v>340</v>
      </c>
      <c r="Q2488" s="10" t="s">
        <v>24</v>
      </c>
    </row>
    <row r="2489" spans="1:18" hidden="1" x14ac:dyDescent="0.25">
      <c r="A2489" s="9" t="s">
        <v>899</v>
      </c>
      <c r="B2489" s="3" t="s">
        <v>1915</v>
      </c>
      <c r="C2489" s="10">
        <v>26</v>
      </c>
      <c r="D2489" s="10">
        <v>1</v>
      </c>
      <c r="E2489" s="10">
        <v>19</v>
      </c>
      <c r="F2489" t="s">
        <v>292</v>
      </c>
      <c r="G2489" t="s">
        <v>889</v>
      </c>
      <c r="H2489" t="s">
        <v>40</v>
      </c>
      <c r="I2489" t="s">
        <v>27</v>
      </c>
      <c r="J2489" s="4">
        <v>17</v>
      </c>
      <c r="K2489">
        <v>1</v>
      </c>
      <c r="L2489">
        <v>17</v>
      </c>
      <c r="M2489">
        <v>17</v>
      </c>
      <c r="N2489" s="5">
        <v>0.86398077989281086</v>
      </c>
      <c r="O2489" t="s">
        <v>100</v>
      </c>
      <c r="P2489" t="s">
        <v>340</v>
      </c>
      <c r="Q2489" s="10" t="s">
        <v>24</v>
      </c>
    </row>
    <row r="2490" spans="1:18" hidden="1" x14ac:dyDescent="0.25">
      <c r="A2490" s="9" t="s">
        <v>899</v>
      </c>
      <c r="B2490" s="3" t="s">
        <v>1915</v>
      </c>
      <c r="C2490" s="10">
        <v>26</v>
      </c>
      <c r="D2490" s="10">
        <v>1</v>
      </c>
      <c r="E2490" s="10">
        <v>19</v>
      </c>
      <c r="F2490" t="s">
        <v>126</v>
      </c>
      <c r="G2490" t="s">
        <v>889</v>
      </c>
      <c r="H2490" t="s">
        <v>63</v>
      </c>
      <c r="I2490" t="s">
        <v>27</v>
      </c>
      <c r="J2490" s="4">
        <v>146.6</v>
      </c>
      <c r="K2490">
        <v>1</v>
      </c>
      <c r="L2490">
        <v>146.6</v>
      </c>
      <c r="M2490">
        <v>146.6</v>
      </c>
      <c r="N2490" s="5">
        <v>7.4505636666050625</v>
      </c>
      <c r="O2490" t="s">
        <v>100</v>
      </c>
      <c r="P2490" t="s">
        <v>340</v>
      </c>
      <c r="Q2490" s="10" t="s">
        <v>24</v>
      </c>
    </row>
    <row r="2491" spans="1:18" hidden="1" x14ac:dyDescent="0.25">
      <c r="A2491" s="9" t="s">
        <v>899</v>
      </c>
      <c r="B2491" s="3" t="s">
        <v>1915</v>
      </c>
      <c r="C2491" s="10">
        <v>26</v>
      </c>
      <c r="D2491" s="10">
        <v>1</v>
      </c>
      <c r="E2491" s="10">
        <v>19</v>
      </c>
      <c r="F2491" t="s">
        <v>39</v>
      </c>
      <c r="G2491" t="s">
        <v>889</v>
      </c>
      <c r="H2491" t="s">
        <v>49</v>
      </c>
      <c r="I2491" t="s">
        <v>50</v>
      </c>
      <c r="J2491" s="4">
        <v>97</v>
      </c>
      <c r="K2491">
        <v>1</v>
      </c>
      <c r="L2491">
        <v>97</v>
      </c>
      <c r="M2491">
        <v>97</v>
      </c>
      <c r="N2491" s="5">
        <v>4.929772685270744</v>
      </c>
      <c r="O2491" t="s">
        <v>39</v>
      </c>
      <c r="P2491" t="s">
        <v>340</v>
      </c>
      <c r="Q2491" s="10" t="s">
        <v>24</v>
      </c>
      <c r="R2491" t="s">
        <v>1971</v>
      </c>
    </row>
    <row r="2492" spans="1:18" hidden="1" x14ac:dyDescent="0.25">
      <c r="A2492" s="9" t="s">
        <v>899</v>
      </c>
      <c r="B2492" s="3" t="s">
        <v>1915</v>
      </c>
      <c r="C2492" s="10">
        <v>26</v>
      </c>
      <c r="D2492" s="10">
        <v>1</v>
      </c>
      <c r="E2492" s="10">
        <v>19</v>
      </c>
      <c r="F2492" t="s">
        <v>58</v>
      </c>
      <c r="G2492" t="s">
        <v>889</v>
      </c>
      <c r="H2492" t="s">
        <v>59</v>
      </c>
      <c r="I2492" t="s">
        <v>27</v>
      </c>
      <c r="J2492" s="4">
        <v>230</v>
      </c>
      <c r="K2492">
        <v>1</v>
      </c>
      <c r="L2492">
        <v>230</v>
      </c>
      <c r="M2492">
        <v>230</v>
      </c>
      <c r="N2492" s="5">
        <v>11.689151727961558</v>
      </c>
      <c r="O2492" t="s">
        <v>2031</v>
      </c>
      <c r="P2492" t="s">
        <v>340</v>
      </c>
      <c r="Q2492" s="10" t="s">
        <v>24</v>
      </c>
      <c r="R2492" t="s">
        <v>2030</v>
      </c>
    </row>
    <row r="2493" spans="1:18" hidden="1" x14ac:dyDescent="0.25">
      <c r="A2493" s="9" t="s">
        <v>899</v>
      </c>
      <c r="B2493" s="3" t="str">
        <f t="shared" ref="B2493:B2505" si="68">CONCATENATE(E2493,"/",D2493,"/",C2493)</f>
        <v>19/1/27</v>
      </c>
      <c r="C2493" s="10">
        <v>27</v>
      </c>
      <c r="D2493" s="10">
        <v>1</v>
      </c>
      <c r="E2493" s="10">
        <v>19</v>
      </c>
      <c r="F2493" t="s">
        <v>657</v>
      </c>
      <c r="G2493" t="s">
        <v>889</v>
      </c>
      <c r="H2493" t="s">
        <v>40</v>
      </c>
      <c r="I2493" t="s">
        <v>27</v>
      </c>
      <c r="J2493">
        <v>14</v>
      </c>
      <c r="K2493">
        <v>1</v>
      </c>
      <c r="L2493">
        <v>14</v>
      </c>
      <c r="M2493">
        <v>14</v>
      </c>
      <c r="N2493" s="5">
        <v>0.70957932083122144</v>
      </c>
      <c r="O2493" t="s">
        <v>100</v>
      </c>
      <c r="P2493" t="s">
        <v>340</v>
      </c>
      <c r="Q2493" s="10" t="s">
        <v>24</v>
      </c>
    </row>
    <row r="2494" spans="1:18" hidden="1" x14ac:dyDescent="0.25">
      <c r="A2494" s="9" t="s">
        <v>899</v>
      </c>
      <c r="B2494" s="3" t="str">
        <f t="shared" si="68"/>
        <v>19/1/27</v>
      </c>
      <c r="C2494" s="10">
        <v>27</v>
      </c>
      <c r="D2494" s="10">
        <v>1</v>
      </c>
      <c r="E2494" s="10">
        <v>19</v>
      </c>
      <c r="F2494" t="s">
        <v>974</v>
      </c>
      <c r="G2494" t="s">
        <v>25</v>
      </c>
      <c r="H2494" t="s">
        <v>26</v>
      </c>
      <c r="I2494" t="s">
        <v>27</v>
      </c>
      <c r="J2494">
        <v>212.5</v>
      </c>
      <c r="K2494">
        <v>0.32</v>
      </c>
      <c r="L2494">
        <v>212.5</v>
      </c>
      <c r="M2494">
        <v>68</v>
      </c>
      <c r="N2494" s="5">
        <v>3.446528129751647</v>
      </c>
      <c r="O2494" t="s">
        <v>100</v>
      </c>
      <c r="P2494" t="s">
        <v>340</v>
      </c>
      <c r="Q2494" s="10" t="s">
        <v>24</v>
      </c>
    </row>
    <row r="2495" spans="1:18" hidden="1" x14ac:dyDescent="0.25">
      <c r="A2495" s="9" t="s">
        <v>899</v>
      </c>
      <c r="B2495" s="3" t="str">
        <f t="shared" si="68"/>
        <v>19/1/27</v>
      </c>
      <c r="C2495" s="10">
        <v>27</v>
      </c>
      <c r="D2495" s="10">
        <v>1</v>
      </c>
      <c r="E2495" s="10">
        <v>19</v>
      </c>
      <c r="F2495" t="s">
        <v>73</v>
      </c>
      <c r="G2495" t="s">
        <v>889</v>
      </c>
      <c r="H2495" t="s">
        <v>73</v>
      </c>
      <c r="I2495" t="s">
        <v>27</v>
      </c>
      <c r="J2495">
        <v>22.5</v>
      </c>
      <c r="K2495">
        <v>1</v>
      </c>
      <c r="L2495">
        <v>22.5</v>
      </c>
      <c r="M2495">
        <v>22.5</v>
      </c>
      <c r="N2495" s="5">
        <v>1.1403953370501774</v>
      </c>
      <c r="O2495" t="s">
        <v>100</v>
      </c>
      <c r="P2495" t="s">
        <v>340</v>
      </c>
      <c r="Q2495" s="10" t="s">
        <v>24</v>
      </c>
    </row>
    <row r="2496" spans="1:18" hidden="1" x14ac:dyDescent="0.25">
      <c r="A2496" s="9" t="s">
        <v>899</v>
      </c>
      <c r="B2496" s="3" t="str">
        <f t="shared" si="68"/>
        <v>19/1/27</v>
      </c>
      <c r="C2496" s="10">
        <v>27</v>
      </c>
      <c r="D2496" s="10">
        <v>1</v>
      </c>
      <c r="E2496" s="10">
        <v>19</v>
      </c>
      <c r="F2496" t="s">
        <v>975</v>
      </c>
      <c r="G2496" t="s">
        <v>31</v>
      </c>
      <c r="H2496" t="s">
        <v>26</v>
      </c>
      <c r="I2496" t="s">
        <v>27</v>
      </c>
      <c r="J2496">
        <v>8.4499999999999993</v>
      </c>
      <c r="K2496">
        <v>2</v>
      </c>
      <c r="L2496">
        <v>8.4499999999999993</v>
      </c>
      <c r="M2496">
        <v>16.899999999999999</v>
      </c>
      <c r="N2496" s="5">
        <v>0.85656360871768866</v>
      </c>
      <c r="O2496" t="s">
        <v>454</v>
      </c>
      <c r="P2496" t="s">
        <v>340</v>
      </c>
      <c r="Q2496" s="10" t="s">
        <v>24</v>
      </c>
    </row>
    <row r="2497" spans="1:18" hidden="1" x14ac:dyDescent="0.25">
      <c r="A2497" s="9" t="s">
        <v>899</v>
      </c>
      <c r="B2497" s="3" t="str">
        <f t="shared" si="68"/>
        <v>19/1/27</v>
      </c>
      <c r="C2497" s="10">
        <v>27</v>
      </c>
      <c r="D2497" s="10">
        <v>1</v>
      </c>
      <c r="E2497" s="10">
        <v>19</v>
      </c>
      <c r="F2497" t="s">
        <v>770</v>
      </c>
      <c r="G2497" t="s">
        <v>31</v>
      </c>
      <c r="H2497" t="s">
        <v>26</v>
      </c>
      <c r="I2497" t="s">
        <v>27</v>
      </c>
      <c r="J2497">
        <v>7.25</v>
      </c>
      <c r="K2497">
        <v>1</v>
      </c>
      <c r="L2497">
        <v>7.25</v>
      </c>
      <c r="M2497">
        <v>7.25</v>
      </c>
      <c r="N2497" s="5">
        <v>0.36746071971616828</v>
      </c>
      <c r="O2497" t="s">
        <v>454</v>
      </c>
      <c r="P2497" t="s">
        <v>340</v>
      </c>
      <c r="Q2497" s="10" t="s">
        <v>24</v>
      </c>
    </row>
    <row r="2498" spans="1:18" hidden="1" x14ac:dyDescent="0.25">
      <c r="A2498" s="9" t="s">
        <v>899</v>
      </c>
      <c r="B2498" s="3" t="str">
        <f t="shared" si="68"/>
        <v>19/1/27</v>
      </c>
      <c r="C2498" s="10">
        <v>27</v>
      </c>
      <c r="D2498" s="10">
        <v>1</v>
      </c>
      <c r="E2498" s="10">
        <v>19</v>
      </c>
      <c r="F2498" t="s">
        <v>976</v>
      </c>
      <c r="G2498" t="s">
        <v>25</v>
      </c>
      <c r="H2498" t="s">
        <v>26</v>
      </c>
      <c r="I2498" t="s">
        <v>27</v>
      </c>
      <c r="J2498">
        <v>250</v>
      </c>
      <c r="K2498">
        <v>0.2</v>
      </c>
      <c r="L2498">
        <v>250</v>
      </c>
      <c r="M2498">
        <v>50</v>
      </c>
      <c r="N2498" s="5">
        <v>2.5342118601115051</v>
      </c>
      <c r="O2498" t="s">
        <v>454</v>
      </c>
      <c r="P2498" t="s">
        <v>340</v>
      </c>
      <c r="Q2498" s="10" t="s">
        <v>24</v>
      </c>
    </row>
    <row r="2499" spans="1:18" hidden="1" x14ac:dyDescent="0.25">
      <c r="A2499" s="9" t="s">
        <v>899</v>
      </c>
      <c r="B2499" s="3" t="str">
        <f t="shared" si="68"/>
        <v>19/1/27</v>
      </c>
      <c r="C2499" s="10">
        <v>27</v>
      </c>
      <c r="D2499" s="10">
        <v>1</v>
      </c>
      <c r="E2499" s="10">
        <v>19</v>
      </c>
      <c r="F2499" t="s">
        <v>977</v>
      </c>
      <c r="G2499" t="s">
        <v>25</v>
      </c>
      <c r="H2499" t="s">
        <v>26</v>
      </c>
      <c r="I2499" t="s">
        <v>27</v>
      </c>
      <c r="J2499">
        <v>36</v>
      </c>
      <c r="K2499">
        <v>1</v>
      </c>
      <c r="L2499">
        <v>36</v>
      </c>
      <c r="M2499">
        <v>36</v>
      </c>
      <c r="N2499" s="5">
        <v>1.8246325392802838</v>
      </c>
      <c r="O2499" t="s">
        <v>454</v>
      </c>
      <c r="P2499" t="s">
        <v>340</v>
      </c>
      <c r="Q2499" s="10" t="s">
        <v>24</v>
      </c>
    </row>
    <row r="2500" spans="1:18" hidden="1" x14ac:dyDescent="0.25">
      <c r="A2500" s="9" t="s">
        <v>899</v>
      </c>
      <c r="B2500" s="3" t="str">
        <f t="shared" si="68"/>
        <v>19/1/28</v>
      </c>
      <c r="C2500" s="10">
        <v>28</v>
      </c>
      <c r="D2500" s="10">
        <v>1</v>
      </c>
      <c r="E2500" s="10">
        <v>19</v>
      </c>
      <c r="F2500" t="s">
        <v>174</v>
      </c>
      <c r="G2500" t="s">
        <v>889</v>
      </c>
      <c r="H2500" t="s">
        <v>54</v>
      </c>
      <c r="I2500" t="s">
        <v>27</v>
      </c>
      <c r="J2500">
        <v>13</v>
      </c>
      <c r="K2500">
        <v>1.294</v>
      </c>
      <c r="L2500">
        <v>13</v>
      </c>
      <c r="M2500">
        <v>16.821999999999999</v>
      </c>
      <c r="N2500" s="5">
        <v>0.85261023821591475</v>
      </c>
      <c r="O2500" t="s">
        <v>101</v>
      </c>
      <c r="P2500" t="s">
        <v>340</v>
      </c>
      <c r="Q2500" s="10" t="s">
        <v>24</v>
      </c>
    </row>
    <row r="2501" spans="1:18" hidden="1" x14ac:dyDescent="0.25">
      <c r="A2501" s="9" t="s">
        <v>899</v>
      </c>
      <c r="B2501" s="3" t="str">
        <f t="shared" si="68"/>
        <v>19/1/28</v>
      </c>
      <c r="C2501" s="10">
        <v>28</v>
      </c>
      <c r="D2501" s="10">
        <v>1</v>
      </c>
      <c r="E2501" s="10">
        <v>19</v>
      </c>
      <c r="F2501" t="s">
        <v>770</v>
      </c>
      <c r="G2501" t="s">
        <v>31</v>
      </c>
      <c r="H2501" t="s">
        <v>26</v>
      </c>
      <c r="I2501" t="s">
        <v>27</v>
      </c>
      <c r="J2501">
        <v>7.75</v>
      </c>
      <c r="K2501">
        <v>3</v>
      </c>
      <c r="L2501">
        <v>7.75</v>
      </c>
      <c r="M2501">
        <v>23.25</v>
      </c>
      <c r="N2501" s="5">
        <v>1.17840851495185</v>
      </c>
      <c r="O2501" t="s">
        <v>101</v>
      </c>
      <c r="P2501" t="s">
        <v>340</v>
      </c>
      <c r="Q2501" s="10" t="s">
        <v>24</v>
      </c>
    </row>
    <row r="2502" spans="1:18" hidden="1" x14ac:dyDescent="0.25">
      <c r="A2502" s="9" t="s">
        <v>899</v>
      </c>
      <c r="B2502" s="3" t="str">
        <f t="shared" si="68"/>
        <v>19/1/28</v>
      </c>
      <c r="C2502" s="10">
        <v>28</v>
      </c>
      <c r="D2502" s="10">
        <v>1</v>
      </c>
      <c r="E2502" s="10">
        <v>19</v>
      </c>
      <c r="F2502" t="s">
        <v>676</v>
      </c>
      <c r="G2502" t="s">
        <v>39</v>
      </c>
      <c r="H2502" t="s">
        <v>131</v>
      </c>
      <c r="I2502" t="s">
        <v>27</v>
      </c>
      <c r="J2502">
        <v>5.25</v>
      </c>
      <c r="K2502">
        <v>2</v>
      </c>
      <c r="L2502">
        <v>5.25</v>
      </c>
      <c r="M2502">
        <v>10.5</v>
      </c>
      <c r="N2502" s="5">
        <v>0.53218449062341611</v>
      </c>
      <c r="O2502" t="s">
        <v>101</v>
      </c>
      <c r="P2502" t="s">
        <v>340</v>
      </c>
      <c r="Q2502" s="10" t="s">
        <v>24</v>
      </c>
    </row>
    <row r="2503" spans="1:18" hidden="1" x14ac:dyDescent="0.25">
      <c r="A2503" s="9" t="s">
        <v>899</v>
      </c>
      <c r="B2503" s="3" t="str">
        <f t="shared" si="68"/>
        <v>19/1/28</v>
      </c>
      <c r="C2503" s="10">
        <v>28</v>
      </c>
      <c r="D2503" s="10">
        <v>1</v>
      </c>
      <c r="E2503" s="10">
        <v>19</v>
      </c>
      <c r="F2503" t="s">
        <v>75</v>
      </c>
      <c r="G2503" t="s">
        <v>889</v>
      </c>
      <c r="H2503" t="s">
        <v>65</v>
      </c>
      <c r="I2503" t="s">
        <v>27</v>
      </c>
      <c r="J2503">
        <v>10</v>
      </c>
      <c r="K2503">
        <v>2</v>
      </c>
      <c r="L2503">
        <v>10</v>
      </c>
      <c r="M2503">
        <v>20</v>
      </c>
      <c r="N2503" s="5">
        <v>1.0136847440446022</v>
      </c>
      <c r="O2503" t="s">
        <v>101</v>
      </c>
      <c r="P2503" t="s">
        <v>340</v>
      </c>
      <c r="Q2503" s="10" t="s">
        <v>24</v>
      </c>
    </row>
    <row r="2504" spans="1:18" hidden="1" x14ac:dyDescent="0.25">
      <c r="A2504" s="9" t="s">
        <v>899</v>
      </c>
      <c r="B2504" s="3" t="str">
        <f t="shared" si="68"/>
        <v>19/1/28</v>
      </c>
      <c r="C2504" s="10">
        <v>28</v>
      </c>
      <c r="D2504" s="10">
        <v>1</v>
      </c>
      <c r="E2504" s="10">
        <v>19</v>
      </c>
      <c r="F2504" t="s">
        <v>933</v>
      </c>
      <c r="I2504" t="s">
        <v>72</v>
      </c>
      <c r="J2504">
        <v>150</v>
      </c>
      <c r="K2504">
        <v>1</v>
      </c>
      <c r="L2504">
        <v>150</v>
      </c>
      <c r="M2504">
        <v>150</v>
      </c>
      <c r="N2504" s="5">
        <v>7.5560406347074149</v>
      </c>
      <c r="O2504" t="s">
        <v>39</v>
      </c>
      <c r="P2504" t="s">
        <v>340</v>
      </c>
      <c r="Q2504" s="10" t="s">
        <v>24</v>
      </c>
    </row>
    <row r="2505" spans="1:18" hidden="1" x14ac:dyDescent="0.25">
      <c r="A2505" s="9" t="s">
        <v>899</v>
      </c>
      <c r="B2505" s="3" t="str">
        <f t="shared" si="68"/>
        <v>19/1/29</v>
      </c>
      <c r="C2505" s="10">
        <v>29</v>
      </c>
      <c r="D2505" s="10">
        <v>1</v>
      </c>
      <c r="E2505" s="10">
        <v>19</v>
      </c>
      <c r="F2505" t="s">
        <v>978</v>
      </c>
      <c r="G2505" t="s">
        <v>889</v>
      </c>
      <c r="H2505" t="s">
        <v>889</v>
      </c>
      <c r="I2505" t="s">
        <v>39</v>
      </c>
      <c r="J2505">
        <v>900</v>
      </c>
      <c r="K2505">
        <v>2</v>
      </c>
      <c r="L2505">
        <v>900</v>
      </c>
      <c r="M2505">
        <v>1800</v>
      </c>
      <c r="N2505" s="5">
        <v>91.231626964014183</v>
      </c>
      <c r="O2505" t="s">
        <v>39</v>
      </c>
      <c r="P2505" t="s">
        <v>340</v>
      </c>
      <c r="Q2505" s="10" t="s">
        <v>24</v>
      </c>
    </row>
    <row r="2506" spans="1:18" hidden="1" x14ac:dyDescent="0.25">
      <c r="A2506" s="9" t="s">
        <v>899</v>
      </c>
      <c r="B2506" s="3" t="s">
        <v>1836</v>
      </c>
      <c r="C2506" s="10">
        <v>29</v>
      </c>
      <c r="D2506" s="10">
        <v>1</v>
      </c>
      <c r="E2506" s="10">
        <v>19</v>
      </c>
      <c r="F2506" t="s">
        <v>55</v>
      </c>
      <c r="G2506" t="s">
        <v>889</v>
      </c>
      <c r="H2506" t="s">
        <v>56</v>
      </c>
      <c r="I2506" t="s">
        <v>27</v>
      </c>
      <c r="J2506" s="4">
        <v>22.3</v>
      </c>
      <c r="K2506">
        <v>1.516</v>
      </c>
      <c r="L2506">
        <v>22.3</v>
      </c>
      <c r="M2506">
        <v>33.806800000000003</v>
      </c>
      <c r="N2506" s="5">
        <v>1.718142672334134</v>
      </c>
      <c r="O2506" t="s">
        <v>1472</v>
      </c>
      <c r="P2506" t="s">
        <v>340</v>
      </c>
      <c r="Q2506" s="10" t="s">
        <v>24</v>
      </c>
    </row>
    <row r="2507" spans="1:18" hidden="1" x14ac:dyDescent="0.25">
      <c r="A2507" s="9" t="s">
        <v>899</v>
      </c>
      <c r="B2507" s="3" t="s">
        <v>1836</v>
      </c>
      <c r="C2507" s="10">
        <v>29</v>
      </c>
      <c r="D2507" s="10">
        <v>1</v>
      </c>
      <c r="E2507" s="10">
        <v>19</v>
      </c>
      <c r="F2507" t="s">
        <v>202</v>
      </c>
      <c r="G2507" t="s">
        <v>889</v>
      </c>
      <c r="H2507" t="s">
        <v>54</v>
      </c>
      <c r="I2507" t="s">
        <v>27</v>
      </c>
      <c r="J2507" s="4">
        <v>120</v>
      </c>
      <c r="K2507">
        <v>0.246</v>
      </c>
      <c r="L2507">
        <v>120</v>
      </c>
      <c r="M2507">
        <v>29.52</v>
      </c>
      <c r="N2507" s="5">
        <v>1.5002772130844573</v>
      </c>
      <c r="O2507" t="s">
        <v>1472</v>
      </c>
      <c r="P2507" t="s">
        <v>340</v>
      </c>
      <c r="Q2507" s="10" t="s">
        <v>24</v>
      </c>
    </row>
    <row r="2508" spans="1:18" hidden="1" x14ac:dyDescent="0.25">
      <c r="A2508" s="9" t="s">
        <v>899</v>
      </c>
      <c r="B2508" s="3" t="s">
        <v>1836</v>
      </c>
      <c r="C2508" s="10">
        <v>29</v>
      </c>
      <c r="D2508" s="10">
        <v>1</v>
      </c>
      <c r="E2508" s="10">
        <v>19</v>
      </c>
      <c r="F2508" t="s">
        <v>910</v>
      </c>
      <c r="G2508" t="s">
        <v>889</v>
      </c>
      <c r="H2508" t="s">
        <v>131</v>
      </c>
      <c r="I2508" t="s">
        <v>27</v>
      </c>
      <c r="J2508" s="4">
        <v>69.989999999999995</v>
      </c>
      <c r="K2508">
        <v>1</v>
      </c>
      <c r="L2508">
        <v>69.989999999999995</v>
      </c>
      <c r="M2508">
        <v>69.989999999999995</v>
      </c>
      <c r="N2508" s="5">
        <v>3.5570596932175191</v>
      </c>
      <c r="O2508" t="s">
        <v>1472</v>
      </c>
      <c r="P2508" t="s">
        <v>340</v>
      </c>
      <c r="Q2508" s="10" t="s">
        <v>24</v>
      </c>
    </row>
    <row r="2509" spans="1:18" hidden="1" x14ac:dyDescent="0.25">
      <c r="A2509" s="9" t="s">
        <v>899</v>
      </c>
      <c r="B2509" s="3" t="s">
        <v>1836</v>
      </c>
      <c r="C2509" s="10">
        <v>29</v>
      </c>
      <c r="D2509" s="10">
        <v>1</v>
      </c>
      <c r="E2509" s="10">
        <v>19</v>
      </c>
      <c r="F2509" t="s">
        <v>770</v>
      </c>
      <c r="G2509" t="s">
        <v>31</v>
      </c>
      <c r="H2509" t="s">
        <v>26</v>
      </c>
      <c r="I2509" t="s">
        <v>27</v>
      </c>
      <c r="J2509" s="4">
        <v>7.65</v>
      </c>
      <c r="K2509">
        <v>3</v>
      </c>
      <c r="L2509">
        <v>7.65</v>
      </c>
      <c r="M2509">
        <v>22.950000000000003</v>
      </c>
      <c r="N2509" s="5">
        <v>1.1663740528552948</v>
      </c>
      <c r="O2509" t="s">
        <v>1472</v>
      </c>
      <c r="P2509" t="s">
        <v>340</v>
      </c>
      <c r="Q2509" s="10" t="s">
        <v>24</v>
      </c>
    </row>
    <row r="2510" spans="1:18" hidden="1" x14ac:dyDescent="0.25">
      <c r="A2510" s="9" t="s">
        <v>899</v>
      </c>
      <c r="B2510" s="3" t="s">
        <v>1836</v>
      </c>
      <c r="C2510" s="10">
        <v>29</v>
      </c>
      <c r="D2510" s="10">
        <v>1</v>
      </c>
      <c r="E2510" s="10">
        <v>19</v>
      </c>
      <c r="F2510" t="s">
        <v>1766</v>
      </c>
      <c r="G2510" t="s">
        <v>889</v>
      </c>
      <c r="H2510" t="s">
        <v>131</v>
      </c>
      <c r="I2510" t="s">
        <v>27</v>
      </c>
      <c r="J2510" s="4">
        <v>28.85</v>
      </c>
      <c r="K2510">
        <v>1</v>
      </c>
      <c r="L2510">
        <v>28.85</v>
      </c>
      <c r="M2510">
        <v>28.85</v>
      </c>
      <c r="N2510" s="5">
        <v>1.4662262058769173</v>
      </c>
      <c r="O2510" t="s">
        <v>39</v>
      </c>
      <c r="P2510" t="s">
        <v>340</v>
      </c>
      <c r="Q2510" s="10" t="s">
        <v>24</v>
      </c>
    </row>
    <row r="2511" spans="1:18" hidden="1" x14ac:dyDescent="0.25">
      <c r="A2511" s="9" t="s">
        <v>899</v>
      </c>
      <c r="B2511" s="3" t="s">
        <v>1836</v>
      </c>
      <c r="C2511" s="10">
        <v>29</v>
      </c>
      <c r="D2511" s="10">
        <v>1</v>
      </c>
      <c r="E2511" s="10">
        <v>19</v>
      </c>
      <c r="F2511" t="s">
        <v>131</v>
      </c>
      <c r="G2511" t="s">
        <v>889</v>
      </c>
      <c r="H2511" t="s">
        <v>131</v>
      </c>
      <c r="I2511" t="s">
        <v>27</v>
      </c>
      <c r="J2511" s="4">
        <v>7.1</v>
      </c>
      <c r="K2511">
        <v>1</v>
      </c>
      <c r="L2511">
        <v>7.1</v>
      </c>
      <c r="M2511">
        <v>7.1</v>
      </c>
      <c r="N2511" s="5">
        <v>0.36083903160229158</v>
      </c>
      <c r="O2511" t="s">
        <v>39</v>
      </c>
      <c r="P2511" t="s">
        <v>340</v>
      </c>
      <c r="Q2511" s="10" t="s">
        <v>24</v>
      </c>
    </row>
    <row r="2512" spans="1:18" hidden="1" x14ac:dyDescent="0.25">
      <c r="A2512" s="9" t="s">
        <v>899</v>
      </c>
      <c r="B2512" s="3" t="str">
        <f t="shared" ref="B2512:B2543" si="69">CONCATENATE(E2512,"/",D2512,"/",C2512)</f>
        <v>19/1/3</v>
      </c>
      <c r="C2512" s="10">
        <v>3</v>
      </c>
      <c r="D2512" s="10">
        <v>1</v>
      </c>
      <c r="E2512" s="10">
        <v>19</v>
      </c>
      <c r="F2512" t="s">
        <v>388</v>
      </c>
      <c r="H2512" t="s">
        <v>49</v>
      </c>
      <c r="I2512" t="s">
        <v>50</v>
      </c>
      <c r="J2512">
        <v>12</v>
      </c>
      <c r="K2512">
        <v>2</v>
      </c>
      <c r="L2512">
        <v>12</v>
      </c>
      <c r="M2512">
        <v>24</v>
      </c>
      <c r="N2512" s="5">
        <v>1.2089665015531863</v>
      </c>
      <c r="O2512" t="s">
        <v>39</v>
      </c>
      <c r="P2512" t="s">
        <v>340</v>
      </c>
      <c r="Q2512" t="s">
        <v>24</v>
      </c>
      <c r="R2512" t="s">
        <v>1510</v>
      </c>
    </row>
    <row r="2513" spans="1:18" hidden="1" x14ac:dyDescent="0.25">
      <c r="A2513" s="9" t="s">
        <v>899</v>
      </c>
      <c r="B2513" s="3" t="str">
        <f t="shared" si="69"/>
        <v>19/1/3</v>
      </c>
      <c r="C2513" s="10">
        <v>3</v>
      </c>
      <c r="D2513" s="10">
        <v>1</v>
      </c>
      <c r="E2513" s="10">
        <v>19</v>
      </c>
      <c r="F2513" t="s">
        <v>151</v>
      </c>
      <c r="I2513" t="s">
        <v>72</v>
      </c>
      <c r="J2513">
        <v>6.13</v>
      </c>
      <c r="K2513">
        <v>1</v>
      </c>
      <c r="L2513">
        <v>6.13</v>
      </c>
      <c r="M2513">
        <v>6.13</v>
      </c>
      <c r="N2513" s="5">
        <v>0.30879019393837637</v>
      </c>
      <c r="O2513" t="s">
        <v>629</v>
      </c>
      <c r="P2513" t="s">
        <v>340</v>
      </c>
      <c r="Q2513" t="s">
        <v>24</v>
      </c>
      <c r="R2513" t="s">
        <v>902</v>
      </c>
    </row>
    <row r="2514" spans="1:18" hidden="1" x14ac:dyDescent="0.25">
      <c r="A2514" s="9" t="s">
        <v>899</v>
      </c>
      <c r="B2514" s="3" t="str">
        <f t="shared" si="69"/>
        <v>19/1/3</v>
      </c>
      <c r="C2514" s="10">
        <v>3</v>
      </c>
      <c r="D2514" s="10">
        <v>1</v>
      </c>
      <c r="E2514" s="10">
        <v>19</v>
      </c>
      <c r="F2514" t="s">
        <v>903</v>
      </c>
      <c r="H2514" t="s">
        <v>165</v>
      </c>
      <c r="I2514" t="s">
        <v>27</v>
      </c>
      <c r="J2514">
        <v>190</v>
      </c>
      <c r="K2514">
        <v>1</v>
      </c>
      <c r="L2514">
        <v>190</v>
      </c>
      <c r="M2514">
        <v>190</v>
      </c>
      <c r="N2514" s="5">
        <v>9.570984803962725</v>
      </c>
      <c r="O2514" t="s">
        <v>100</v>
      </c>
      <c r="P2514" t="s">
        <v>340</v>
      </c>
      <c r="Q2514" t="s">
        <v>24</v>
      </c>
    </row>
    <row r="2515" spans="1:18" hidden="1" x14ac:dyDescent="0.25">
      <c r="A2515" s="9" t="s">
        <v>899</v>
      </c>
      <c r="B2515" s="3" t="str">
        <f t="shared" si="69"/>
        <v>19/1/3</v>
      </c>
      <c r="C2515" s="10">
        <v>3</v>
      </c>
      <c r="D2515" s="10">
        <v>1</v>
      </c>
      <c r="E2515" s="10">
        <v>19</v>
      </c>
      <c r="F2515" t="s">
        <v>904</v>
      </c>
      <c r="H2515" t="s">
        <v>69</v>
      </c>
      <c r="I2515" t="s">
        <v>27</v>
      </c>
      <c r="J2515">
        <v>189.7</v>
      </c>
      <c r="K2515">
        <v>1</v>
      </c>
      <c r="L2515">
        <v>189.7</v>
      </c>
      <c r="M2515">
        <v>189.7</v>
      </c>
      <c r="N2515" s="5">
        <v>9.5558727226933105</v>
      </c>
      <c r="O2515" t="s">
        <v>100</v>
      </c>
      <c r="P2515" t="s">
        <v>340</v>
      </c>
      <c r="Q2515" t="s">
        <v>24</v>
      </c>
    </row>
    <row r="2516" spans="1:18" hidden="1" x14ac:dyDescent="0.25">
      <c r="A2516" s="9" t="s">
        <v>899</v>
      </c>
      <c r="B2516" s="3" t="str">
        <f t="shared" si="69"/>
        <v>19/1/3</v>
      </c>
      <c r="C2516" s="10">
        <v>3</v>
      </c>
      <c r="D2516" s="10">
        <v>1</v>
      </c>
      <c r="E2516" s="10">
        <v>19</v>
      </c>
      <c r="F2516" t="s">
        <v>905</v>
      </c>
      <c r="G2516" t="s">
        <v>155</v>
      </c>
      <c r="H2516" t="s">
        <v>131</v>
      </c>
      <c r="I2516" t="s">
        <v>27</v>
      </c>
      <c r="J2516">
        <v>53.2</v>
      </c>
      <c r="K2516">
        <v>2</v>
      </c>
      <c r="L2516">
        <v>53.2</v>
      </c>
      <c r="M2516">
        <v>106.4</v>
      </c>
      <c r="N2516" s="5">
        <v>5.3597514902191268</v>
      </c>
      <c r="O2516" t="s">
        <v>100</v>
      </c>
      <c r="P2516" t="s">
        <v>340</v>
      </c>
      <c r="Q2516" t="s">
        <v>24</v>
      </c>
    </row>
    <row r="2517" spans="1:18" hidden="1" x14ac:dyDescent="0.25">
      <c r="A2517" s="9" t="s">
        <v>899</v>
      </c>
      <c r="B2517" s="3" t="str">
        <f t="shared" si="69"/>
        <v>19/1/3</v>
      </c>
      <c r="C2517" s="10">
        <v>3</v>
      </c>
      <c r="D2517" s="10">
        <v>1</v>
      </c>
      <c r="E2517" s="10">
        <v>19</v>
      </c>
      <c r="F2517" t="s">
        <v>922</v>
      </c>
      <c r="G2517" t="s">
        <v>155</v>
      </c>
      <c r="H2517" t="s">
        <v>131</v>
      </c>
      <c r="I2517" t="s">
        <v>27</v>
      </c>
      <c r="J2517">
        <v>67.599999999999994</v>
      </c>
      <c r="K2517">
        <v>2</v>
      </c>
      <c r="L2517">
        <v>67.599999999999994</v>
      </c>
      <c r="M2517">
        <v>135.19999999999999</v>
      </c>
      <c r="N2517" s="5">
        <v>6.8105112920829489</v>
      </c>
      <c r="O2517" t="s">
        <v>100</v>
      </c>
      <c r="P2517" t="s">
        <v>340</v>
      </c>
      <c r="Q2517" t="s">
        <v>24</v>
      </c>
    </row>
    <row r="2518" spans="1:18" hidden="1" x14ac:dyDescent="0.25">
      <c r="A2518" s="9" t="s">
        <v>899</v>
      </c>
      <c r="B2518" s="3" t="str">
        <f t="shared" si="69"/>
        <v>19/1/3</v>
      </c>
      <c r="C2518" s="10">
        <v>3</v>
      </c>
      <c r="D2518" s="10">
        <v>1</v>
      </c>
      <c r="E2518" s="10">
        <v>19</v>
      </c>
      <c r="F2518" t="s">
        <v>906</v>
      </c>
      <c r="H2518" t="s">
        <v>65</v>
      </c>
      <c r="I2518" t="s">
        <v>27</v>
      </c>
      <c r="J2518">
        <v>34.700000000000003</v>
      </c>
      <c r="K2518">
        <v>3</v>
      </c>
      <c r="L2518">
        <v>34.700000000000003</v>
      </c>
      <c r="M2518">
        <v>104.10000000000001</v>
      </c>
      <c r="N2518" s="5">
        <v>5.2438922004869459</v>
      </c>
      <c r="O2518" t="s">
        <v>100</v>
      </c>
      <c r="P2518" t="s">
        <v>340</v>
      </c>
      <c r="Q2518" t="s">
        <v>24</v>
      </c>
    </row>
    <row r="2519" spans="1:18" hidden="1" x14ac:dyDescent="0.25">
      <c r="A2519" s="9" t="s">
        <v>899</v>
      </c>
      <c r="B2519" s="3" t="str">
        <f t="shared" si="69"/>
        <v>19/1/3</v>
      </c>
      <c r="C2519" s="10">
        <v>3</v>
      </c>
      <c r="D2519" s="10">
        <v>1</v>
      </c>
      <c r="E2519" s="10">
        <v>19</v>
      </c>
      <c r="F2519" t="s">
        <v>99</v>
      </c>
      <c r="H2519" t="s">
        <v>40</v>
      </c>
      <c r="I2519" t="s">
        <v>27</v>
      </c>
      <c r="J2519">
        <v>10</v>
      </c>
      <c r="K2519">
        <v>1</v>
      </c>
      <c r="L2519">
        <v>10</v>
      </c>
      <c r="M2519">
        <v>10</v>
      </c>
      <c r="N2519" s="5">
        <v>0.50373604231382763</v>
      </c>
      <c r="O2519" t="s">
        <v>100</v>
      </c>
      <c r="P2519" t="s">
        <v>340</v>
      </c>
      <c r="Q2519" t="s">
        <v>24</v>
      </c>
    </row>
    <row r="2520" spans="1:18" hidden="1" x14ac:dyDescent="0.25">
      <c r="A2520" s="9" t="s">
        <v>899</v>
      </c>
      <c r="B2520" s="3" t="str">
        <f t="shared" si="69"/>
        <v>19/1/3</v>
      </c>
      <c r="C2520" s="10">
        <v>3</v>
      </c>
      <c r="D2520" s="10">
        <v>1</v>
      </c>
      <c r="E2520" s="10">
        <v>19</v>
      </c>
      <c r="F2520" t="s">
        <v>98</v>
      </c>
      <c r="H2520" t="s">
        <v>26</v>
      </c>
      <c r="I2520" t="s">
        <v>27</v>
      </c>
      <c r="J2520">
        <v>84.6</v>
      </c>
      <c r="K2520">
        <v>1</v>
      </c>
      <c r="L2520">
        <v>84.6</v>
      </c>
      <c r="M2520">
        <v>84.6</v>
      </c>
      <c r="N2520" s="5">
        <v>4.2616069179749818</v>
      </c>
      <c r="O2520" t="s">
        <v>100</v>
      </c>
      <c r="P2520" t="s">
        <v>340</v>
      </c>
      <c r="Q2520" t="s">
        <v>24</v>
      </c>
      <c r="R2520" t="s">
        <v>1257</v>
      </c>
    </row>
    <row r="2521" spans="1:18" hidden="1" x14ac:dyDescent="0.25">
      <c r="A2521" s="9" t="s">
        <v>899</v>
      </c>
      <c r="B2521" s="3" t="str">
        <f t="shared" si="69"/>
        <v>19/1/3</v>
      </c>
      <c r="C2521" s="10">
        <v>3</v>
      </c>
      <c r="D2521" s="10">
        <v>1</v>
      </c>
      <c r="E2521" s="10">
        <v>19</v>
      </c>
      <c r="F2521" t="s">
        <v>179</v>
      </c>
      <c r="H2521" t="s">
        <v>179</v>
      </c>
      <c r="I2521" t="s">
        <v>105</v>
      </c>
      <c r="J2521">
        <v>480</v>
      </c>
      <c r="K2521">
        <v>1</v>
      </c>
      <c r="L2521">
        <v>480</v>
      </c>
      <c r="M2521">
        <v>480</v>
      </c>
      <c r="N2521" s="5">
        <v>24.179330031063728</v>
      </c>
      <c r="O2521" t="s">
        <v>39</v>
      </c>
      <c r="P2521" t="s">
        <v>340</v>
      </c>
      <c r="Q2521" t="s">
        <v>24</v>
      </c>
    </row>
    <row r="2522" spans="1:18" hidden="1" x14ac:dyDescent="0.25">
      <c r="A2522" s="9" t="s">
        <v>899</v>
      </c>
      <c r="B2522" s="3" t="str">
        <f t="shared" si="69"/>
        <v>19/1/3</v>
      </c>
      <c r="C2522" s="10">
        <v>3</v>
      </c>
      <c r="D2522" s="10">
        <v>1</v>
      </c>
      <c r="E2522" s="10">
        <v>19</v>
      </c>
      <c r="F2522" t="s">
        <v>176</v>
      </c>
      <c r="H2522" t="s">
        <v>176</v>
      </c>
      <c r="I2522" t="s">
        <v>105</v>
      </c>
      <c r="J2522">
        <v>196</v>
      </c>
      <c r="K2522">
        <v>1</v>
      </c>
      <c r="L2522">
        <v>196</v>
      </c>
      <c r="M2522">
        <v>196</v>
      </c>
      <c r="N2522" s="5">
        <v>9.8732264293510212</v>
      </c>
      <c r="O2522" t="s">
        <v>39</v>
      </c>
      <c r="P2522" t="s">
        <v>340</v>
      </c>
      <c r="Q2522" t="s">
        <v>24</v>
      </c>
    </row>
    <row r="2523" spans="1:18" hidden="1" x14ac:dyDescent="0.25">
      <c r="A2523" s="9" t="s">
        <v>899</v>
      </c>
      <c r="B2523" s="3" t="str">
        <f t="shared" si="69"/>
        <v>19/1/3</v>
      </c>
      <c r="C2523" s="10">
        <v>3</v>
      </c>
      <c r="D2523" s="10">
        <v>1</v>
      </c>
      <c r="E2523" s="10">
        <v>19</v>
      </c>
      <c r="F2523" t="s">
        <v>170</v>
      </c>
      <c r="H2523" t="s">
        <v>170</v>
      </c>
      <c r="I2523" t="s">
        <v>105</v>
      </c>
      <c r="J2523">
        <v>210</v>
      </c>
      <c r="K2523">
        <v>1</v>
      </c>
      <c r="L2523">
        <v>210</v>
      </c>
      <c r="M2523">
        <v>210</v>
      </c>
      <c r="N2523" s="5">
        <v>10.578456888590381</v>
      </c>
      <c r="O2523" t="s">
        <v>39</v>
      </c>
      <c r="P2523" t="s">
        <v>340</v>
      </c>
      <c r="Q2523" t="s">
        <v>24</v>
      </c>
    </row>
    <row r="2524" spans="1:18" hidden="1" x14ac:dyDescent="0.25">
      <c r="A2524" s="9" t="s">
        <v>899</v>
      </c>
      <c r="B2524" s="3" t="str">
        <f t="shared" si="69"/>
        <v>19/1/30</v>
      </c>
      <c r="C2524" s="10">
        <v>30</v>
      </c>
      <c r="D2524" s="10">
        <v>1</v>
      </c>
      <c r="E2524" s="10">
        <v>19</v>
      </c>
      <c r="F2524" t="s">
        <v>107</v>
      </c>
      <c r="G2524" t="s">
        <v>889</v>
      </c>
      <c r="H2524" t="s">
        <v>53</v>
      </c>
      <c r="I2524" t="s">
        <v>27</v>
      </c>
      <c r="J2524">
        <v>11.87</v>
      </c>
      <c r="K2524">
        <v>6</v>
      </c>
      <c r="L2524">
        <v>11.87</v>
      </c>
      <c r="M2524">
        <v>71.22</v>
      </c>
      <c r="N2524" s="5">
        <v>3.6097313735428282</v>
      </c>
      <c r="O2524" t="s">
        <v>90</v>
      </c>
      <c r="P2524" t="s">
        <v>340</v>
      </c>
      <c r="Q2524" s="10" t="s">
        <v>24</v>
      </c>
    </row>
    <row r="2525" spans="1:18" hidden="1" x14ac:dyDescent="0.25">
      <c r="A2525" s="9" t="s">
        <v>899</v>
      </c>
      <c r="B2525" s="3" t="str">
        <f t="shared" si="69"/>
        <v>19/1/30</v>
      </c>
      <c r="C2525" s="10">
        <v>30</v>
      </c>
      <c r="D2525" s="10">
        <v>1</v>
      </c>
      <c r="E2525" s="10">
        <v>19</v>
      </c>
      <c r="F2525" t="s">
        <v>1311</v>
      </c>
      <c r="G2525" t="s">
        <v>889</v>
      </c>
      <c r="H2525" t="s">
        <v>54</v>
      </c>
      <c r="I2525" t="s">
        <v>27</v>
      </c>
      <c r="J2525">
        <v>22.1</v>
      </c>
      <c r="K2525">
        <v>0.81799999999999995</v>
      </c>
      <c r="L2525">
        <v>22.1</v>
      </c>
      <c r="M2525">
        <v>18.0778</v>
      </c>
      <c r="N2525" s="5">
        <v>0.91625950329447536</v>
      </c>
      <c r="O2525" t="s">
        <v>90</v>
      </c>
      <c r="P2525" t="s">
        <v>340</v>
      </c>
      <c r="Q2525" s="10" t="s">
        <v>24</v>
      </c>
    </row>
    <row r="2526" spans="1:18" hidden="1" x14ac:dyDescent="0.25">
      <c r="A2526" s="9" t="s">
        <v>899</v>
      </c>
      <c r="B2526" s="3" t="str">
        <f t="shared" si="69"/>
        <v>19/1/30</v>
      </c>
      <c r="C2526" s="10">
        <v>30</v>
      </c>
      <c r="D2526" s="10">
        <v>1</v>
      </c>
      <c r="E2526" s="10">
        <v>19</v>
      </c>
      <c r="F2526" t="s">
        <v>106</v>
      </c>
      <c r="G2526" t="s">
        <v>889</v>
      </c>
      <c r="H2526" t="s">
        <v>56</v>
      </c>
      <c r="I2526" t="s">
        <v>27</v>
      </c>
      <c r="J2526">
        <v>33.200000000000003</v>
      </c>
      <c r="K2526">
        <v>1.5920000000000001</v>
      </c>
      <c r="L2526">
        <v>33.200000000000003</v>
      </c>
      <c r="M2526">
        <v>52.854400000000005</v>
      </c>
      <c r="N2526" s="5">
        <v>2.678884946781551</v>
      </c>
      <c r="O2526" t="s">
        <v>90</v>
      </c>
      <c r="P2526" t="s">
        <v>340</v>
      </c>
      <c r="Q2526" s="10" t="s">
        <v>24</v>
      </c>
    </row>
    <row r="2527" spans="1:18" hidden="1" x14ac:dyDescent="0.25">
      <c r="A2527" s="9" t="s">
        <v>899</v>
      </c>
      <c r="B2527" s="3" t="str">
        <f t="shared" si="69"/>
        <v>19/1/30</v>
      </c>
      <c r="C2527" s="10">
        <v>30</v>
      </c>
      <c r="D2527" s="10">
        <v>1</v>
      </c>
      <c r="E2527" s="10">
        <v>19</v>
      </c>
      <c r="F2527" t="s">
        <v>770</v>
      </c>
      <c r="G2527" t="s">
        <v>31</v>
      </c>
      <c r="H2527" t="s">
        <v>26</v>
      </c>
      <c r="I2527" t="s">
        <v>27</v>
      </c>
      <c r="J2527">
        <v>6.74</v>
      </c>
      <c r="K2527">
        <v>1</v>
      </c>
      <c r="L2527">
        <v>6.74</v>
      </c>
      <c r="M2527">
        <v>6.74</v>
      </c>
      <c r="N2527" s="5">
        <v>0.3416117587430309</v>
      </c>
      <c r="O2527" t="s">
        <v>90</v>
      </c>
      <c r="P2527" t="s">
        <v>340</v>
      </c>
      <c r="Q2527" s="10" t="s">
        <v>24</v>
      </c>
    </row>
    <row r="2528" spans="1:18" hidden="1" x14ac:dyDescent="0.25">
      <c r="A2528" s="9" t="s">
        <v>899</v>
      </c>
      <c r="B2528" s="3" t="str">
        <f t="shared" si="69"/>
        <v>19/1/30</v>
      </c>
      <c r="C2528" s="10">
        <v>30</v>
      </c>
      <c r="D2528" s="10">
        <v>1</v>
      </c>
      <c r="E2528" s="10">
        <v>19</v>
      </c>
      <c r="F2528" t="s">
        <v>981</v>
      </c>
      <c r="G2528" t="s">
        <v>31</v>
      </c>
      <c r="H2528" t="s">
        <v>26</v>
      </c>
      <c r="I2528" t="s">
        <v>27</v>
      </c>
      <c r="J2528">
        <v>7.88</v>
      </c>
      <c r="K2528">
        <v>2</v>
      </c>
      <c r="L2528">
        <v>7.88</v>
      </c>
      <c r="M2528">
        <v>15.76</v>
      </c>
      <c r="N2528" s="5">
        <v>0.79878357830714641</v>
      </c>
      <c r="O2528" t="s">
        <v>90</v>
      </c>
      <c r="P2528" t="s">
        <v>340</v>
      </c>
      <c r="Q2528" s="10" t="s">
        <v>24</v>
      </c>
    </row>
    <row r="2529" spans="1:17" hidden="1" x14ac:dyDescent="0.25">
      <c r="A2529" s="9" t="s">
        <v>899</v>
      </c>
      <c r="B2529" s="3" t="str">
        <f t="shared" si="69"/>
        <v>19/1/30</v>
      </c>
      <c r="C2529" s="10">
        <v>30</v>
      </c>
      <c r="D2529" s="10">
        <v>1</v>
      </c>
      <c r="E2529" s="10">
        <v>19</v>
      </c>
      <c r="F2529" t="s">
        <v>983</v>
      </c>
      <c r="G2529" t="s">
        <v>889</v>
      </c>
      <c r="H2529" t="s">
        <v>39</v>
      </c>
      <c r="I2529" t="s">
        <v>27</v>
      </c>
      <c r="J2529">
        <v>14.72</v>
      </c>
      <c r="K2529">
        <v>1</v>
      </c>
      <c r="L2529">
        <v>14.72</v>
      </c>
      <c r="M2529">
        <v>14.72</v>
      </c>
      <c r="N2529" s="5">
        <v>0.74607197161682715</v>
      </c>
      <c r="O2529" t="s">
        <v>90</v>
      </c>
      <c r="P2529" t="s">
        <v>340</v>
      </c>
      <c r="Q2529" s="10" t="s">
        <v>24</v>
      </c>
    </row>
    <row r="2530" spans="1:17" hidden="1" x14ac:dyDescent="0.25">
      <c r="A2530" s="9" t="s">
        <v>899</v>
      </c>
      <c r="B2530" s="3" t="str">
        <f t="shared" si="69"/>
        <v>19/1/30</v>
      </c>
      <c r="C2530" s="10">
        <v>30</v>
      </c>
      <c r="D2530" s="10">
        <v>1</v>
      </c>
      <c r="E2530" s="10">
        <v>19</v>
      </c>
      <c r="F2530" t="s">
        <v>983</v>
      </c>
      <c r="G2530" t="s">
        <v>889</v>
      </c>
      <c r="H2530" t="s">
        <v>39</v>
      </c>
      <c r="I2530" t="s">
        <v>27</v>
      </c>
      <c r="J2530">
        <v>13.77</v>
      </c>
      <c r="K2530">
        <v>1</v>
      </c>
      <c r="L2530">
        <v>13.77</v>
      </c>
      <c r="M2530">
        <v>13.77</v>
      </c>
      <c r="N2530" s="5">
        <v>0.69792194627470849</v>
      </c>
      <c r="O2530" t="s">
        <v>90</v>
      </c>
      <c r="P2530" t="s">
        <v>340</v>
      </c>
      <c r="Q2530" s="10" t="s">
        <v>24</v>
      </c>
    </row>
    <row r="2531" spans="1:17" hidden="1" x14ac:dyDescent="0.25">
      <c r="A2531" s="9" t="s">
        <v>899</v>
      </c>
      <c r="B2531" s="3" t="str">
        <f t="shared" si="69"/>
        <v>19/1/30</v>
      </c>
      <c r="C2531" s="10">
        <v>30</v>
      </c>
      <c r="D2531" s="10">
        <v>1</v>
      </c>
      <c r="E2531" s="10">
        <v>19</v>
      </c>
      <c r="F2531" t="s">
        <v>945</v>
      </c>
      <c r="G2531" t="s">
        <v>889</v>
      </c>
      <c r="H2531" t="s">
        <v>54</v>
      </c>
      <c r="I2531" t="s">
        <v>27</v>
      </c>
      <c r="J2531">
        <v>52.4</v>
      </c>
      <c r="K2531">
        <v>0.50800000000000001</v>
      </c>
      <c r="L2531">
        <v>52.4</v>
      </c>
      <c r="M2531">
        <v>26.619199999999999</v>
      </c>
      <c r="N2531" s="5">
        <v>1.3491738469336036</v>
      </c>
      <c r="O2531" t="s">
        <v>90</v>
      </c>
      <c r="P2531" t="s">
        <v>340</v>
      </c>
      <c r="Q2531" s="10" t="s">
        <v>24</v>
      </c>
    </row>
    <row r="2532" spans="1:17" hidden="1" x14ac:dyDescent="0.25">
      <c r="A2532" s="9" t="s">
        <v>899</v>
      </c>
      <c r="B2532" s="3" t="str">
        <f t="shared" si="69"/>
        <v>19/1/30</v>
      </c>
      <c r="C2532" s="10">
        <v>30</v>
      </c>
      <c r="D2532" s="10">
        <v>1</v>
      </c>
      <c r="E2532" s="10">
        <v>19</v>
      </c>
      <c r="F2532" t="s">
        <v>218</v>
      </c>
      <c r="G2532" t="s">
        <v>889</v>
      </c>
      <c r="H2532" t="s">
        <v>54</v>
      </c>
      <c r="I2532" t="s">
        <v>27</v>
      </c>
      <c r="J2532">
        <v>45</v>
      </c>
      <c r="K2532">
        <v>0.32800000000000001</v>
      </c>
      <c r="L2532">
        <v>45</v>
      </c>
      <c r="M2532">
        <v>14.76</v>
      </c>
      <c r="N2532" s="5">
        <v>0.74809934110491638</v>
      </c>
      <c r="O2532" t="s">
        <v>90</v>
      </c>
      <c r="P2532" t="s">
        <v>340</v>
      </c>
      <c r="Q2532" s="10" t="s">
        <v>24</v>
      </c>
    </row>
    <row r="2533" spans="1:17" hidden="1" x14ac:dyDescent="0.25">
      <c r="A2533" s="9" t="s">
        <v>899</v>
      </c>
      <c r="B2533" s="3" t="str">
        <f t="shared" si="69"/>
        <v>19/1/30</v>
      </c>
      <c r="C2533" s="10">
        <v>30</v>
      </c>
      <c r="D2533" s="10">
        <v>1</v>
      </c>
      <c r="E2533" s="10">
        <v>19</v>
      </c>
      <c r="F2533" t="s">
        <v>2187</v>
      </c>
      <c r="G2533" t="s">
        <v>320</v>
      </c>
      <c r="H2533" t="s">
        <v>49</v>
      </c>
      <c r="I2533" t="s">
        <v>50</v>
      </c>
      <c r="J2533">
        <v>93.86</v>
      </c>
      <c r="K2533">
        <v>1</v>
      </c>
      <c r="L2533">
        <v>93.86</v>
      </c>
      <c r="M2533">
        <v>93.86</v>
      </c>
      <c r="N2533" s="5">
        <v>4.7572225038013176</v>
      </c>
      <c r="O2533" t="s">
        <v>90</v>
      </c>
      <c r="P2533" t="s">
        <v>340</v>
      </c>
      <c r="Q2533" s="10" t="s">
        <v>24</v>
      </c>
    </row>
    <row r="2534" spans="1:17" hidden="1" x14ac:dyDescent="0.25">
      <c r="A2534" s="9" t="s">
        <v>899</v>
      </c>
      <c r="B2534" s="3" t="str">
        <f t="shared" si="69"/>
        <v>19/1/30</v>
      </c>
      <c r="C2534" s="10">
        <v>30</v>
      </c>
      <c r="D2534" s="10">
        <v>1</v>
      </c>
      <c r="E2534" s="10">
        <v>19</v>
      </c>
      <c r="F2534" t="s">
        <v>830</v>
      </c>
      <c r="G2534" t="s">
        <v>155</v>
      </c>
      <c r="H2534" t="s">
        <v>131</v>
      </c>
      <c r="I2534" t="s">
        <v>27</v>
      </c>
      <c r="J2534">
        <v>29.83</v>
      </c>
      <c r="K2534">
        <v>2</v>
      </c>
      <c r="L2534">
        <v>29.83</v>
      </c>
      <c r="M2534">
        <v>59.66</v>
      </c>
      <c r="N2534" s="5">
        <v>3.0238215914850479</v>
      </c>
      <c r="O2534" t="s">
        <v>90</v>
      </c>
      <c r="P2534" t="s">
        <v>340</v>
      </c>
      <c r="Q2534" s="10" t="s">
        <v>84</v>
      </c>
    </row>
    <row r="2535" spans="1:17" hidden="1" x14ac:dyDescent="0.25">
      <c r="A2535" s="9" t="s">
        <v>899</v>
      </c>
      <c r="B2535" s="3" t="str">
        <f t="shared" si="69"/>
        <v>19/1/30</v>
      </c>
      <c r="C2535" s="10">
        <v>30</v>
      </c>
      <c r="D2535" s="10">
        <v>1</v>
      </c>
      <c r="E2535" s="10">
        <v>19</v>
      </c>
      <c r="F2535" t="s">
        <v>982</v>
      </c>
      <c r="G2535" t="s">
        <v>889</v>
      </c>
      <c r="H2535" t="s">
        <v>39</v>
      </c>
      <c r="I2535" t="s">
        <v>27</v>
      </c>
      <c r="J2535">
        <v>10.83</v>
      </c>
      <c r="K2535">
        <v>2</v>
      </c>
      <c r="L2535">
        <v>10.83</v>
      </c>
      <c r="M2535">
        <v>21.66</v>
      </c>
      <c r="N2535" s="5">
        <v>1.0978205778003041</v>
      </c>
      <c r="O2535" t="s">
        <v>90</v>
      </c>
      <c r="P2535" t="s">
        <v>340</v>
      </c>
      <c r="Q2535" s="10" t="s">
        <v>24</v>
      </c>
    </row>
    <row r="2536" spans="1:17" hidden="1" x14ac:dyDescent="0.25">
      <c r="A2536" s="9" t="s">
        <v>899</v>
      </c>
      <c r="B2536" s="3" t="str">
        <f t="shared" si="69"/>
        <v>19/1/30</v>
      </c>
      <c r="C2536" s="10">
        <v>30</v>
      </c>
      <c r="D2536" s="10">
        <v>1</v>
      </c>
      <c r="E2536" s="10">
        <v>19</v>
      </c>
      <c r="F2536" t="s">
        <v>204</v>
      </c>
      <c r="G2536" t="s">
        <v>889</v>
      </c>
      <c r="H2536" t="s">
        <v>54</v>
      </c>
      <c r="I2536" t="s">
        <v>27</v>
      </c>
      <c r="J2536">
        <v>64.099999999999994</v>
      </c>
      <c r="K2536">
        <v>0.20799999999999999</v>
      </c>
      <c r="L2536">
        <v>64.099999999999994</v>
      </c>
      <c r="M2536">
        <v>13.332799999999999</v>
      </c>
      <c r="N2536" s="5">
        <v>0.67576279776989345</v>
      </c>
      <c r="O2536" t="s">
        <v>90</v>
      </c>
      <c r="P2536" t="s">
        <v>340</v>
      </c>
      <c r="Q2536" s="10" t="s">
        <v>24</v>
      </c>
    </row>
    <row r="2537" spans="1:17" hidden="1" x14ac:dyDescent="0.25">
      <c r="A2537" s="9" t="s">
        <v>899</v>
      </c>
      <c r="B2537" s="3" t="str">
        <f t="shared" si="69"/>
        <v>19/1/30</v>
      </c>
      <c r="C2537" s="10">
        <v>30</v>
      </c>
      <c r="D2537" s="10">
        <v>1</v>
      </c>
      <c r="E2537" s="10">
        <v>19</v>
      </c>
      <c r="F2537" t="s">
        <v>925</v>
      </c>
      <c r="G2537" t="s">
        <v>708</v>
      </c>
      <c r="H2537" t="s">
        <v>131</v>
      </c>
      <c r="I2537" t="s">
        <v>27</v>
      </c>
      <c r="J2537">
        <v>22.61</v>
      </c>
      <c r="K2537">
        <v>2</v>
      </c>
      <c r="L2537">
        <v>22.61</v>
      </c>
      <c r="M2537">
        <v>45.22</v>
      </c>
      <c r="N2537" s="5">
        <v>2.2919412062848452</v>
      </c>
      <c r="O2537" t="s">
        <v>90</v>
      </c>
      <c r="P2537" t="s">
        <v>340</v>
      </c>
      <c r="Q2537" s="10" t="s">
        <v>24</v>
      </c>
    </row>
    <row r="2538" spans="1:17" hidden="1" x14ac:dyDescent="0.25">
      <c r="A2538" s="9" t="s">
        <v>899</v>
      </c>
      <c r="B2538" s="3" t="str">
        <f t="shared" si="69"/>
        <v>19/1/30</v>
      </c>
      <c r="C2538" s="10">
        <v>30</v>
      </c>
      <c r="D2538" s="10">
        <v>1</v>
      </c>
      <c r="E2538" s="10">
        <v>19</v>
      </c>
      <c r="F2538" t="s">
        <v>212</v>
      </c>
      <c r="G2538" t="s">
        <v>889</v>
      </c>
      <c r="H2538" t="s">
        <v>54</v>
      </c>
      <c r="I2538" t="s">
        <v>27</v>
      </c>
      <c r="J2538">
        <v>28.5</v>
      </c>
      <c r="K2538">
        <v>1</v>
      </c>
      <c r="L2538">
        <v>28.5</v>
      </c>
      <c r="M2538">
        <v>28.5</v>
      </c>
      <c r="N2538" s="5">
        <v>1.444500760263558</v>
      </c>
      <c r="O2538" t="s">
        <v>90</v>
      </c>
      <c r="P2538" t="s">
        <v>340</v>
      </c>
      <c r="Q2538" s="10" t="s">
        <v>24</v>
      </c>
    </row>
    <row r="2539" spans="1:17" hidden="1" x14ac:dyDescent="0.25">
      <c r="A2539" s="9" t="s">
        <v>899</v>
      </c>
      <c r="B2539" s="3" t="str">
        <f t="shared" si="69"/>
        <v>19/1/30</v>
      </c>
      <c r="C2539" s="10">
        <v>30</v>
      </c>
      <c r="D2539" s="10">
        <v>1</v>
      </c>
      <c r="E2539" s="10">
        <v>19</v>
      </c>
      <c r="F2539" t="s">
        <v>974</v>
      </c>
      <c r="G2539" t="s">
        <v>25</v>
      </c>
      <c r="H2539" t="s">
        <v>26</v>
      </c>
      <c r="I2539" t="s">
        <v>27</v>
      </c>
      <c r="J2539">
        <v>126.06</v>
      </c>
      <c r="K2539">
        <v>0.30599999999999999</v>
      </c>
      <c r="L2539">
        <v>126.06</v>
      </c>
      <c r="M2539">
        <v>38.574359999999999</v>
      </c>
      <c r="N2539" s="5">
        <v>1.9551120121642169</v>
      </c>
      <c r="O2539" t="s">
        <v>90</v>
      </c>
      <c r="P2539" t="s">
        <v>340</v>
      </c>
      <c r="Q2539" s="10" t="s">
        <v>24</v>
      </c>
    </row>
    <row r="2540" spans="1:17" hidden="1" x14ac:dyDescent="0.25">
      <c r="A2540" s="9" t="s">
        <v>899</v>
      </c>
      <c r="B2540" s="3" t="str">
        <f t="shared" si="69"/>
        <v>19/1/30</v>
      </c>
      <c r="C2540" s="10">
        <v>30</v>
      </c>
      <c r="D2540" s="10">
        <v>1</v>
      </c>
      <c r="E2540" s="10">
        <v>19</v>
      </c>
      <c r="F2540" t="s">
        <v>744</v>
      </c>
      <c r="H2540" t="s">
        <v>54</v>
      </c>
      <c r="I2540" t="s">
        <v>27</v>
      </c>
      <c r="J2540">
        <v>10.5</v>
      </c>
      <c r="K2540">
        <v>0.97199999999999998</v>
      </c>
      <c r="L2540">
        <v>10.5</v>
      </c>
      <c r="M2540">
        <v>10.206</v>
      </c>
      <c r="N2540" s="5">
        <v>0.5172833248859604</v>
      </c>
      <c r="O2540" t="s">
        <v>90</v>
      </c>
      <c r="P2540" t="s">
        <v>340</v>
      </c>
      <c r="Q2540" s="10" t="s">
        <v>24</v>
      </c>
    </row>
    <row r="2541" spans="1:17" hidden="1" x14ac:dyDescent="0.25">
      <c r="A2541" s="9" t="s">
        <v>899</v>
      </c>
      <c r="B2541" s="3" t="str">
        <f t="shared" si="69"/>
        <v>19/1/30</v>
      </c>
      <c r="C2541" s="10">
        <v>30</v>
      </c>
      <c r="D2541" s="10">
        <v>1</v>
      </c>
      <c r="E2541" s="10">
        <v>19</v>
      </c>
      <c r="F2541" t="s">
        <v>75</v>
      </c>
      <c r="G2541" t="s">
        <v>889</v>
      </c>
      <c r="H2541" t="s">
        <v>65</v>
      </c>
      <c r="I2541" t="s">
        <v>27</v>
      </c>
      <c r="J2541">
        <v>33.06</v>
      </c>
      <c r="K2541">
        <v>2</v>
      </c>
      <c r="L2541">
        <v>33.06</v>
      </c>
      <c r="M2541">
        <v>66.12</v>
      </c>
      <c r="N2541" s="5">
        <v>3.3512417638114549</v>
      </c>
      <c r="O2541" t="s">
        <v>90</v>
      </c>
      <c r="P2541" t="s">
        <v>340</v>
      </c>
      <c r="Q2541" s="10" t="s">
        <v>24</v>
      </c>
    </row>
    <row r="2542" spans="1:17" hidden="1" x14ac:dyDescent="0.25">
      <c r="A2542" s="9" t="s">
        <v>899</v>
      </c>
      <c r="B2542" s="3" t="str">
        <f t="shared" si="69"/>
        <v>19/1/30</v>
      </c>
      <c r="C2542" s="10">
        <v>30</v>
      </c>
      <c r="D2542" s="10">
        <v>1</v>
      </c>
      <c r="E2542" s="10">
        <v>19</v>
      </c>
      <c r="F2542" t="s">
        <v>173</v>
      </c>
      <c r="G2542" t="s">
        <v>174</v>
      </c>
      <c r="H2542" t="s">
        <v>54</v>
      </c>
      <c r="I2542" t="s">
        <v>27</v>
      </c>
      <c r="J2542">
        <v>18.399999999999999</v>
      </c>
      <c r="K2542">
        <v>0.50600000000000001</v>
      </c>
      <c r="L2542">
        <v>18.399999999999999</v>
      </c>
      <c r="M2542">
        <v>9.3103999999999996</v>
      </c>
      <c r="N2542" s="5">
        <v>0.47189052204764315</v>
      </c>
      <c r="O2542" t="s">
        <v>90</v>
      </c>
      <c r="P2542" t="s">
        <v>340</v>
      </c>
      <c r="Q2542" s="10" t="s">
        <v>24</v>
      </c>
    </row>
    <row r="2543" spans="1:17" hidden="1" x14ac:dyDescent="0.25">
      <c r="A2543" s="9" t="s">
        <v>899</v>
      </c>
      <c r="B2543" s="3" t="str">
        <f t="shared" si="69"/>
        <v>19/1/30</v>
      </c>
      <c r="C2543" s="10">
        <v>30</v>
      </c>
      <c r="D2543" s="10">
        <v>1</v>
      </c>
      <c r="E2543" s="10">
        <v>19</v>
      </c>
      <c r="F2543" t="s">
        <v>206</v>
      </c>
      <c r="G2543" t="s">
        <v>889</v>
      </c>
      <c r="H2543" t="s">
        <v>56</v>
      </c>
      <c r="I2543" t="s">
        <v>27</v>
      </c>
      <c r="J2543">
        <v>26.2</v>
      </c>
      <c r="K2543">
        <v>0.37</v>
      </c>
      <c r="L2543">
        <v>26.2</v>
      </c>
      <c r="M2543">
        <v>9.6939999999999991</v>
      </c>
      <c r="N2543" s="5">
        <v>0.49133299543841857</v>
      </c>
      <c r="O2543" t="s">
        <v>90</v>
      </c>
      <c r="P2543" t="s">
        <v>340</v>
      </c>
      <c r="Q2543" s="10" t="s">
        <v>24</v>
      </c>
    </row>
    <row r="2544" spans="1:17" hidden="1" x14ac:dyDescent="0.25">
      <c r="A2544" s="9" t="s">
        <v>899</v>
      </c>
      <c r="B2544" s="3" t="str">
        <f t="shared" ref="B2544:B2563" si="70">CONCATENATE(E2544,"/",D2544,"/",C2544)</f>
        <v>19/1/30</v>
      </c>
      <c r="C2544" s="10">
        <v>30</v>
      </c>
      <c r="D2544" s="10">
        <v>1</v>
      </c>
      <c r="E2544" s="10">
        <v>19</v>
      </c>
      <c r="F2544" t="s">
        <v>226</v>
      </c>
      <c r="G2544" t="s">
        <v>889</v>
      </c>
      <c r="H2544" t="s">
        <v>44</v>
      </c>
      <c r="I2544" t="s">
        <v>27</v>
      </c>
      <c r="J2544">
        <v>27.74</v>
      </c>
      <c r="K2544">
        <v>2</v>
      </c>
      <c r="L2544">
        <v>27.74</v>
      </c>
      <c r="M2544">
        <v>55.48</v>
      </c>
      <c r="N2544" s="5">
        <v>2.8119614799797259</v>
      </c>
      <c r="O2544" t="s">
        <v>90</v>
      </c>
      <c r="P2544" t="s">
        <v>340</v>
      </c>
      <c r="Q2544" s="10" t="s">
        <v>24</v>
      </c>
    </row>
    <row r="2545" spans="1:17" hidden="1" x14ac:dyDescent="0.25">
      <c r="A2545" s="9" t="s">
        <v>899</v>
      </c>
      <c r="B2545" s="3" t="str">
        <f t="shared" si="70"/>
        <v>19/1/30</v>
      </c>
      <c r="C2545" s="10">
        <v>30</v>
      </c>
      <c r="D2545" s="10">
        <v>1</v>
      </c>
      <c r="E2545" s="10">
        <v>19</v>
      </c>
      <c r="F2545" t="s">
        <v>906</v>
      </c>
      <c r="G2545" t="s">
        <v>889</v>
      </c>
      <c r="H2545" t="s">
        <v>65</v>
      </c>
      <c r="I2545" t="s">
        <v>27</v>
      </c>
      <c r="J2545">
        <v>26.12</v>
      </c>
      <c r="K2545">
        <v>2</v>
      </c>
      <c r="L2545">
        <v>26.12</v>
      </c>
      <c r="M2545">
        <v>52.24</v>
      </c>
      <c r="N2545" s="5">
        <v>2.6477445514445006</v>
      </c>
      <c r="O2545" t="s">
        <v>90</v>
      </c>
      <c r="P2545" t="s">
        <v>340</v>
      </c>
      <c r="Q2545" s="10" t="s">
        <v>24</v>
      </c>
    </row>
    <row r="2546" spans="1:17" hidden="1" x14ac:dyDescent="0.25">
      <c r="A2546" s="9" t="s">
        <v>899</v>
      </c>
      <c r="B2546" s="3" t="str">
        <f t="shared" si="70"/>
        <v>19/1/30</v>
      </c>
      <c r="C2546" s="10">
        <v>30</v>
      </c>
      <c r="D2546" s="10">
        <v>1</v>
      </c>
      <c r="E2546" s="10">
        <v>19</v>
      </c>
      <c r="F2546" t="s">
        <v>124</v>
      </c>
      <c r="G2546" t="s">
        <v>404</v>
      </c>
      <c r="H2546" t="s">
        <v>54</v>
      </c>
      <c r="I2546" t="s">
        <v>27</v>
      </c>
      <c r="J2546">
        <v>41</v>
      </c>
      <c r="K2546">
        <v>0.61199999999999999</v>
      </c>
      <c r="L2546">
        <v>41</v>
      </c>
      <c r="M2546">
        <v>25.091999999999999</v>
      </c>
      <c r="N2546" s="5">
        <v>1.2717688798783577</v>
      </c>
      <c r="O2546" t="s">
        <v>90</v>
      </c>
      <c r="P2546" t="s">
        <v>340</v>
      </c>
      <c r="Q2546" s="10" t="s">
        <v>24</v>
      </c>
    </row>
    <row r="2547" spans="1:17" hidden="1" x14ac:dyDescent="0.25">
      <c r="A2547" s="9" t="s">
        <v>899</v>
      </c>
      <c r="B2547" s="3" t="str">
        <f t="shared" si="70"/>
        <v>19/1/30</v>
      </c>
      <c r="C2547" s="10">
        <v>30</v>
      </c>
      <c r="D2547" s="10">
        <v>1</v>
      </c>
      <c r="E2547" s="10">
        <v>19</v>
      </c>
      <c r="F2547" t="s">
        <v>55</v>
      </c>
      <c r="H2547" t="s">
        <v>56</v>
      </c>
      <c r="I2547" t="s">
        <v>27</v>
      </c>
      <c r="J2547">
        <v>21.7</v>
      </c>
      <c r="K2547">
        <v>0.91200000000000003</v>
      </c>
      <c r="L2547">
        <v>21.7</v>
      </c>
      <c r="M2547">
        <v>19.790400000000002</v>
      </c>
      <c r="N2547" s="5">
        <v>1.0030613279270149</v>
      </c>
      <c r="O2547" t="s">
        <v>90</v>
      </c>
      <c r="P2547" t="s">
        <v>340</v>
      </c>
      <c r="Q2547" s="10" t="s">
        <v>24</v>
      </c>
    </row>
    <row r="2548" spans="1:17" hidden="1" x14ac:dyDescent="0.25">
      <c r="A2548" s="9" t="s">
        <v>899</v>
      </c>
      <c r="B2548" s="3" t="str">
        <f t="shared" si="70"/>
        <v>19/1/30</v>
      </c>
      <c r="C2548" s="10">
        <v>30</v>
      </c>
      <c r="D2548" s="10">
        <v>1</v>
      </c>
      <c r="E2548" s="10">
        <v>19</v>
      </c>
      <c r="F2548" t="s">
        <v>118</v>
      </c>
      <c r="G2548" t="s">
        <v>889</v>
      </c>
      <c r="H2548" t="s">
        <v>40</v>
      </c>
      <c r="I2548" t="s">
        <v>27</v>
      </c>
      <c r="J2548">
        <v>7.6</v>
      </c>
      <c r="K2548">
        <v>1</v>
      </c>
      <c r="L2548">
        <v>7.6</v>
      </c>
      <c r="M2548">
        <v>7.6</v>
      </c>
      <c r="N2548" s="5">
        <v>0.38520020273694877</v>
      </c>
      <c r="O2548" t="s">
        <v>90</v>
      </c>
      <c r="P2548" t="s">
        <v>340</v>
      </c>
      <c r="Q2548" s="10" t="s">
        <v>24</v>
      </c>
    </row>
    <row r="2549" spans="1:17" hidden="1" x14ac:dyDescent="0.25">
      <c r="A2549" s="9" t="s">
        <v>899</v>
      </c>
      <c r="B2549" s="3" t="str">
        <f t="shared" si="70"/>
        <v>19/1/30</v>
      </c>
      <c r="C2549" s="10">
        <v>30</v>
      </c>
      <c r="D2549" s="10">
        <v>1</v>
      </c>
      <c r="E2549" s="10">
        <v>19</v>
      </c>
      <c r="F2549" t="s">
        <v>974</v>
      </c>
      <c r="G2549" t="s">
        <v>25</v>
      </c>
      <c r="H2549" t="s">
        <v>26</v>
      </c>
      <c r="I2549" t="s">
        <v>27</v>
      </c>
      <c r="J2549">
        <v>130.05000000000001</v>
      </c>
      <c r="K2549">
        <v>0.248</v>
      </c>
      <c r="L2549">
        <v>130.05000000000001</v>
      </c>
      <c r="M2549">
        <v>32.252400000000002</v>
      </c>
      <c r="N2549" s="5">
        <v>1.6346882919412062</v>
      </c>
      <c r="O2549" t="s">
        <v>90</v>
      </c>
      <c r="P2549" t="s">
        <v>340</v>
      </c>
      <c r="Q2549" s="10" t="s">
        <v>24</v>
      </c>
    </row>
    <row r="2550" spans="1:17" hidden="1" x14ac:dyDescent="0.25">
      <c r="A2550" s="9" t="s">
        <v>899</v>
      </c>
      <c r="B2550" s="3" t="str">
        <f t="shared" si="70"/>
        <v>19/1/30</v>
      </c>
      <c r="C2550" s="10">
        <v>30</v>
      </c>
      <c r="D2550" s="10">
        <v>1</v>
      </c>
      <c r="E2550" s="10">
        <v>19</v>
      </c>
      <c r="F2550" t="s">
        <v>925</v>
      </c>
      <c r="G2550" t="s">
        <v>708</v>
      </c>
      <c r="H2550" t="s">
        <v>131</v>
      </c>
      <c r="I2550" t="s">
        <v>27</v>
      </c>
      <c r="J2550">
        <v>23.32</v>
      </c>
      <c r="K2550">
        <v>2</v>
      </c>
      <c r="L2550">
        <v>23.32</v>
      </c>
      <c r="M2550">
        <v>46.64</v>
      </c>
      <c r="N2550" s="5">
        <v>2.3639128231120123</v>
      </c>
      <c r="O2550" t="s">
        <v>90</v>
      </c>
      <c r="P2550" t="s">
        <v>340</v>
      </c>
      <c r="Q2550" s="10" t="s">
        <v>24</v>
      </c>
    </row>
    <row r="2551" spans="1:17" hidden="1" x14ac:dyDescent="0.25">
      <c r="A2551" s="9" t="s">
        <v>899</v>
      </c>
      <c r="B2551" s="3" t="str">
        <f t="shared" si="70"/>
        <v>19/1/30</v>
      </c>
      <c r="C2551" s="10">
        <v>30</v>
      </c>
      <c r="D2551" s="10">
        <v>1</v>
      </c>
      <c r="E2551" s="10">
        <v>19</v>
      </c>
      <c r="F2551" t="s">
        <v>211</v>
      </c>
      <c r="G2551" t="s">
        <v>889</v>
      </c>
      <c r="H2551" t="s">
        <v>56</v>
      </c>
      <c r="I2551" t="s">
        <v>27</v>
      </c>
      <c r="J2551">
        <v>25.1</v>
      </c>
      <c r="K2551">
        <v>1</v>
      </c>
      <c r="L2551">
        <v>25.1</v>
      </c>
      <c r="M2551">
        <v>25.1</v>
      </c>
      <c r="N2551" s="5">
        <v>1.2721743537759758</v>
      </c>
      <c r="O2551" t="s">
        <v>90</v>
      </c>
      <c r="P2551" t="s">
        <v>340</v>
      </c>
      <c r="Q2551" s="10" t="s">
        <v>24</v>
      </c>
    </row>
    <row r="2552" spans="1:17" hidden="1" x14ac:dyDescent="0.25">
      <c r="A2552" s="9" t="s">
        <v>899</v>
      </c>
      <c r="B2552" s="3" t="str">
        <f t="shared" si="70"/>
        <v>19/1/30</v>
      </c>
      <c r="C2552" s="10">
        <v>30</v>
      </c>
      <c r="D2552" s="10">
        <v>1</v>
      </c>
      <c r="E2552" s="10">
        <v>19</v>
      </c>
      <c r="F2552" t="s">
        <v>586</v>
      </c>
      <c r="G2552" t="s">
        <v>31</v>
      </c>
      <c r="H2552" t="s">
        <v>26</v>
      </c>
      <c r="I2552" t="s">
        <v>27</v>
      </c>
      <c r="J2552">
        <v>4.51</v>
      </c>
      <c r="K2552">
        <v>3</v>
      </c>
      <c r="L2552">
        <v>4.51</v>
      </c>
      <c r="M2552">
        <v>13.53</v>
      </c>
      <c r="N2552" s="5">
        <v>0.68575772934617329</v>
      </c>
      <c r="O2552" t="s">
        <v>90</v>
      </c>
      <c r="P2552" t="s">
        <v>340</v>
      </c>
      <c r="Q2552" s="10" t="s">
        <v>24</v>
      </c>
    </row>
    <row r="2553" spans="1:17" hidden="1" x14ac:dyDescent="0.25">
      <c r="A2553" s="9" t="s">
        <v>899</v>
      </c>
      <c r="B2553" s="3" t="str">
        <f t="shared" si="70"/>
        <v>19/1/30</v>
      </c>
      <c r="C2553" s="10">
        <v>30</v>
      </c>
      <c r="D2553" s="10">
        <v>1</v>
      </c>
      <c r="E2553" s="10">
        <v>19</v>
      </c>
      <c r="F2553" t="s">
        <v>984</v>
      </c>
      <c r="G2553" t="s">
        <v>889</v>
      </c>
      <c r="H2553" t="s">
        <v>40</v>
      </c>
      <c r="I2553" t="s">
        <v>27</v>
      </c>
      <c r="J2553">
        <v>14.21</v>
      </c>
      <c r="K2553">
        <v>1</v>
      </c>
      <c r="L2553">
        <v>14.21</v>
      </c>
      <c r="M2553">
        <v>14.21</v>
      </c>
      <c r="N2553" s="5">
        <v>0.72022301064368988</v>
      </c>
      <c r="O2553" t="s">
        <v>90</v>
      </c>
      <c r="P2553" t="s">
        <v>340</v>
      </c>
      <c r="Q2553" s="10" t="s">
        <v>24</v>
      </c>
    </row>
    <row r="2554" spans="1:17" hidden="1" x14ac:dyDescent="0.25">
      <c r="A2554" s="9" t="s">
        <v>899</v>
      </c>
      <c r="B2554" s="3" t="str">
        <f t="shared" si="70"/>
        <v>19/1/4</v>
      </c>
      <c r="C2554" s="10">
        <v>4</v>
      </c>
      <c r="D2554" s="10">
        <v>1</v>
      </c>
      <c r="E2554" s="10">
        <v>19</v>
      </c>
      <c r="F2554" t="s">
        <v>141</v>
      </c>
      <c r="H2554" t="s">
        <v>172</v>
      </c>
      <c r="I2554" t="s">
        <v>39</v>
      </c>
      <c r="J2554">
        <v>2</v>
      </c>
      <c r="K2554">
        <v>2</v>
      </c>
      <c r="L2554">
        <v>2</v>
      </c>
      <c r="M2554">
        <v>4</v>
      </c>
      <c r="N2554" s="5">
        <v>0.20149441692553105</v>
      </c>
      <c r="O2554" t="s">
        <v>39</v>
      </c>
      <c r="P2554" t="s">
        <v>340</v>
      </c>
      <c r="Q2554" t="s">
        <v>24</v>
      </c>
    </row>
    <row r="2555" spans="1:17" hidden="1" x14ac:dyDescent="0.25">
      <c r="A2555" s="9" t="s">
        <v>899</v>
      </c>
      <c r="B2555" s="3" t="str">
        <f t="shared" si="70"/>
        <v>19/1/4</v>
      </c>
      <c r="C2555" s="10">
        <v>4</v>
      </c>
      <c r="D2555" s="10">
        <v>1</v>
      </c>
      <c r="E2555" s="10">
        <v>19</v>
      </c>
      <c r="F2555" t="s">
        <v>921</v>
      </c>
      <c r="G2555" t="s">
        <v>465</v>
      </c>
      <c r="H2555" t="s">
        <v>35</v>
      </c>
      <c r="I2555" t="s">
        <v>27</v>
      </c>
      <c r="J2555">
        <v>93.75</v>
      </c>
      <c r="K2555">
        <v>1.01</v>
      </c>
      <c r="L2555">
        <v>93.75</v>
      </c>
      <c r="M2555">
        <v>94.6875</v>
      </c>
      <c r="N2555" s="5">
        <v>4.7697506506590557</v>
      </c>
      <c r="O2555" t="s">
        <v>100</v>
      </c>
      <c r="P2555" t="s">
        <v>340</v>
      </c>
      <c r="Q2555" t="s">
        <v>24</v>
      </c>
    </row>
    <row r="2556" spans="1:17" hidden="1" x14ac:dyDescent="0.25">
      <c r="A2556" s="9" t="s">
        <v>899</v>
      </c>
      <c r="B2556" s="3" t="str">
        <f t="shared" si="70"/>
        <v>19/1/4</v>
      </c>
      <c r="C2556" s="10">
        <v>4</v>
      </c>
      <c r="D2556" s="10">
        <v>1</v>
      </c>
      <c r="E2556" s="10">
        <v>19</v>
      </c>
      <c r="F2556" t="s">
        <v>922</v>
      </c>
      <c r="G2556" t="s">
        <v>155</v>
      </c>
      <c r="H2556" t="s">
        <v>131</v>
      </c>
      <c r="I2556" t="s">
        <v>27</v>
      </c>
      <c r="J2556">
        <v>67.599999999999994</v>
      </c>
      <c r="K2556">
        <v>1</v>
      </c>
      <c r="L2556">
        <v>67.599999999999994</v>
      </c>
      <c r="M2556">
        <v>67.599999999999994</v>
      </c>
      <c r="N2556" s="5">
        <v>3.4052556460414745</v>
      </c>
      <c r="O2556" t="s">
        <v>100</v>
      </c>
      <c r="P2556" t="s">
        <v>340</v>
      </c>
      <c r="Q2556" t="s">
        <v>24</v>
      </c>
    </row>
    <row r="2557" spans="1:17" hidden="1" x14ac:dyDescent="0.25">
      <c r="A2557" s="9" t="s">
        <v>899</v>
      </c>
      <c r="B2557" s="3" t="str">
        <f t="shared" si="70"/>
        <v>19/1/4</v>
      </c>
      <c r="C2557" s="10">
        <v>4</v>
      </c>
      <c r="D2557" s="10">
        <v>1</v>
      </c>
      <c r="E2557" s="10">
        <v>19</v>
      </c>
      <c r="F2557" t="s">
        <v>802</v>
      </c>
      <c r="G2557" t="s">
        <v>708</v>
      </c>
      <c r="H2557" t="s">
        <v>131</v>
      </c>
      <c r="I2557" t="s">
        <v>27</v>
      </c>
      <c r="J2557">
        <v>128</v>
      </c>
      <c r="K2557">
        <v>0.59</v>
      </c>
      <c r="L2557">
        <v>128</v>
      </c>
      <c r="M2557">
        <v>75.52</v>
      </c>
      <c r="N2557" s="5">
        <v>3.8042145915540262</v>
      </c>
      <c r="O2557" t="s">
        <v>100</v>
      </c>
      <c r="P2557" t="s">
        <v>340</v>
      </c>
      <c r="Q2557" t="s">
        <v>24</v>
      </c>
    </row>
    <row r="2558" spans="1:17" hidden="1" x14ac:dyDescent="0.25">
      <c r="A2558" s="9" t="s">
        <v>899</v>
      </c>
      <c r="B2558" s="3" t="str">
        <f t="shared" si="70"/>
        <v>19/1/4</v>
      </c>
      <c r="C2558" s="10">
        <v>4</v>
      </c>
      <c r="D2558" s="10">
        <v>1</v>
      </c>
      <c r="E2558" s="10">
        <v>19</v>
      </c>
      <c r="F2558" t="s">
        <v>372</v>
      </c>
      <c r="G2558" t="s">
        <v>373</v>
      </c>
      <c r="H2558" t="s">
        <v>65</v>
      </c>
      <c r="I2558" t="s">
        <v>27</v>
      </c>
      <c r="J2558">
        <v>9</v>
      </c>
      <c r="K2558">
        <v>1</v>
      </c>
      <c r="L2558">
        <v>9</v>
      </c>
      <c r="M2558">
        <v>9</v>
      </c>
      <c r="N2558" s="5">
        <v>0.45336243808244486</v>
      </c>
      <c r="O2558" t="s">
        <v>100</v>
      </c>
      <c r="P2558" t="s">
        <v>340</v>
      </c>
      <c r="Q2558" t="s">
        <v>24</v>
      </c>
    </row>
    <row r="2559" spans="1:17" hidden="1" x14ac:dyDescent="0.25">
      <c r="A2559" s="9" t="s">
        <v>899</v>
      </c>
      <c r="B2559" s="3" t="str">
        <f t="shared" si="70"/>
        <v>19/1/4</v>
      </c>
      <c r="C2559" s="10">
        <v>4</v>
      </c>
      <c r="D2559" s="10">
        <v>1</v>
      </c>
      <c r="E2559" s="10">
        <v>19</v>
      </c>
      <c r="F2559" t="s">
        <v>923</v>
      </c>
      <c r="G2559" t="s">
        <v>708</v>
      </c>
      <c r="H2559" t="s">
        <v>131</v>
      </c>
      <c r="I2559" t="s">
        <v>27</v>
      </c>
      <c r="J2559">
        <v>31</v>
      </c>
      <c r="K2559">
        <v>1</v>
      </c>
      <c r="L2559">
        <v>31</v>
      </c>
      <c r="M2559">
        <v>31</v>
      </c>
      <c r="N2559" s="5">
        <v>1.5615817311728657</v>
      </c>
      <c r="O2559" t="s">
        <v>100</v>
      </c>
      <c r="P2559" t="s">
        <v>340</v>
      </c>
      <c r="Q2559" t="s">
        <v>24</v>
      </c>
    </row>
    <row r="2560" spans="1:17" hidden="1" x14ac:dyDescent="0.25">
      <c r="A2560" s="9" t="s">
        <v>899</v>
      </c>
      <c r="B2560" s="3" t="str">
        <f t="shared" si="70"/>
        <v>19/1/4</v>
      </c>
      <c r="C2560" s="10">
        <v>4</v>
      </c>
      <c r="D2560" s="10">
        <v>1</v>
      </c>
      <c r="E2560" s="10">
        <v>19</v>
      </c>
      <c r="F2560" t="s">
        <v>118</v>
      </c>
      <c r="H2560" t="s">
        <v>40</v>
      </c>
      <c r="I2560" t="s">
        <v>27</v>
      </c>
      <c r="J2560">
        <v>10</v>
      </c>
      <c r="K2560">
        <v>1</v>
      </c>
      <c r="L2560">
        <v>10</v>
      </c>
      <c r="M2560">
        <v>10</v>
      </c>
      <c r="N2560" s="5">
        <v>0.50373604231382763</v>
      </c>
      <c r="O2560" t="s">
        <v>100</v>
      </c>
      <c r="P2560" t="s">
        <v>340</v>
      </c>
      <c r="Q2560" t="s">
        <v>24</v>
      </c>
    </row>
    <row r="2561" spans="1:18" hidden="1" x14ac:dyDescent="0.25">
      <c r="A2561" s="9" t="s">
        <v>899</v>
      </c>
      <c r="B2561" s="3" t="str">
        <f t="shared" si="70"/>
        <v>19/1/4</v>
      </c>
      <c r="C2561" s="10">
        <v>4</v>
      </c>
      <c r="D2561" s="10">
        <v>1</v>
      </c>
      <c r="E2561" s="10">
        <v>19</v>
      </c>
      <c r="F2561" t="s">
        <v>126</v>
      </c>
      <c r="H2561" t="s">
        <v>63</v>
      </c>
      <c r="I2561" t="s">
        <v>27</v>
      </c>
      <c r="J2561">
        <v>40</v>
      </c>
      <c r="K2561">
        <v>1</v>
      </c>
      <c r="L2561">
        <v>40</v>
      </c>
      <c r="M2561">
        <v>40</v>
      </c>
      <c r="N2561" s="5">
        <v>2.0149441692553105</v>
      </c>
      <c r="O2561" t="s">
        <v>100</v>
      </c>
      <c r="P2561" t="s">
        <v>340</v>
      </c>
      <c r="Q2561" t="s">
        <v>24</v>
      </c>
      <c r="R2561" t="s">
        <v>924</v>
      </c>
    </row>
    <row r="2562" spans="1:18" hidden="1" x14ac:dyDescent="0.25">
      <c r="A2562" s="9" t="s">
        <v>899</v>
      </c>
      <c r="B2562" s="3" t="str">
        <f t="shared" si="70"/>
        <v>19/1/4</v>
      </c>
      <c r="C2562" s="10">
        <v>4</v>
      </c>
      <c r="D2562" s="10">
        <v>1</v>
      </c>
      <c r="E2562" s="10">
        <v>19</v>
      </c>
      <c r="F2562" t="s">
        <v>925</v>
      </c>
      <c r="G2562" t="s">
        <v>708</v>
      </c>
      <c r="H2562" t="s">
        <v>131</v>
      </c>
      <c r="I2562" t="s">
        <v>27</v>
      </c>
      <c r="J2562">
        <v>48</v>
      </c>
      <c r="K2562">
        <v>1</v>
      </c>
      <c r="L2562">
        <v>48</v>
      </c>
      <c r="M2562">
        <v>48</v>
      </c>
      <c r="N2562" s="5">
        <v>2.4179330031063726</v>
      </c>
      <c r="O2562" t="s">
        <v>100</v>
      </c>
      <c r="P2562" t="s">
        <v>340</v>
      </c>
      <c r="Q2562" t="s">
        <v>24</v>
      </c>
    </row>
    <row r="2563" spans="1:18" hidden="1" x14ac:dyDescent="0.25">
      <c r="A2563" s="9" t="s">
        <v>899</v>
      </c>
      <c r="B2563" s="3" t="str">
        <f t="shared" si="70"/>
        <v>19/1/4</v>
      </c>
      <c r="C2563" s="10">
        <v>4</v>
      </c>
      <c r="D2563" s="10">
        <v>1</v>
      </c>
      <c r="E2563" s="10">
        <v>19</v>
      </c>
      <c r="F2563" t="s">
        <v>94</v>
      </c>
      <c r="I2563" t="s">
        <v>87</v>
      </c>
      <c r="J2563">
        <v>180</v>
      </c>
      <c r="K2563">
        <v>1</v>
      </c>
      <c r="L2563">
        <v>180</v>
      </c>
      <c r="M2563">
        <v>180</v>
      </c>
      <c r="N2563" s="5">
        <v>9.0672487616488979</v>
      </c>
      <c r="O2563" t="s">
        <v>944</v>
      </c>
      <c r="P2563" t="s">
        <v>340</v>
      </c>
      <c r="Q2563" t="s">
        <v>24</v>
      </c>
      <c r="R2563" t="s">
        <v>943</v>
      </c>
    </row>
    <row r="2564" spans="1:18" hidden="1" x14ac:dyDescent="0.25">
      <c r="A2564" s="9" t="s">
        <v>899</v>
      </c>
      <c r="B2564" s="3" t="s">
        <v>920</v>
      </c>
      <c r="C2564" s="10">
        <v>4</v>
      </c>
      <c r="D2564" s="10">
        <v>1</v>
      </c>
      <c r="E2564" s="10">
        <v>19</v>
      </c>
      <c r="F2564" t="s">
        <v>1319</v>
      </c>
      <c r="G2564" t="s">
        <v>889</v>
      </c>
      <c r="H2564" t="s">
        <v>131</v>
      </c>
      <c r="I2564" t="s">
        <v>27</v>
      </c>
      <c r="J2564" s="4">
        <v>33</v>
      </c>
      <c r="K2564">
        <v>1</v>
      </c>
      <c r="L2564">
        <v>33</v>
      </c>
      <c r="M2564">
        <v>33</v>
      </c>
      <c r="N2564" s="5">
        <v>1.6790475221328991</v>
      </c>
      <c r="O2564" t="s">
        <v>39</v>
      </c>
      <c r="P2564" t="s">
        <v>340</v>
      </c>
      <c r="Q2564" s="10" t="s">
        <v>24</v>
      </c>
      <c r="R2564" t="s">
        <v>2028</v>
      </c>
    </row>
    <row r="2565" spans="1:18" hidden="1" x14ac:dyDescent="0.25">
      <c r="A2565" s="9" t="s">
        <v>899</v>
      </c>
      <c r="B2565" s="3" t="s">
        <v>920</v>
      </c>
      <c r="C2565" s="10">
        <v>4</v>
      </c>
      <c r="D2565" s="10">
        <v>1</v>
      </c>
      <c r="E2565" s="10">
        <v>19</v>
      </c>
      <c r="F2565" t="s">
        <v>881</v>
      </c>
      <c r="G2565" t="s">
        <v>889</v>
      </c>
      <c r="H2565" t="s">
        <v>131</v>
      </c>
      <c r="I2565" t="s">
        <v>27</v>
      </c>
      <c r="J2565" s="4">
        <v>35</v>
      </c>
      <c r="K2565">
        <v>1</v>
      </c>
      <c r="L2565">
        <v>35</v>
      </c>
      <c r="M2565">
        <v>35</v>
      </c>
      <c r="N2565" s="5">
        <v>1.7808079780197414</v>
      </c>
      <c r="O2565" t="s">
        <v>39</v>
      </c>
      <c r="P2565" t="s">
        <v>340</v>
      </c>
      <c r="Q2565" s="10" t="s">
        <v>24</v>
      </c>
    </row>
    <row r="2566" spans="1:18" hidden="1" x14ac:dyDescent="0.25">
      <c r="A2566" s="9" t="s">
        <v>899</v>
      </c>
      <c r="B2566" s="3" t="s">
        <v>920</v>
      </c>
      <c r="C2566" s="10">
        <v>4</v>
      </c>
      <c r="D2566" s="10">
        <v>1</v>
      </c>
      <c r="E2566" s="10">
        <v>19</v>
      </c>
      <c r="F2566" t="s">
        <v>1080</v>
      </c>
      <c r="G2566" t="s">
        <v>889</v>
      </c>
      <c r="H2566" t="s">
        <v>131</v>
      </c>
      <c r="I2566" t="s">
        <v>27</v>
      </c>
      <c r="J2566" s="4">
        <v>21</v>
      </c>
      <c r="K2566">
        <v>1</v>
      </c>
      <c r="L2566">
        <v>21</v>
      </c>
      <c r="M2566">
        <v>21</v>
      </c>
      <c r="N2566" s="5">
        <v>1.068484786811845</v>
      </c>
      <c r="O2566" t="s">
        <v>39</v>
      </c>
      <c r="P2566" t="s">
        <v>340</v>
      </c>
      <c r="Q2566" s="10" t="s">
        <v>24</v>
      </c>
    </row>
    <row r="2567" spans="1:18" hidden="1" x14ac:dyDescent="0.25">
      <c r="A2567" s="9" t="s">
        <v>899</v>
      </c>
      <c r="B2567" s="3" t="s">
        <v>920</v>
      </c>
      <c r="C2567" s="10">
        <v>4</v>
      </c>
      <c r="D2567" s="10">
        <v>1</v>
      </c>
      <c r="E2567" s="10">
        <v>19</v>
      </c>
      <c r="F2567" t="s">
        <v>1081</v>
      </c>
      <c r="G2567" t="s">
        <v>889</v>
      </c>
      <c r="H2567" t="s">
        <v>131</v>
      </c>
      <c r="I2567" t="s">
        <v>27</v>
      </c>
      <c r="J2567" s="4">
        <v>24</v>
      </c>
      <c r="K2567">
        <v>1</v>
      </c>
      <c r="L2567">
        <v>24</v>
      </c>
      <c r="M2567">
        <v>24</v>
      </c>
      <c r="N2567" s="5">
        <v>1.2211254706421084</v>
      </c>
      <c r="O2567" t="s">
        <v>39</v>
      </c>
      <c r="P2567" t="s">
        <v>340</v>
      </c>
      <c r="Q2567" s="10" t="s">
        <v>24</v>
      </c>
    </row>
    <row r="2568" spans="1:18" hidden="1" x14ac:dyDescent="0.25">
      <c r="A2568" s="9" t="s">
        <v>899</v>
      </c>
      <c r="B2568" s="3" t="s">
        <v>920</v>
      </c>
      <c r="C2568" s="10">
        <v>4</v>
      </c>
      <c r="D2568" s="10">
        <v>1</v>
      </c>
      <c r="E2568" s="10">
        <v>19</v>
      </c>
      <c r="F2568" t="s">
        <v>1082</v>
      </c>
      <c r="G2568" t="s">
        <v>889</v>
      </c>
      <c r="H2568" t="s">
        <v>131</v>
      </c>
      <c r="I2568" t="s">
        <v>27</v>
      </c>
      <c r="J2568" s="4">
        <v>16</v>
      </c>
      <c r="K2568">
        <v>1</v>
      </c>
      <c r="L2568">
        <v>16</v>
      </c>
      <c r="M2568">
        <v>16</v>
      </c>
      <c r="N2568" s="5">
        <v>0.81408364709473902</v>
      </c>
      <c r="O2568" t="s">
        <v>39</v>
      </c>
      <c r="P2568" t="s">
        <v>340</v>
      </c>
      <c r="Q2568" s="10" t="s">
        <v>24</v>
      </c>
    </row>
    <row r="2569" spans="1:18" hidden="1" x14ac:dyDescent="0.25">
      <c r="A2569" s="9" t="s">
        <v>899</v>
      </c>
      <c r="B2569" s="3" t="s">
        <v>920</v>
      </c>
      <c r="C2569" s="10">
        <v>4</v>
      </c>
      <c r="D2569" s="10">
        <v>1</v>
      </c>
      <c r="E2569" s="10">
        <v>19</v>
      </c>
      <c r="F2569" t="s">
        <v>1083</v>
      </c>
      <c r="G2569" t="s">
        <v>889</v>
      </c>
      <c r="H2569" t="s">
        <v>131</v>
      </c>
      <c r="I2569" t="s">
        <v>27</v>
      </c>
      <c r="J2569" s="4">
        <v>30</v>
      </c>
      <c r="K2569">
        <v>1</v>
      </c>
      <c r="L2569">
        <v>30</v>
      </c>
      <c r="M2569">
        <v>30</v>
      </c>
      <c r="N2569" s="5">
        <v>1.5264068383026357</v>
      </c>
      <c r="O2569" t="s">
        <v>39</v>
      </c>
      <c r="P2569" t="s">
        <v>340</v>
      </c>
      <c r="Q2569" s="10" t="s">
        <v>24</v>
      </c>
    </row>
    <row r="2570" spans="1:18" hidden="1" x14ac:dyDescent="0.25">
      <c r="A2570" s="9" t="s">
        <v>899</v>
      </c>
      <c r="B2570" s="3" t="s">
        <v>920</v>
      </c>
      <c r="C2570" s="10">
        <v>4</v>
      </c>
      <c r="D2570" s="10">
        <v>1</v>
      </c>
      <c r="E2570" s="10">
        <v>19</v>
      </c>
      <c r="F2570" t="s">
        <v>1084</v>
      </c>
      <c r="G2570" t="s">
        <v>889</v>
      </c>
      <c r="H2570" t="s">
        <v>131</v>
      </c>
      <c r="I2570" t="s">
        <v>27</v>
      </c>
      <c r="J2570" s="4">
        <v>38</v>
      </c>
      <c r="K2570">
        <v>1</v>
      </c>
      <c r="L2570">
        <v>38</v>
      </c>
      <c r="M2570">
        <v>38</v>
      </c>
      <c r="N2570" s="5">
        <v>1.9334486618500051</v>
      </c>
      <c r="O2570" t="s">
        <v>39</v>
      </c>
      <c r="P2570" t="s">
        <v>340</v>
      </c>
      <c r="Q2570" s="10" t="s">
        <v>24</v>
      </c>
    </row>
    <row r="2571" spans="1:18" hidden="1" x14ac:dyDescent="0.25">
      <c r="A2571" s="9" t="s">
        <v>899</v>
      </c>
      <c r="B2571" s="3" t="s">
        <v>920</v>
      </c>
      <c r="C2571" s="10">
        <v>4</v>
      </c>
      <c r="D2571" s="10">
        <v>1</v>
      </c>
      <c r="E2571" s="10">
        <v>19</v>
      </c>
      <c r="F2571" t="s">
        <v>1085</v>
      </c>
      <c r="G2571" t="s">
        <v>889</v>
      </c>
      <c r="H2571" t="s">
        <v>131</v>
      </c>
      <c r="I2571" t="s">
        <v>27</v>
      </c>
      <c r="J2571" s="4">
        <v>38</v>
      </c>
      <c r="K2571">
        <v>1</v>
      </c>
      <c r="L2571">
        <v>38</v>
      </c>
      <c r="M2571">
        <v>38</v>
      </c>
      <c r="N2571" s="5">
        <v>1.9334486618500051</v>
      </c>
      <c r="O2571" t="s">
        <v>39</v>
      </c>
      <c r="P2571" t="s">
        <v>340</v>
      </c>
      <c r="Q2571" s="10" t="s">
        <v>24</v>
      </c>
    </row>
    <row r="2572" spans="1:18" hidden="1" x14ac:dyDescent="0.25">
      <c r="A2572" s="9" t="s">
        <v>899</v>
      </c>
      <c r="B2572" s="3" t="s">
        <v>920</v>
      </c>
      <c r="C2572" s="10">
        <v>4</v>
      </c>
      <c r="D2572" s="10">
        <v>1</v>
      </c>
      <c r="E2572" s="10">
        <v>19</v>
      </c>
      <c r="F2572" t="s">
        <v>1086</v>
      </c>
      <c r="G2572" t="s">
        <v>889</v>
      </c>
      <c r="H2572" t="s">
        <v>131</v>
      </c>
      <c r="I2572" t="s">
        <v>27</v>
      </c>
      <c r="J2572" s="4">
        <v>70</v>
      </c>
      <c r="K2572">
        <v>1</v>
      </c>
      <c r="L2572">
        <v>70</v>
      </c>
      <c r="M2572">
        <v>70</v>
      </c>
      <c r="N2572" s="5">
        <v>3.5616159560394829</v>
      </c>
      <c r="O2572" t="s">
        <v>39</v>
      </c>
      <c r="P2572" t="s">
        <v>340</v>
      </c>
      <c r="Q2572" s="10" t="s">
        <v>24</v>
      </c>
    </row>
    <row r="2573" spans="1:18" hidden="1" x14ac:dyDescent="0.25">
      <c r="A2573" s="9" t="s">
        <v>899</v>
      </c>
      <c r="B2573" s="3" t="str">
        <f t="shared" ref="B2573:B2610" si="71">CONCATENATE(E2573,"/",D2573,"/",C2573)</f>
        <v>19/1/5</v>
      </c>
      <c r="C2573" s="10">
        <v>5</v>
      </c>
      <c r="D2573" s="10">
        <v>1</v>
      </c>
      <c r="E2573" s="10">
        <v>19</v>
      </c>
      <c r="F2573" t="s">
        <v>94</v>
      </c>
      <c r="I2573" t="s">
        <v>87</v>
      </c>
      <c r="J2573">
        <v>200</v>
      </c>
      <c r="K2573">
        <v>1</v>
      </c>
      <c r="L2573">
        <v>200</v>
      </c>
      <c r="M2573">
        <v>200</v>
      </c>
      <c r="N2573" s="5">
        <v>10.074720846276552</v>
      </c>
      <c r="O2573" t="s">
        <v>39</v>
      </c>
      <c r="P2573" t="s">
        <v>340</v>
      </c>
      <c r="Q2573" t="s">
        <v>24</v>
      </c>
      <c r="R2573" t="s">
        <v>929</v>
      </c>
    </row>
    <row r="2574" spans="1:18" hidden="1" x14ac:dyDescent="0.25">
      <c r="A2574" s="9" t="s">
        <v>899</v>
      </c>
      <c r="B2574" s="3" t="str">
        <f t="shared" si="71"/>
        <v>19/1/5</v>
      </c>
      <c r="C2574" s="10">
        <v>5</v>
      </c>
      <c r="D2574" s="10">
        <v>1</v>
      </c>
      <c r="E2574" s="10">
        <v>19</v>
      </c>
      <c r="F2574" t="s">
        <v>94</v>
      </c>
      <c r="I2574" t="s">
        <v>87</v>
      </c>
      <c r="J2574">
        <v>200</v>
      </c>
      <c r="K2574">
        <v>1</v>
      </c>
      <c r="L2574">
        <v>200</v>
      </c>
      <c r="M2574">
        <v>200</v>
      </c>
      <c r="N2574" s="5">
        <v>10.074720846276552</v>
      </c>
      <c r="O2574" t="s">
        <v>39</v>
      </c>
      <c r="P2574" t="s">
        <v>340</v>
      </c>
      <c r="Q2574" t="s">
        <v>24</v>
      </c>
      <c r="R2574" t="s">
        <v>930</v>
      </c>
    </row>
    <row r="2575" spans="1:18" hidden="1" x14ac:dyDescent="0.25">
      <c r="A2575" s="9" t="s">
        <v>899</v>
      </c>
      <c r="B2575" s="3" t="str">
        <f t="shared" si="71"/>
        <v>19/1/5</v>
      </c>
      <c r="C2575" s="10">
        <v>5</v>
      </c>
      <c r="D2575" s="10">
        <v>1</v>
      </c>
      <c r="E2575" s="10">
        <v>19</v>
      </c>
      <c r="F2575" t="s">
        <v>878</v>
      </c>
      <c r="H2575" t="s">
        <v>53</v>
      </c>
      <c r="I2575" t="s">
        <v>27</v>
      </c>
      <c r="J2575">
        <v>7.5</v>
      </c>
      <c r="K2575">
        <v>1</v>
      </c>
      <c r="L2575">
        <v>7.5</v>
      </c>
      <c r="M2575">
        <v>7.5</v>
      </c>
      <c r="N2575" s="5">
        <v>0.37780203173537075</v>
      </c>
      <c r="O2575" t="s">
        <v>101</v>
      </c>
      <c r="P2575" t="s">
        <v>340</v>
      </c>
      <c r="Q2575" t="s">
        <v>24</v>
      </c>
    </row>
    <row r="2576" spans="1:18" hidden="1" x14ac:dyDescent="0.25">
      <c r="A2576" s="9" t="s">
        <v>899</v>
      </c>
      <c r="B2576" s="3" t="str">
        <f t="shared" si="71"/>
        <v>19/1/6</v>
      </c>
      <c r="C2576" s="10">
        <v>6</v>
      </c>
      <c r="D2576" s="10">
        <v>1</v>
      </c>
      <c r="E2576" s="10">
        <v>19</v>
      </c>
      <c r="F2576" t="s">
        <v>107</v>
      </c>
      <c r="G2576" t="s">
        <v>889</v>
      </c>
      <c r="H2576" t="s">
        <v>53</v>
      </c>
      <c r="I2576" t="s">
        <v>27</v>
      </c>
      <c r="J2576">
        <v>14.9</v>
      </c>
      <c r="K2576">
        <v>1</v>
      </c>
      <c r="L2576">
        <v>14.9</v>
      </c>
      <c r="M2576">
        <v>14.9</v>
      </c>
      <c r="N2576" s="5">
        <v>0.7551951343132286</v>
      </c>
      <c r="O2576" t="s">
        <v>101</v>
      </c>
      <c r="P2576" t="s">
        <v>340</v>
      </c>
      <c r="Q2576" s="10" t="s">
        <v>24</v>
      </c>
    </row>
    <row r="2577" spans="1:18" hidden="1" x14ac:dyDescent="0.25">
      <c r="A2577" s="9" t="s">
        <v>899</v>
      </c>
      <c r="B2577" s="3" t="str">
        <f t="shared" si="71"/>
        <v>19/1/6</v>
      </c>
      <c r="C2577" s="10">
        <v>6</v>
      </c>
      <c r="D2577" s="10">
        <v>1</v>
      </c>
      <c r="E2577" s="10">
        <v>19</v>
      </c>
      <c r="F2577" t="s">
        <v>204</v>
      </c>
      <c r="H2577" t="s">
        <v>54</v>
      </c>
      <c r="I2577" t="s">
        <v>27</v>
      </c>
      <c r="J2577">
        <v>68</v>
      </c>
      <c r="K2577">
        <v>0.05</v>
      </c>
      <c r="L2577">
        <v>68</v>
      </c>
      <c r="M2577">
        <v>3.4000000000000004</v>
      </c>
      <c r="N2577" s="5">
        <v>0.17127025438670143</v>
      </c>
      <c r="O2577" t="s">
        <v>101</v>
      </c>
      <c r="P2577" t="s">
        <v>340</v>
      </c>
      <c r="Q2577" t="s">
        <v>24</v>
      </c>
    </row>
    <row r="2578" spans="1:18" hidden="1" x14ac:dyDescent="0.25">
      <c r="A2578" s="9" t="s">
        <v>899</v>
      </c>
      <c r="B2578" s="3" t="str">
        <f t="shared" si="71"/>
        <v>19/1/6</v>
      </c>
      <c r="C2578" s="10">
        <v>6</v>
      </c>
      <c r="D2578" s="10">
        <v>1</v>
      </c>
      <c r="E2578" s="10">
        <v>19</v>
      </c>
      <c r="F2578" t="s">
        <v>146</v>
      </c>
      <c r="H2578" t="s">
        <v>49</v>
      </c>
      <c r="I2578" t="s">
        <v>50</v>
      </c>
      <c r="J2578">
        <v>0.6</v>
      </c>
      <c r="K2578">
        <v>1</v>
      </c>
      <c r="L2578">
        <v>0.6</v>
      </c>
      <c r="M2578">
        <v>0.6</v>
      </c>
      <c r="N2578" s="5">
        <v>3.0224162538829657E-2</v>
      </c>
      <c r="O2578" t="s">
        <v>46</v>
      </c>
      <c r="P2578" t="s">
        <v>340</v>
      </c>
      <c r="Q2578" t="s">
        <v>84</v>
      </c>
    </row>
    <row r="2579" spans="1:18" hidden="1" x14ac:dyDescent="0.25">
      <c r="A2579" s="9" t="s">
        <v>899</v>
      </c>
      <c r="B2579" s="3" t="str">
        <f t="shared" si="71"/>
        <v>19/1/6</v>
      </c>
      <c r="C2579" s="10">
        <v>6</v>
      </c>
      <c r="D2579" s="10">
        <v>1</v>
      </c>
      <c r="E2579" s="10">
        <v>19</v>
      </c>
      <c r="F2579" t="s">
        <v>1527</v>
      </c>
      <c r="H2579" t="s">
        <v>39</v>
      </c>
      <c r="I2579" t="s">
        <v>27</v>
      </c>
      <c r="J2579">
        <v>34.799999999999997</v>
      </c>
      <c r="K2579">
        <v>1</v>
      </c>
      <c r="L2579">
        <v>34.799999999999997</v>
      </c>
      <c r="M2579">
        <v>34.799999999999997</v>
      </c>
      <c r="N2579" s="5">
        <v>1.7530014272521202</v>
      </c>
      <c r="O2579" t="s">
        <v>46</v>
      </c>
      <c r="P2579" t="s">
        <v>340</v>
      </c>
      <c r="Q2579" t="s">
        <v>84</v>
      </c>
      <c r="R2579" t="s">
        <v>400</v>
      </c>
    </row>
    <row r="2580" spans="1:18" hidden="1" x14ac:dyDescent="0.25">
      <c r="A2580" s="9" t="s">
        <v>899</v>
      </c>
      <c r="B2580" s="3" t="str">
        <f t="shared" si="71"/>
        <v>19/1/6</v>
      </c>
      <c r="C2580" s="10">
        <v>6</v>
      </c>
      <c r="D2580" s="10">
        <v>1</v>
      </c>
      <c r="E2580" s="10">
        <v>19</v>
      </c>
      <c r="F2580" t="s">
        <v>372</v>
      </c>
      <c r="G2580" t="s">
        <v>373</v>
      </c>
      <c r="H2580" t="s">
        <v>65</v>
      </c>
      <c r="I2580" t="s">
        <v>27</v>
      </c>
      <c r="J2580">
        <v>7.7</v>
      </c>
      <c r="K2580">
        <v>2</v>
      </c>
      <c r="L2580">
        <v>7.7</v>
      </c>
      <c r="M2580">
        <v>15.4</v>
      </c>
      <c r="N2580" s="5">
        <v>0.77575350516329455</v>
      </c>
      <c r="O2580" t="s">
        <v>46</v>
      </c>
      <c r="P2580" t="s">
        <v>340</v>
      </c>
      <c r="Q2580" t="s">
        <v>24</v>
      </c>
    </row>
    <row r="2581" spans="1:18" hidden="1" x14ac:dyDescent="0.25">
      <c r="A2581" s="9" t="s">
        <v>899</v>
      </c>
      <c r="B2581" s="3" t="str">
        <f t="shared" si="71"/>
        <v>19/1/6</v>
      </c>
      <c r="C2581" s="10">
        <v>6</v>
      </c>
      <c r="D2581" s="10">
        <v>1</v>
      </c>
      <c r="E2581" s="10">
        <v>19</v>
      </c>
      <c r="F2581" t="s">
        <v>1527</v>
      </c>
      <c r="H2581" t="s">
        <v>39</v>
      </c>
      <c r="I2581" t="s">
        <v>27</v>
      </c>
      <c r="J2581">
        <v>35.1</v>
      </c>
      <c r="K2581">
        <v>1</v>
      </c>
      <c r="L2581">
        <v>35.1</v>
      </c>
      <c r="M2581">
        <v>35.1</v>
      </c>
      <c r="N2581" s="5">
        <v>1.7681135085215351</v>
      </c>
      <c r="O2581" t="s">
        <v>46</v>
      </c>
      <c r="P2581" t="s">
        <v>340</v>
      </c>
      <c r="Q2581" t="s">
        <v>84</v>
      </c>
      <c r="R2581" t="s">
        <v>1528</v>
      </c>
    </row>
    <row r="2582" spans="1:18" hidden="1" x14ac:dyDescent="0.25">
      <c r="A2582" s="9" t="s">
        <v>899</v>
      </c>
      <c r="B2582" s="3" t="str">
        <f t="shared" si="71"/>
        <v>19/1/6</v>
      </c>
      <c r="C2582" s="10">
        <v>6</v>
      </c>
      <c r="D2582" s="10">
        <v>1</v>
      </c>
      <c r="E2582" s="10">
        <v>19</v>
      </c>
      <c r="F2582" t="s">
        <v>1527</v>
      </c>
      <c r="H2582" t="s">
        <v>39</v>
      </c>
      <c r="I2582" t="s">
        <v>27</v>
      </c>
      <c r="J2582">
        <v>39.950000000000003</v>
      </c>
      <c r="K2582">
        <v>1</v>
      </c>
      <c r="L2582">
        <v>39.950000000000003</v>
      </c>
      <c r="M2582">
        <v>39.950000000000003</v>
      </c>
      <c r="N2582" s="5">
        <v>2.0124254890437414</v>
      </c>
      <c r="O2582" t="s">
        <v>46</v>
      </c>
      <c r="P2582" t="s">
        <v>340</v>
      </c>
      <c r="Q2582" t="s">
        <v>84</v>
      </c>
      <c r="R2582" t="s">
        <v>1529</v>
      </c>
    </row>
    <row r="2583" spans="1:18" hidden="1" x14ac:dyDescent="0.25">
      <c r="A2583" s="9" t="s">
        <v>899</v>
      </c>
      <c r="B2583" s="3" t="str">
        <f t="shared" si="71"/>
        <v>19/1/8</v>
      </c>
      <c r="C2583" s="10">
        <v>8</v>
      </c>
      <c r="D2583" s="10">
        <v>1</v>
      </c>
      <c r="E2583" s="10">
        <v>19</v>
      </c>
      <c r="F2583" t="s">
        <v>94</v>
      </c>
      <c r="I2583" t="s">
        <v>87</v>
      </c>
      <c r="J2583">
        <v>80</v>
      </c>
      <c r="K2583">
        <v>1</v>
      </c>
      <c r="L2583">
        <v>80</v>
      </c>
      <c r="M2583">
        <v>80</v>
      </c>
      <c r="N2583" s="5">
        <v>4.029888338510621</v>
      </c>
      <c r="O2583" t="s">
        <v>39</v>
      </c>
      <c r="P2583" t="s">
        <v>340</v>
      </c>
      <c r="Q2583" t="s">
        <v>24</v>
      </c>
      <c r="R2583" t="s">
        <v>927</v>
      </c>
    </row>
    <row r="2584" spans="1:18" hidden="1" x14ac:dyDescent="0.25">
      <c r="A2584" s="9" t="s">
        <v>899</v>
      </c>
      <c r="B2584" s="3" t="str">
        <f t="shared" si="71"/>
        <v>19/1/8</v>
      </c>
      <c r="C2584" s="10">
        <v>8</v>
      </c>
      <c r="D2584" s="10">
        <v>1</v>
      </c>
      <c r="E2584" s="10">
        <v>19</v>
      </c>
      <c r="F2584" t="s">
        <v>75</v>
      </c>
      <c r="H2584" t="s">
        <v>65</v>
      </c>
      <c r="I2584" t="s">
        <v>27</v>
      </c>
      <c r="J2584">
        <v>9.02</v>
      </c>
      <c r="K2584">
        <v>4</v>
      </c>
      <c r="L2584">
        <v>9.02</v>
      </c>
      <c r="M2584">
        <v>36.08</v>
      </c>
      <c r="N2584" s="5">
        <v>1.81747964066829</v>
      </c>
      <c r="O2584" t="s">
        <v>90</v>
      </c>
      <c r="P2584" t="s">
        <v>340</v>
      </c>
      <c r="Q2584" t="s">
        <v>24</v>
      </c>
    </row>
    <row r="2585" spans="1:18" hidden="1" x14ac:dyDescent="0.25">
      <c r="A2585" s="9" t="s">
        <v>899</v>
      </c>
      <c r="B2585" s="3" t="str">
        <f t="shared" si="71"/>
        <v>19/1/8</v>
      </c>
      <c r="C2585" s="10">
        <v>8</v>
      </c>
      <c r="D2585" s="10">
        <v>1</v>
      </c>
      <c r="E2585" s="10">
        <v>19</v>
      </c>
      <c r="F2585" t="s">
        <v>55</v>
      </c>
      <c r="H2585" t="s">
        <v>56</v>
      </c>
      <c r="I2585" t="s">
        <v>27</v>
      </c>
      <c r="J2585">
        <v>21.1</v>
      </c>
      <c r="K2585">
        <v>1.1200000000000001</v>
      </c>
      <c r="L2585">
        <v>21.1</v>
      </c>
      <c r="M2585">
        <v>23.632000000000005</v>
      </c>
      <c r="N2585" s="5">
        <v>1.1904290151960377</v>
      </c>
      <c r="O2585" t="s">
        <v>90</v>
      </c>
      <c r="P2585" t="s">
        <v>340</v>
      </c>
      <c r="Q2585" t="s">
        <v>24</v>
      </c>
    </row>
    <row r="2586" spans="1:18" hidden="1" x14ac:dyDescent="0.25">
      <c r="A2586" s="9" t="s">
        <v>899</v>
      </c>
      <c r="B2586" s="3" t="str">
        <f t="shared" si="71"/>
        <v>19/1/8</v>
      </c>
      <c r="C2586" s="10">
        <v>8</v>
      </c>
      <c r="D2586" s="10">
        <v>1</v>
      </c>
      <c r="E2586" s="10">
        <v>19</v>
      </c>
      <c r="F2586" t="s">
        <v>945</v>
      </c>
      <c r="H2586" t="s">
        <v>54</v>
      </c>
      <c r="I2586" t="s">
        <v>27</v>
      </c>
      <c r="J2586">
        <v>44.5</v>
      </c>
      <c r="K2586">
        <v>0.34399999999999997</v>
      </c>
      <c r="L2586">
        <v>44.5</v>
      </c>
      <c r="M2586">
        <v>15.307999999999998</v>
      </c>
      <c r="N2586" s="5">
        <v>0.7711191335740073</v>
      </c>
      <c r="O2586" t="s">
        <v>90</v>
      </c>
      <c r="P2586" t="s">
        <v>340</v>
      </c>
      <c r="Q2586" t="s">
        <v>24</v>
      </c>
    </row>
    <row r="2587" spans="1:18" hidden="1" x14ac:dyDescent="0.25">
      <c r="A2587" s="9" t="s">
        <v>899</v>
      </c>
      <c r="B2587" s="3" t="str">
        <f t="shared" si="71"/>
        <v>19/1/8</v>
      </c>
      <c r="C2587" s="10">
        <v>8</v>
      </c>
      <c r="D2587" s="10">
        <v>1</v>
      </c>
      <c r="E2587" s="10">
        <v>19</v>
      </c>
      <c r="F2587" t="s">
        <v>934</v>
      </c>
      <c r="G2587" t="s">
        <v>77</v>
      </c>
      <c r="H2587" t="s">
        <v>26</v>
      </c>
      <c r="I2587" t="s">
        <v>27</v>
      </c>
      <c r="J2587">
        <v>21.79</v>
      </c>
      <c r="K2587">
        <v>1</v>
      </c>
      <c r="L2587">
        <v>21.79</v>
      </c>
      <c r="M2587">
        <v>21.79</v>
      </c>
      <c r="N2587" s="5">
        <v>1.0976408362018304</v>
      </c>
      <c r="O2587" t="s">
        <v>90</v>
      </c>
      <c r="P2587" t="s">
        <v>340</v>
      </c>
      <c r="Q2587" t="s">
        <v>24</v>
      </c>
    </row>
    <row r="2588" spans="1:18" hidden="1" x14ac:dyDescent="0.25">
      <c r="A2588" s="9" t="s">
        <v>899</v>
      </c>
      <c r="B2588" s="3" t="str">
        <f t="shared" si="71"/>
        <v>19/1/8</v>
      </c>
      <c r="C2588" s="10">
        <v>8</v>
      </c>
      <c r="D2588" s="10">
        <v>1</v>
      </c>
      <c r="E2588" s="10">
        <v>19</v>
      </c>
      <c r="F2588" t="s">
        <v>118</v>
      </c>
      <c r="H2588" t="s">
        <v>467</v>
      </c>
      <c r="I2588" t="s">
        <v>27</v>
      </c>
      <c r="J2588">
        <v>7.68</v>
      </c>
      <c r="K2588">
        <v>1</v>
      </c>
      <c r="L2588">
        <v>7.68</v>
      </c>
      <c r="M2588">
        <v>7.68</v>
      </c>
      <c r="N2588" s="5">
        <v>0.38686928049701963</v>
      </c>
      <c r="O2588" t="s">
        <v>90</v>
      </c>
      <c r="P2588" t="s">
        <v>340</v>
      </c>
      <c r="Q2588" t="s">
        <v>24</v>
      </c>
    </row>
    <row r="2589" spans="1:18" hidden="1" x14ac:dyDescent="0.25">
      <c r="A2589" s="9" t="s">
        <v>899</v>
      </c>
      <c r="B2589" s="3" t="str">
        <f t="shared" si="71"/>
        <v>19/1/8</v>
      </c>
      <c r="C2589" s="10">
        <v>8</v>
      </c>
      <c r="D2589" s="10">
        <v>1</v>
      </c>
      <c r="E2589" s="10">
        <v>19</v>
      </c>
      <c r="F2589" t="s">
        <v>364</v>
      </c>
      <c r="H2589" t="s">
        <v>63</v>
      </c>
      <c r="I2589" t="s">
        <v>27</v>
      </c>
      <c r="J2589">
        <v>11.9</v>
      </c>
      <c r="K2589">
        <v>1</v>
      </c>
      <c r="L2589">
        <v>11.9</v>
      </c>
      <c r="M2589">
        <v>11.9</v>
      </c>
      <c r="N2589" s="5">
        <v>0.59944589035345497</v>
      </c>
      <c r="O2589" t="s">
        <v>90</v>
      </c>
      <c r="P2589" t="s">
        <v>340</v>
      </c>
      <c r="Q2589" t="s">
        <v>24</v>
      </c>
      <c r="R2589" t="s">
        <v>766</v>
      </c>
    </row>
    <row r="2590" spans="1:18" hidden="1" x14ac:dyDescent="0.25">
      <c r="A2590" s="9" t="s">
        <v>899</v>
      </c>
      <c r="B2590" s="3" t="str">
        <f t="shared" si="71"/>
        <v>19/1/8</v>
      </c>
      <c r="C2590" s="10">
        <v>8</v>
      </c>
      <c r="D2590" s="10">
        <v>1</v>
      </c>
      <c r="E2590" s="10">
        <v>19</v>
      </c>
      <c r="F2590" t="s">
        <v>776</v>
      </c>
      <c r="H2590" t="s">
        <v>56</v>
      </c>
      <c r="I2590" t="s">
        <v>27</v>
      </c>
      <c r="J2590">
        <v>27.9</v>
      </c>
      <c r="K2590">
        <v>1.232</v>
      </c>
      <c r="L2590">
        <v>27.9</v>
      </c>
      <c r="M2590">
        <v>34.372799999999998</v>
      </c>
      <c r="N2590" s="5">
        <v>1.7314818235244733</v>
      </c>
      <c r="O2590" t="s">
        <v>90</v>
      </c>
      <c r="P2590" t="s">
        <v>340</v>
      </c>
      <c r="Q2590" t="s">
        <v>24</v>
      </c>
    </row>
    <row r="2591" spans="1:18" hidden="1" x14ac:dyDescent="0.25">
      <c r="A2591" s="9" t="s">
        <v>899</v>
      </c>
      <c r="B2591" s="3" t="str">
        <f t="shared" si="71"/>
        <v>19/1/8</v>
      </c>
      <c r="C2591" s="10">
        <v>8</v>
      </c>
      <c r="D2591" s="10">
        <v>1</v>
      </c>
      <c r="E2591" s="10">
        <v>19</v>
      </c>
      <c r="F2591" t="s">
        <v>364</v>
      </c>
      <c r="H2591" t="s">
        <v>63</v>
      </c>
      <c r="I2591" t="s">
        <v>27</v>
      </c>
      <c r="J2591">
        <v>6.05</v>
      </c>
      <c r="K2591">
        <v>1</v>
      </c>
      <c r="L2591">
        <v>6.05</v>
      </c>
      <c r="M2591">
        <v>6.05</v>
      </c>
      <c r="N2591" s="5">
        <v>0.30476030559986572</v>
      </c>
      <c r="O2591" t="s">
        <v>90</v>
      </c>
      <c r="P2591" t="s">
        <v>340</v>
      </c>
      <c r="Q2591" t="s">
        <v>24</v>
      </c>
      <c r="R2591" t="s">
        <v>946</v>
      </c>
    </row>
    <row r="2592" spans="1:18" hidden="1" x14ac:dyDescent="0.25">
      <c r="A2592" s="9" t="s">
        <v>899</v>
      </c>
      <c r="B2592" s="3" t="str">
        <f t="shared" si="71"/>
        <v>19/1/8</v>
      </c>
      <c r="C2592" s="10">
        <v>8</v>
      </c>
      <c r="D2592" s="10">
        <v>1</v>
      </c>
      <c r="E2592" s="10">
        <v>19</v>
      </c>
      <c r="F2592" t="s">
        <v>508</v>
      </c>
      <c r="H2592" t="s">
        <v>117</v>
      </c>
      <c r="I2592" t="s">
        <v>27</v>
      </c>
      <c r="J2592">
        <v>13.92</v>
      </c>
      <c r="K2592">
        <v>1</v>
      </c>
      <c r="L2592">
        <v>13.92</v>
      </c>
      <c r="M2592">
        <v>13.92</v>
      </c>
      <c r="N2592" s="5">
        <v>0.70120057090084809</v>
      </c>
      <c r="O2592" t="s">
        <v>90</v>
      </c>
      <c r="P2592" t="s">
        <v>340</v>
      </c>
      <c r="Q2592" t="s">
        <v>24</v>
      </c>
    </row>
    <row r="2593" spans="1:17" hidden="1" x14ac:dyDescent="0.25">
      <c r="A2593" s="9" t="s">
        <v>899</v>
      </c>
      <c r="B2593" s="3" t="str">
        <f t="shared" si="71"/>
        <v>19/1/8</v>
      </c>
      <c r="C2593" s="10">
        <v>8</v>
      </c>
      <c r="D2593" s="10">
        <v>1</v>
      </c>
      <c r="E2593" s="10">
        <v>19</v>
      </c>
      <c r="F2593" t="s">
        <v>204</v>
      </c>
      <c r="H2593" t="s">
        <v>39</v>
      </c>
      <c r="I2593" t="s">
        <v>27</v>
      </c>
      <c r="J2593">
        <v>54</v>
      </c>
      <c r="K2593">
        <v>0.33600000000000002</v>
      </c>
      <c r="L2593">
        <v>54</v>
      </c>
      <c r="M2593">
        <v>18.144000000000002</v>
      </c>
      <c r="N2593" s="5">
        <v>0.91397867517420894</v>
      </c>
      <c r="O2593" t="s">
        <v>90</v>
      </c>
      <c r="P2593" t="s">
        <v>340</v>
      </c>
      <c r="Q2593" t="s">
        <v>24</v>
      </c>
    </row>
    <row r="2594" spans="1:17" hidden="1" x14ac:dyDescent="0.25">
      <c r="A2594" s="9" t="s">
        <v>899</v>
      </c>
      <c r="B2594" s="3" t="str">
        <f t="shared" si="71"/>
        <v>19/1/8</v>
      </c>
      <c r="C2594" s="10">
        <v>8</v>
      </c>
      <c r="D2594" s="10">
        <v>1</v>
      </c>
      <c r="E2594" s="10">
        <v>19</v>
      </c>
      <c r="F2594" t="s">
        <v>948</v>
      </c>
      <c r="H2594" t="s">
        <v>39</v>
      </c>
      <c r="I2594" t="s">
        <v>27</v>
      </c>
      <c r="J2594">
        <v>6.14</v>
      </c>
      <c r="K2594">
        <v>1</v>
      </c>
      <c r="L2594">
        <v>6.14</v>
      </c>
      <c r="M2594">
        <v>6.14</v>
      </c>
      <c r="N2594" s="5">
        <v>0.30929392998069016</v>
      </c>
      <c r="O2594" t="s">
        <v>90</v>
      </c>
      <c r="P2594" t="s">
        <v>340</v>
      </c>
      <c r="Q2594" t="s">
        <v>24</v>
      </c>
    </row>
    <row r="2595" spans="1:17" hidden="1" x14ac:dyDescent="0.25">
      <c r="A2595" s="9" t="s">
        <v>899</v>
      </c>
      <c r="B2595" s="3" t="str">
        <f t="shared" si="71"/>
        <v>19/1/8</v>
      </c>
      <c r="C2595" s="10">
        <v>8</v>
      </c>
      <c r="D2595" s="10">
        <v>1</v>
      </c>
      <c r="E2595" s="10">
        <v>19</v>
      </c>
      <c r="F2595" t="s">
        <v>898</v>
      </c>
      <c r="G2595" t="s">
        <v>38</v>
      </c>
      <c r="H2595" t="s">
        <v>39</v>
      </c>
      <c r="I2595" t="s">
        <v>27</v>
      </c>
      <c r="J2595">
        <v>25.25</v>
      </c>
      <c r="K2595">
        <v>1</v>
      </c>
      <c r="L2595">
        <v>25.25</v>
      </c>
      <c r="M2595">
        <v>25.25</v>
      </c>
      <c r="N2595" s="5">
        <v>1.2719335068424149</v>
      </c>
      <c r="O2595" t="s">
        <v>90</v>
      </c>
      <c r="P2595" t="s">
        <v>340</v>
      </c>
      <c r="Q2595" t="s">
        <v>24</v>
      </c>
    </row>
    <row r="2596" spans="1:17" hidden="1" x14ac:dyDescent="0.25">
      <c r="A2596" s="9" t="s">
        <v>899</v>
      </c>
      <c r="B2596" s="3" t="str">
        <f t="shared" si="71"/>
        <v>19/1/8</v>
      </c>
      <c r="C2596" s="10">
        <v>8</v>
      </c>
      <c r="D2596" s="10">
        <v>1</v>
      </c>
      <c r="E2596" s="10">
        <v>19</v>
      </c>
      <c r="F2596" t="s">
        <v>106</v>
      </c>
      <c r="G2596" t="s">
        <v>106</v>
      </c>
      <c r="H2596" t="s">
        <v>56</v>
      </c>
      <c r="I2596" t="s">
        <v>27</v>
      </c>
      <c r="J2596">
        <v>25.1</v>
      </c>
      <c r="K2596">
        <v>2.0840000000000001</v>
      </c>
      <c r="L2596">
        <v>25.1</v>
      </c>
      <c r="M2596">
        <v>52.308400000000006</v>
      </c>
      <c r="N2596" s="5">
        <v>2.6349626395768624</v>
      </c>
      <c r="O2596" t="s">
        <v>90</v>
      </c>
      <c r="P2596" t="s">
        <v>340</v>
      </c>
      <c r="Q2596" t="s">
        <v>24</v>
      </c>
    </row>
    <row r="2597" spans="1:17" hidden="1" x14ac:dyDescent="0.25">
      <c r="A2597" s="9" t="s">
        <v>899</v>
      </c>
      <c r="B2597" s="3" t="str">
        <f t="shared" si="71"/>
        <v>19/1/8</v>
      </c>
      <c r="C2597" s="10">
        <v>8</v>
      </c>
      <c r="D2597" s="10">
        <v>1</v>
      </c>
      <c r="E2597" s="10">
        <v>19</v>
      </c>
      <c r="F2597" t="s">
        <v>949</v>
      </c>
      <c r="G2597" t="s">
        <v>708</v>
      </c>
      <c r="H2597" t="s">
        <v>131</v>
      </c>
      <c r="I2597" t="s">
        <v>27</v>
      </c>
      <c r="J2597">
        <v>22.85</v>
      </c>
      <c r="K2597">
        <v>4</v>
      </c>
      <c r="L2597">
        <v>22.85</v>
      </c>
      <c r="M2597">
        <v>91.4</v>
      </c>
      <c r="N2597" s="5">
        <v>4.6041474267483853</v>
      </c>
      <c r="O2597" t="s">
        <v>90</v>
      </c>
      <c r="P2597" t="s">
        <v>340</v>
      </c>
      <c r="Q2597" t="s">
        <v>24</v>
      </c>
    </row>
    <row r="2598" spans="1:17" hidden="1" x14ac:dyDescent="0.25">
      <c r="A2598" s="9" t="s">
        <v>899</v>
      </c>
      <c r="B2598" s="3" t="str">
        <f t="shared" si="71"/>
        <v>19/1/8</v>
      </c>
      <c r="C2598" s="10">
        <v>8</v>
      </c>
      <c r="D2598" s="10">
        <v>1</v>
      </c>
      <c r="E2598" s="10">
        <v>19</v>
      </c>
      <c r="F2598" t="s">
        <v>112</v>
      </c>
      <c r="H2598" t="s">
        <v>56</v>
      </c>
      <c r="I2598" t="s">
        <v>27</v>
      </c>
      <c r="J2598">
        <v>25.1</v>
      </c>
      <c r="K2598">
        <v>1.502</v>
      </c>
      <c r="L2598">
        <v>25.1</v>
      </c>
      <c r="M2598">
        <v>37.700200000000002</v>
      </c>
      <c r="N2598" s="5">
        <v>1.8990949542439766</v>
      </c>
      <c r="O2598" t="s">
        <v>90</v>
      </c>
      <c r="P2598" t="s">
        <v>340</v>
      </c>
      <c r="Q2598" t="s">
        <v>24</v>
      </c>
    </row>
    <row r="2599" spans="1:17" hidden="1" x14ac:dyDescent="0.25">
      <c r="A2599" s="9" t="s">
        <v>899</v>
      </c>
      <c r="B2599" s="3" t="str">
        <f t="shared" si="71"/>
        <v>19/1/8</v>
      </c>
      <c r="C2599" s="10">
        <v>8</v>
      </c>
      <c r="D2599" s="10">
        <v>1</v>
      </c>
      <c r="E2599" s="10">
        <v>19</v>
      </c>
      <c r="F2599" t="s">
        <v>737</v>
      </c>
      <c r="H2599" t="s">
        <v>53</v>
      </c>
      <c r="I2599" t="s">
        <v>27</v>
      </c>
      <c r="J2599">
        <v>10.37</v>
      </c>
      <c r="K2599">
        <v>1</v>
      </c>
      <c r="L2599">
        <v>10.37</v>
      </c>
      <c r="M2599">
        <v>10.37</v>
      </c>
      <c r="N2599" s="5">
        <v>0.52237427587943919</v>
      </c>
      <c r="O2599" t="s">
        <v>90</v>
      </c>
      <c r="P2599" t="s">
        <v>340</v>
      </c>
      <c r="Q2599" t="s">
        <v>24</v>
      </c>
    </row>
    <row r="2600" spans="1:17" hidden="1" x14ac:dyDescent="0.25">
      <c r="A2600" s="9" t="s">
        <v>899</v>
      </c>
      <c r="B2600" s="3" t="str">
        <f t="shared" si="71"/>
        <v>19/1/8</v>
      </c>
      <c r="C2600" s="10">
        <v>8</v>
      </c>
      <c r="D2600" s="10">
        <v>1</v>
      </c>
      <c r="E2600" s="10">
        <v>19</v>
      </c>
      <c r="F2600" t="s">
        <v>951</v>
      </c>
      <c r="H2600" t="s">
        <v>44</v>
      </c>
      <c r="I2600" t="s">
        <v>27</v>
      </c>
      <c r="J2600">
        <v>28.03</v>
      </c>
      <c r="K2600">
        <v>2</v>
      </c>
      <c r="L2600">
        <v>28.03</v>
      </c>
      <c r="M2600">
        <v>56.06</v>
      </c>
      <c r="N2600" s="5">
        <v>2.8239442532113177</v>
      </c>
      <c r="O2600" t="s">
        <v>90</v>
      </c>
      <c r="P2600" t="s">
        <v>340</v>
      </c>
      <c r="Q2600" t="s">
        <v>24</v>
      </c>
    </row>
    <row r="2601" spans="1:17" hidden="1" x14ac:dyDescent="0.25">
      <c r="A2601" s="9" t="s">
        <v>899</v>
      </c>
      <c r="B2601" s="3" t="str">
        <f t="shared" si="71"/>
        <v>19/1/8</v>
      </c>
      <c r="C2601" s="10">
        <v>8</v>
      </c>
      <c r="D2601" s="10">
        <v>1</v>
      </c>
      <c r="E2601" s="10">
        <v>19</v>
      </c>
      <c r="F2601" t="s">
        <v>840</v>
      </c>
      <c r="G2601" t="s">
        <v>840</v>
      </c>
      <c r="H2601" t="s">
        <v>56</v>
      </c>
      <c r="I2601" t="s">
        <v>27</v>
      </c>
      <c r="J2601">
        <v>18.2</v>
      </c>
      <c r="K2601">
        <v>0.22800000000000001</v>
      </c>
      <c r="L2601">
        <v>18.2</v>
      </c>
      <c r="M2601">
        <v>4.1496000000000004</v>
      </c>
      <c r="N2601" s="5">
        <v>0.20903030811854595</v>
      </c>
      <c r="O2601" t="s">
        <v>90</v>
      </c>
      <c r="P2601" t="s">
        <v>340</v>
      </c>
      <c r="Q2601" t="s">
        <v>24</v>
      </c>
    </row>
    <row r="2602" spans="1:17" hidden="1" x14ac:dyDescent="0.25">
      <c r="A2602" s="9" t="s">
        <v>899</v>
      </c>
      <c r="B2602" s="3" t="str">
        <f t="shared" si="71"/>
        <v>19/1/8</v>
      </c>
      <c r="C2602" s="10">
        <v>8</v>
      </c>
      <c r="D2602" s="10">
        <v>1</v>
      </c>
      <c r="E2602" s="10">
        <v>19</v>
      </c>
      <c r="F2602" t="s">
        <v>202</v>
      </c>
      <c r="H2602" t="s">
        <v>54</v>
      </c>
      <c r="I2602" t="s">
        <v>27</v>
      </c>
      <c r="J2602">
        <v>71.900000000000006</v>
      </c>
      <c r="K2602">
        <v>0.46</v>
      </c>
      <c r="L2602">
        <v>71.900000000000006</v>
      </c>
      <c r="M2602">
        <v>33.074000000000005</v>
      </c>
      <c r="N2602" s="5">
        <v>1.6660565863487538</v>
      </c>
      <c r="O2602" t="s">
        <v>90</v>
      </c>
      <c r="P2602" t="s">
        <v>340</v>
      </c>
      <c r="Q2602" t="s">
        <v>24</v>
      </c>
    </row>
    <row r="2603" spans="1:17" hidden="1" x14ac:dyDescent="0.25">
      <c r="A2603" s="9" t="s">
        <v>899</v>
      </c>
      <c r="B2603" s="3" t="str">
        <f t="shared" si="71"/>
        <v>19/1/9</v>
      </c>
      <c r="C2603" s="10">
        <v>9</v>
      </c>
      <c r="D2603" s="10">
        <v>1</v>
      </c>
      <c r="E2603" s="10">
        <v>19</v>
      </c>
      <c r="F2603" t="s">
        <v>933</v>
      </c>
      <c r="I2603" t="s">
        <v>72</v>
      </c>
      <c r="J2603">
        <v>150</v>
      </c>
      <c r="K2603">
        <v>1</v>
      </c>
      <c r="L2603">
        <v>150</v>
      </c>
      <c r="M2603">
        <v>150</v>
      </c>
      <c r="N2603" s="5">
        <v>7.5560406347074149</v>
      </c>
      <c r="O2603" t="s">
        <v>39</v>
      </c>
      <c r="P2603" t="s">
        <v>340</v>
      </c>
      <c r="Q2603" t="s">
        <v>24</v>
      </c>
    </row>
    <row r="2604" spans="1:17" hidden="1" x14ac:dyDescent="0.25">
      <c r="A2604" s="9" t="s">
        <v>899</v>
      </c>
      <c r="B2604" s="3" t="str">
        <f t="shared" si="71"/>
        <v>19/1/9</v>
      </c>
      <c r="C2604" s="10">
        <v>9</v>
      </c>
      <c r="D2604" s="10">
        <v>1</v>
      </c>
      <c r="E2604" s="10">
        <v>19</v>
      </c>
      <c r="F2604" t="s">
        <v>802</v>
      </c>
      <c r="G2604" t="s">
        <v>708</v>
      </c>
      <c r="H2604" t="s">
        <v>131</v>
      </c>
      <c r="I2604" t="s">
        <v>27</v>
      </c>
      <c r="J2604">
        <v>128</v>
      </c>
      <c r="K2604">
        <v>0.318</v>
      </c>
      <c r="L2604">
        <v>128</v>
      </c>
      <c r="M2604">
        <v>40.704000000000001</v>
      </c>
      <c r="N2604" s="5">
        <v>2.050407186634204</v>
      </c>
      <c r="O2604" t="s">
        <v>100</v>
      </c>
      <c r="P2604" t="s">
        <v>340</v>
      </c>
      <c r="Q2604" t="s">
        <v>24</v>
      </c>
    </row>
    <row r="2605" spans="1:17" hidden="1" x14ac:dyDescent="0.25">
      <c r="A2605" s="9" t="s">
        <v>899</v>
      </c>
      <c r="B2605" s="3" t="str">
        <f t="shared" si="71"/>
        <v>19/1/9</v>
      </c>
      <c r="C2605" s="10">
        <v>9</v>
      </c>
      <c r="D2605" s="10">
        <v>1</v>
      </c>
      <c r="E2605" s="10">
        <v>19</v>
      </c>
      <c r="F2605" t="s">
        <v>934</v>
      </c>
      <c r="G2605" t="s">
        <v>77</v>
      </c>
      <c r="H2605" t="s">
        <v>26</v>
      </c>
      <c r="I2605" t="s">
        <v>27</v>
      </c>
      <c r="J2605">
        <v>25.6</v>
      </c>
      <c r="K2605">
        <v>1</v>
      </c>
      <c r="L2605">
        <v>25.6</v>
      </c>
      <c r="M2605">
        <v>25.6</v>
      </c>
      <c r="N2605" s="5">
        <v>1.2895642683233988</v>
      </c>
      <c r="O2605" t="s">
        <v>100</v>
      </c>
      <c r="P2605" t="s">
        <v>340</v>
      </c>
      <c r="Q2605" t="s">
        <v>24</v>
      </c>
    </row>
    <row r="2606" spans="1:17" hidden="1" x14ac:dyDescent="0.25">
      <c r="A2606" s="9" t="s">
        <v>899</v>
      </c>
      <c r="B2606" s="3" t="str">
        <f t="shared" si="71"/>
        <v>19/1/9</v>
      </c>
      <c r="C2606" s="10">
        <v>9</v>
      </c>
      <c r="D2606" s="10">
        <v>1</v>
      </c>
      <c r="E2606" s="10">
        <v>19</v>
      </c>
      <c r="F2606" t="s">
        <v>935</v>
      </c>
      <c r="G2606" t="s">
        <v>708</v>
      </c>
      <c r="H2606" t="s">
        <v>131</v>
      </c>
      <c r="I2606" t="s">
        <v>27</v>
      </c>
      <c r="J2606">
        <v>36.6</v>
      </c>
      <c r="K2606">
        <v>1</v>
      </c>
      <c r="L2606">
        <v>36.6</v>
      </c>
      <c r="M2606">
        <v>36.6</v>
      </c>
      <c r="N2606" s="5">
        <v>1.8436739148686092</v>
      </c>
      <c r="O2606" t="s">
        <v>100</v>
      </c>
      <c r="P2606" t="s">
        <v>340</v>
      </c>
      <c r="Q2606" t="s">
        <v>24</v>
      </c>
    </row>
    <row r="2607" spans="1:17" hidden="1" x14ac:dyDescent="0.25">
      <c r="A2607" s="9" t="s">
        <v>899</v>
      </c>
      <c r="B2607" s="3" t="str">
        <f t="shared" si="71"/>
        <v>19/1/9</v>
      </c>
      <c r="C2607" s="10">
        <v>9</v>
      </c>
      <c r="D2607" s="10">
        <v>1</v>
      </c>
      <c r="E2607" s="10">
        <v>19</v>
      </c>
      <c r="F2607" t="s">
        <v>936</v>
      </c>
      <c r="G2607" t="s">
        <v>708</v>
      </c>
      <c r="H2607" t="s">
        <v>131</v>
      </c>
      <c r="I2607" t="s">
        <v>27</v>
      </c>
      <c r="J2607">
        <v>57.6</v>
      </c>
      <c r="K2607">
        <v>1</v>
      </c>
      <c r="L2607">
        <v>57.6</v>
      </c>
      <c r="M2607">
        <v>57.6</v>
      </c>
      <c r="N2607" s="5">
        <v>2.9015196037276474</v>
      </c>
      <c r="O2607" t="s">
        <v>100</v>
      </c>
      <c r="P2607" t="s">
        <v>340</v>
      </c>
      <c r="Q2607" t="s">
        <v>24</v>
      </c>
    </row>
    <row r="2608" spans="1:17" hidden="1" x14ac:dyDescent="0.25">
      <c r="A2608" s="9" t="s">
        <v>899</v>
      </c>
      <c r="B2608" s="3" t="str">
        <f t="shared" si="71"/>
        <v>19/1/9</v>
      </c>
      <c r="C2608" s="10">
        <v>9</v>
      </c>
      <c r="D2608" s="10">
        <v>1</v>
      </c>
      <c r="E2608" s="10">
        <v>19</v>
      </c>
      <c r="F2608" t="s">
        <v>937</v>
      </c>
      <c r="G2608" t="s">
        <v>25</v>
      </c>
      <c r="H2608" t="s">
        <v>26</v>
      </c>
      <c r="I2608" t="s">
        <v>27</v>
      </c>
      <c r="J2608">
        <v>264</v>
      </c>
      <c r="K2608">
        <v>0.13</v>
      </c>
      <c r="L2608">
        <v>264</v>
      </c>
      <c r="M2608">
        <v>34.32</v>
      </c>
      <c r="N2608" s="5">
        <v>1.7288220972210564</v>
      </c>
      <c r="O2608" t="s">
        <v>100</v>
      </c>
      <c r="P2608" t="s">
        <v>340</v>
      </c>
      <c r="Q2608" t="s">
        <v>24</v>
      </c>
    </row>
    <row r="2609" spans="1:18" hidden="1" x14ac:dyDescent="0.25">
      <c r="A2609" s="9" t="s">
        <v>899</v>
      </c>
      <c r="B2609" s="3" t="str">
        <f t="shared" si="71"/>
        <v>19/1/9</v>
      </c>
      <c r="C2609" s="10">
        <v>9</v>
      </c>
      <c r="D2609" s="10">
        <v>1</v>
      </c>
      <c r="E2609" s="10">
        <v>19</v>
      </c>
      <c r="F2609" t="s">
        <v>938</v>
      </c>
      <c r="G2609" t="s">
        <v>708</v>
      </c>
      <c r="H2609" t="s">
        <v>131</v>
      </c>
      <c r="I2609" t="s">
        <v>27</v>
      </c>
      <c r="J2609">
        <v>56.6</v>
      </c>
      <c r="K2609">
        <v>1</v>
      </c>
      <c r="L2609">
        <v>56.6</v>
      </c>
      <c r="M2609">
        <v>56.6</v>
      </c>
      <c r="N2609" s="5">
        <v>2.8511459994962647</v>
      </c>
      <c r="O2609" t="s">
        <v>100</v>
      </c>
      <c r="P2609" t="s">
        <v>340</v>
      </c>
      <c r="Q2609" t="s">
        <v>24</v>
      </c>
    </row>
    <row r="2610" spans="1:18" hidden="1" x14ac:dyDescent="0.25">
      <c r="A2610" s="9" t="s">
        <v>899</v>
      </c>
      <c r="B2610" s="3" t="str">
        <f t="shared" si="71"/>
        <v>19/1/9</v>
      </c>
      <c r="C2610" s="10">
        <v>9</v>
      </c>
      <c r="D2610" s="10">
        <v>1</v>
      </c>
      <c r="E2610" s="10">
        <v>19</v>
      </c>
      <c r="F2610" t="s">
        <v>118</v>
      </c>
      <c r="H2610" t="s">
        <v>40</v>
      </c>
      <c r="I2610" t="s">
        <v>27</v>
      </c>
      <c r="J2610">
        <v>10</v>
      </c>
      <c r="K2610">
        <v>1</v>
      </c>
      <c r="L2610">
        <v>10</v>
      </c>
      <c r="M2610">
        <v>10</v>
      </c>
      <c r="N2610" s="5">
        <v>0.50373604231382763</v>
      </c>
      <c r="O2610" t="s">
        <v>100</v>
      </c>
      <c r="P2610" t="s">
        <v>340</v>
      </c>
      <c r="Q2610" t="s">
        <v>24</v>
      </c>
    </row>
    <row r="2611" spans="1:18" hidden="1" x14ac:dyDescent="0.25">
      <c r="A2611" s="9" t="s">
        <v>1314</v>
      </c>
      <c r="B2611" s="3" t="s">
        <v>1735</v>
      </c>
      <c r="C2611" s="10">
        <v>1</v>
      </c>
      <c r="D2611" s="10">
        <v>10</v>
      </c>
      <c r="E2611" s="10">
        <v>19</v>
      </c>
      <c r="F2611" t="s">
        <v>104</v>
      </c>
      <c r="G2611" t="s">
        <v>889</v>
      </c>
      <c r="H2611" t="s">
        <v>1748</v>
      </c>
      <c r="I2611" t="s">
        <v>72</v>
      </c>
      <c r="J2611" s="4">
        <v>127.85</v>
      </c>
      <c r="K2611">
        <v>1</v>
      </c>
      <c r="L2611">
        <v>127.85</v>
      </c>
      <c r="M2611">
        <v>127.85</v>
      </c>
      <c r="N2611" s="5">
        <v>6.4976436887821096</v>
      </c>
      <c r="O2611" t="s">
        <v>39</v>
      </c>
      <c r="P2611" t="s">
        <v>340</v>
      </c>
      <c r="Q2611" s="10" t="s">
        <v>24</v>
      </c>
      <c r="R2611" t="s">
        <v>1731</v>
      </c>
    </row>
    <row r="2612" spans="1:18" hidden="1" x14ac:dyDescent="0.25">
      <c r="A2612" s="9" t="s">
        <v>1314</v>
      </c>
      <c r="B2612" s="3" t="s">
        <v>1735</v>
      </c>
      <c r="C2612" s="10">
        <v>1</v>
      </c>
      <c r="D2612" s="10">
        <v>10</v>
      </c>
      <c r="E2612" s="10">
        <v>19</v>
      </c>
      <c r="F2612" t="s">
        <v>39</v>
      </c>
      <c r="G2612" t="s">
        <v>889</v>
      </c>
      <c r="H2612" t="s">
        <v>1748</v>
      </c>
      <c r="I2612" t="s">
        <v>72</v>
      </c>
      <c r="J2612" s="4">
        <v>8.25</v>
      </c>
      <c r="K2612">
        <v>1</v>
      </c>
      <c r="L2612">
        <v>8.25</v>
      </c>
      <c r="M2612">
        <v>8.25</v>
      </c>
      <c r="N2612" s="5">
        <v>0.41928479024209936</v>
      </c>
      <c r="O2612" t="s">
        <v>39</v>
      </c>
      <c r="P2612" t="s">
        <v>340</v>
      </c>
      <c r="Q2612" s="10" t="s">
        <v>24</v>
      </c>
      <c r="R2612" t="s">
        <v>1428</v>
      </c>
    </row>
    <row r="2613" spans="1:18" hidden="1" x14ac:dyDescent="0.25">
      <c r="A2613" s="9" t="s">
        <v>1314</v>
      </c>
      <c r="B2613" s="3" t="s">
        <v>1735</v>
      </c>
      <c r="C2613" s="10">
        <v>1</v>
      </c>
      <c r="D2613" s="10">
        <v>10</v>
      </c>
      <c r="E2613" s="10">
        <v>19</v>
      </c>
      <c r="F2613" t="s">
        <v>109</v>
      </c>
      <c r="G2613" t="s">
        <v>889</v>
      </c>
      <c r="H2613" t="s">
        <v>54</v>
      </c>
      <c r="I2613" t="s">
        <v>27</v>
      </c>
      <c r="J2613" s="4">
        <v>28.6</v>
      </c>
      <c r="K2613">
        <v>0.50800000000000001</v>
      </c>
      <c r="L2613">
        <v>28.6</v>
      </c>
      <c r="M2613">
        <v>14.5288</v>
      </c>
      <c r="N2613" s="5">
        <v>0.73838846793568647</v>
      </c>
      <c r="O2613" t="s">
        <v>100</v>
      </c>
      <c r="P2613" t="s">
        <v>340</v>
      </c>
      <c r="Q2613" s="10" t="s">
        <v>24</v>
      </c>
    </row>
    <row r="2614" spans="1:18" hidden="1" x14ac:dyDescent="0.25">
      <c r="A2614" s="9" t="s">
        <v>1314</v>
      </c>
      <c r="B2614" s="3" t="s">
        <v>1735</v>
      </c>
      <c r="C2614" s="10">
        <v>1</v>
      </c>
      <c r="D2614" s="10">
        <v>10</v>
      </c>
      <c r="E2614" s="10">
        <v>19</v>
      </c>
      <c r="F2614" t="s">
        <v>118</v>
      </c>
      <c r="G2614" t="s">
        <v>889</v>
      </c>
      <c r="H2614" t="s">
        <v>40</v>
      </c>
      <c r="I2614" t="s">
        <v>27</v>
      </c>
      <c r="J2614" s="4">
        <v>10</v>
      </c>
      <c r="K2614">
        <v>1</v>
      </c>
      <c r="L2614">
        <v>10</v>
      </c>
      <c r="M2614">
        <v>10</v>
      </c>
      <c r="N2614" s="5">
        <v>0.50822398817224168</v>
      </c>
      <c r="O2614" t="s">
        <v>100</v>
      </c>
      <c r="P2614" t="s">
        <v>340</v>
      </c>
      <c r="Q2614" s="10" t="s">
        <v>24</v>
      </c>
    </row>
    <row r="2615" spans="1:18" hidden="1" x14ac:dyDescent="0.25">
      <c r="A2615" s="9" t="s">
        <v>1314</v>
      </c>
      <c r="B2615" s="3" t="s">
        <v>1735</v>
      </c>
      <c r="C2615" s="10">
        <v>1</v>
      </c>
      <c r="D2615" s="10">
        <v>10</v>
      </c>
      <c r="E2615" s="10">
        <v>19</v>
      </c>
      <c r="F2615" t="s">
        <v>44</v>
      </c>
      <c r="G2615" t="s">
        <v>889</v>
      </c>
      <c r="H2615" t="s">
        <v>44</v>
      </c>
      <c r="I2615" t="s">
        <v>27</v>
      </c>
      <c r="J2615" s="4">
        <v>46.6</v>
      </c>
      <c r="K2615">
        <v>1</v>
      </c>
      <c r="L2615">
        <v>46.6</v>
      </c>
      <c r="M2615">
        <v>46.6</v>
      </c>
      <c r="N2615" s="5">
        <v>2.3683237848826462</v>
      </c>
      <c r="O2615" t="s">
        <v>100</v>
      </c>
      <c r="P2615" t="s">
        <v>340</v>
      </c>
      <c r="Q2615" s="10" t="s">
        <v>24</v>
      </c>
    </row>
    <row r="2616" spans="1:18" hidden="1" x14ac:dyDescent="0.25">
      <c r="A2616" s="9" t="s">
        <v>1314</v>
      </c>
      <c r="B2616" s="3" t="s">
        <v>1735</v>
      </c>
      <c r="C2616" s="10">
        <v>1</v>
      </c>
      <c r="D2616" s="10">
        <v>10</v>
      </c>
      <c r="E2616" s="10">
        <v>19</v>
      </c>
      <c r="F2616" t="s">
        <v>1737</v>
      </c>
      <c r="G2616" t="s">
        <v>31</v>
      </c>
      <c r="H2616" t="s">
        <v>26</v>
      </c>
      <c r="I2616" t="s">
        <v>27</v>
      </c>
      <c r="J2616" s="4">
        <v>10.6</v>
      </c>
      <c r="K2616">
        <v>4</v>
      </c>
      <c r="L2616">
        <v>10.6</v>
      </c>
      <c r="M2616">
        <v>42.4</v>
      </c>
      <c r="N2616" s="5">
        <v>2.1548697098503045</v>
      </c>
      <c r="O2616" t="s">
        <v>100</v>
      </c>
      <c r="P2616" t="s">
        <v>340</v>
      </c>
      <c r="Q2616" s="10" t="s">
        <v>24</v>
      </c>
    </row>
    <row r="2617" spans="1:18" hidden="1" x14ac:dyDescent="0.25">
      <c r="A2617" s="9" t="s">
        <v>1314</v>
      </c>
      <c r="B2617" s="3" t="s">
        <v>1735</v>
      </c>
      <c r="C2617" s="10">
        <v>1</v>
      </c>
      <c r="D2617" s="10">
        <v>10</v>
      </c>
      <c r="E2617" s="10">
        <v>19</v>
      </c>
      <c r="F2617" t="s">
        <v>1144</v>
      </c>
      <c r="G2617" t="s">
        <v>31</v>
      </c>
      <c r="H2617" t="s">
        <v>26</v>
      </c>
      <c r="I2617" t="s">
        <v>27</v>
      </c>
      <c r="J2617" s="4">
        <v>16.600000000000001</v>
      </c>
      <c r="K2617">
        <v>1</v>
      </c>
      <c r="L2617">
        <v>16.600000000000001</v>
      </c>
      <c r="M2617">
        <v>16.600000000000001</v>
      </c>
      <c r="N2617" s="5">
        <v>0.84365182036592123</v>
      </c>
      <c r="O2617" t="s">
        <v>100</v>
      </c>
      <c r="P2617" t="s">
        <v>340</v>
      </c>
      <c r="Q2617" s="10" t="s">
        <v>24</v>
      </c>
      <c r="R2617" t="s">
        <v>1738</v>
      </c>
    </row>
    <row r="2618" spans="1:18" hidden="1" x14ac:dyDescent="0.25">
      <c r="A2618" s="9" t="s">
        <v>1314</v>
      </c>
      <c r="B2618" s="3" t="s">
        <v>1735</v>
      </c>
      <c r="C2618" s="10">
        <v>1</v>
      </c>
      <c r="D2618" s="10">
        <v>10</v>
      </c>
      <c r="E2618" s="10">
        <v>19</v>
      </c>
      <c r="F2618" t="s">
        <v>98</v>
      </c>
      <c r="G2618" t="s">
        <v>889</v>
      </c>
      <c r="H2618" t="s">
        <v>26</v>
      </c>
      <c r="I2618" t="s">
        <v>27</v>
      </c>
      <c r="J2618" s="4">
        <v>74</v>
      </c>
      <c r="K2618">
        <v>1</v>
      </c>
      <c r="L2618">
        <v>74</v>
      </c>
      <c r="M2618">
        <v>74</v>
      </c>
      <c r="N2618" s="5">
        <v>3.7608575124745882</v>
      </c>
      <c r="O2618" t="s">
        <v>100</v>
      </c>
      <c r="P2618" t="s">
        <v>340</v>
      </c>
      <c r="Q2618" s="10" t="s">
        <v>24</v>
      </c>
      <c r="R2618" t="s">
        <v>1739</v>
      </c>
    </row>
    <row r="2619" spans="1:18" hidden="1" x14ac:dyDescent="0.25">
      <c r="A2619" s="9" t="s">
        <v>1314</v>
      </c>
      <c r="B2619" s="3" t="s">
        <v>1735</v>
      </c>
      <c r="C2619" s="10">
        <v>1</v>
      </c>
      <c r="D2619" s="10">
        <v>10</v>
      </c>
      <c r="E2619" s="10">
        <v>19</v>
      </c>
      <c r="F2619" t="s">
        <v>840</v>
      </c>
      <c r="G2619" t="s">
        <v>840</v>
      </c>
      <c r="H2619" t="s">
        <v>56</v>
      </c>
      <c r="I2619" t="s">
        <v>27</v>
      </c>
      <c r="J2619" s="4">
        <v>37.6</v>
      </c>
      <c r="K2619">
        <v>0.35399999999999998</v>
      </c>
      <c r="L2619">
        <v>37.6</v>
      </c>
      <c r="M2619">
        <v>13.3104</v>
      </c>
      <c r="N2619" s="5">
        <v>0.67646645721678056</v>
      </c>
      <c r="O2619" t="s">
        <v>100</v>
      </c>
      <c r="P2619" t="s">
        <v>340</v>
      </c>
      <c r="Q2619" s="10" t="s">
        <v>24</v>
      </c>
    </row>
    <row r="2620" spans="1:18" hidden="1" x14ac:dyDescent="0.25">
      <c r="A2620" s="9" t="s">
        <v>1314</v>
      </c>
      <c r="B2620" s="3" t="s">
        <v>1735</v>
      </c>
      <c r="C2620" s="10">
        <v>1</v>
      </c>
      <c r="D2620" s="10">
        <v>10</v>
      </c>
      <c r="E2620" s="10">
        <v>19</v>
      </c>
      <c r="F2620" t="s">
        <v>1358</v>
      </c>
      <c r="G2620" t="s">
        <v>155</v>
      </c>
      <c r="H2620" t="s">
        <v>131</v>
      </c>
      <c r="I2620" t="s">
        <v>27</v>
      </c>
      <c r="J2620" s="4">
        <v>75</v>
      </c>
      <c r="K2620">
        <v>1</v>
      </c>
      <c r="L2620">
        <v>75</v>
      </c>
      <c r="M2620">
        <v>75</v>
      </c>
      <c r="N2620" s="5">
        <v>3.8116799112918125</v>
      </c>
      <c r="O2620" t="s">
        <v>100</v>
      </c>
      <c r="P2620" t="s">
        <v>340</v>
      </c>
      <c r="Q2620" s="10" t="s">
        <v>24</v>
      </c>
    </row>
    <row r="2621" spans="1:18" hidden="1" x14ac:dyDescent="0.25">
      <c r="A2621" s="9" t="s">
        <v>1314</v>
      </c>
      <c r="B2621" s="3" t="s">
        <v>1735</v>
      </c>
      <c r="C2621" s="10">
        <v>1</v>
      </c>
      <c r="D2621" s="10">
        <v>10</v>
      </c>
      <c r="E2621" s="10">
        <v>19</v>
      </c>
      <c r="F2621" t="s">
        <v>208</v>
      </c>
      <c r="G2621" t="s">
        <v>889</v>
      </c>
      <c r="H2621" t="s">
        <v>56</v>
      </c>
      <c r="I2621" t="s">
        <v>27</v>
      </c>
      <c r="J2621" s="4">
        <v>103.7</v>
      </c>
      <c r="K2621">
        <v>0.39</v>
      </c>
      <c r="L2621">
        <v>103.7</v>
      </c>
      <c r="M2621">
        <v>40.443000000000005</v>
      </c>
      <c r="N2621" s="5">
        <v>2.0554102753649972</v>
      </c>
      <c r="O2621" t="s">
        <v>100</v>
      </c>
      <c r="P2621" t="s">
        <v>340</v>
      </c>
      <c r="Q2621" s="10" t="s">
        <v>24</v>
      </c>
    </row>
    <row r="2622" spans="1:18" hidden="1" x14ac:dyDescent="0.25">
      <c r="A2622" s="9" t="s">
        <v>1314</v>
      </c>
      <c r="B2622" s="3" t="s">
        <v>1417</v>
      </c>
      <c r="C2622" s="10">
        <v>10</v>
      </c>
      <c r="D2622" s="10">
        <v>10</v>
      </c>
      <c r="E2622" s="10">
        <v>19</v>
      </c>
      <c r="F2622" t="s">
        <v>39</v>
      </c>
      <c r="G2622" t="s">
        <v>304</v>
      </c>
      <c r="H2622" t="s">
        <v>39</v>
      </c>
      <c r="I2622" t="s">
        <v>79</v>
      </c>
      <c r="J2622" s="4">
        <v>70</v>
      </c>
      <c r="K2622">
        <v>1</v>
      </c>
      <c r="L2622">
        <v>70</v>
      </c>
      <c r="M2622">
        <v>70</v>
      </c>
      <c r="N2622" s="5">
        <v>3.5433070866141732</v>
      </c>
      <c r="O2622" t="s">
        <v>39</v>
      </c>
      <c r="P2622" t="s">
        <v>340</v>
      </c>
      <c r="Q2622" s="10" t="s">
        <v>24</v>
      </c>
      <c r="R2622" t="s">
        <v>1414</v>
      </c>
    </row>
    <row r="2623" spans="1:18" hidden="1" x14ac:dyDescent="0.25">
      <c r="A2623" s="9" t="s">
        <v>1314</v>
      </c>
      <c r="B2623" s="3" t="s">
        <v>1417</v>
      </c>
      <c r="C2623" s="10">
        <v>10</v>
      </c>
      <c r="D2623" s="10">
        <v>10</v>
      </c>
      <c r="E2623" s="10">
        <v>19</v>
      </c>
      <c r="F2623" t="s">
        <v>974</v>
      </c>
      <c r="G2623" t="s">
        <v>25</v>
      </c>
      <c r="H2623" t="s">
        <v>26</v>
      </c>
      <c r="I2623" t="s">
        <v>27</v>
      </c>
      <c r="J2623" s="4">
        <v>185.6</v>
      </c>
      <c r="K2623">
        <v>0.30599999999999999</v>
      </c>
      <c r="L2623">
        <v>185.6</v>
      </c>
      <c r="M2623">
        <v>56.793599999999998</v>
      </c>
      <c r="N2623" s="5">
        <v>2.8863869894659024</v>
      </c>
      <c r="O2623" t="s">
        <v>100</v>
      </c>
      <c r="P2623" t="s">
        <v>340</v>
      </c>
      <c r="Q2623" s="10" t="s">
        <v>24</v>
      </c>
      <c r="R2623" t="s">
        <v>1899</v>
      </c>
    </row>
    <row r="2624" spans="1:18" hidden="1" x14ac:dyDescent="0.25">
      <c r="A2624" s="9" t="s">
        <v>1314</v>
      </c>
      <c r="B2624" s="3" t="s">
        <v>1417</v>
      </c>
      <c r="C2624" s="10">
        <v>10</v>
      </c>
      <c r="D2624" s="10">
        <v>10</v>
      </c>
      <c r="E2624" s="10">
        <v>19</v>
      </c>
      <c r="F2624" t="s">
        <v>118</v>
      </c>
      <c r="G2624" t="s">
        <v>889</v>
      </c>
      <c r="H2624" t="s">
        <v>40</v>
      </c>
      <c r="I2624" t="s">
        <v>27</v>
      </c>
      <c r="J2624" s="4">
        <v>10</v>
      </c>
      <c r="K2624">
        <v>1</v>
      </c>
      <c r="L2624">
        <v>10</v>
      </c>
      <c r="M2624">
        <v>10</v>
      </c>
      <c r="N2624" s="5">
        <v>0.50822398817224168</v>
      </c>
      <c r="O2624" t="s">
        <v>100</v>
      </c>
      <c r="P2624" t="s">
        <v>340</v>
      </c>
      <c r="Q2624" s="10" t="s">
        <v>24</v>
      </c>
    </row>
    <row r="2625" spans="1:18" hidden="1" x14ac:dyDescent="0.25">
      <c r="A2625" s="9" t="s">
        <v>1314</v>
      </c>
      <c r="B2625" s="3" t="s">
        <v>1417</v>
      </c>
      <c r="C2625" s="10">
        <v>10</v>
      </c>
      <c r="D2625" s="10">
        <v>10</v>
      </c>
      <c r="E2625" s="10">
        <v>19</v>
      </c>
      <c r="F2625" t="s">
        <v>86</v>
      </c>
      <c r="G2625" t="s">
        <v>889</v>
      </c>
      <c r="H2625" t="s">
        <v>102</v>
      </c>
      <c r="I2625" t="s">
        <v>27</v>
      </c>
      <c r="J2625" s="4">
        <v>20</v>
      </c>
      <c r="K2625">
        <v>1</v>
      </c>
      <c r="L2625">
        <v>20</v>
      </c>
      <c r="M2625">
        <v>20</v>
      </c>
      <c r="N2625" s="5">
        <v>1.0164479763444834</v>
      </c>
      <c r="O2625" t="s">
        <v>39</v>
      </c>
      <c r="P2625" t="s">
        <v>340</v>
      </c>
      <c r="Q2625" s="10" t="s">
        <v>24</v>
      </c>
      <c r="R2625" t="s">
        <v>2018</v>
      </c>
    </row>
    <row r="2626" spans="1:18" hidden="1" x14ac:dyDescent="0.25">
      <c r="A2626" s="9" t="s">
        <v>1314</v>
      </c>
      <c r="B2626" s="3" t="s">
        <v>1417</v>
      </c>
      <c r="C2626" s="10">
        <v>10</v>
      </c>
      <c r="D2626" s="10">
        <v>10</v>
      </c>
      <c r="E2626" s="10">
        <v>19</v>
      </c>
      <c r="F2626" t="s">
        <v>1846</v>
      </c>
      <c r="G2626" t="s">
        <v>889</v>
      </c>
      <c r="H2626" t="s">
        <v>102</v>
      </c>
      <c r="I2626" t="s">
        <v>27</v>
      </c>
      <c r="J2626" s="4">
        <v>49</v>
      </c>
      <c r="K2626">
        <v>1</v>
      </c>
      <c r="L2626">
        <v>49</v>
      </c>
      <c r="M2626">
        <v>49</v>
      </c>
      <c r="N2626" s="5">
        <v>2.4902975420439839</v>
      </c>
      <c r="O2626" t="s">
        <v>39</v>
      </c>
      <c r="P2626" t="s">
        <v>340</v>
      </c>
      <c r="Q2626" s="10" t="s">
        <v>24</v>
      </c>
    </row>
    <row r="2627" spans="1:18" hidden="1" x14ac:dyDescent="0.25">
      <c r="A2627" s="9" t="s">
        <v>1314</v>
      </c>
      <c r="B2627" s="3" t="str">
        <f>CONCATENATE(E2627,"/",D2627,"/",C2627)</f>
        <v>19/10/11</v>
      </c>
      <c r="C2627" s="10">
        <v>11</v>
      </c>
      <c r="D2627" s="10">
        <v>10</v>
      </c>
      <c r="E2627" s="10">
        <v>19</v>
      </c>
      <c r="F2627" t="s">
        <v>81</v>
      </c>
      <c r="G2627" t="s">
        <v>889</v>
      </c>
      <c r="H2627" t="s">
        <v>889</v>
      </c>
      <c r="I2627" t="s">
        <v>39</v>
      </c>
      <c r="J2627" s="4">
        <v>1100</v>
      </c>
      <c r="K2627">
        <v>1</v>
      </c>
      <c r="L2627">
        <v>1100</v>
      </c>
      <c r="M2627">
        <v>1100</v>
      </c>
      <c r="N2627" s="5">
        <v>55.680539932508431</v>
      </c>
      <c r="O2627" t="s">
        <v>39</v>
      </c>
      <c r="P2627" t="s">
        <v>340</v>
      </c>
      <c r="Q2627" s="10" t="s">
        <v>84</v>
      </c>
      <c r="R2627" t="s">
        <v>1359</v>
      </c>
    </row>
    <row r="2628" spans="1:18" hidden="1" x14ac:dyDescent="0.25">
      <c r="A2628" s="9" t="s">
        <v>1314</v>
      </c>
      <c r="B2628" s="3" t="s">
        <v>1366</v>
      </c>
      <c r="C2628" s="10">
        <v>11</v>
      </c>
      <c r="D2628" s="10">
        <v>10</v>
      </c>
      <c r="E2628" s="10">
        <v>19</v>
      </c>
      <c r="F2628" t="s">
        <v>141</v>
      </c>
      <c r="G2628" t="s">
        <v>889</v>
      </c>
      <c r="H2628" t="s">
        <v>172</v>
      </c>
      <c r="I2628" t="s">
        <v>39</v>
      </c>
      <c r="J2628" s="4">
        <v>2</v>
      </c>
      <c r="K2628">
        <v>1</v>
      </c>
      <c r="L2628">
        <v>2</v>
      </c>
      <c r="M2628">
        <v>2</v>
      </c>
      <c r="N2628" s="5">
        <v>0.10123734533183351</v>
      </c>
      <c r="O2628" t="s">
        <v>39</v>
      </c>
      <c r="P2628" t="s">
        <v>340</v>
      </c>
      <c r="Q2628" s="10" t="s">
        <v>24</v>
      </c>
    </row>
    <row r="2629" spans="1:18" hidden="1" x14ac:dyDescent="0.25">
      <c r="A2629" s="9" t="s">
        <v>1314</v>
      </c>
      <c r="B2629" s="3" t="s">
        <v>1366</v>
      </c>
      <c r="C2629" s="10">
        <v>11</v>
      </c>
      <c r="D2629" s="10">
        <v>10</v>
      </c>
      <c r="E2629" s="10">
        <v>19</v>
      </c>
      <c r="F2629" t="s">
        <v>1363</v>
      </c>
      <c r="G2629" t="s">
        <v>889</v>
      </c>
      <c r="H2629" t="s">
        <v>35</v>
      </c>
      <c r="I2629" t="s">
        <v>27</v>
      </c>
      <c r="J2629" s="4">
        <v>35.950000000000003</v>
      </c>
      <c r="K2629">
        <v>2</v>
      </c>
      <c r="L2629">
        <v>35.950000000000003</v>
      </c>
      <c r="M2629">
        <v>71.900000000000006</v>
      </c>
      <c r="N2629" s="5">
        <v>3.6394825646794153</v>
      </c>
      <c r="O2629" t="s">
        <v>46</v>
      </c>
      <c r="P2629" t="s">
        <v>340</v>
      </c>
      <c r="Q2629" s="10" t="s">
        <v>84</v>
      </c>
    </row>
    <row r="2630" spans="1:18" hidden="1" x14ac:dyDescent="0.25">
      <c r="A2630" s="9" t="s">
        <v>1314</v>
      </c>
      <c r="B2630" s="3" t="s">
        <v>1366</v>
      </c>
      <c r="C2630" s="10">
        <v>11</v>
      </c>
      <c r="D2630" s="10">
        <v>10</v>
      </c>
      <c r="E2630" s="10">
        <v>19</v>
      </c>
      <c r="F2630" t="s">
        <v>246</v>
      </c>
      <c r="H2630" t="s">
        <v>1748</v>
      </c>
      <c r="I2630" t="s">
        <v>72</v>
      </c>
      <c r="J2630" s="4">
        <v>110</v>
      </c>
      <c r="K2630">
        <v>1</v>
      </c>
      <c r="L2630">
        <v>110</v>
      </c>
      <c r="M2630">
        <v>110</v>
      </c>
      <c r="N2630" s="5">
        <v>5.5680539932508433</v>
      </c>
      <c r="O2630" t="s">
        <v>1371</v>
      </c>
      <c r="P2630" t="s">
        <v>340</v>
      </c>
      <c r="Q2630" s="10" t="s">
        <v>24</v>
      </c>
      <c r="R2630" t="s">
        <v>1370</v>
      </c>
    </row>
    <row r="2631" spans="1:18" hidden="1" x14ac:dyDescent="0.25">
      <c r="A2631" s="9" t="s">
        <v>1314</v>
      </c>
      <c r="B2631" s="3" t="s">
        <v>1366</v>
      </c>
      <c r="C2631" s="10">
        <v>11</v>
      </c>
      <c r="D2631" s="10">
        <v>10</v>
      </c>
      <c r="E2631" s="10">
        <v>19</v>
      </c>
      <c r="F2631" t="s">
        <v>81</v>
      </c>
      <c r="G2631" t="s">
        <v>889</v>
      </c>
      <c r="H2631" t="s">
        <v>889</v>
      </c>
      <c r="I2631" t="s">
        <v>39</v>
      </c>
      <c r="J2631" s="4">
        <v>1000</v>
      </c>
      <c r="K2631">
        <v>1</v>
      </c>
      <c r="L2631">
        <v>1000</v>
      </c>
      <c r="M2631">
        <v>1000</v>
      </c>
      <c r="N2631" s="5">
        <v>50.618672665916755</v>
      </c>
      <c r="O2631" t="s">
        <v>39</v>
      </c>
      <c r="P2631" t="s">
        <v>340</v>
      </c>
      <c r="Q2631" s="10" t="s">
        <v>84</v>
      </c>
      <c r="R2631" t="s">
        <v>1415</v>
      </c>
    </row>
    <row r="2632" spans="1:18" hidden="1" x14ac:dyDescent="0.25">
      <c r="A2632" s="9" t="s">
        <v>1314</v>
      </c>
      <c r="B2632" s="3" t="s">
        <v>1366</v>
      </c>
      <c r="C2632" s="10">
        <v>11</v>
      </c>
      <c r="D2632" s="10">
        <v>10</v>
      </c>
      <c r="E2632" s="10">
        <v>19</v>
      </c>
      <c r="F2632" t="s">
        <v>104</v>
      </c>
      <c r="G2632" t="s">
        <v>889</v>
      </c>
      <c r="H2632" t="s">
        <v>889</v>
      </c>
      <c r="I2632" t="s">
        <v>72</v>
      </c>
      <c r="J2632" s="4">
        <v>83.99</v>
      </c>
      <c r="K2632">
        <v>1</v>
      </c>
      <c r="L2632">
        <v>83.99</v>
      </c>
      <c r="M2632">
        <v>83.99</v>
      </c>
      <c r="N2632" s="5">
        <v>4.2685732766586577</v>
      </c>
      <c r="O2632" t="s">
        <v>233</v>
      </c>
      <c r="P2632" t="s">
        <v>340</v>
      </c>
      <c r="Q2632" s="10" t="s">
        <v>24</v>
      </c>
      <c r="R2632" t="s">
        <v>1839</v>
      </c>
    </row>
    <row r="2633" spans="1:18" hidden="1" x14ac:dyDescent="0.25">
      <c r="A2633" s="9" t="s">
        <v>1314</v>
      </c>
      <c r="B2633" s="3" t="s">
        <v>1366</v>
      </c>
      <c r="C2633" s="10">
        <v>11</v>
      </c>
      <c r="D2633" s="10">
        <v>10</v>
      </c>
      <c r="E2633" s="10">
        <v>19</v>
      </c>
      <c r="F2633" t="s">
        <v>2242</v>
      </c>
      <c r="G2633" t="s">
        <v>345</v>
      </c>
      <c r="H2633" t="s">
        <v>26</v>
      </c>
      <c r="I2633" t="s">
        <v>27</v>
      </c>
      <c r="J2633" s="4">
        <v>6.8</v>
      </c>
      <c r="K2633">
        <v>1</v>
      </c>
      <c r="L2633">
        <v>6.8</v>
      </c>
      <c r="M2633">
        <v>6.8</v>
      </c>
      <c r="N2633" s="5">
        <v>0.34559231195712431</v>
      </c>
      <c r="O2633" t="s">
        <v>101</v>
      </c>
      <c r="P2633" t="s">
        <v>340</v>
      </c>
      <c r="Q2633" s="10" t="s">
        <v>24</v>
      </c>
    </row>
    <row r="2634" spans="1:18" hidden="1" x14ac:dyDescent="0.25">
      <c r="A2634" s="9" t="s">
        <v>1314</v>
      </c>
      <c r="B2634" s="3" t="s">
        <v>1366</v>
      </c>
      <c r="C2634" s="10">
        <v>11</v>
      </c>
      <c r="D2634" s="10">
        <v>10</v>
      </c>
      <c r="E2634" s="10">
        <v>19</v>
      </c>
      <c r="F2634" t="s">
        <v>1874</v>
      </c>
      <c r="G2634" t="s">
        <v>77</v>
      </c>
      <c r="H2634" t="s">
        <v>26</v>
      </c>
      <c r="I2634" t="s">
        <v>27</v>
      </c>
      <c r="J2634" s="4">
        <v>20</v>
      </c>
      <c r="K2634">
        <v>1</v>
      </c>
      <c r="L2634">
        <v>20</v>
      </c>
      <c r="M2634">
        <v>20</v>
      </c>
      <c r="N2634" s="5">
        <v>1.0164479763444834</v>
      </c>
      <c r="O2634" t="s">
        <v>101</v>
      </c>
      <c r="P2634" t="s">
        <v>340</v>
      </c>
      <c r="Q2634" s="10" t="s">
        <v>24</v>
      </c>
    </row>
    <row r="2635" spans="1:18" hidden="1" x14ac:dyDescent="0.25">
      <c r="A2635" s="9" t="s">
        <v>1314</v>
      </c>
      <c r="B2635" s="3" t="s">
        <v>1366</v>
      </c>
      <c r="C2635" s="10">
        <v>11</v>
      </c>
      <c r="D2635" s="10">
        <v>10</v>
      </c>
      <c r="E2635" s="10">
        <v>19</v>
      </c>
      <c r="F2635" t="s">
        <v>1325</v>
      </c>
      <c r="G2635" t="s">
        <v>489</v>
      </c>
      <c r="H2635" t="s">
        <v>49</v>
      </c>
      <c r="I2635" t="s">
        <v>79</v>
      </c>
      <c r="J2635" s="4">
        <v>216</v>
      </c>
      <c r="K2635">
        <v>1</v>
      </c>
      <c r="L2635">
        <v>216</v>
      </c>
      <c r="M2635">
        <v>216</v>
      </c>
      <c r="N2635" s="5">
        <v>10.977638144520419</v>
      </c>
      <c r="O2635" t="s">
        <v>2020</v>
      </c>
      <c r="P2635" t="s">
        <v>340</v>
      </c>
      <c r="Q2635" s="10" t="s">
        <v>24</v>
      </c>
      <c r="R2635" t="s">
        <v>2021</v>
      </c>
    </row>
    <row r="2636" spans="1:18" hidden="1" x14ac:dyDescent="0.25">
      <c r="A2636" s="9" t="s">
        <v>1314</v>
      </c>
      <c r="B2636" s="3" t="s">
        <v>1348</v>
      </c>
      <c r="C2636" s="10">
        <v>12</v>
      </c>
      <c r="D2636" s="10">
        <v>10</v>
      </c>
      <c r="E2636" s="10">
        <v>19</v>
      </c>
      <c r="F2636" t="s">
        <v>1057</v>
      </c>
      <c r="G2636" t="s">
        <v>889</v>
      </c>
      <c r="H2636" t="s">
        <v>889</v>
      </c>
      <c r="I2636" t="s">
        <v>431</v>
      </c>
      <c r="J2636" s="4">
        <v>200</v>
      </c>
      <c r="K2636">
        <v>1</v>
      </c>
      <c r="L2636">
        <v>200</v>
      </c>
      <c r="M2636">
        <v>200</v>
      </c>
      <c r="N2636" s="5">
        <v>10.123734533183352</v>
      </c>
      <c r="O2636" t="s">
        <v>39</v>
      </c>
      <c r="P2636" t="s">
        <v>340</v>
      </c>
      <c r="Q2636" s="10" t="s">
        <v>24</v>
      </c>
    </row>
    <row r="2637" spans="1:18" hidden="1" x14ac:dyDescent="0.25">
      <c r="A2637" s="9" t="s">
        <v>1314</v>
      </c>
      <c r="B2637" s="3" t="s">
        <v>1348</v>
      </c>
      <c r="C2637" s="10">
        <v>12</v>
      </c>
      <c r="D2637" s="10">
        <v>10</v>
      </c>
      <c r="E2637" s="10">
        <v>19</v>
      </c>
      <c r="F2637" t="s">
        <v>184</v>
      </c>
      <c r="G2637" t="s">
        <v>304</v>
      </c>
      <c r="H2637" t="s">
        <v>184</v>
      </c>
      <c r="I2637" t="s">
        <v>79</v>
      </c>
      <c r="J2637" s="4">
        <v>150</v>
      </c>
      <c r="K2637">
        <v>1</v>
      </c>
      <c r="L2637">
        <v>150</v>
      </c>
      <c r="M2637">
        <v>150</v>
      </c>
      <c r="N2637" s="5">
        <v>7.5928008998875134</v>
      </c>
      <c r="O2637" t="s">
        <v>39</v>
      </c>
      <c r="P2637" t="s">
        <v>340</v>
      </c>
      <c r="Q2637" s="10" t="s">
        <v>24</v>
      </c>
    </row>
    <row r="2638" spans="1:18" hidden="1" x14ac:dyDescent="0.25">
      <c r="A2638" s="9" t="s">
        <v>1314</v>
      </c>
      <c r="B2638" s="3" t="s">
        <v>1348</v>
      </c>
      <c r="C2638" s="10">
        <v>12</v>
      </c>
      <c r="D2638" s="10">
        <v>10</v>
      </c>
      <c r="E2638" s="10">
        <v>19</v>
      </c>
      <c r="F2638" t="s">
        <v>102</v>
      </c>
      <c r="H2638" t="s">
        <v>102</v>
      </c>
      <c r="I2638" t="s">
        <v>27</v>
      </c>
      <c r="J2638" s="4">
        <v>20</v>
      </c>
      <c r="K2638">
        <v>1</v>
      </c>
      <c r="L2638">
        <v>20</v>
      </c>
      <c r="M2638">
        <v>20</v>
      </c>
      <c r="N2638" s="5">
        <v>1.0123734533183351</v>
      </c>
      <c r="O2638" t="s">
        <v>39</v>
      </c>
      <c r="P2638" t="s">
        <v>340</v>
      </c>
      <c r="Q2638" s="10" t="s">
        <v>24</v>
      </c>
    </row>
    <row r="2639" spans="1:18" hidden="1" x14ac:dyDescent="0.25">
      <c r="A2639" s="9" t="s">
        <v>1314</v>
      </c>
      <c r="B2639" s="3" t="s">
        <v>1348</v>
      </c>
      <c r="C2639" s="10">
        <v>12</v>
      </c>
      <c r="D2639" s="10">
        <v>10</v>
      </c>
      <c r="E2639" s="10">
        <v>19</v>
      </c>
      <c r="F2639" t="s">
        <v>253</v>
      </c>
      <c r="G2639" t="s">
        <v>889</v>
      </c>
      <c r="H2639" t="s">
        <v>889</v>
      </c>
      <c r="I2639" t="s">
        <v>87</v>
      </c>
      <c r="J2639" s="4">
        <v>90</v>
      </c>
      <c r="K2639">
        <v>1</v>
      </c>
      <c r="L2639">
        <v>90</v>
      </c>
      <c r="M2639">
        <v>90</v>
      </c>
      <c r="N2639" s="5">
        <v>4.5556805399325082</v>
      </c>
      <c r="O2639" t="s">
        <v>39</v>
      </c>
      <c r="P2639" t="s">
        <v>340</v>
      </c>
      <c r="Q2639" s="10" t="s">
        <v>24</v>
      </c>
      <c r="R2639" t="s">
        <v>1413</v>
      </c>
    </row>
    <row r="2640" spans="1:18" hidden="1" x14ac:dyDescent="0.25">
      <c r="A2640" s="9" t="s">
        <v>1314</v>
      </c>
      <c r="B2640" s="3" t="s">
        <v>1348</v>
      </c>
      <c r="C2640" s="10">
        <v>12</v>
      </c>
      <c r="D2640" s="10">
        <v>10</v>
      </c>
      <c r="E2640" s="10">
        <v>19</v>
      </c>
      <c r="F2640" t="s">
        <v>383</v>
      </c>
      <c r="G2640" t="s">
        <v>39</v>
      </c>
      <c r="H2640" t="s">
        <v>63</v>
      </c>
      <c r="I2640" t="s">
        <v>50</v>
      </c>
      <c r="J2640" s="4">
        <v>935</v>
      </c>
      <c r="K2640">
        <v>1</v>
      </c>
      <c r="L2640">
        <v>935</v>
      </c>
      <c r="M2640">
        <v>935</v>
      </c>
      <c r="N2640" s="5">
        <v>47.328458942632167</v>
      </c>
      <c r="O2640" t="s">
        <v>39</v>
      </c>
      <c r="P2640" t="s">
        <v>340</v>
      </c>
      <c r="Q2640" s="10" t="s">
        <v>84</v>
      </c>
    </row>
    <row r="2641" spans="1:18" hidden="1" x14ac:dyDescent="0.25">
      <c r="A2641" s="9" t="s">
        <v>1314</v>
      </c>
      <c r="B2641" s="3" t="s">
        <v>1348</v>
      </c>
      <c r="C2641" s="10">
        <v>12</v>
      </c>
      <c r="D2641" s="10">
        <v>10</v>
      </c>
      <c r="E2641" s="10">
        <v>19</v>
      </c>
      <c r="F2641" t="s">
        <v>94</v>
      </c>
      <c r="G2641" t="s">
        <v>889</v>
      </c>
      <c r="H2641" t="s">
        <v>889</v>
      </c>
      <c r="I2641" t="s">
        <v>87</v>
      </c>
      <c r="J2641" s="4">
        <v>546</v>
      </c>
      <c r="K2641">
        <v>1</v>
      </c>
      <c r="L2641">
        <v>546</v>
      </c>
      <c r="M2641">
        <v>546</v>
      </c>
      <c r="N2641" s="5">
        <v>27.749029754204393</v>
      </c>
      <c r="O2641" t="s">
        <v>1786</v>
      </c>
      <c r="P2641" t="s">
        <v>340</v>
      </c>
      <c r="Q2641" s="10" t="s">
        <v>24</v>
      </c>
      <c r="R2641" t="s">
        <v>1783</v>
      </c>
    </row>
    <row r="2642" spans="1:18" hidden="1" x14ac:dyDescent="0.25">
      <c r="A2642" s="9" t="s">
        <v>1314</v>
      </c>
      <c r="B2642" s="3" t="s">
        <v>1348</v>
      </c>
      <c r="C2642" s="10">
        <v>12</v>
      </c>
      <c r="D2642" s="10">
        <v>10</v>
      </c>
      <c r="E2642" s="10">
        <v>19</v>
      </c>
      <c r="F2642" t="s">
        <v>86</v>
      </c>
      <c r="H2642" t="s">
        <v>102</v>
      </c>
      <c r="I2642" t="s">
        <v>27</v>
      </c>
      <c r="J2642" s="4">
        <v>15</v>
      </c>
      <c r="K2642">
        <v>1</v>
      </c>
      <c r="L2642">
        <v>15</v>
      </c>
      <c r="M2642">
        <v>15</v>
      </c>
      <c r="N2642" s="5">
        <v>0.76233598225836252</v>
      </c>
      <c r="O2642" t="s">
        <v>80</v>
      </c>
      <c r="P2642" t="s">
        <v>340</v>
      </c>
      <c r="Q2642" s="10" t="s">
        <v>24</v>
      </c>
    </row>
    <row r="2643" spans="1:18" hidden="1" x14ac:dyDescent="0.25">
      <c r="A2643" s="9" t="s">
        <v>1314</v>
      </c>
      <c r="B2643" s="3" t="s">
        <v>1348</v>
      </c>
      <c r="C2643" s="10">
        <v>12</v>
      </c>
      <c r="D2643" s="10">
        <v>10</v>
      </c>
      <c r="E2643" s="10">
        <v>19</v>
      </c>
      <c r="F2643" t="s">
        <v>78</v>
      </c>
      <c r="G2643" t="s">
        <v>489</v>
      </c>
      <c r="H2643" t="s">
        <v>78</v>
      </c>
      <c r="I2643" t="s">
        <v>79</v>
      </c>
      <c r="J2643" s="4">
        <v>18.05</v>
      </c>
      <c r="K2643">
        <v>36.01</v>
      </c>
      <c r="L2643">
        <v>18.05</v>
      </c>
      <c r="M2643">
        <v>649.98050000000001</v>
      </c>
      <c r="N2643" s="5">
        <v>33.03356819441877</v>
      </c>
      <c r="O2643" t="s">
        <v>39</v>
      </c>
      <c r="P2643" t="s">
        <v>340</v>
      </c>
      <c r="Q2643" s="10" t="s">
        <v>24</v>
      </c>
    </row>
    <row r="2644" spans="1:18" hidden="1" x14ac:dyDescent="0.25">
      <c r="A2644" s="9" t="s">
        <v>1314</v>
      </c>
      <c r="B2644" s="3" t="s">
        <v>1348</v>
      </c>
      <c r="C2644" s="10">
        <v>12</v>
      </c>
      <c r="D2644" s="10">
        <v>10</v>
      </c>
      <c r="E2644" s="10">
        <v>19</v>
      </c>
      <c r="F2644" t="s">
        <v>389</v>
      </c>
      <c r="G2644" t="s">
        <v>889</v>
      </c>
      <c r="H2644" t="s">
        <v>21</v>
      </c>
      <c r="I2644" t="s">
        <v>22</v>
      </c>
      <c r="J2644" s="4">
        <v>30</v>
      </c>
      <c r="K2644">
        <v>2</v>
      </c>
      <c r="L2644">
        <v>30</v>
      </c>
      <c r="M2644">
        <v>60</v>
      </c>
      <c r="N2644" s="5">
        <v>3.0493439290334501</v>
      </c>
      <c r="O2644" t="s">
        <v>1982</v>
      </c>
      <c r="P2644" t="s">
        <v>340</v>
      </c>
      <c r="Q2644" s="10" t="s">
        <v>24</v>
      </c>
    </row>
    <row r="2645" spans="1:18" hidden="1" x14ac:dyDescent="0.25">
      <c r="A2645" s="9" t="s">
        <v>1314</v>
      </c>
      <c r="B2645" s="3" t="s">
        <v>1350</v>
      </c>
      <c r="C2645" s="10">
        <v>13</v>
      </c>
      <c r="D2645" s="10">
        <v>10</v>
      </c>
      <c r="E2645" s="10">
        <v>19</v>
      </c>
      <c r="F2645" t="s">
        <v>1349</v>
      </c>
      <c r="G2645" t="s">
        <v>889</v>
      </c>
      <c r="H2645" t="s">
        <v>39</v>
      </c>
      <c r="I2645" t="s">
        <v>27</v>
      </c>
      <c r="J2645" s="4">
        <v>21.5</v>
      </c>
      <c r="K2645">
        <v>2</v>
      </c>
      <c r="L2645">
        <v>21.5</v>
      </c>
      <c r="M2645">
        <v>43</v>
      </c>
      <c r="N2645" s="5">
        <v>2.1766029246344205</v>
      </c>
      <c r="O2645" t="s">
        <v>1472</v>
      </c>
      <c r="P2645" t="s">
        <v>340</v>
      </c>
      <c r="Q2645" s="10" t="s">
        <v>84</v>
      </c>
    </row>
    <row r="2646" spans="1:18" hidden="1" x14ac:dyDescent="0.25">
      <c r="A2646" s="9" t="s">
        <v>1314</v>
      </c>
      <c r="B2646" s="3" t="s">
        <v>1350</v>
      </c>
      <c r="C2646" s="10">
        <v>13</v>
      </c>
      <c r="D2646" s="10">
        <v>10</v>
      </c>
      <c r="E2646" s="10">
        <v>19</v>
      </c>
      <c r="F2646" t="s">
        <v>593</v>
      </c>
      <c r="G2646" t="s">
        <v>889</v>
      </c>
      <c r="H2646" t="s">
        <v>39</v>
      </c>
      <c r="I2646" t="s">
        <v>27</v>
      </c>
      <c r="J2646" s="4">
        <v>172</v>
      </c>
      <c r="K2646">
        <v>1</v>
      </c>
      <c r="L2646">
        <v>172</v>
      </c>
      <c r="M2646">
        <v>172</v>
      </c>
      <c r="N2646" s="5">
        <v>8.706411698537682</v>
      </c>
      <c r="O2646" t="s">
        <v>39</v>
      </c>
      <c r="P2646" t="s">
        <v>340</v>
      </c>
      <c r="Q2646" s="10" t="s">
        <v>24</v>
      </c>
    </row>
    <row r="2647" spans="1:18" hidden="1" x14ac:dyDescent="0.25">
      <c r="A2647" s="9" t="s">
        <v>1314</v>
      </c>
      <c r="B2647" s="3" t="s">
        <v>1350</v>
      </c>
      <c r="C2647" s="10">
        <v>13</v>
      </c>
      <c r="D2647" s="10">
        <v>10</v>
      </c>
      <c r="E2647" s="10">
        <v>19</v>
      </c>
      <c r="F2647" t="s">
        <v>1542</v>
      </c>
      <c r="G2647" t="s">
        <v>889</v>
      </c>
      <c r="H2647" t="s">
        <v>131</v>
      </c>
      <c r="I2647" t="s">
        <v>27</v>
      </c>
      <c r="J2647" s="4">
        <v>142.80000000000001</v>
      </c>
      <c r="K2647">
        <v>1.54</v>
      </c>
      <c r="L2647">
        <v>142.80000000000001</v>
      </c>
      <c r="M2647">
        <v>219.91200000000003</v>
      </c>
      <c r="N2647" s="5">
        <v>11.176455368693402</v>
      </c>
      <c r="O2647" t="s">
        <v>88</v>
      </c>
      <c r="P2647" t="s">
        <v>340</v>
      </c>
      <c r="Q2647" s="10" t="s">
        <v>84</v>
      </c>
      <c r="R2647" t="s">
        <v>1975</v>
      </c>
    </row>
    <row r="2648" spans="1:18" hidden="1" x14ac:dyDescent="0.25">
      <c r="A2648" s="9" t="s">
        <v>1314</v>
      </c>
      <c r="B2648" s="3" t="s">
        <v>1350</v>
      </c>
      <c r="C2648" s="10">
        <v>13</v>
      </c>
      <c r="D2648" s="10">
        <v>10</v>
      </c>
      <c r="E2648" s="10">
        <v>19</v>
      </c>
      <c r="F2648" t="s">
        <v>1339</v>
      </c>
      <c r="G2648" t="s">
        <v>889</v>
      </c>
      <c r="H2648" t="s">
        <v>131</v>
      </c>
      <c r="I2648" t="s">
        <v>27</v>
      </c>
      <c r="J2648" s="4">
        <v>15</v>
      </c>
      <c r="K2648">
        <v>1</v>
      </c>
      <c r="L2648">
        <v>15</v>
      </c>
      <c r="M2648">
        <v>15</v>
      </c>
      <c r="N2648" s="5">
        <v>0.76233598225836252</v>
      </c>
      <c r="O2648" t="s">
        <v>88</v>
      </c>
      <c r="P2648" t="s">
        <v>340</v>
      </c>
      <c r="Q2648" s="10" t="s">
        <v>24</v>
      </c>
    </row>
    <row r="2649" spans="1:18" hidden="1" x14ac:dyDescent="0.25">
      <c r="A2649" s="9" t="s">
        <v>1314</v>
      </c>
      <c r="B2649" s="3" t="s">
        <v>1350</v>
      </c>
      <c r="C2649" s="10">
        <v>13</v>
      </c>
      <c r="D2649" s="10">
        <v>10</v>
      </c>
      <c r="E2649" s="10">
        <v>19</v>
      </c>
      <c r="F2649" t="s">
        <v>86</v>
      </c>
      <c r="G2649" t="s">
        <v>889</v>
      </c>
      <c r="H2649" t="s">
        <v>102</v>
      </c>
      <c r="I2649" t="s">
        <v>27</v>
      </c>
      <c r="J2649" s="4">
        <v>15</v>
      </c>
      <c r="K2649">
        <v>1</v>
      </c>
      <c r="L2649">
        <v>15</v>
      </c>
      <c r="M2649">
        <v>15</v>
      </c>
      <c r="N2649" s="5">
        <v>0.76233598225836252</v>
      </c>
      <c r="O2649" t="s">
        <v>88</v>
      </c>
      <c r="P2649" t="s">
        <v>340</v>
      </c>
      <c r="Q2649" s="10" t="s">
        <v>24</v>
      </c>
    </row>
    <row r="2650" spans="1:18" hidden="1" x14ac:dyDescent="0.25">
      <c r="A2650" s="9" t="s">
        <v>1314</v>
      </c>
      <c r="B2650" s="3" t="s">
        <v>1350</v>
      </c>
      <c r="C2650" s="10">
        <v>13</v>
      </c>
      <c r="D2650" s="10">
        <v>10</v>
      </c>
      <c r="E2650" s="10">
        <v>19</v>
      </c>
      <c r="F2650" t="s">
        <v>641</v>
      </c>
      <c r="G2650" t="s">
        <v>889</v>
      </c>
      <c r="H2650" t="s">
        <v>53</v>
      </c>
      <c r="I2650" t="s">
        <v>27</v>
      </c>
      <c r="J2650" s="4">
        <v>8.9499999999999993</v>
      </c>
      <c r="K2650">
        <v>6</v>
      </c>
      <c r="L2650">
        <v>8.9499999999999993</v>
      </c>
      <c r="M2650">
        <v>53.699999999999996</v>
      </c>
      <c r="N2650" s="5">
        <v>2.7291628164849375</v>
      </c>
      <c r="O2650" t="s">
        <v>46</v>
      </c>
      <c r="P2650" t="s">
        <v>340</v>
      </c>
      <c r="Q2650" s="10" t="s">
        <v>24</v>
      </c>
    </row>
    <row r="2651" spans="1:18" hidden="1" x14ac:dyDescent="0.25">
      <c r="A2651" s="9" t="s">
        <v>1314</v>
      </c>
      <c r="B2651" s="3" t="s">
        <v>1350</v>
      </c>
      <c r="C2651" s="10">
        <v>13</v>
      </c>
      <c r="D2651" s="10">
        <v>10</v>
      </c>
      <c r="E2651" s="10">
        <v>19</v>
      </c>
      <c r="F2651" t="s">
        <v>146</v>
      </c>
      <c r="G2651" t="s">
        <v>889</v>
      </c>
      <c r="H2651" t="s">
        <v>49</v>
      </c>
      <c r="I2651" t="s">
        <v>50</v>
      </c>
      <c r="J2651" s="4">
        <v>1.5</v>
      </c>
      <c r="K2651">
        <v>1</v>
      </c>
      <c r="L2651">
        <v>1.5</v>
      </c>
      <c r="M2651">
        <v>1.5</v>
      </c>
      <c r="N2651" s="5">
        <v>7.6233598225836252E-2</v>
      </c>
      <c r="O2651" t="s">
        <v>46</v>
      </c>
      <c r="P2651" t="s">
        <v>340</v>
      </c>
      <c r="Q2651" s="10" t="s">
        <v>24</v>
      </c>
    </row>
    <row r="2652" spans="1:18" hidden="1" x14ac:dyDescent="0.25">
      <c r="A2652" s="9" t="s">
        <v>1314</v>
      </c>
      <c r="B2652" s="3" t="s">
        <v>1351</v>
      </c>
      <c r="C2652" s="10">
        <v>15</v>
      </c>
      <c r="D2652" s="10">
        <v>10</v>
      </c>
      <c r="E2652" s="10">
        <v>19</v>
      </c>
      <c r="F2652" t="s">
        <v>55</v>
      </c>
      <c r="G2652" t="s">
        <v>889</v>
      </c>
      <c r="H2652" t="s">
        <v>56</v>
      </c>
      <c r="I2652" t="s">
        <v>27</v>
      </c>
      <c r="J2652" s="4">
        <v>22.1</v>
      </c>
      <c r="K2652">
        <v>0.97199999999999998</v>
      </c>
      <c r="L2652">
        <v>22.1</v>
      </c>
      <c r="M2652">
        <v>21.481200000000001</v>
      </c>
      <c r="N2652" s="5">
        <v>1.0873498312710912</v>
      </c>
      <c r="O2652" t="s">
        <v>181</v>
      </c>
      <c r="P2652" t="s">
        <v>340</v>
      </c>
      <c r="Q2652" s="10" t="s">
        <v>24</v>
      </c>
    </row>
    <row r="2653" spans="1:18" hidden="1" x14ac:dyDescent="0.25">
      <c r="A2653" s="9" t="s">
        <v>1314</v>
      </c>
      <c r="B2653" s="3" t="s">
        <v>1351</v>
      </c>
      <c r="C2653" s="10">
        <v>15</v>
      </c>
      <c r="D2653" s="10">
        <v>10</v>
      </c>
      <c r="E2653" s="10">
        <v>19</v>
      </c>
      <c r="F2653" t="s">
        <v>1051</v>
      </c>
      <c r="G2653" t="s">
        <v>889</v>
      </c>
      <c r="H2653" t="s">
        <v>56</v>
      </c>
      <c r="I2653" t="s">
        <v>27</v>
      </c>
      <c r="J2653" s="4">
        <v>27.5</v>
      </c>
      <c r="K2653">
        <v>0.29599999999999999</v>
      </c>
      <c r="L2653">
        <v>27.5</v>
      </c>
      <c r="M2653">
        <v>8.1399999999999988</v>
      </c>
      <c r="N2653" s="5">
        <v>0.41203599550056236</v>
      </c>
      <c r="O2653" t="s">
        <v>181</v>
      </c>
      <c r="P2653" t="s">
        <v>340</v>
      </c>
      <c r="Q2653" s="10" t="s">
        <v>24</v>
      </c>
    </row>
    <row r="2654" spans="1:18" hidden="1" x14ac:dyDescent="0.25">
      <c r="A2654" s="9" t="s">
        <v>1314</v>
      </c>
      <c r="B2654" s="3" t="s">
        <v>1351</v>
      </c>
      <c r="C2654" s="10">
        <v>15</v>
      </c>
      <c r="D2654" s="10">
        <v>10</v>
      </c>
      <c r="E2654" s="10">
        <v>19</v>
      </c>
      <c r="F2654" t="s">
        <v>173</v>
      </c>
      <c r="G2654" t="s">
        <v>174</v>
      </c>
      <c r="H2654" t="s">
        <v>54</v>
      </c>
      <c r="I2654" t="s">
        <v>27</v>
      </c>
      <c r="J2654" s="4">
        <v>18.2</v>
      </c>
      <c r="K2654">
        <v>0.222</v>
      </c>
      <c r="L2654">
        <v>18.2</v>
      </c>
      <c r="M2654">
        <v>4.0404</v>
      </c>
      <c r="N2654" s="5">
        <v>0.20451968503937007</v>
      </c>
      <c r="O2654" t="s">
        <v>181</v>
      </c>
      <c r="P2654" t="s">
        <v>340</v>
      </c>
      <c r="Q2654" s="10" t="s">
        <v>24</v>
      </c>
    </row>
    <row r="2655" spans="1:18" hidden="1" x14ac:dyDescent="0.25">
      <c r="A2655" s="9" t="s">
        <v>1314</v>
      </c>
      <c r="B2655" s="3" t="s">
        <v>1351</v>
      </c>
      <c r="C2655" s="10">
        <v>15</v>
      </c>
      <c r="D2655" s="10">
        <v>10</v>
      </c>
      <c r="E2655" s="10">
        <v>19</v>
      </c>
      <c r="F2655" t="s">
        <v>73</v>
      </c>
      <c r="G2655" t="s">
        <v>889</v>
      </c>
      <c r="H2655" t="s">
        <v>73</v>
      </c>
      <c r="I2655" t="s">
        <v>27</v>
      </c>
      <c r="J2655" s="4">
        <v>25.54</v>
      </c>
      <c r="K2655">
        <v>1</v>
      </c>
      <c r="L2655">
        <v>25.54</v>
      </c>
      <c r="M2655">
        <v>25.54</v>
      </c>
      <c r="N2655" s="5">
        <v>1.292800899887514</v>
      </c>
      <c r="O2655" t="s">
        <v>181</v>
      </c>
      <c r="P2655" t="s">
        <v>340</v>
      </c>
      <c r="Q2655" s="10" t="s">
        <v>24</v>
      </c>
    </row>
    <row r="2656" spans="1:18" hidden="1" x14ac:dyDescent="0.25">
      <c r="A2656" s="9" t="s">
        <v>1314</v>
      </c>
      <c r="B2656" s="3" t="s">
        <v>1351</v>
      </c>
      <c r="C2656" s="10">
        <v>15</v>
      </c>
      <c r="D2656" s="10">
        <v>10</v>
      </c>
      <c r="E2656" s="10">
        <v>19</v>
      </c>
      <c r="F2656" t="s">
        <v>40</v>
      </c>
      <c r="G2656" t="s">
        <v>889</v>
      </c>
      <c r="H2656" t="s">
        <v>519</v>
      </c>
      <c r="I2656" t="s">
        <v>27</v>
      </c>
      <c r="J2656" s="4">
        <v>11.88</v>
      </c>
      <c r="K2656">
        <v>1</v>
      </c>
      <c r="L2656">
        <v>11.88</v>
      </c>
      <c r="M2656">
        <v>11.88</v>
      </c>
      <c r="N2656" s="5">
        <v>0.6013498312710911</v>
      </c>
      <c r="O2656" t="s">
        <v>181</v>
      </c>
      <c r="P2656" t="s">
        <v>340</v>
      </c>
      <c r="Q2656" s="10" t="s">
        <v>24</v>
      </c>
    </row>
    <row r="2657" spans="1:18" hidden="1" x14ac:dyDescent="0.25">
      <c r="A2657" s="9" t="s">
        <v>1314</v>
      </c>
      <c r="B2657" s="3" t="s">
        <v>1345</v>
      </c>
      <c r="C2657" s="10">
        <v>16</v>
      </c>
      <c r="D2657" s="10">
        <v>10</v>
      </c>
      <c r="E2657" s="10">
        <v>19</v>
      </c>
      <c r="F2657" t="s">
        <v>102</v>
      </c>
      <c r="H2657" t="s">
        <v>102</v>
      </c>
      <c r="I2657" t="s">
        <v>27</v>
      </c>
      <c r="J2657" s="4">
        <v>15</v>
      </c>
      <c r="K2657">
        <v>1</v>
      </c>
      <c r="L2657">
        <v>15</v>
      </c>
      <c r="M2657">
        <v>15</v>
      </c>
      <c r="N2657" s="5">
        <v>0.75928008998875141</v>
      </c>
      <c r="O2657" t="s">
        <v>1344</v>
      </c>
      <c r="P2657" t="s">
        <v>340</v>
      </c>
      <c r="Q2657" s="10" t="s">
        <v>24</v>
      </c>
    </row>
    <row r="2658" spans="1:18" hidden="1" x14ac:dyDescent="0.25">
      <c r="A2658" s="9" t="s">
        <v>1314</v>
      </c>
      <c r="B2658" s="3" t="s">
        <v>1345</v>
      </c>
      <c r="C2658" s="10">
        <v>16</v>
      </c>
      <c r="D2658" s="10">
        <v>10</v>
      </c>
      <c r="E2658" s="10">
        <v>19</v>
      </c>
      <c r="F2658" t="s">
        <v>1343</v>
      </c>
      <c r="G2658" t="s">
        <v>889</v>
      </c>
      <c r="H2658" t="s">
        <v>102</v>
      </c>
      <c r="I2658" t="s">
        <v>27</v>
      </c>
      <c r="J2658" s="4">
        <v>25</v>
      </c>
      <c r="K2658">
        <v>1</v>
      </c>
      <c r="L2658">
        <v>25</v>
      </c>
      <c r="M2658">
        <v>25</v>
      </c>
      <c r="N2658" s="5">
        <v>1.265466816647919</v>
      </c>
      <c r="O2658" t="s">
        <v>1344</v>
      </c>
      <c r="P2658" t="s">
        <v>340</v>
      </c>
      <c r="Q2658" s="10" t="s">
        <v>24</v>
      </c>
    </row>
    <row r="2659" spans="1:18" hidden="1" x14ac:dyDescent="0.25">
      <c r="A2659" s="9" t="s">
        <v>1314</v>
      </c>
      <c r="B2659" s="3" t="s">
        <v>1345</v>
      </c>
      <c r="C2659" s="10">
        <v>16</v>
      </c>
      <c r="D2659" s="10">
        <v>10</v>
      </c>
      <c r="E2659" s="10">
        <v>19</v>
      </c>
      <c r="F2659" t="s">
        <v>81</v>
      </c>
      <c r="G2659" t="s">
        <v>889</v>
      </c>
      <c r="I2659" t="s">
        <v>39</v>
      </c>
      <c r="J2659" s="4">
        <v>49</v>
      </c>
      <c r="K2659">
        <v>2</v>
      </c>
      <c r="L2659">
        <v>49</v>
      </c>
      <c r="M2659">
        <v>98</v>
      </c>
      <c r="N2659" s="5">
        <v>4.9606299212598426</v>
      </c>
      <c r="O2659" t="s">
        <v>39</v>
      </c>
      <c r="P2659" t="s">
        <v>340</v>
      </c>
      <c r="Q2659" s="10" t="s">
        <v>84</v>
      </c>
      <c r="R2659" t="s">
        <v>1346</v>
      </c>
    </row>
    <row r="2660" spans="1:18" hidden="1" x14ac:dyDescent="0.25">
      <c r="A2660" s="9" t="s">
        <v>1314</v>
      </c>
      <c r="B2660" s="3" t="s">
        <v>1345</v>
      </c>
      <c r="C2660" s="10">
        <v>16</v>
      </c>
      <c r="D2660" s="10">
        <v>10</v>
      </c>
      <c r="E2660" s="10">
        <v>19</v>
      </c>
      <c r="F2660" t="s">
        <v>81</v>
      </c>
      <c r="G2660" t="s">
        <v>889</v>
      </c>
      <c r="H2660" t="s">
        <v>889</v>
      </c>
      <c r="I2660" t="s">
        <v>39</v>
      </c>
      <c r="J2660" s="4">
        <v>69</v>
      </c>
      <c r="K2660">
        <v>1</v>
      </c>
      <c r="L2660">
        <v>69</v>
      </c>
      <c r="M2660">
        <v>69</v>
      </c>
      <c r="N2660" s="5">
        <v>3.4926884139482564</v>
      </c>
      <c r="O2660" t="s">
        <v>39</v>
      </c>
      <c r="P2660" t="s">
        <v>340</v>
      </c>
      <c r="Q2660" s="10" t="s">
        <v>84</v>
      </c>
      <c r="R2660" t="s">
        <v>1347</v>
      </c>
    </row>
    <row r="2661" spans="1:18" hidden="1" x14ac:dyDescent="0.25">
      <c r="A2661" s="9" t="s">
        <v>1314</v>
      </c>
      <c r="B2661" s="3" t="s">
        <v>1345</v>
      </c>
      <c r="C2661" s="10">
        <v>16</v>
      </c>
      <c r="D2661" s="10">
        <v>10</v>
      </c>
      <c r="E2661" s="10">
        <v>19</v>
      </c>
      <c r="F2661" t="s">
        <v>1036</v>
      </c>
      <c r="G2661" t="s">
        <v>889</v>
      </c>
      <c r="H2661" t="s">
        <v>38</v>
      </c>
      <c r="I2661" t="s">
        <v>27</v>
      </c>
      <c r="J2661" s="4">
        <v>126</v>
      </c>
      <c r="K2661">
        <v>0.23799999999999999</v>
      </c>
      <c r="L2661">
        <v>126</v>
      </c>
      <c r="M2661">
        <v>29.988</v>
      </c>
      <c r="N2661" s="5">
        <v>1.5179527559055117</v>
      </c>
      <c r="O2661" t="s">
        <v>100</v>
      </c>
      <c r="P2661" t="s">
        <v>340</v>
      </c>
      <c r="Q2661" s="10" t="s">
        <v>24</v>
      </c>
    </row>
    <row r="2662" spans="1:18" hidden="1" x14ac:dyDescent="0.25">
      <c r="A2662" s="9" t="s">
        <v>1314</v>
      </c>
      <c r="B2662" s="3" t="s">
        <v>1345</v>
      </c>
      <c r="C2662" s="10">
        <v>16</v>
      </c>
      <c r="D2662" s="10">
        <v>10</v>
      </c>
      <c r="E2662" s="10">
        <v>19</v>
      </c>
      <c r="F2662" t="s">
        <v>1358</v>
      </c>
      <c r="G2662" t="s">
        <v>155</v>
      </c>
      <c r="H2662" t="s">
        <v>131</v>
      </c>
      <c r="I2662" t="s">
        <v>27</v>
      </c>
      <c r="J2662" s="4">
        <v>75</v>
      </c>
      <c r="K2662">
        <v>1</v>
      </c>
      <c r="L2662">
        <v>75</v>
      </c>
      <c r="M2662">
        <v>75</v>
      </c>
      <c r="N2662" s="5">
        <v>3.7964004499437567</v>
      </c>
      <c r="O2662" t="s">
        <v>100</v>
      </c>
      <c r="P2662" t="s">
        <v>340</v>
      </c>
      <c r="Q2662" s="10" t="s">
        <v>24</v>
      </c>
    </row>
    <row r="2663" spans="1:18" hidden="1" x14ac:dyDescent="0.25">
      <c r="A2663" s="9" t="s">
        <v>1314</v>
      </c>
      <c r="B2663" s="3" t="s">
        <v>1345</v>
      </c>
      <c r="C2663" s="10">
        <v>16</v>
      </c>
      <c r="D2663" s="10">
        <v>10</v>
      </c>
      <c r="E2663" s="10">
        <v>19</v>
      </c>
      <c r="F2663" t="s">
        <v>118</v>
      </c>
      <c r="G2663" t="s">
        <v>889</v>
      </c>
      <c r="H2663" t="s">
        <v>40</v>
      </c>
      <c r="I2663" t="s">
        <v>27</v>
      </c>
      <c r="J2663" s="4">
        <v>10</v>
      </c>
      <c r="K2663">
        <v>1</v>
      </c>
      <c r="L2663">
        <v>10</v>
      </c>
      <c r="M2663">
        <v>10</v>
      </c>
      <c r="N2663" s="5">
        <v>0.50618672665916753</v>
      </c>
      <c r="O2663" t="s">
        <v>100</v>
      </c>
      <c r="P2663" t="s">
        <v>340</v>
      </c>
      <c r="Q2663" s="10" t="s">
        <v>24</v>
      </c>
    </row>
    <row r="2664" spans="1:18" hidden="1" x14ac:dyDescent="0.25">
      <c r="A2664" s="9" t="s">
        <v>1314</v>
      </c>
      <c r="B2664" s="3" t="s">
        <v>1345</v>
      </c>
      <c r="C2664" s="10">
        <v>16</v>
      </c>
      <c r="D2664" s="10">
        <v>10</v>
      </c>
      <c r="E2664" s="10">
        <v>19</v>
      </c>
      <c r="F2664" t="s">
        <v>1357</v>
      </c>
      <c r="G2664" t="s">
        <v>889</v>
      </c>
      <c r="H2664" t="s">
        <v>35</v>
      </c>
      <c r="I2664" t="s">
        <v>27</v>
      </c>
      <c r="J2664" s="4">
        <v>182.6</v>
      </c>
      <c r="K2664">
        <v>0.15</v>
      </c>
      <c r="L2664">
        <v>182.6</v>
      </c>
      <c r="M2664">
        <v>27.389999999999997</v>
      </c>
      <c r="N2664" s="5">
        <v>1.3864454443194598</v>
      </c>
      <c r="O2664" t="s">
        <v>100</v>
      </c>
      <c r="P2664" t="s">
        <v>340</v>
      </c>
      <c r="Q2664" s="10" t="s">
        <v>24</v>
      </c>
    </row>
    <row r="2665" spans="1:18" hidden="1" x14ac:dyDescent="0.25">
      <c r="A2665" s="9" t="s">
        <v>1314</v>
      </c>
      <c r="B2665" s="3" t="s">
        <v>1353</v>
      </c>
      <c r="C2665" s="10">
        <v>18</v>
      </c>
      <c r="D2665" s="10">
        <v>10</v>
      </c>
      <c r="E2665" s="10">
        <v>19</v>
      </c>
      <c r="F2665" t="s">
        <v>374</v>
      </c>
      <c r="G2665" t="s">
        <v>889</v>
      </c>
      <c r="H2665" t="s">
        <v>889</v>
      </c>
      <c r="I2665" t="s">
        <v>82</v>
      </c>
      <c r="J2665" s="4">
        <v>99</v>
      </c>
      <c r="K2665">
        <v>2</v>
      </c>
      <c r="L2665">
        <v>99</v>
      </c>
      <c r="M2665">
        <v>198</v>
      </c>
      <c r="N2665" s="5">
        <v>10.022497187851519</v>
      </c>
      <c r="O2665" t="s">
        <v>1352</v>
      </c>
      <c r="P2665" t="s">
        <v>340</v>
      </c>
      <c r="Q2665" s="10" t="s">
        <v>24</v>
      </c>
    </row>
    <row r="2666" spans="1:18" hidden="1" x14ac:dyDescent="0.25">
      <c r="A2666" s="9" t="s">
        <v>1314</v>
      </c>
      <c r="B2666" s="3" t="s">
        <v>1353</v>
      </c>
      <c r="C2666" s="10">
        <v>18</v>
      </c>
      <c r="D2666" s="10">
        <v>10</v>
      </c>
      <c r="E2666" s="10">
        <v>19</v>
      </c>
      <c r="F2666" t="s">
        <v>166</v>
      </c>
      <c r="G2666" t="s">
        <v>77</v>
      </c>
      <c r="H2666" t="s">
        <v>26</v>
      </c>
      <c r="I2666" t="s">
        <v>27</v>
      </c>
      <c r="J2666" s="4">
        <v>20.65</v>
      </c>
      <c r="K2666">
        <v>1</v>
      </c>
      <c r="L2666">
        <v>20.65</v>
      </c>
      <c r="M2666">
        <v>20.65</v>
      </c>
      <c r="N2666" s="5">
        <v>1.045275590551181</v>
      </c>
      <c r="O2666" t="s">
        <v>100</v>
      </c>
      <c r="P2666" t="s">
        <v>340</v>
      </c>
      <c r="Q2666" s="10" t="s">
        <v>24</v>
      </c>
    </row>
    <row r="2667" spans="1:18" hidden="1" x14ac:dyDescent="0.25">
      <c r="A2667" s="9" t="s">
        <v>1314</v>
      </c>
      <c r="B2667" s="3" t="s">
        <v>1353</v>
      </c>
      <c r="C2667" s="10">
        <v>18</v>
      </c>
      <c r="D2667" s="10">
        <v>10</v>
      </c>
      <c r="E2667" s="10">
        <v>19</v>
      </c>
      <c r="F2667" t="s">
        <v>146</v>
      </c>
      <c r="H2667" t="s">
        <v>49</v>
      </c>
      <c r="I2667" t="s">
        <v>50</v>
      </c>
      <c r="J2667" s="4">
        <v>0.75</v>
      </c>
      <c r="K2667">
        <v>1</v>
      </c>
      <c r="L2667">
        <v>0.75</v>
      </c>
      <c r="M2667">
        <v>0.75</v>
      </c>
      <c r="N2667" s="5">
        <v>3.796400449943757E-2</v>
      </c>
      <c r="O2667" t="s">
        <v>100</v>
      </c>
      <c r="P2667" t="s">
        <v>340</v>
      </c>
      <c r="Q2667" s="10" t="s">
        <v>24</v>
      </c>
    </row>
    <row r="2668" spans="1:18" hidden="1" x14ac:dyDescent="0.25">
      <c r="A2668" s="9" t="s">
        <v>1314</v>
      </c>
      <c r="B2668" s="3" t="s">
        <v>1353</v>
      </c>
      <c r="C2668" s="10">
        <v>18</v>
      </c>
      <c r="D2668" s="10">
        <v>10</v>
      </c>
      <c r="E2668" s="10">
        <v>19</v>
      </c>
      <c r="F2668" t="s">
        <v>1265</v>
      </c>
      <c r="G2668" t="s">
        <v>31</v>
      </c>
      <c r="H2668" t="s">
        <v>26</v>
      </c>
      <c r="I2668" t="s">
        <v>27</v>
      </c>
      <c r="J2668" s="4">
        <v>11.6</v>
      </c>
      <c r="K2668">
        <v>2</v>
      </c>
      <c r="L2668">
        <v>11.6</v>
      </c>
      <c r="M2668">
        <v>23.2</v>
      </c>
      <c r="N2668" s="5">
        <v>1.1743532058492687</v>
      </c>
      <c r="O2668" t="s">
        <v>100</v>
      </c>
      <c r="P2668" t="s">
        <v>340</v>
      </c>
      <c r="Q2668" s="10" t="s">
        <v>24</v>
      </c>
    </row>
    <row r="2669" spans="1:18" hidden="1" x14ac:dyDescent="0.25">
      <c r="A2669" s="9" t="s">
        <v>1314</v>
      </c>
      <c r="B2669" s="3" t="s">
        <v>1353</v>
      </c>
      <c r="C2669" s="10">
        <v>18</v>
      </c>
      <c r="D2669" s="10">
        <v>10</v>
      </c>
      <c r="E2669" s="10">
        <v>19</v>
      </c>
      <c r="F2669" t="s">
        <v>1113</v>
      </c>
      <c r="G2669" t="s">
        <v>889</v>
      </c>
      <c r="H2669" t="s">
        <v>35</v>
      </c>
      <c r="I2669" t="s">
        <v>27</v>
      </c>
      <c r="J2669" s="4">
        <v>318.60000000000002</v>
      </c>
      <c r="K2669">
        <v>0.11799999999999999</v>
      </c>
      <c r="L2669">
        <v>318.60000000000002</v>
      </c>
      <c r="M2669">
        <v>37.594799999999999</v>
      </c>
      <c r="N2669" s="5">
        <v>1.9029988751406073</v>
      </c>
      <c r="O2669" t="s">
        <v>100</v>
      </c>
      <c r="P2669" t="s">
        <v>340</v>
      </c>
      <c r="Q2669" s="10" t="s">
        <v>24</v>
      </c>
    </row>
    <row r="2670" spans="1:18" hidden="1" x14ac:dyDescent="0.25">
      <c r="A2670" s="9" t="s">
        <v>1314</v>
      </c>
      <c r="B2670" s="3" t="s">
        <v>1353</v>
      </c>
      <c r="C2670" s="10">
        <v>18</v>
      </c>
      <c r="D2670" s="10">
        <v>10</v>
      </c>
      <c r="E2670" s="10">
        <v>19</v>
      </c>
      <c r="F2670" t="s">
        <v>2041</v>
      </c>
      <c r="G2670" t="s">
        <v>889</v>
      </c>
      <c r="H2670" t="s">
        <v>35</v>
      </c>
      <c r="I2670" t="s">
        <v>27</v>
      </c>
      <c r="J2670" s="4">
        <v>148.6</v>
      </c>
      <c r="K2670">
        <v>0.15</v>
      </c>
      <c r="L2670">
        <v>148.6</v>
      </c>
      <c r="M2670">
        <v>22.29</v>
      </c>
      <c r="N2670" s="5">
        <v>1.1282902137232844</v>
      </c>
      <c r="O2670" t="s">
        <v>100</v>
      </c>
      <c r="P2670" t="s">
        <v>340</v>
      </c>
      <c r="Q2670" s="10" t="s">
        <v>24</v>
      </c>
    </row>
    <row r="2671" spans="1:18" hidden="1" x14ac:dyDescent="0.25">
      <c r="A2671" s="9" t="s">
        <v>1314</v>
      </c>
      <c r="B2671" s="3" t="s">
        <v>1353</v>
      </c>
      <c r="C2671" s="10">
        <v>18</v>
      </c>
      <c r="D2671" s="10">
        <v>10</v>
      </c>
      <c r="E2671" s="10">
        <v>19</v>
      </c>
      <c r="F2671" t="s">
        <v>398</v>
      </c>
      <c r="G2671" t="s">
        <v>889</v>
      </c>
      <c r="H2671" t="s">
        <v>40</v>
      </c>
      <c r="I2671" t="s">
        <v>27</v>
      </c>
      <c r="J2671" s="4">
        <v>14.6</v>
      </c>
      <c r="K2671">
        <v>1</v>
      </c>
      <c r="L2671">
        <v>14.6</v>
      </c>
      <c r="M2671">
        <v>14.6</v>
      </c>
      <c r="N2671" s="5">
        <v>0.73903262092238464</v>
      </c>
      <c r="O2671" t="s">
        <v>100</v>
      </c>
      <c r="P2671" t="s">
        <v>340</v>
      </c>
      <c r="Q2671" s="10" t="s">
        <v>24</v>
      </c>
    </row>
    <row r="2672" spans="1:18" hidden="1" x14ac:dyDescent="0.25">
      <c r="A2672" s="9" t="s">
        <v>1314</v>
      </c>
      <c r="B2672" s="3" t="s">
        <v>1353</v>
      </c>
      <c r="C2672" s="10">
        <v>18</v>
      </c>
      <c r="D2672" s="10">
        <v>10</v>
      </c>
      <c r="E2672" s="10">
        <v>19</v>
      </c>
      <c r="F2672" t="s">
        <v>1354</v>
      </c>
      <c r="G2672" t="s">
        <v>889</v>
      </c>
      <c r="H2672" t="s">
        <v>39</v>
      </c>
      <c r="I2672" t="s">
        <v>27</v>
      </c>
      <c r="J2672" s="4">
        <v>115</v>
      </c>
      <c r="K2672">
        <v>0.26800000000000002</v>
      </c>
      <c r="L2672">
        <v>115</v>
      </c>
      <c r="M2672">
        <v>30.82</v>
      </c>
      <c r="N2672" s="5">
        <v>1.5600674915635544</v>
      </c>
      <c r="O2672" t="s">
        <v>100</v>
      </c>
      <c r="P2672" t="s">
        <v>340</v>
      </c>
      <c r="Q2672" s="10" t="s">
        <v>24</v>
      </c>
    </row>
    <row r="2673" spans="1:18" hidden="1" x14ac:dyDescent="0.25">
      <c r="A2673" s="9" t="s">
        <v>1314</v>
      </c>
      <c r="B2673" s="3" t="s">
        <v>1353</v>
      </c>
      <c r="C2673" s="10">
        <v>18</v>
      </c>
      <c r="D2673" s="10">
        <v>10</v>
      </c>
      <c r="E2673" s="10">
        <v>19</v>
      </c>
      <c r="F2673" t="s">
        <v>1355</v>
      </c>
      <c r="G2673" t="s">
        <v>889</v>
      </c>
      <c r="H2673" t="s">
        <v>39</v>
      </c>
      <c r="I2673" t="s">
        <v>27</v>
      </c>
      <c r="J2673" s="4">
        <v>150</v>
      </c>
      <c r="K2673">
        <v>0.314</v>
      </c>
      <c r="L2673">
        <v>150</v>
      </c>
      <c r="M2673">
        <v>47.1</v>
      </c>
      <c r="N2673" s="5">
        <v>2.3841394825646796</v>
      </c>
      <c r="O2673" t="s">
        <v>100</v>
      </c>
      <c r="P2673" t="s">
        <v>340</v>
      </c>
      <c r="Q2673" s="10" t="s">
        <v>24</v>
      </c>
    </row>
    <row r="2674" spans="1:18" hidden="1" x14ac:dyDescent="0.25">
      <c r="A2674" s="9" t="s">
        <v>1314</v>
      </c>
      <c r="B2674" s="3" t="s">
        <v>1353</v>
      </c>
      <c r="C2674" s="10">
        <v>18</v>
      </c>
      <c r="D2674" s="10">
        <v>10</v>
      </c>
      <c r="E2674" s="10">
        <v>19</v>
      </c>
      <c r="F2674" t="s">
        <v>1356</v>
      </c>
      <c r="G2674" t="s">
        <v>889</v>
      </c>
      <c r="H2674" t="s">
        <v>39</v>
      </c>
      <c r="I2674" t="s">
        <v>27</v>
      </c>
      <c r="J2674" s="4">
        <v>99</v>
      </c>
      <c r="K2674">
        <v>0.28999999999999998</v>
      </c>
      <c r="L2674">
        <v>99</v>
      </c>
      <c r="M2674">
        <v>28.709999999999997</v>
      </c>
      <c r="N2674" s="5">
        <v>1.45326209223847</v>
      </c>
      <c r="O2674" t="s">
        <v>100</v>
      </c>
      <c r="P2674" t="s">
        <v>340</v>
      </c>
      <c r="Q2674" s="10" t="s">
        <v>24</v>
      </c>
    </row>
    <row r="2675" spans="1:18" hidden="1" x14ac:dyDescent="0.25">
      <c r="A2675" s="9" t="s">
        <v>1314</v>
      </c>
      <c r="B2675" s="3" t="s">
        <v>1353</v>
      </c>
      <c r="C2675" s="10">
        <v>18</v>
      </c>
      <c r="D2675" s="10">
        <v>10</v>
      </c>
      <c r="E2675" s="10">
        <v>19</v>
      </c>
      <c r="F2675" t="s">
        <v>81</v>
      </c>
      <c r="G2675" t="s">
        <v>889</v>
      </c>
      <c r="H2675" t="s">
        <v>889</v>
      </c>
      <c r="I2675" t="s">
        <v>39</v>
      </c>
      <c r="J2675" s="4">
        <v>3955</v>
      </c>
      <c r="K2675">
        <v>1</v>
      </c>
      <c r="L2675">
        <v>3955</v>
      </c>
      <c r="M2675">
        <v>3955</v>
      </c>
      <c r="N2675" s="5">
        <v>200.19685039370077</v>
      </c>
      <c r="O2675" t="s">
        <v>39</v>
      </c>
      <c r="P2675" t="s">
        <v>340</v>
      </c>
      <c r="Q2675" s="10" t="s">
        <v>84</v>
      </c>
      <c r="R2675" t="s">
        <v>1409</v>
      </c>
    </row>
    <row r="2676" spans="1:18" hidden="1" x14ac:dyDescent="0.25">
      <c r="A2676" s="9" t="s">
        <v>1314</v>
      </c>
      <c r="B2676" s="3" t="s">
        <v>1342</v>
      </c>
      <c r="C2676" s="10">
        <v>20</v>
      </c>
      <c r="D2676" s="10">
        <v>10</v>
      </c>
      <c r="E2676" s="10">
        <v>19</v>
      </c>
      <c r="F2676" t="s">
        <v>1338</v>
      </c>
      <c r="G2676" t="s">
        <v>889</v>
      </c>
      <c r="H2676" t="s">
        <v>44</v>
      </c>
      <c r="I2676" t="s">
        <v>27</v>
      </c>
      <c r="J2676" s="4">
        <v>45.6</v>
      </c>
      <c r="K2676">
        <v>2</v>
      </c>
      <c r="L2676">
        <v>91.2</v>
      </c>
      <c r="M2676">
        <v>91.2</v>
      </c>
      <c r="N2676" s="5">
        <v>4.6164229471316087</v>
      </c>
      <c r="O2676" t="s">
        <v>301</v>
      </c>
      <c r="P2676" t="s">
        <v>340</v>
      </c>
      <c r="Q2676" s="10" t="s">
        <v>24</v>
      </c>
    </row>
    <row r="2677" spans="1:18" hidden="1" x14ac:dyDescent="0.25">
      <c r="A2677" s="9" t="s">
        <v>1314</v>
      </c>
      <c r="B2677" s="3" t="s">
        <v>1342</v>
      </c>
      <c r="C2677" s="10">
        <v>20</v>
      </c>
      <c r="D2677" s="10">
        <v>10</v>
      </c>
      <c r="E2677" s="10">
        <v>19</v>
      </c>
      <c r="F2677" t="s">
        <v>2242</v>
      </c>
      <c r="G2677" t="s">
        <v>345</v>
      </c>
      <c r="H2677" t="s">
        <v>26</v>
      </c>
      <c r="I2677" t="s">
        <v>27</v>
      </c>
      <c r="J2677" s="4">
        <v>6.5</v>
      </c>
      <c r="K2677">
        <v>1</v>
      </c>
      <c r="L2677">
        <v>6.5</v>
      </c>
      <c r="M2677">
        <v>6.5</v>
      </c>
      <c r="N2677" s="5">
        <v>0.32902137232845891</v>
      </c>
      <c r="O2677" t="s">
        <v>301</v>
      </c>
      <c r="P2677" t="s">
        <v>340</v>
      </c>
      <c r="Q2677" s="10" t="s">
        <v>24</v>
      </c>
    </row>
    <row r="2678" spans="1:18" hidden="1" x14ac:dyDescent="0.25">
      <c r="A2678" s="9" t="s">
        <v>1314</v>
      </c>
      <c r="B2678" s="3" t="s">
        <v>1342</v>
      </c>
      <c r="C2678" s="10">
        <v>20</v>
      </c>
      <c r="D2678" s="10">
        <v>10</v>
      </c>
      <c r="E2678" s="10">
        <v>19</v>
      </c>
      <c r="F2678" t="s">
        <v>98</v>
      </c>
      <c r="G2678" t="s">
        <v>889</v>
      </c>
      <c r="H2678" t="s">
        <v>26</v>
      </c>
      <c r="I2678" t="s">
        <v>27</v>
      </c>
      <c r="J2678" s="4">
        <v>63.95</v>
      </c>
      <c r="K2678">
        <v>1</v>
      </c>
      <c r="L2678">
        <v>63.95</v>
      </c>
      <c r="M2678">
        <v>63.95</v>
      </c>
      <c r="N2678" s="5">
        <v>3.2370641169853767</v>
      </c>
      <c r="O2678" t="s">
        <v>301</v>
      </c>
      <c r="P2678" t="s">
        <v>340</v>
      </c>
      <c r="Q2678" s="10" t="s">
        <v>24</v>
      </c>
      <c r="R2678" t="s">
        <v>1258</v>
      </c>
    </row>
    <row r="2679" spans="1:18" hidden="1" x14ac:dyDescent="0.25">
      <c r="A2679" s="9" t="s">
        <v>1314</v>
      </c>
      <c r="B2679" s="3" t="s">
        <v>1342</v>
      </c>
      <c r="C2679" s="10">
        <v>20</v>
      </c>
      <c r="D2679" s="10">
        <v>10</v>
      </c>
      <c r="E2679" s="10">
        <v>19</v>
      </c>
      <c r="F2679" t="s">
        <v>1339</v>
      </c>
      <c r="G2679" t="s">
        <v>889</v>
      </c>
      <c r="H2679" t="s">
        <v>131</v>
      </c>
      <c r="I2679" t="s">
        <v>27</v>
      </c>
      <c r="J2679" s="4">
        <v>12.35</v>
      </c>
      <c r="K2679">
        <v>2</v>
      </c>
      <c r="L2679">
        <v>12.35</v>
      </c>
      <c r="M2679">
        <v>24.7</v>
      </c>
      <c r="N2679" s="5">
        <v>1.2502812148481439</v>
      </c>
      <c r="O2679" t="s">
        <v>301</v>
      </c>
      <c r="P2679" t="s">
        <v>340</v>
      </c>
      <c r="Q2679" s="10" t="s">
        <v>24</v>
      </c>
    </row>
    <row r="2680" spans="1:18" hidden="1" x14ac:dyDescent="0.25">
      <c r="A2680" s="9" t="s">
        <v>1314</v>
      </c>
      <c r="B2680" s="3" t="s">
        <v>1342</v>
      </c>
      <c r="C2680" s="10">
        <v>20</v>
      </c>
      <c r="D2680" s="10">
        <v>10</v>
      </c>
      <c r="E2680" s="10">
        <v>19</v>
      </c>
      <c r="F2680" t="s">
        <v>1051</v>
      </c>
      <c r="G2680" t="s">
        <v>889</v>
      </c>
      <c r="H2680" t="s">
        <v>56</v>
      </c>
      <c r="I2680" t="s">
        <v>27</v>
      </c>
      <c r="J2680" s="4">
        <v>26</v>
      </c>
      <c r="K2680">
        <v>0.52200000000000002</v>
      </c>
      <c r="L2680">
        <v>26</v>
      </c>
      <c r="M2680">
        <v>13.572000000000001</v>
      </c>
      <c r="N2680" s="5">
        <v>0.68699662542182227</v>
      </c>
      <c r="O2680" t="s">
        <v>301</v>
      </c>
      <c r="P2680" t="s">
        <v>340</v>
      </c>
      <c r="Q2680" s="10" t="s">
        <v>24</v>
      </c>
    </row>
    <row r="2681" spans="1:18" hidden="1" x14ac:dyDescent="0.25">
      <c r="A2681" s="9" t="s">
        <v>1314</v>
      </c>
      <c r="B2681" s="3" t="s">
        <v>1342</v>
      </c>
      <c r="C2681" s="10">
        <v>20</v>
      </c>
      <c r="D2681" s="10">
        <v>10</v>
      </c>
      <c r="E2681" s="10">
        <v>19</v>
      </c>
      <c r="F2681" t="s">
        <v>77</v>
      </c>
      <c r="G2681" t="s">
        <v>77</v>
      </c>
      <c r="H2681" t="s">
        <v>26</v>
      </c>
      <c r="I2681" t="s">
        <v>27</v>
      </c>
      <c r="J2681" s="4">
        <v>29.5</v>
      </c>
      <c r="K2681">
        <v>1</v>
      </c>
      <c r="L2681">
        <v>29.5</v>
      </c>
      <c r="M2681">
        <v>29.5</v>
      </c>
      <c r="N2681" s="5">
        <v>1.4932508436445444</v>
      </c>
      <c r="O2681" t="s">
        <v>301</v>
      </c>
      <c r="P2681" t="s">
        <v>340</v>
      </c>
      <c r="Q2681" s="10" t="s">
        <v>24</v>
      </c>
    </row>
    <row r="2682" spans="1:18" hidden="1" x14ac:dyDescent="0.25">
      <c r="A2682" s="9" t="s">
        <v>1314</v>
      </c>
      <c r="B2682" s="3" t="s">
        <v>1342</v>
      </c>
      <c r="C2682" s="10">
        <v>20</v>
      </c>
      <c r="D2682" s="10">
        <v>10</v>
      </c>
      <c r="E2682" s="10">
        <v>19</v>
      </c>
      <c r="F2682" t="s">
        <v>208</v>
      </c>
      <c r="G2682" t="s">
        <v>889</v>
      </c>
      <c r="H2682" t="s">
        <v>56</v>
      </c>
      <c r="I2682" t="s">
        <v>27</v>
      </c>
      <c r="J2682" s="4">
        <v>72</v>
      </c>
      <c r="K2682">
        <v>0.24399999999999999</v>
      </c>
      <c r="L2682">
        <v>72</v>
      </c>
      <c r="M2682">
        <v>17.567999999999998</v>
      </c>
      <c r="N2682" s="5">
        <v>0.88926884139482554</v>
      </c>
      <c r="O2682" t="s">
        <v>301</v>
      </c>
      <c r="P2682" t="s">
        <v>340</v>
      </c>
      <c r="Q2682" s="10" t="s">
        <v>24</v>
      </c>
    </row>
    <row r="2683" spans="1:18" hidden="1" x14ac:dyDescent="0.25">
      <c r="A2683" s="9" t="s">
        <v>1314</v>
      </c>
      <c r="B2683" s="3" t="s">
        <v>1342</v>
      </c>
      <c r="C2683" s="10">
        <v>20</v>
      </c>
      <c r="D2683" s="10">
        <v>10</v>
      </c>
      <c r="E2683" s="10">
        <v>19</v>
      </c>
      <c r="F2683" t="s">
        <v>211</v>
      </c>
      <c r="G2683" t="s">
        <v>889</v>
      </c>
      <c r="H2683" t="s">
        <v>56</v>
      </c>
      <c r="I2683" t="s">
        <v>27</v>
      </c>
      <c r="J2683" s="4">
        <v>49</v>
      </c>
      <c r="K2683">
        <v>0.16</v>
      </c>
      <c r="L2683">
        <v>49</v>
      </c>
      <c r="M2683">
        <v>7.84</v>
      </c>
      <c r="N2683" s="5">
        <v>0.3968503937007874</v>
      </c>
      <c r="O2683" t="s">
        <v>301</v>
      </c>
      <c r="P2683" t="s">
        <v>340</v>
      </c>
      <c r="Q2683" s="10" t="s">
        <v>24</v>
      </c>
    </row>
    <row r="2684" spans="1:18" hidden="1" x14ac:dyDescent="0.25">
      <c r="A2684" s="9" t="s">
        <v>1314</v>
      </c>
      <c r="B2684" s="3" t="s">
        <v>1342</v>
      </c>
      <c r="C2684" s="10">
        <v>20</v>
      </c>
      <c r="D2684" s="10">
        <v>10</v>
      </c>
      <c r="E2684" s="10">
        <v>19</v>
      </c>
      <c r="F2684" t="s">
        <v>202</v>
      </c>
      <c r="G2684" t="s">
        <v>889</v>
      </c>
      <c r="H2684" t="s">
        <v>54</v>
      </c>
      <c r="I2684" t="s">
        <v>27</v>
      </c>
      <c r="J2684" s="4">
        <v>33</v>
      </c>
      <c r="K2684">
        <v>2</v>
      </c>
      <c r="L2684">
        <v>33</v>
      </c>
      <c r="M2684">
        <v>66</v>
      </c>
      <c r="N2684" s="5">
        <v>3.340832395950506</v>
      </c>
      <c r="O2684" t="s">
        <v>301</v>
      </c>
      <c r="P2684" t="s">
        <v>340</v>
      </c>
      <c r="Q2684" s="10" t="s">
        <v>24</v>
      </c>
    </row>
    <row r="2685" spans="1:18" hidden="1" x14ac:dyDescent="0.25">
      <c r="A2685" s="9" t="s">
        <v>1314</v>
      </c>
      <c r="B2685" s="3" t="s">
        <v>1342</v>
      </c>
      <c r="C2685" s="10">
        <v>20</v>
      </c>
      <c r="D2685" s="10">
        <v>10</v>
      </c>
      <c r="E2685" s="10">
        <v>19</v>
      </c>
      <c r="F2685" t="s">
        <v>211</v>
      </c>
      <c r="G2685" t="s">
        <v>889</v>
      </c>
      <c r="H2685" t="s">
        <v>56</v>
      </c>
      <c r="I2685" t="s">
        <v>27</v>
      </c>
      <c r="J2685" s="4">
        <v>22</v>
      </c>
      <c r="K2685">
        <v>0.25600000000000001</v>
      </c>
      <c r="L2685">
        <v>22</v>
      </c>
      <c r="M2685">
        <v>5.6319999999999997</v>
      </c>
      <c r="N2685" s="5">
        <v>0.28508436445444318</v>
      </c>
      <c r="O2685" t="s">
        <v>301</v>
      </c>
      <c r="P2685" t="s">
        <v>340</v>
      </c>
      <c r="Q2685" s="10" t="s">
        <v>24</v>
      </c>
    </row>
    <row r="2686" spans="1:18" hidden="1" x14ac:dyDescent="0.25">
      <c r="A2686" s="9" t="s">
        <v>1314</v>
      </c>
      <c r="B2686" s="3" t="s">
        <v>1342</v>
      </c>
      <c r="C2686" s="10">
        <v>20</v>
      </c>
      <c r="D2686" s="10">
        <v>10</v>
      </c>
      <c r="E2686" s="10">
        <v>19</v>
      </c>
      <c r="F2686" t="s">
        <v>1466</v>
      </c>
      <c r="G2686" t="s">
        <v>31</v>
      </c>
      <c r="H2686" t="s">
        <v>26</v>
      </c>
      <c r="I2686" t="s">
        <v>27</v>
      </c>
      <c r="J2686" s="4">
        <v>32.65</v>
      </c>
      <c r="K2686">
        <v>2</v>
      </c>
      <c r="L2686">
        <v>32.65</v>
      </c>
      <c r="M2686">
        <v>65.3</v>
      </c>
      <c r="N2686" s="5">
        <v>3.3053993250843643</v>
      </c>
      <c r="O2686" t="s">
        <v>301</v>
      </c>
      <c r="P2686" t="s">
        <v>340</v>
      </c>
      <c r="Q2686" s="10" t="s">
        <v>24</v>
      </c>
    </row>
    <row r="2687" spans="1:18" hidden="1" x14ac:dyDescent="0.25">
      <c r="A2687" s="9" t="s">
        <v>1314</v>
      </c>
      <c r="B2687" s="3" t="s">
        <v>1342</v>
      </c>
      <c r="C2687" s="10">
        <v>20</v>
      </c>
      <c r="D2687" s="10">
        <v>10</v>
      </c>
      <c r="E2687" s="10">
        <v>19</v>
      </c>
      <c r="F2687" t="s">
        <v>217</v>
      </c>
      <c r="G2687" t="s">
        <v>25</v>
      </c>
      <c r="H2687" t="s">
        <v>26</v>
      </c>
      <c r="I2687" t="s">
        <v>27</v>
      </c>
      <c r="J2687" s="4">
        <v>26.35</v>
      </c>
      <c r="K2687">
        <v>2</v>
      </c>
      <c r="L2687">
        <v>26.35</v>
      </c>
      <c r="M2687">
        <v>52.7</v>
      </c>
      <c r="N2687" s="5">
        <v>2.6676040494938134</v>
      </c>
      <c r="O2687" t="s">
        <v>301</v>
      </c>
      <c r="P2687" t="s">
        <v>340</v>
      </c>
      <c r="Q2687" s="10" t="s">
        <v>24</v>
      </c>
    </row>
    <row r="2688" spans="1:18" hidden="1" x14ac:dyDescent="0.25">
      <c r="A2688" s="9" t="s">
        <v>1314</v>
      </c>
      <c r="B2688" s="3" t="s">
        <v>1342</v>
      </c>
      <c r="C2688" s="10">
        <v>20</v>
      </c>
      <c r="D2688" s="10">
        <v>10</v>
      </c>
      <c r="E2688" s="10">
        <v>19</v>
      </c>
      <c r="F2688" t="s">
        <v>1637</v>
      </c>
      <c r="G2688" t="s">
        <v>889</v>
      </c>
      <c r="H2688" t="s">
        <v>59</v>
      </c>
      <c r="I2688" t="s">
        <v>27</v>
      </c>
      <c r="J2688" s="4">
        <v>18.55</v>
      </c>
      <c r="K2688">
        <v>1</v>
      </c>
      <c r="L2688">
        <v>18.55</v>
      </c>
      <c r="M2688">
        <v>18.55</v>
      </c>
      <c r="N2688" s="5">
        <v>0.9389763779527559</v>
      </c>
      <c r="O2688" t="s">
        <v>301</v>
      </c>
      <c r="P2688" t="s">
        <v>340</v>
      </c>
      <c r="Q2688" s="10" t="s">
        <v>24</v>
      </c>
      <c r="R2688" t="s">
        <v>1648</v>
      </c>
    </row>
    <row r="2689" spans="1:18" hidden="1" x14ac:dyDescent="0.25">
      <c r="A2689" s="9" t="s">
        <v>1314</v>
      </c>
      <c r="B2689" s="3" t="s">
        <v>1342</v>
      </c>
      <c r="C2689" s="10">
        <v>20</v>
      </c>
      <c r="D2689" s="10">
        <v>10</v>
      </c>
      <c r="E2689" s="10">
        <v>19</v>
      </c>
      <c r="F2689" t="s">
        <v>776</v>
      </c>
      <c r="G2689" t="s">
        <v>889</v>
      </c>
      <c r="H2689" t="s">
        <v>56</v>
      </c>
      <c r="I2689" t="s">
        <v>27</v>
      </c>
      <c r="J2689" s="4">
        <v>22</v>
      </c>
      <c r="K2689">
        <v>0.92400000000000004</v>
      </c>
      <c r="L2689">
        <v>22</v>
      </c>
      <c r="M2689">
        <v>20.327999999999999</v>
      </c>
      <c r="N2689" s="5">
        <v>1.0289763779527559</v>
      </c>
      <c r="O2689" t="s">
        <v>301</v>
      </c>
      <c r="P2689" t="s">
        <v>340</v>
      </c>
      <c r="Q2689" s="10" t="s">
        <v>24</v>
      </c>
    </row>
    <row r="2690" spans="1:18" hidden="1" x14ac:dyDescent="0.25">
      <c r="A2690" s="9" t="s">
        <v>1314</v>
      </c>
      <c r="B2690" s="3" t="s">
        <v>1342</v>
      </c>
      <c r="C2690" s="10">
        <v>20</v>
      </c>
      <c r="D2690" s="10">
        <v>10</v>
      </c>
      <c r="E2690" s="10">
        <v>19</v>
      </c>
      <c r="F2690" t="s">
        <v>112</v>
      </c>
      <c r="G2690" t="s">
        <v>889</v>
      </c>
      <c r="H2690" t="s">
        <v>56</v>
      </c>
      <c r="I2690" t="s">
        <v>27</v>
      </c>
      <c r="J2690" s="4">
        <v>33</v>
      </c>
      <c r="K2690">
        <v>0.65400000000000003</v>
      </c>
      <c r="L2690">
        <v>33</v>
      </c>
      <c r="M2690">
        <v>21.582000000000001</v>
      </c>
      <c r="N2690" s="5">
        <v>1.0924521934758156</v>
      </c>
      <c r="O2690" t="s">
        <v>301</v>
      </c>
      <c r="P2690" t="s">
        <v>340</v>
      </c>
      <c r="Q2690" s="10" t="s">
        <v>24</v>
      </c>
    </row>
    <row r="2691" spans="1:18" hidden="1" x14ac:dyDescent="0.25">
      <c r="A2691" s="9" t="s">
        <v>1314</v>
      </c>
      <c r="B2691" s="3" t="s">
        <v>1342</v>
      </c>
      <c r="C2691" s="10">
        <v>20</v>
      </c>
      <c r="D2691" s="10">
        <v>10</v>
      </c>
      <c r="E2691" s="10">
        <v>19</v>
      </c>
      <c r="F2691" t="s">
        <v>119</v>
      </c>
      <c r="G2691" t="s">
        <v>889</v>
      </c>
      <c r="H2691" t="s">
        <v>56</v>
      </c>
      <c r="I2691" t="s">
        <v>27</v>
      </c>
      <c r="J2691" s="4">
        <v>29</v>
      </c>
      <c r="K2691">
        <v>0.75800000000000001</v>
      </c>
      <c r="L2691">
        <v>29</v>
      </c>
      <c r="M2691">
        <v>21.981999999999999</v>
      </c>
      <c r="N2691" s="5">
        <v>1.1126996625421821</v>
      </c>
      <c r="O2691" t="s">
        <v>301</v>
      </c>
      <c r="P2691" t="s">
        <v>340</v>
      </c>
      <c r="Q2691" s="10" t="s">
        <v>24</v>
      </c>
    </row>
    <row r="2692" spans="1:18" hidden="1" x14ac:dyDescent="0.25">
      <c r="A2692" s="9" t="s">
        <v>1314</v>
      </c>
      <c r="B2692" s="3" t="s">
        <v>1342</v>
      </c>
      <c r="C2692" s="10">
        <v>20</v>
      </c>
      <c r="D2692" s="10">
        <v>10</v>
      </c>
      <c r="E2692" s="10">
        <v>19</v>
      </c>
      <c r="F2692" t="s">
        <v>55</v>
      </c>
      <c r="G2692" t="s">
        <v>889</v>
      </c>
      <c r="H2692" t="s">
        <v>56</v>
      </c>
      <c r="I2692" t="s">
        <v>27</v>
      </c>
      <c r="J2692" s="4">
        <v>23.5</v>
      </c>
      <c r="K2692">
        <v>1.1339999999999999</v>
      </c>
      <c r="L2692">
        <v>23.5</v>
      </c>
      <c r="M2692">
        <v>26.648999999999997</v>
      </c>
      <c r="N2692" s="5">
        <v>1.3489370078740155</v>
      </c>
      <c r="O2692" t="s">
        <v>301</v>
      </c>
      <c r="P2692" t="s">
        <v>340</v>
      </c>
      <c r="Q2692" s="10" t="s">
        <v>24</v>
      </c>
    </row>
    <row r="2693" spans="1:18" hidden="1" x14ac:dyDescent="0.25">
      <c r="A2693" s="9" t="s">
        <v>1314</v>
      </c>
      <c r="B2693" s="3" t="s">
        <v>1342</v>
      </c>
      <c r="C2693" s="10">
        <v>20</v>
      </c>
      <c r="D2693" s="10">
        <v>10</v>
      </c>
      <c r="E2693" s="10">
        <v>19</v>
      </c>
      <c r="F2693" t="s">
        <v>1341</v>
      </c>
      <c r="G2693" t="s">
        <v>889</v>
      </c>
      <c r="H2693" t="s">
        <v>131</v>
      </c>
      <c r="I2693" t="s">
        <v>27</v>
      </c>
      <c r="J2693" s="4">
        <v>26.05</v>
      </c>
      <c r="K2693">
        <v>1</v>
      </c>
      <c r="L2693">
        <v>26.05</v>
      </c>
      <c r="M2693">
        <v>26.05</v>
      </c>
      <c r="N2693" s="5">
        <v>1.3186164229471316</v>
      </c>
      <c r="O2693" t="s">
        <v>301</v>
      </c>
      <c r="P2693" t="s">
        <v>340</v>
      </c>
      <c r="Q2693" s="10" t="s">
        <v>24</v>
      </c>
    </row>
    <row r="2694" spans="1:18" hidden="1" x14ac:dyDescent="0.25">
      <c r="A2694" s="9" t="s">
        <v>1314</v>
      </c>
      <c r="B2694" s="3" t="s">
        <v>1342</v>
      </c>
      <c r="C2694" s="10">
        <v>20</v>
      </c>
      <c r="D2694" s="10">
        <v>10</v>
      </c>
      <c r="E2694" s="10">
        <v>19</v>
      </c>
      <c r="F2694" t="s">
        <v>2124</v>
      </c>
      <c r="G2694" t="s">
        <v>889</v>
      </c>
      <c r="H2694" t="s">
        <v>131</v>
      </c>
      <c r="I2694" t="s">
        <v>27</v>
      </c>
      <c r="J2694" s="4">
        <v>25.45</v>
      </c>
      <c r="K2694">
        <v>1</v>
      </c>
      <c r="L2694">
        <v>25.45</v>
      </c>
      <c r="M2694">
        <v>25.45</v>
      </c>
      <c r="N2694" s="5">
        <v>1.2882452193475815</v>
      </c>
      <c r="O2694" t="s">
        <v>301</v>
      </c>
      <c r="P2694" t="s">
        <v>340</v>
      </c>
      <c r="Q2694" s="10" t="s">
        <v>24</v>
      </c>
    </row>
    <row r="2695" spans="1:18" hidden="1" x14ac:dyDescent="0.25">
      <c r="A2695" s="9" t="s">
        <v>1314</v>
      </c>
      <c r="B2695" s="3" t="s">
        <v>1342</v>
      </c>
      <c r="C2695" s="10">
        <v>20</v>
      </c>
      <c r="D2695" s="10">
        <v>10</v>
      </c>
      <c r="E2695" s="10">
        <v>19</v>
      </c>
      <c r="F2695" t="s">
        <v>1340</v>
      </c>
      <c r="G2695" t="s">
        <v>889</v>
      </c>
      <c r="H2695" t="s">
        <v>131</v>
      </c>
      <c r="I2695" t="s">
        <v>27</v>
      </c>
      <c r="J2695" s="4">
        <v>25.75</v>
      </c>
      <c r="K2695">
        <v>1</v>
      </c>
      <c r="L2695">
        <v>25.75</v>
      </c>
      <c r="M2695">
        <v>25.75</v>
      </c>
      <c r="N2695" s="5">
        <v>1.3034308211473564</v>
      </c>
      <c r="O2695" t="s">
        <v>301</v>
      </c>
      <c r="P2695" t="s">
        <v>340</v>
      </c>
      <c r="Q2695" s="10" t="s">
        <v>24</v>
      </c>
    </row>
    <row r="2696" spans="1:18" hidden="1" x14ac:dyDescent="0.25">
      <c r="A2696" s="9" t="s">
        <v>1314</v>
      </c>
      <c r="B2696" s="3" t="s">
        <v>1342</v>
      </c>
      <c r="C2696" s="10">
        <v>20</v>
      </c>
      <c r="D2696" s="10">
        <v>10</v>
      </c>
      <c r="E2696" s="10">
        <v>19</v>
      </c>
      <c r="F2696" t="s">
        <v>1075</v>
      </c>
      <c r="G2696" t="s">
        <v>889</v>
      </c>
      <c r="H2696" t="s">
        <v>56</v>
      </c>
      <c r="I2696" t="s">
        <v>27</v>
      </c>
      <c r="J2696" s="4">
        <v>25</v>
      </c>
      <c r="K2696">
        <v>0.20200000000000001</v>
      </c>
      <c r="L2696">
        <v>25</v>
      </c>
      <c r="M2696">
        <v>5.0500000000000007</v>
      </c>
      <c r="N2696" s="5">
        <v>0.25562429696287964</v>
      </c>
      <c r="O2696" t="s">
        <v>301</v>
      </c>
      <c r="P2696" t="s">
        <v>340</v>
      </c>
      <c r="Q2696" s="10" t="s">
        <v>24</v>
      </c>
    </row>
    <row r="2697" spans="1:18" hidden="1" x14ac:dyDescent="0.25">
      <c r="A2697" s="9" t="s">
        <v>1314</v>
      </c>
      <c r="B2697" s="3" t="s">
        <v>1342</v>
      </c>
      <c r="C2697" s="10">
        <v>20</v>
      </c>
      <c r="D2697" s="10">
        <v>10</v>
      </c>
      <c r="E2697" s="10">
        <v>19</v>
      </c>
      <c r="F2697" t="s">
        <v>112</v>
      </c>
      <c r="G2697" t="s">
        <v>889</v>
      </c>
      <c r="H2697" t="s">
        <v>56</v>
      </c>
      <c r="I2697" t="s">
        <v>27</v>
      </c>
      <c r="J2697" s="4">
        <v>33</v>
      </c>
      <c r="K2697">
        <v>0.69</v>
      </c>
      <c r="L2697">
        <v>33</v>
      </c>
      <c r="M2697">
        <v>22.77</v>
      </c>
      <c r="N2697" s="5">
        <v>1.1525871766029245</v>
      </c>
      <c r="O2697" t="s">
        <v>301</v>
      </c>
      <c r="P2697" t="s">
        <v>340</v>
      </c>
      <c r="Q2697" s="10" t="s">
        <v>24</v>
      </c>
    </row>
    <row r="2698" spans="1:18" hidden="1" x14ac:dyDescent="0.25">
      <c r="A2698" s="9" t="s">
        <v>1314</v>
      </c>
      <c r="B2698" s="3" t="s">
        <v>1342</v>
      </c>
      <c r="C2698" s="10">
        <v>20</v>
      </c>
      <c r="D2698" s="10">
        <v>10</v>
      </c>
      <c r="E2698" s="10">
        <v>19</v>
      </c>
      <c r="F2698" t="s">
        <v>2124</v>
      </c>
      <c r="G2698" t="s">
        <v>889</v>
      </c>
      <c r="H2698" t="s">
        <v>131</v>
      </c>
      <c r="I2698" t="s">
        <v>27</v>
      </c>
      <c r="J2698" s="4">
        <v>28.95</v>
      </c>
      <c r="K2698">
        <v>1</v>
      </c>
      <c r="L2698">
        <v>28.95</v>
      </c>
      <c r="M2698">
        <v>28.95</v>
      </c>
      <c r="N2698" s="5">
        <v>1.4654105736782901</v>
      </c>
      <c r="O2698" t="s">
        <v>301</v>
      </c>
      <c r="P2698" t="s">
        <v>340</v>
      </c>
      <c r="Q2698" s="10" t="s">
        <v>24</v>
      </c>
    </row>
    <row r="2699" spans="1:18" hidden="1" x14ac:dyDescent="0.25">
      <c r="A2699" s="9" t="s">
        <v>1314</v>
      </c>
      <c r="B2699" s="3" t="s">
        <v>1342</v>
      </c>
      <c r="C2699" s="10">
        <v>20</v>
      </c>
      <c r="D2699" s="10">
        <v>10</v>
      </c>
      <c r="E2699" s="10">
        <v>19</v>
      </c>
      <c r="F2699" t="s">
        <v>1341</v>
      </c>
      <c r="G2699" t="s">
        <v>889</v>
      </c>
      <c r="H2699" t="s">
        <v>131</v>
      </c>
      <c r="I2699" t="s">
        <v>27</v>
      </c>
      <c r="J2699" s="4">
        <v>26.05</v>
      </c>
      <c r="K2699">
        <v>1</v>
      </c>
      <c r="L2699">
        <v>26.05</v>
      </c>
      <c r="M2699">
        <v>26.05</v>
      </c>
      <c r="N2699" s="5">
        <v>1.3186164229471316</v>
      </c>
      <c r="O2699" t="s">
        <v>301</v>
      </c>
      <c r="P2699" t="s">
        <v>340</v>
      </c>
      <c r="Q2699" s="10" t="s">
        <v>24</v>
      </c>
    </row>
    <row r="2700" spans="1:18" hidden="1" x14ac:dyDescent="0.25">
      <c r="A2700" s="9" t="s">
        <v>1314</v>
      </c>
      <c r="B2700" s="3" t="s">
        <v>1342</v>
      </c>
      <c r="C2700" s="10">
        <v>20</v>
      </c>
      <c r="D2700" s="10">
        <v>10</v>
      </c>
      <c r="E2700" s="10">
        <v>19</v>
      </c>
      <c r="F2700" t="s">
        <v>1341</v>
      </c>
      <c r="G2700" t="s">
        <v>889</v>
      </c>
      <c r="H2700" t="s">
        <v>131</v>
      </c>
      <c r="I2700" t="s">
        <v>27</v>
      </c>
      <c r="J2700" s="4">
        <v>8.65</v>
      </c>
      <c r="K2700">
        <v>1</v>
      </c>
      <c r="L2700">
        <v>8.65</v>
      </c>
      <c r="M2700">
        <v>8.65</v>
      </c>
      <c r="N2700" s="5">
        <v>0.43785151856017995</v>
      </c>
      <c r="O2700" t="s">
        <v>301</v>
      </c>
      <c r="P2700" t="s">
        <v>340</v>
      </c>
      <c r="Q2700" s="10" t="s">
        <v>24</v>
      </c>
    </row>
    <row r="2701" spans="1:18" hidden="1" x14ac:dyDescent="0.25">
      <c r="A2701" s="9" t="s">
        <v>1314</v>
      </c>
      <c r="B2701" s="3" t="s">
        <v>1342</v>
      </c>
      <c r="C2701" s="10">
        <v>20</v>
      </c>
      <c r="D2701" s="10">
        <v>10</v>
      </c>
      <c r="E2701" s="10">
        <v>19</v>
      </c>
      <c r="F2701" t="s">
        <v>596</v>
      </c>
      <c r="G2701" t="s">
        <v>889</v>
      </c>
      <c r="H2701" t="s">
        <v>56</v>
      </c>
      <c r="I2701" t="s">
        <v>27</v>
      </c>
      <c r="J2701" s="4">
        <v>33</v>
      </c>
      <c r="K2701">
        <v>1</v>
      </c>
      <c r="L2701">
        <v>33</v>
      </c>
      <c r="M2701">
        <v>33</v>
      </c>
      <c r="N2701" s="5">
        <v>1.670416197975253</v>
      </c>
      <c r="O2701" t="s">
        <v>301</v>
      </c>
      <c r="P2701" t="s">
        <v>340</v>
      </c>
      <c r="Q2701" s="10" t="s">
        <v>24</v>
      </c>
    </row>
    <row r="2702" spans="1:18" hidden="1" x14ac:dyDescent="0.25">
      <c r="A2702" s="9" t="s">
        <v>1314</v>
      </c>
      <c r="B2702" s="3" t="s">
        <v>1342</v>
      </c>
      <c r="C2702" s="10">
        <v>20</v>
      </c>
      <c r="D2702" s="10">
        <v>10</v>
      </c>
      <c r="E2702" s="10">
        <v>19</v>
      </c>
      <c r="F2702" t="s">
        <v>561</v>
      </c>
      <c r="G2702" t="s">
        <v>889</v>
      </c>
      <c r="H2702" t="s">
        <v>21</v>
      </c>
      <c r="I2702" t="s">
        <v>22</v>
      </c>
      <c r="J2702" s="4">
        <v>50</v>
      </c>
      <c r="K2702">
        <v>1</v>
      </c>
      <c r="L2702">
        <v>50</v>
      </c>
      <c r="M2702">
        <v>50</v>
      </c>
      <c r="N2702" s="5">
        <v>2.5309336332958381</v>
      </c>
      <c r="O2702" t="s">
        <v>39</v>
      </c>
      <c r="P2702" t="s">
        <v>340</v>
      </c>
      <c r="Q2702" s="10" t="s">
        <v>24</v>
      </c>
    </row>
    <row r="2703" spans="1:18" hidden="1" x14ac:dyDescent="0.25">
      <c r="A2703" s="9" t="s">
        <v>1314</v>
      </c>
      <c r="B2703" s="3" t="str">
        <f>CONCATENATE(E2703,"/",D2703,"/",C2703)</f>
        <v>19/10/21</v>
      </c>
      <c r="C2703" s="10">
        <v>21</v>
      </c>
      <c r="D2703" s="10">
        <v>10</v>
      </c>
      <c r="E2703" s="10">
        <v>19</v>
      </c>
      <c r="F2703" t="s">
        <v>1589</v>
      </c>
      <c r="G2703" t="s">
        <v>889</v>
      </c>
      <c r="H2703" t="s">
        <v>49</v>
      </c>
      <c r="I2703" t="s">
        <v>79</v>
      </c>
      <c r="J2703" s="4">
        <v>536</v>
      </c>
      <c r="K2703">
        <v>1</v>
      </c>
      <c r="L2703">
        <v>536</v>
      </c>
      <c r="M2703">
        <v>536</v>
      </c>
      <c r="N2703" s="5">
        <v>27.131608548931382</v>
      </c>
      <c r="O2703" t="s">
        <v>1361</v>
      </c>
      <c r="P2703" t="s">
        <v>340</v>
      </c>
      <c r="Q2703" s="10" t="s">
        <v>24</v>
      </c>
      <c r="R2703" t="s">
        <v>1554</v>
      </c>
    </row>
    <row r="2704" spans="1:18" hidden="1" x14ac:dyDescent="0.25">
      <c r="A2704" s="9" t="s">
        <v>1314</v>
      </c>
      <c r="B2704" s="3" t="s">
        <v>1375</v>
      </c>
      <c r="C2704" s="10">
        <v>21</v>
      </c>
      <c r="D2704" s="10">
        <v>10</v>
      </c>
      <c r="E2704" s="10">
        <v>19</v>
      </c>
      <c r="F2704" t="s">
        <v>1372</v>
      </c>
      <c r="G2704" t="s">
        <v>373</v>
      </c>
      <c r="H2704" t="s">
        <v>65</v>
      </c>
      <c r="I2704" t="s">
        <v>27</v>
      </c>
      <c r="J2704" s="4">
        <v>13</v>
      </c>
      <c r="K2704">
        <v>1</v>
      </c>
      <c r="L2704">
        <v>13</v>
      </c>
      <c r="M2704">
        <v>13</v>
      </c>
      <c r="N2704" s="5">
        <v>0.65804274465691781</v>
      </c>
      <c r="O2704" t="s">
        <v>100</v>
      </c>
      <c r="P2704" t="s">
        <v>340</v>
      </c>
      <c r="Q2704" s="10" t="s">
        <v>24</v>
      </c>
    </row>
    <row r="2705" spans="1:18" hidden="1" x14ac:dyDescent="0.25">
      <c r="A2705" s="9" t="s">
        <v>1314</v>
      </c>
      <c r="B2705" s="3" t="s">
        <v>1375</v>
      </c>
      <c r="C2705" s="10">
        <v>21</v>
      </c>
      <c r="D2705" s="10">
        <v>10</v>
      </c>
      <c r="E2705" s="10">
        <v>19</v>
      </c>
      <c r="F2705" t="s">
        <v>1373</v>
      </c>
      <c r="G2705" t="s">
        <v>889</v>
      </c>
      <c r="H2705" t="s">
        <v>38</v>
      </c>
      <c r="I2705" t="s">
        <v>27</v>
      </c>
      <c r="J2705" s="4">
        <v>127.6</v>
      </c>
      <c r="K2705">
        <v>0.23200000000000001</v>
      </c>
      <c r="L2705">
        <v>127.6</v>
      </c>
      <c r="M2705">
        <v>29.603200000000001</v>
      </c>
      <c r="N2705" s="5">
        <v>1.498474690663667</v>
      </c>
      <c r="O2705" t="s">
        <v>100</v>
      </c>
      <c r="P2705" t="s">
        <v>340</v>
      </c>
      <c r="Q2705" s="10" t="s">
        <v>24</v>
      </c>
    </row>
    <row r="2706" spans="1:18" hidden="1" x14ac:dyDescent="0.25">
      <c r="A2706" s="9" t="s">
        <v>1314</v>
      </c>
      <c r="B2706" s="3" t="s">
        <v>1375</v>
      </c>
      <c r="C2706" s="10">
        <v>21</v>
      </c>
      <c r="D2706" s="10">
        <v>10</v>
      </c>
      <c r="E2706" s="10">
        <v>19</v>
      </c>
      <c r="F2706" t="s">
        <v>2040</v>
      </c>
      <c r="G2706" t="s">
        <v>465</v>
      </c>
      <c r="H2706" t="s">
        <v>35</v>
      </c>
      <c r="I2706" t="s">
        <v>27</v>
      </c>
      <c r="J2706" s="4">
        <v>95.6</v>
      </c>
      <c r="K2706">
        <v>0.184</v>
      </c>
      <c r="L2706">
        <v>95.6</v>
      </c>
      <c r="M2706">
        <v>17.590399999999999</v>
      </c>
      <c r="N2706" s="5">
        <v>0.89040269966254204</v>
      </c>
      <c r="O2706" t="s">
        <v>100</v>
      </c>
      <c r="P2706" t="s">
        <v>340</v>
      </c>
      <c r="Q2706" s="10" t="s">
        <v>24</v>
      </c>
    </row>
    <row r="2707" spans="1:18" hidden="1" x14ac:dyDescent="0.25">
      <c r="A2707" s="9" t="s">
        <v>1314</v>
      </c>
      <c r="B2707" s="3" t="s">
        <v>1375</v>
      </c>
      <c r="C2707" s="10">
        <v>21</v>
      </c>
      <c r="D2707" s="10">
        <v>10</v>
      </c>
      <c r="E2707" s="10">
        <v>19</v>
      </c>
      <c r="F2707" t="s">
        <v>1374</v>
      </c>
      <c r="G2707" t="s">
        <v>889</v>
      </c>
      <c r="H2707" t="s">
        <v>35</v>
      </c>
      <c r="I2707" t="s">
        <v>27</v>
      </c>
      <c r="J2707" s="4">
        <v>180.6</v>
      </c>
      <c r="K2707">
        <v>0.16200000000000001</v>
      </c>
      <c r="L2707">
        <v>180.6</v>
      </c>
      <c r="M2707">
        <v>29.257200000000001</v>
      </c>
      <c r="N2707" s="5">
        <v>1.4809606299212599</v>
      </c>
      <c r="O2707" t="s">
        <v>100</v>
      </c>
      <c r="P2707" t="s">
        <v>340</v>
      </c>
      <c r="Q2707" s="10" t="s">
        <v>24</v>
      </c>
    </row>
    <row r="2708" spans="1:18" hidden="1" x14ac:dyDescent="0.25">
      <c r="A2708" s="9" t="s">
        <v>1314</v>
      </c>
      <c r="B2708" s="3" t="s">
        <v>1375</v>
      </c>
      <c r="C2708" s="10">
        <v>21</v>
      </c>
      <c r="D2708" s="10">
        <v>10</v>
      </c>
      <c r="E2708" s="10">
        <v>19</v>
      </c>
      <c r="F2708" t="s">
        <v>1357</v>
      </c>
      <c r="G2708" t="s">
        <v>889</v>
      </c>
      <c r="H2708" t="s">
        <v>35</v>
      </c>
      <c r="I2708" t="s">
        <v>27</v>
      </c>
      <c r="J2708" s="4">
        <v>182.6</v>
      </c>
      <c r="K2708">
        <v>0.152</v>
      </c>
      <c r="L2708">
        <v>182.6</v>
      </c>
      <c r="M2708">
        <v>27.755199999999999</v>
      </c>
      <c r="N2708" s="5">
        <v>1.4049313835770527</v>
      </c>
      <c r="O2708" t="s">
        <v>100</v>
      </c>
      <c r="P2708" t="s">
        <v>340</v>
      </c>
      <c r="Q2708" s="10" t="s">
        <v>84</v>
      </c>
    </row>
    <row r="2709" spans="1:18" hidden="1" x14ac:dyDescent="0.25">
      <c r="A2709" s="9" t="s">
        <v>1314</v>
      </c>
      <c r="B2709" s="3" t="s">
        <v>1375</v>
      </c>
      <c r="C2709" s="10">
        <v>21</v>
      </c>
      <c r="D2709" s="10">
        <v>10</v>
      </c>
      <c r="E2709" s="10">
        <v>19</v>
      </c>
      <c r="F2709" t="s">
        <v>922</v>
      </c>
      <c r="G2709" t="s">
        <v>155</v>
      </c>
      <c r="H2709" t="s">
        <v>131</v>
      </c>
      <c r="I2709" t="s">
        <v>27</v>
      </c>
      <c r="J2709" s="4">
        <v>67.599999999999994</v>
      </c>
      <c r="K2709">
        <v>1</v>
      </c>
      <c r="L2709">
        <v>67.599999999999994</v>
      </c>
      <c r="M2709">
        <v>67.599999999999994</v>
      </c>
      <c r="N2709" s="5">
        <v>3.4218222722159726</v>
      </c>
      <c r="O2709" t="s">
        <v>100</v>
      </c>
      <c r="P2709" t="s">
        <v>340</v>
      </c>
      <c r="Q2709" s="10" t="s">
        <v>24</v>
      </c>
    </row>
    <row r="2710" spans="1:18" hidden="1" x14ac:dyDescent="0.25">
      <c r="A2710" s="9" t="s">
        <v>1314</v>
      </c>
      <c r="B2710" s="3" t="s">
        <v>1375</v>
      </c>
      <c r="C2710" s="10">
        <v>21</v>
      </c>
      <c r="D2710" s="10">
        <v>10</v>
      </c>
      <c r="E2710" s="10">
        <v>19</v>
      </c>
      <c r="F2710" t="s">
        <v>118</v>
      </c>
      <c r="G2710" t="s">
        <v>889</v>
      </c>
      <c r="H2710" t="s">
        <v>40</v>
      </c>
      <c r="I2710" t="s">
        <v>27</v>
      </c>
      <c r="J2710" s="4">
        <v>10</v>
      </c>
      <c r="K2710">
        <v>1</v>
      </c>
      <c r="L2710">
        <v>10</v>
      </c>
      <c r="M2710">
        <v>10</v>
      </c>
      <c r="N2710" s="5">
        <v>0.50618672665916753</v>
      </c>
      <c r="O2710" t="s">
        <v>100</v>
      </c>
      <c r="P2710" t="s">
        <v>340</v>
      </c>
      <c r="Q2710" s="10" t="s">
        <v>24</v>
      </c>
    </row>
    <row r="2711" spans="1:18" hidden="1" x14ac:dyDescent="0.25">
      <c r="A2711" s="9" t="s">
        <v>1314</v>
      </c>
      <c r="B2711" s="3" t="s">
        <v>1375</v>
      </c>
      <c r="C2711" s="10">
        <v>21</v>
      </c>
      <c r="D2711" s="10">
        <v>10</v>
      </c>
      <c r="E2711" s="10">
        <v>19</v>
      </c>
      <c r="F2711" t="s">
        <v>974</v>
      </c>
      <c r="G2711" t="s">
        <v>25</v>
      </c>
      <c r="H2711" t="s">
        <v>26</v>
      </c>
      <c r="I2711" t="s">
        <v>27</v>
      </c>
      <c r="J2711" s="4">
        <v>211.6</v>
      </c>
      <c r="K2711">
        <v>0.39200000000000002</v>
      </c>
      <c r="L2711">
        <v>211.6</v>
      </c>
      <c r="M2711">
        <v>82.947199999999995</v>
      </c>
      <c r="N2711" s="5">
        <v>4.1986771653543302</v>
      </c>
      <c r="O2711" t="s">
        <v>100</v>
      </c>
      <c r="P2711" t="s">
        <v>340</v>
      </c>
      <c r="Q2711" s="10" t="s">
        <v>24</v>
      </c>
    </row>
    <row r="2712" spans="1:18" hidden="1" x14ac:dyDescent="0.25">
      <c r="A2712" s="9" t="s">
        <v>1314</v>
      </c>
      <c r="B2712" s="3" t="str">
        <f>CONCATENATE(E2712,"/",D2712,"/",C2712)</f>
        <v>19/10/22</v>
      </c>
      <c r="C2712" s="10">
        <v>22</v>
      </c>
      <c r="D2712" s="10">
        <v>10</v>
      </c>
      <c r="E2712" s="10">
        <v>19</v>
      </c>
      <c r="F2712" t="s">
        <v>81</v>
      </c>
      <c r="G2712" t="s">
        <v>889</v>
      </c>
      <c r="H2712" t="s">
        <v>889</v>
      </c>
      <c r="I2712" t="s">
        <v>39</v>
      </c>
      <c r="J2712" s="4">
        <v>520</v>
      </c>
      <c r="K2712">
        <v>1</v>
      </c>
      <c r="L2712">
        <v>520</v>
      </c>
      <c r="M2712">
        <v>520</v>
      </c>
      <c r="N2712" s="5">
        <v>26.321709786276713</v>
      </c>
      <c r="O2712" t="s">
        <v>39</v>
      </c>
      <c r="P2712" t="s">
        <v>340</v>
      </c>
      <c r="Q2712" s="10" t="s">
        <v>84</v>
      </c>
      <c r="R2712" t="s">
        <v>1360</v>
      </c>
    </row>
    <row r="2713" spans="1:18" hidden="1" x14ac:dyDescent="0.25">
      <c r="A2713" s="9" t="s">
        <v>1314</v>
      </c>
      <c r="B2713" s="3" t="s">
        <v>1368</v>
      </c>
      <c r="C2713" s="10">
        <v>22</v>
      </c>
      <c r="D2713" s="10">
        <v>10</v>
      </c>
      <c r="E2713" s="10">
        <v>19</v>
      </c>
      <c r="F2713" t="s">
        <v>561</v>
      </c>
      <c r="G2713" t="s">
        <v>889</v>
      </c>
      <c r="H2713" t="s">
        <v>21</v>
      </c>
      <c r="I2713" t="s">
        <v>22</v>
      </c>
      <c r="J2713" s="4">
        <v>50</v>
      </c>
      <c r="K2713">
        <v>1</v>
      </c>
      <c r="L2713">
        <v>50</v>
      </c>
      <c r="M2713">
        <v>50</v>
      </c>
      <c r="N2713" s="5">
        <v>2.5309336332958381</v>
      </c>
      <c r="O2713" t="s">
        <v>39</v>
      </c>
      <c r="P2713" t="s">
        <v>340</v>
      </c>
      <c r="Q2713" s="10" t="s">
        <v>24</v>
      </c>
    </row>
    <row r="2714" spans="1:18" hidden="1" x14ac:dyDescent="0.25">
      <c r="A2714" s="9" t="s">
        <v>1314</v>
      </c>
      <c r="B2714" s="3" t="s">
        <v>1368</v>
      </c>
      <c r="C2714" s="10">
        <v>22</v>
      </c>
      <c r="D2714" s="10">
        <v>10</v>
      </c>
      <c r="E2714" s="10">
        <v>19</v>
      </c>
      <c r="F2714" t="s">
        <v>1362</v>
      </c>
      <c r="G2714" t="s">
        <v>889</v>
      </c>
      <c r="H2714" t="s">
        <v>889</v>
      </c>
      <c r="I2714" t="s">
        <v>82</v>
      </c>
      <c r="J2714" s="4">
        <v>189.97</v>
      </c>
      <c r="K2714">
        <v>1</v>
      </c>
      <c r="L2714">
        <v>189.97</v>
      </c>
      <c r="M2714">
        <v>189.97</v>
      </c>
      <c r="N2714" s="5">
        <v>9.6160292463442065</v>
      </c>
      <c r="O2714" t="s">
        <v>1352</v>
      </c>
      <c r="P2714" t="s">
        <v>340</v>
      </c>
      <c r="Q2714" s="10" t="s">
        <v>24</v>
      </c>
    </row>
    <row r="2715" spans="1:18" hidden="1" x14ac:dyDescent="0.25">
      <c r="A2715" s="9" t="s">
        <v>1314</v>
      </c>
      <c r="B2715" s="3" t="s">
        <v>1368</v>
      </c>
      <c r="C2715" s="10">
        <v>22</v>
      </c>
      <c r="D2715" s="10">
        <v>10</v>
      </c>
      <c r="E2715" s="10">
        <v>19</v>
      </c>
      <c r="F2715" t="s">
        <v>71</v>
      </c>
      <c r="I2715" t="s">
        <v>72</v>
      </c>
      <c r="J2715" s="4">
        <v>300</v>
      </c>
      <c r="K2715">
        <v>1</v>
      </c>
      <c r="L2715">
        <v>300</v>
      </c>
      <c r="M2715">
        <v>300</v>
      </c>
      <c r="N2715" s="5">
        <v>15.185601799775027</v>
      </c>
      <c r="O2715" t="s">
        <v>39</v>
      </c>
      <c r="P2715" t="s">
        <v>340</v>
      </c>
      <c r="Q2715" s="10" t="s">
        <v>24</v>
      </c>
      <c r="R2715" t="s">
        <v>1138</v>
      </c>
    </row>
    <row r="2716" spans="1:18" hidden="1" x14ac:dyDescent="0.25">
      <c r="A2716" s="9" t="s">
        <v>1314</v>
      </c>
      <c r="B2716" s="3" t="s">
        <v>1368</v>
      </c>
      <c r="C2716" s="10">
        <v>22</v>
      </c>
      <c r="D2716" s="10">
        <v>10</v>
      </c>
      <c r="E2716" s="10">
        <v>19</v>
      </c>
      <c r="F2716" t="s">
        <v>141</v>
      </c>
      <c r="G2716" t="s">
        <v>889</v>
      </c>
      <c r="H2716" t="s">
        <v>172</v>
      </c>
      <c r="I2716" t="s">
        <v>39</v>
      </c>
      <c r="J2716" s="4">
        <v>2</v>
      </c>
      <c r="K2716">
        <v>3</v>
      </c>
      <c r="L2716">
        <v>2</v>
      </c>
      <c r="M2716">
        <v>6</v>
      </c>
      <c r="N2716" s="5">
        <v>0.30371203599550056</v>
      </c>
      <c r="O2716" t="s">
        <v>39</v>
      </c>
      <c r="P2716" t="s">
        <v>340</v>
      </c>
      <c r="Q2716" s="10" t="s">
        <v>24</v>
      </c>
    </row>
    <row r="2717" spans="1:18" hidden="1" x14ac:dyDescent="0.25">
      <c r="A2717" s="9" t="s">
        <v>1314</v>
      </c>
      <c r="B2717" s="3" t="s">
        <v>1367</v>
      </c>
      <c r="C2717" s="10">
        <v>23</v>
      </c>
      <c r="D2717" s="10">
        <v>10</v>
      </c>
      <c r="E2717" s="10">
        <v>19</v>
      </c>
      <c r="F2717" t="s">
        <v>2242</v>
      </c>
      <c r="G2717" t="s">
        <v>345</v>
      </c>
      <c r="H2717" t="s">
        <v>26</v>
      </c>
      <c r="I2717" t="s">
        <v>27</v>
      </c>
      <c r="J2717" s="4">
        <v>6.8</v>
      </c>
      <c r="K2717">
        <v>1</v>
      </c>
      <c r="L2717">
        <v>6.8</v>
      </c>
      <c r="M2717">
        <v>6.8</v>
      </c>
      <c r="N2717" s="5">
        <v>0.34420697412823392</v>
      </c>
      <c r="O2717" t="s">
        <v>101</v>
      </c>
      <c r="P2717" t="s">
        <v>340</v>
      </c>
      <c r="Q2717" s="10" t="s">
        <v>24</v>
      </c>
    </row>
    <row r="2718" spans="1:18" hidden="1" x14ac:dyDescent="0.25">
      <c r="A2718" s="9" t="s">
        <v>1314</v>
      </c>
      <c r="B2718" s="3" t="s">
        <v>1369</v>
      </c>
      <c r="C2718" s="10">
        <v>24</v>
      </c>
      <c r="D2718" s="10">
        <v>10</v>
      </c>
      <c r="E2718" s="10">
        <v>19</v>
      </c>
      <c r="F2718" t="s">
        <v>1364</v>
      </c>
      <c r="G2718" t="s">
        <v>889</v>
      </c>
      <c r="H2718" t="s">
        <v>63</v>
      </c>
      <c r="I2718" t="s">
        <v>50</v>
      </c>
      <c r="J2718" s="4">
        <v>170.5</v>
      </c>
      <c r="K2718">
        <v>1</v>
      </c>
      <c r="L2718">
        <v>170.5</v>
      </c>
      <c r="M2718">
        <v>170.5</v>
      </c>
      <c r="N2718" s="5">
        <v>8.6304836895388064</v>
      </c>
      <c r="O2718" t="s">
        <v>1365</v>
      </c>
      <c r="P2718" t="s">
        <v>340</v>
      </c>
      <c r="Q2718" s="10" t="s">
        <v>24</v>
      </c>
    </row>
    <row r="2719" spans="1:18" hidden="1" x14ac:dyDescent="0.25">
      <c r="A2719" s="9" t="s">
        <v>1314</v>
      </c>
      <c r="B2719" s="3" t="s">
        <v>1369</v>
      </c>
      <c r="C2719" s="10">
        <v>24</v>
      </c>
      <c r="D2719" s="10">
        <v>10</v>
      </c>
      <c r="E2719" s="10">
        <v>19</v>
      </c>
      <c r="F2719" t="s">
        <v>1376</v>
      </c>
      <c r="G2719" t="s">
        <v>889</v>
      </c>
      <c r="H2719" t="s">
        <v>131</v>
      </c>
      <c r="I2719" t="s">
        <v>27</v>
      </c>
      <c r="J2719" s="4">
        <v>33.17</v>
      </c>
      <c r="K2719">
        <v>1</v>
      </c>
      <c r="L2719">
        <v>33.17</v>
      </c>
      <c r="M2719">
        <v>33.17</v>
      </c>
      <c r="N2719" s="5">
        <v>1.679021372328459</v>
      </c>
      <c r="O2719" t="s">
        <v>181</v>
      </c>
      <c r="P2719" t="s">
        <v>340</v>
      </c>
      <c r="Q2719" s="10" t="s">
        <v>24</v>
      </c>
    </row>
    <row r="2720" spans="1:18" hidden="1" x14ac:dyDescent="0.25">
      <c r="A2720" s="9" t="s">
        <v>1314</v>
      </c>
      <c r="B2720" s="3" t="s">
        <v>1369</v>
      </c>
      <c r="C2720" s="10">
        <v>24</v>
      </c>
      <c r="D2720" s="10">
        <v>10</v>
      </c>
      <c r="E2720" s="10">
        <v>19</v>
      </c>
      <c r="F2720" t="s">
        <v>1377</v>
      </c>
      <c r="G2720" t="s">
        <v>889</v>
      </c>
      <c r="H2720" t="s">
        <v>131</v>
      </c>
      <c r="I2720" t="s">
        <v>27</v>
      </c>
      <c r="J2720" s="4">
        <v>111.55</v>
      </c>
      <c r="K2720">
        <v>0.216</v>
      </c>
      <c r="L2720">
        <v>111.55</v>
      </c>
      <c r="M2720">
        <v>24.094799999999999</v>
      </c>
      <c r="N2720" s="5">
        <v>1.219646794150731</v>
      </c>
      <c r="O2720" t="s">
        <v>181</v>
      </c>
      <c r="P2720" t="s">
        <v>340</v>
      </c>
      <c r="Q2720" s="10" t="s">
        <v>24</v>
      </c>
    </row>
    <row r="2721" spans="1:18" hidden="1" x14ac:dyDescent="0.25">
      <c r="A2721" s="9" t="s">
        <v>1314</v>
      </c>
      <c r="B2721" s="3" t="s">
        <v>1369</v>
      </c>
      <c r="C2721" s="10">
        <v>24</v>
      </c>
      <c r="D2721" s="10">
        <v>10</v>
      </c>
      <c r="E2721" s="10">
        <v>19</v>
      </c>
      <c r="F2721" t="s">
        <v>1378</v>
      </c>
      <c r="G2721" t="s">
        <v>889</v>
      </c>
      <c r="H2721" t="s">
        <v>40</v>
      </c>
      <c r="I2721" t="s">
        <v>27</v>
      </c>
      <c r="J2721" s="4">
        <v>17.22</v>
      </c>
      <c r="K2721">
        <v>1</v>
      </c>
      <c r="L2721">
        <v>17.22</v>
      </c>
      <c r="M2721">
        <v>17.22</v>
      </c>
      <c r="N2721" s="5">
        <v>0.87165354330708655</v>
      </c>
      <c r="O2721" t="s">
        <v>181</v>
      </c>
      <c r="P2721" t="s">
        <v>340</v>
      </c>
      <c r="Q2721" s="10" t="s">
        <v>24</v>
      </c>
    </row>
    <row r="2722" spans="1:18" hidden="1" x14ac:dyDescent="0.25">
      <c r="A2722" s="9" t="s">
        <v>1314</v>
      </c>
      <c r="B2722" s="3" t="s">
        <v>1369</v>
      </c>
      <c r="C2722" s="10">
        <v>24</v>
      </c>
      <c r="D2722" s="10">
        <v>10</v>
      </c>
      <c r="E2722" s="10">
        <v>19</v>
      </c>
      <c r="F2722" t="s">
        <v>1051</v>
      </c>
      <c r="G2722" t="s">
        <v>889</v>
      </c>
      <c r="H2722" t="s">
        <v>56</v>
      </c>
      <c r="I2722" t="s">
        <v>27</v>
      </c>
      <c r="J2722" s="4">
        <v>10.27</v>
      </c>
      <c r="K2722">
        <v>1</v>
      </c>
      <c r="L2722">
        <v>10.27</v>
      </c>
      <c r="M2722">
        <v>10.27</v>
      </c>
      <c r="N2722" s="5">
        <v>0.51985376827896512</v>
      </c>
      <c r="O2722" t="s">
        <v>181</v>
      </c>
      <c r="P2722" t="s">
        <v>340</v>
      </c>
      <c r="Q2722" s="10" t="s">
        <v>24</v>
      </c>
    </row>
    <row r="2723" spans="1:18" hidden="1" x14ac:dyDescent="0.25">
      <c r="A2723" s="9" t="s">
        <v>1314</v>
      </c>
      <c r="B2723" s="3" t="s">
        <v>1369</v>
      </c>
      <c r="C2723" s="10">
        <v>24</v>
      </c>
      <c r="D2723" s="10">
        <v>10</v>
      </c>
      <c r="E2723" s="10">
        <v>19</v>
      </c>
      <c r="F2723" t="s">
        <v>1379</v>
      </c>
      <c r="G2723" t="s">
        <v>31</v>
      </c>
      <c r="H2723" t="s">
        <v>26</v>
      </c>
      <c r="I2723" t="s">
        <v>27</v>
      </c>
      <c r="J2723" s="4">
        <v>7.37</v>
      </c>
      <c r="K2723">
        <v>1</v>
      </c>
      <c r="L2723">
        <v>7.37</v>
      </c>
      <c r="M2723">
        <v>7.37</v>
      </c>
      <c r="N2723" s="5">
        <v>0.37305961754780653</v>
      </c>
      <c r="O2723" t="s">
        <v>181</v>
      </c>
      <c r="P2723" t="s">
        <v>340</v>
      </c>
      <c r="Q2723" s="10" t="s">
        <v>84</v>
      </c>
    </row>
    <row r="2724" spans="1:18" hidden="1" x14ac:dyDescent="0.25">
      <c r="A2724" s="9" t="s">
        <v>1314</v>
      </c>
      <c r="B2724" s="3" t="s">
        <v>1369</v>
      </c>
      <c r="C2724" s="10">
        <v>24</v>
      </c>
      <c r="D2724" s="10">
        <v>10</v>
      </c>
      <c r="E2724" s="10">
        <v>19</v>
      </c>
      <c r="F2724" t="s">
        <v>1380</v>
      </c>
      <c r="G2724" t="s">
        <v>889</v>
      </c>
      <c r="H2724" t="s">
        <v>54</v>
      </c>
      <c r="I2724" t="s">
        <v>27</v>
      </c>
      <c r="J2724" s="4">
        <v>18.600000000000001</v>
      </c>
      <c r="K2724">
        <v>1</v>
      </c>
      <c r="L2724">
        <v>18.600000000000001</v>
      </c>
      <c r="M2724">
        <v>18.600000000000001</v>
      </c>
      <c r="N2724" s="5">
        <v>0.94150731158605172</v>
      </c>
      <c r="O2724" t="s">
        <v>181</v>
      </c>
      <c r="P2724" t="s">
        <v>340</v>
      </c>
      <c r="Q2724" s="10" t="s">
        <v>24</v>
      </c>
    </row>
    <row r="2725" spans="1:18" hidden="1" x14ac:dyDescent="0.25">
      <c r="A2725" s="9" t="s">
        <v>1314</v>
      </c>
      <c r="B2725" s="3" t="s">
        <v>1369</v>
      </c>
      <c r="C2725" s="10">
        <v>24</v>
      </c>
      <c r="D2725" s="10">
        <v>10</v>
      </c>
      <c r="E2725" s="10">
        <v>19</v>
      </c>
      <c r="F2725" t="s">
        <v>1382</v>
      </c>
      <c r="G2725" t="s">
        <v>31</v>
      </c>
      <c r="H2725" t="s">
        <v>26</v>
      </c>
      <c r="I2725" t="s">
        <v>27</v>
      </c>
      <c r="J2725" s="4">
        <v>13.87</v>
      </c>
      <c r="K2725">
        <v>2</v>
      </c>
      <c r="L2725">
        <v>13.87</v>
      </c>
      <c r="M2725">
        <v>27.74</v>
      </c>
      <c r="N2725" s="5">
        <v>1.4041619797525309</v>
      </c>
      <c r="O2725" t="s">
        <v>181</v>
      </c>
      <c r="P2725" t="s">
        <v>340</v>
      </c>
      <c r="Q2725" s="10" t="s">
        <v>24</v>
      </c>
    </row>
    <row r="2726" spans="1:18" hidden="1" x14ac:dyDescent="0.25">
      <c r="A2726" s="9" t="s">
        <v>1314</v>
      </c>
      <c r="B2726" s="3" t="s">
        <v>1369</v>
      </c>
      <c r="C2726" s="10">
        <v>24</v>
      </c>
      <c r="D2726" s="10">
        <v>10</v>
      </c>
      <c r="E2726" s="10">
        <v>19</v>
      </c>
      <c r="F2726" t="s">
        <v>55</v>
      </c>
      <c r="G2726" t="s">
        <v>889</v>
      </c>
      <c r="H2726" t="s">
        <v>56</v>
      </c>
      <c r="I2726" t="s">
        <v>27</v>
      </c>
      <c r="J2726" s="4">
        <v>18.5</v>
      </c>
      <c r="K2726">
        <v>1.038</v>
      </c>
      <c r="L2726">
        <v>18.5</v>
      </c>
      <c r="M2726">
        <v>19.202999999999999</v>
      </c>
      <c r="N2726" s="5">
        <v>0.97203037120359947</v>
      </c>
      <c r="O2726" t="s">
        <v>181</v>
      </c>
      <c r="P2726" t="s">
        <v>340</v>
      </c>
      <c r="Q2726" s="10" t="s">
        <v>24</v>
      </c>
    </row>
    <row r="2727" spans="1:18" hidden="1" x14ac:dyDescent="0.25">
      <c r="A2727" s="9" t="s">
        <v>1314</v>
      </c>
      <c r="B2727" s="3" t="s">
        <v>1369</v>
      </c>
      <c r="C2727" s="10">
        <v>24</v>
      </c>
      <c r="D2727" s="10">
        <v>10</v>
      </c>
      <c r="E2727" s="10">
        <v>19</v>
      </c>
      <c r="F2727" t="s">
        <v>404</v>
      </c>
      <c r="G2727" t="s">
        <v>889</v>
      </c>
      <c r="H2727" t="s">
        <v>54</v>
      </c>
      <c r="I2727" t="s">
        <v>27</v>
      </c>
      <c r="J2727" s="4">
        <v>28.5</v>
      </c>
      <c r="K2727">
        <v>0.58799999999999997</v>
      </c>
      <c r="L2727">
        <v>28.5</v>
      </c>
      <c r="M2727">
        <v>16.757999999999999</v>
      </c>
      <c r="N2727" s="5">
        <v>0.84826771653543298</v>
      </c>
      <c r="O2727" t="s">
        <v>181</v>
      </c>
      <c r="P2727" t="s">
        <v>340</v>
      </c>
      <c r="Q2727" s="10" t="s">
        <v>24</v>
      </c>
    </row>
    <row r="2728" spans="1:18" hidden="1" x14ac:dyDescent="0.25">
      <c r="A2728" s="9" t="s">
        <v>1314</v>
      </c>
      <c r="B2728" s="3" t="s">
        <v>1369</v>
      </c>
      <c r="C2728" s="10">
        <v>24</v>
      </c>
      <c r="D2728" s="10">
        <v>10</v>
      </c>
      <c r="E2728" s="10">
        <v>19</v>
      </c>
      <c r="F2728" t="s">
        <v>202</v>
      </c>
      <c r="G2728" t="s">
        <v>889</v>
      </c>
      <c r="H2728" t="s">
        <v>54</v>
      </c>
      <c r="I2728" t="s">
        <v>27</v>
      </c>
      <c r="J2728" s="4">
        <v>85.6</v>
      </c>
      <c r="K2728">
        <v>0.55600000000000005</v>
      </c>
      <c r="L2728">
        <v>85.6</v>
      </c>
      <c r="M2728">
        <v>47.593600000000002</v>
      </c>
      <c r="N2728" s="5">
        <v>2.409124859392576</v>
      </c>
      <c r="O2728" t="s">
        <v>181</v>
      </c>
      <c r="P2728" t="s">
        <v>340</v>
      </c>
      <c r="Q2728" s="10" t="s">
        <v>24</v>
      </c>
    </row>
    <row r="2729" spans="1:18" hidden="1" x14ac:dyDescent="0.25">
      <c r="A2729" s="9" t="s">
        <v>1314</v>
      </c>
      <c r="B2729" s="3" t="s">
        <v>1369</v>
      </c>
      <c r="C2729" s="10">
        <v>24</v>
      </c>
      <c r="D2729" s="10">
        <v>10</v>
      </c>
      <c r="E2729" s="10">
        <v>19</v>
      </c>
      <c r="F2729" t="s">
        <v>1123</v>
      </c>
      <c r="G2729" t="s">
        <v>77</v>
      </c>
      <c r="H2729" t="s">
        <v>26</v>
      </c>
      <c r="I2729" t="s">
        <v>27</v>
      </c>
      <c r="J2729" s="4">
        <v>34.729999999999997</v>
      </c>
      <c r="K2729">
        <v>1</v>
      </c>
      <c r="L2729">
        <v>34.729999999999997</v>
      </c>
      <c r="M2729">
        <v>34.729999999999997</v>
      </c>
      <c r="N2729" s="5">
        <v>1.7579865016872889</v>
      </c>
      <c r="O2729" t="s">
        <v>181</v>
      </c>
      <c r="P2729" t="s">
        <v>340</v>
      </c>
      <c r="Q2729" s="10" t="s">
        <v>24</v>
      </c>
    </row>
    <row r="2730" spans="1:18" hidden="1" x14ac:dyDescent="0.25">
      <c r="A2730" s="9" t="s">
        <v>1314</v>
      </c>
      <c r="B2730" s="3" t="s">
        <v>1369</v>
      </c>
      <c r="C2730" s="10">
        <v>24</v>
      </c>
      <c r="D2730" s="10">
        <v>10</v>
      </c>
      <c r="E2730" s="10">
        <v>19</v>
      </c>
      <c r="F2730" t="s">
        <v>1381</v>
      </c>
      <c r="G2730" t="s">
        <v>889</v>
      </c>
      <c r="H2730" t="s">
        <v>53</v>
      </c>
      <c r="I2730" t="s">
        <v>27</v>
      </c>
      <c r="J2730" s="4">
        <v>21.73</v>
      </c>
      <c r="K2730">
        <v>1</v>
      </c>
      <c r="L2730">
        <v>21.73</v>
      </c>
      <c r="M2730">
        <v>21.73</v>
      </c>
      <c r="N2730" s="5">
        <v>1.0999437570303712</v>
      </c>
      <c r="O2730" t="s">
        <v>181</v>
      </c>
      <c r="P2730" t="s">
        <v>340</v>
      </c>
      <c r="Q2730" s="10" t="s">
        <v>24</v>
      </c>
    </row>
    <row r="2731" spans="1:18" hidden="1" x14ac:dyDescent="0.25">
      <c r="A2731" s="9" t="s">
        <v>1314</v>
      </c>
      <c r="B2731" s="3" t="s">
        <v>1369</v>
      </c>
      <c r="C2731" s="10">
        <v>24</v>
      </c>
      <c r="D2731" s="10">
        <v>10</v>
      </c>
      <c r="E2731" s="10">
        <v>19</v>
      </c>
      <c r="F2731" t="s">
        <v>1466</v>
      </c>
      <c r="G2731" t="s">
        <v>31</v>
      </c>
      <c r="H2731" t="s">
        <v>26</v>
      </c>
      <c r="I2731" t="s">
        <v>27</v>
      </c>
      <c r="J2731" s="4">
        <v>33.56</v>
      </c>
      <c r="K2731">
        <v>2</v>
      </c>
      <c r="L2731">
        <v>33.56</v>
      </c>
      <c r="M2731">
        <v>67.12</v>
      </c>
      <c r="N2731" s="5">
        <v>3.3975253093363329</v>
      </c>
      <c r="O2731" t="s">
        <v>181</v>
      </c>
      <c r="P2731" t="s">
        <v>340</v>
      </c>
      <c r="Q2731" s="10" t="s">
        <v>24</v>
      </c>
    </row>
    <row r="2732" spans="1:18" hidden="1" x14ac:dyDescent="0.25">
      <c r="A2732" s="9" t="s">
        <v>1314</v>
      </c>
      <c r="B2732" s="3" t="s">
        <v>1369</v>
      </c>
      <c r="C2732" s="10">
        <v>24</v>
      </c>
      <c r="D2732" s="10">
        <v>10</v>
      </c>
      <c r="E2732" s="10">
        <v>19</v>
      </c>
      <c r="F2732" t="s">
        <v>159</v>
      </c>
      <c r="I2732" t="s">
        <v>72</v>
      </c>
      <c r="J2732" s="4">
        <v>61</v>
      </c>
      <c r="K2732">
        <v>1</v>
      </c>
      <c r="L2732">
        <v>1205.088888888889</v>
      </c>
      <c r="M2732">
        <v>1205.088888888889</v>
      </c>
      <c r="N2732" s="5">
        <v>61</v>
      </c>
      <c r="O2732" t="s">
        <v>39</v>
      </c>
      <c r="P2732" t="s">
        <v>340</v>
      </c>
      <c r="Q2732" s="10" t="s">
        <v>24</v>
      </c>
      <c r="R2732" t="s">
        <v>1411</v>
      </c>
    </row>
    <row r="2733" spans="1:18" hidden="1" x14ac:dyDescent="0.25">
      <c r="A2733" s="9" t="s">
        <v>1314</v>
      </c>
      <c r="B2733" s="3" t="s">
        <v>1369</v>
      </c>
      <c r="C2733" s="10">
        <v>24</v>
      </c>
      <c r="D2733" s="10">
        <v>10</v>
      </c>
      <c r="E2733" s="10">
        <v>19</v>
      </c>
      <c r="F2733" t="s">
        <v>1592</v>
      </c>
      <c r="G2733" t="s">
        <v>489</v>
      </c>
      <c r="H2733" t="s">
        <v>709</v>
      </c>
      <c r="I2733" t="s">
        <v>79</v>
      </c>
      <c r="J2733" s="4">
        <v>700</v>
      </c>
      <c r="K2733">
        <v>1</v>
      </c>
      <c r="L2733">
        <v>700</v>
      </c>
      <c r="M2733">
        <v>700</v>
      </c>
      <c r="N2733" s="5">
        <v>35.433070866141733</v>
      </c>
      <c r="O2733" t="s">
        <v>39</v>
      </c>
      <c r="P2733" t="s">
        <v>340</v>
      </c>
      <c r="Q2733" s="10" t="s">
        <v>24</v>
      </c>
    </row>
    <row r="2734" spans="1:18" hidden="1" x14ac:dyDescent="0.25">
      <c r="A2734" s="9" t="s">
        <v>1314</v>
      </c>
      <c r="B2734" s="3" t="s">
        <v>1369</v>
      </c>
      <c r="C2734" s="10">
        <v>24</v>
      </c>
      <c r="D2734" s="10">
        <v>10</v>
      </c>
      <c r="E2734" s="10">
        <v>19</v>
      </c>
      <c r="F2734" t="s">
        <v>1590</v>
      </c>
      <c r="G2734" t="s">
        <v>489</v>
      </c>
      <c r="H2734" t="s">
        <v>709</v>
      </c>
      <c r="I2734" t="s">
        <v>79</v>
      </c>
      <c r="J2734" s="4">
        <v>1077</v>
      </c>
      <c r="K2734">
        <v>1</v>
      </c>
      <c r="L2734">
        <v>1077</v>
      </c>
      <c r="M2734">
        <v>1077</v>
      </c>
      <c r="N2734" s="5">
        <v>54.516310461192347</v>
      </c>
      <c r="O2734" t="s">
        <v>39</v>
      </c>
      <c r="P2734" t="s">
        <v>340</v>
      </c>
      <c r="Q2734" s="10" t="s">
        <v>24</v>
      </c>
    </row>
    <row r="2735" spans="1:18" hidden="1" x14ac:dyDescent="0.25">
      <c r="A2735" s="9" t="s">
        <v>1314</v>
      </c>
      <c r="B2735" s="3" t="s">
        <v>1369</v>
      </c>
      <c r="C2735" s="10">
        <v>24</v>
      </c>
      <c r="D2735" s="10">
        <v>10</v>
      </c>
      <c r="E2735" s="10">
        <v>19</v>
      </c>
      <c r="F2735" t="s">
        <v>1586</v>
      </c>
      <c r="G2735" t="s">
        <v>489</v>
      </c>
      <c r="H2735" t="s">
        <v>709</v>
      </c>
      <c r="I2735" t="s">
        <v>79</v>
      </c>
      <c r="J2735" s="4">
        <v>200</v>
      </c>
      <c r="K2735">
        <v>1</v>
      </c>
      <c r="L2735">
        <v>200</v>
      </c>
      <c r="M2735">
        <v>200</v>
      </c>
      <c r="N2735" s="5">
        <v>10.123734533183352</v>
      </c>
      <c r="O2735" t="s">
        <v>39</v>
      </c>
      <c r="P2735" t="s">
        <v>340</v>
      </c>
      <c r="Q2735" s="10" t="s">
        <v>24</v>
      </c>
    </row>
    <row r="2736" spans="1:18" hidden="1" x14ac:dyDescent="0.25">
      <c r="A2736" s="9" t="s">
        <v>1314</v>
      </c>
      <c r="B2736" s="3" t="s">
        <v>1388</v>
      </c>
      <c r="C2736" s="10">
        <v>25</v>
      </c>
      <c r="D2736" s="10">
        <v>10</v>
      </c>
      <c r="E2736" s="10">
        <v>19</v>
      </c>
      <c r="F2736" t="s">
        <v>958</v>
      </c>
      <c r="G2736" t="s">
        <v>889</v>
      </c>
      <c r="H2736" t="s">
        <v>53</v>
      </c>
      <c r="I2736" t="s">
        <v>27</v>
      </c>
      <c r="J2736" s="4">
        <v>29.9</v>
      </c>
      <c r="K2736">
        <v>2</v>
      </c>
      <c r="L2736">
        <v>29.9</v>
      </c>
      <c r="M2736">
        <v>59.8</v>
      </c>
      <c r="N2736" s="5">
        <v>3.0269966254218219</v>
      </c>
      <c r="O2736" t="s">
        <v>51</v>
      </c>
      <c r="P2736" t="s">
        <v>340</v>
      </c>
      <c r="Q2736" s="10" t="s">
        <v>24</v>
      </c>
    </row>
    <row r="2737" spans="1:18" hidden="1" x14ac:dyDescent="0.25">
      <c r="A2737" s="9" t="s">
        <v>1314</v>
      </c>
      <c r="B2737" s="3" t="s">
        <v>1388</v>
      </c>
      <c r="C2737" s="10">
        <v>25</v>
      </c>
      <c r="D2737" s="10">
        <v>10</v>
      </c>
      <c r="E2737" s="10">
        <v>19</v>
      </c>
      <c r="F2737" t="s">
        <v>1214</v>
      </c>
      <c r="G2737" t="s">
        <v>889</v>
      </c>
      <c r="H2737" t="s">
        <v>53</v>
      </c>
      <c r="I2737" t="s">
        <v>27</v>
      </c>
      <c r="J2737" s="4">
        <v>62.93</v>
      </c>
      <c r="K2737">
        <v>1</v>
      </c>
      <c r="L2737">
        <v>62.93</v>
      </c>
      <c r="M2737">
        <v>62.93</v>
      </c>
      <c r="N2737" s="5">
        <v>3.1854330708661416</v>
      </c>
      <c r="O2737" t="s">
        <v>51</v>
      </c>
      <c r="P2737" t="s">
        <v>340</v>
      </c>
      <c r="Q2737" s="10" t="s">
        <v>24</v>
      </c>
    </row>
    <row r="2738" spans="1:18" hidden="1" x14ac:dyDescent="0.25">
      <c r="A2738" s="9" t="s">
        <v>1314</v>
      </c>
      <c r="B2738" s="3" t="s">
        <v>1388</v>
      </c>
      <c r="C2738" s="10">
        <v>25</v>
      </c>
      <c r="D2738" s="10">
        <v>10</v>
      </c>
      <c r="E2738" s="10">
        <v>19</v>
      </c>
      <c r="F2738" t="s">
        <v>1383</v>
      </c>
      <c r="G2738" t="s">
        <v>889</v>
      </c>
      <c r="H2738" t="s">
        <v>53</v>
      </c>
      <c r="I2738" t="s">
        <v>27</v>
      </c>
      <c r="J2738" s="4">
        <v>18.989999999999998</v>
      </c>
      <c r="K2738">
        <v>12</v>
      </c>
      <c r="L2738">
        <v>18.989999999999998</v>
      </c>
      <c r="M2738">
        <v>227.88</v>
      </c>
      <c r="N2738" s="5">
        <v>11.581408242469042</v>
      </c>
      <c r="O2738" t="s">
        <v>51</v>
      </c>
      <c r="P2738" t="s">
        <v>340</v>
      </c>
      <c r="Q2738" s="10" t="s">
        <v>24</v>
      </c>
    </row>
    <row r="2739" spans="1:18" hidden="1" x14ac:dyDescent="0.25">
      <c r="A2739" s="9" t="s">
        <v>1314</v>
      </c>
      <c r="B2739" s="3" t="s">
        <v>1388</v>
      </c>
      <c r="C2739" s="10">
        <v>25</v>
      </c>
      <c r="D2739" s="10">
        <v>10</v>
      </c>
      <c r="E2739" s="10">
        <v>19</v>
      </c>
      <c r="F2739" t="s">
        <v>316</v>
      </c>
      <c r="H2739" t="s">
        <v>49</v>
      </c>
      <c r="I2739" t="s">
        <v>79</v>
      </c>
      <c r="J2739" s="4">
        <v>38.9</v>
      </c>
      <c r="K2739">
        <v>1</v>
      </c>
      <c r="L2739">
        <v>38.9</v>
      </c>
      <c r="M2739">
        <v>38.9</v>
      </c>
      <c r="N2739" s="5">
        <v>1.9690663667041619</v>
      </c>
      <c r="O2739" t="s">
        <v>51</v>
      </c>
      <c r="P2739" t="s">
        <v>340</v>
      </c>
      <c r="Q2739" s="10" t="s">
        <v>24</v>
      </c>
      <c r="R2739" t="s">
        <v>1583</v>
      </c>
    </row>
    <row r="2740" spans="1:18" hidden="1" x14ac:dyDescent="0.25">
      <c r="A2740" s="9" t="s">
        <v>1314</v>
      </c>
      <c r="B2740" s="3" t="s">
        <v>1388</v>
      </c>
      <c r="C2740" s="10">
        <v>25</v>
      </c>
      <c r="D2740" s="10">
        <v>10</v>
      </c>
      <c r="E2740" s="10">
        <v>19</v>
      </c>
      <c r="F2740" t="s">
        <v>44</v>
      </c>
      <c r="G2740" t="s">
        <v>889</v>
      </c>
      <c r="H2740" t="s">
        <v>44</v>
      </c>
      <c r="I2740" t="s">
        <v>27</v>
      </c>
      <c r="J2740" s="4">
        <v>20.9</v>
      </c>
      <c r="K2740">
        <v>1</v>
      </c>
      <c r="L2740">
        <v>20.9</v>
      </c>
      <c r="M2740">
        <v>20.9</v>
      </c>
      <c r="N2740" s="5">
        <v>1.0579302587176602</v>
      </c>
      <c r="O2740" t="s">
        <v>51</v>
      </c>
      <c r="P2740" t="s">
        <v>340</v>
      </c>
      <c r="Q2740" s="10" t="s">
        <v>84</v>
      </c>
    </row>
    <row r="2741" spans="1:18" hidden="1" x14ac:dyDescent="0.25">
      <c r="A2741" s="9" t="s">
        <v>1314</v>
      </c>
      <c r="B2741" s="3" t="s">
        <v>1388</v>
      </c>
      <c r="C2741" s="10">
        <v>25</v>
      </c>
      <c r="D2741" s="10">
        <v>10</v>
      </c>
      <c r="E2741" s="10">
        <v>19</v>
      </c>
      <c r="F2741" t="s">
        <v>1382</v>
      </c>
      <c r="G2741" t="s">
        <v>31</v>
      </c>
      <c r="H2741" t="s">
        <v>26</v>
      </c>
      <c r="I2741" t="s">
        <v>27</v>
      </c>
      <c r="J2741" s="4">
        <v>14.49</v>
      </c>
      <c r="K2741">
        <v>2</v>
      </c>
      <c r="L2741">
        <v>14.49</v>
      </c>
      <c r="M2741">
        <v>28.98</v>
      </c>
      <c r="N2741" s="5">
        <v>1.4669291338582677</v>
      </c>
      <c r="O2741" t="s">
        <v>51</v>
      </c>
      <c r="P2741" t="s">
        <v>340</v>
      </c>
      <c r="Q2741" s="10" t="s">
        <v>24</v>
      </c>
    </row>
    <row r="2742" spans="1:18" hidden="1" x14ac:dyDescent="0.25">
      <c r="A2742" s="9" t="s">
        <v>1314</v>
      </c>
      <c r="B2742" s="3" t="s">
        <v>1388</v>
      </c>
      <c r="C2742" s="10">
        <v>25</v>
      </c>
      <c r="D2742" s="10">
        <v>10</v>
      </c>
      <c r="E2742" s="10">
        <v>19</v>
      </c>
      <c r="F2742" t="s">
        <v>1384</v>
      </c>
      <c r="G2742" t="s">
        <v>31</v>
      </c>
      <c r="H2742" t="s">
        <v>26</v>
      </c>
      <c r="I2742" t="s">
        <v>27</v>
      </c>
      <c r="J2742" s="4">
        <v>17.899999999999999</v>
      </c>
      <c r="K2742">
        <v>1</v>
      </c>
      <c r="L2742">
        <v>17.899999999999999</v>
      </c>
      <c r="M2742">
        <v>17.899999999999999</v>
      </c>
      <c r="N2742" s="5">
        <v>0.90607424071990994</v>
      </c>
      <c r="O2742" t="s">
        <v>51</v>
      </c>
      <c r="P2742" t="s">
        <v>340</v>
      </c>
      <c r="Q2742" s="10" t="s">
        <v>24</v>
      </c>
    </row>
    <row r="2743" spans="1:18" hidden="1" x14ac:dyDescent="0.25">
      <c r="A2743" s="9" t="s">
        <v>1314</v>
      </c>
      <c r="B2743" s="3" t="s">
        <v>1388</v>
      </c>
      <c r="C2743" s="10">
        <v>25</v>
      </c>
      <c r="D2743" s="10">
        <v>10</v>
      </c>
      <c r="E2743" s="10">
        <v>19</v>
      </c>
      <c r="F2743" t="s">
        <v>1381</v>
      </c>
      <c r="G2743" t="s">
        <v>889</v>
      </c>
      <c r="H2743" t="s">
        <v>53</v>
      </c>
      <c r="I2743" t="s">
        <v>27</v>
      </c>
      <c r="J2743" s="4">
        <v>21.49</v>
      </c>
      <c r="K2743">
        <v>1</v>
      </c>
      <c r="L2743">
        <v>21.49</v>
      </c>
      <c r="M2743">
        <v>21.49</v>
      </c>
      <c r="N2743" s="5">
        <v>1.0877952755905511</v>
      </c>
      <c r="O2743" t="s">
        <v>51</v>
      </c>
      <c r="P2743" t="s">
        <v>340</v>
      </c>
      <c r="Q2743" s="10" t="s">
        <v>24</v>
      </c>
    </row>
    <row r="2744" spans="1:18" hidden="1" x14ac:dyDescent="0.25">
      <c r="A2744" s="9" t="s">
        <v>1314</v>
      </c>
      <c r="B2744" s="3" t="s">
        <v>1388</v>
      </c>
      <c r="C2744" s="10">
        <v>25</v>
      </c>
      <c r="D2744" s="10">
        <v>10</v>
      </c>
      <c r="E2744" s="10">
        <v>19</v>
      </c>
      <c r="F2744" t="s">
        <v>2344</v>
      </c>
      <c r="G2744" t="s">
        <v>889</v>
      </c>
      <c r="H2744" t="s">
        <v>59</v>
      </c>
      <c r="I2744" t="s">
        <v>27</v>
      </c>
      <c r="J2744" s="4">
        <v>18.899999999999999</v>
      </c>
      <c r="K2744">
        <v>6</v>
      </c>
      <c r="L2744">
        <v>18.899999999999999</v>
      </c>
      <c r="M2744">
        <v>113.39999999999999</v>
      </c>
      <c r="N2744" s="5">
        <v>5.7401574803149602</v>
      </c>
      <c r="O2744" t="s">
        <v>51</v>
      </c>
      <c r="P2744" t="s">
        <v>340</v>
      </c>
      <c r="Q2744" s="10" t="s">
        <v>24</v>
      </c>
    </row>
    <row r="2745" spans="1:18" hidden="1" x14ac:dyDescent="0.25">
      <c r="A2745" s="9" t="s">
        <v>1314</v>
      </c>
      <c r="B2745" s="3" t="s">
        <v>1388</v>
      </c>
      <c r="C2745" s="10">
        <v>25</v>
      </c>
      <c r="D2745" s="10">
        <v>10</v>
      </c>
      <c r="E2745" s="10">
        <v>19</v>
      </c>
      <c r="F2745" t="s">
        <v>61</v>
      </c>
      <c r="H2745" t="s">
        <v>62</v>
      </c>
      <c r="I2745" t="s">
        <v>27</v>
      </c>
      <c r="J2745" s="4">
        <v>12.49</v>
      </c>
      <c r="K2745">
        <v>1</v>
      </c>
      <c r="L2745">
        <v>12.49</v>
      </c>
      <c r="M2745">
        <v>12.49</v>
      </c>
      <c r="N2745" s="5">
        <v>0.63222722159730027</v>
      </c>
      <c r="O2745" t="s">
        <v>51</v>
      </c>
      <c r="P2745" t="s">
        <v>340</v>
      </c>
      <c r="Q2745" s="10" t="s">
        <v>24</v>
      </c>
    </row>
    <row r="2746" spans="1:18" hidden="1" x14ac:dyDescent="0.25">
      <c r="A2746" s="9" t="s">
        <v>1314</v>
      </c>
      <c r="B2746" s="3" t="s">
        <v>1388</v>
      </c>
      <c r="C2746" s="10">
        <v>25</v>
      </c>
      <c r="D2746" s="10">
        <v>10</v>
      </c>
      <c r="E2746" s="10">
        <v>19</v>
      </c>
      <c r="F2746" t="s">
        <v>174</v>
      </c>
      <c r="G2746" t="s">
        <v>889</v>
      </c>
      <c r="H2746" t="s">
        <v>54</v>
      </c>
      <c r="I2746" t="s">
        <v>27</v>
      </c>
      <c r="J2746" s="4">
        <v>10.9</v>
      </c>
      <c r="K2746">
        <v>1</v>
      </c>
      <c r="L2746">
        <v>10.9</v>
      </c>
      <c r="M2746">
        <v>10.9</v>
      </c>
      <c r="N2746" s="5">
        <v>0.55174353205849269</v>
      </c>
      <c r="O2746" t="s">
        <v>51</v>
      </c>
      <c r="P2746" t="s">
        <v>340</v>
      </c>
      <c r="Q2746" s="10" t="s">
        <v>24</v>
      </c>
    </row>
    <row r="2747" spans="1:18" hidden="1" x14ac:dyDescent="0.25">
      <c r="A2747" s="9" t="s">
        <v>1314</v>
      </c>
      <c r="B2747" s="3" t="s">
        <v>1388</v>
      </c>
      <c r="C2747" s="10">
        <v>25</v>
      </c>
      <c r="D2747" s="10">
        <v>10</v>
      </c>
      <c r="E2747" s="10">
        <v>19</v>
      </c>
      <c r="F2747" t="s">
        <v>1385</v>
      </c>
      <c r="G2747" t="s">
        <v>889</v>
      </c>
      <c r="H2747" t="s">
        <v>59</v>
      </c>
      <c r="I2747" t="s">
        <v>27</v>
      </c>
      <c r="J2747" s="4">
        <v>84.9</v>
      </c>
      <c r="K2747">
        <v>1</v>
      </c>
      <c r="L2747">
        <v>84.9</v>
      </c>
      <c r="M2747">
        <v>84.9</v>
      </c>
      <c r="N2747" s="5">
        <v>4.2975253093363328</v>
      </c>
      <c r="O2747" t="s">
        <v>51</v>
      </c>
      <c r="P2747" t="s">
        <v>340</v>
      </c>
      <c r="Q2747" s="10" t="s">
        <v>84</v>
      </c>
    </row>
    <row r="2748" spans="1:18" hidden="1" x14ac:dyDescent="0.25">
      <c r="A2748" s="9" t="s">
        <v>1314</v>
      </c>
      <c r="B2748" s="3" t="s">
        <v>1388</v>
      </c>
      <c r="C2748" s="10">
        <v>25</v>
      </c>
      <c r="D2748" s="10">
        <v>10</v>
      </c>
      <c r="E2748" s="10">
        <v>19</v>
      </c>
      <c r="F2748" t="s">
        <v>578</v>
      </c>
      <c r="G2748" t="s">
        <v>889</v>
      </c>
      <c r="H2748" t="s">
        <v>49</v>
      </c>
      <c r="I2748" t="s">
        <v>50</v>
      </c>
      <c r="J2748" s="4">
        <v>14.9</v>
      </c>
      <c r="K2748">
        <v>1</v>
      </c>
      <c r="L2748">
        <v>14.9</v>
      </c>
      <c r="M2748">
        <v>14.9</v>
      </c>
      <c r="N2748" s="5">
        <v>0.75421822272215977</v>
      </c>
      <c r="O2748" t="s">
        <v>51</v>
      </c>
      <c r="P2748" t="s">
        <v>340</v>
      </c>
      <c r="Q2748" s="10" t="s">
        <v>24</v>
      </c>
    </row>
    <row r="2749" spans="1:18" hidden="1" x14ac:dyDescent="0.25">
      <c r="A2749" s="9" t="s">
        <v>1314</v>
      </c>
      <c r="B2749" s="3" t="s">
        <v>1388</v>
      </c>
      <c r="C2749" s="10">
        <v>25</v>
      </c>
      <c r="D2749" s="10">
        <v>10</v>
      </c>
      <c r="E2749" s="10">
        <v>19</v>
      </c>
      <c r="F2749" t="s">
        <v>962</v>
      </c>
      <c r="G2749" t="s">
        <v>889</v>
      </c>
      <c r="H2749" t="s">
        <v>49</v>
      </c>
      <c r="I2749" t="s">
        <v>50</v>
      </c>
      <c r="J2749" s="4">
        <v>95.9</v>
      </c>
      <c r="K2749">
        <v>1</v>
      </c>
      <c r="L2749">
        <v>95.9</v>
      </c>
      <c r="M2749">
        <v>95.9</v>
      </c>
      <c r="N2749" s="5">
        <v>4.8543307086614176</v>
      </c>
      <c r="O2749" t="s">
        <v>51</v>
      </c>
      <c r="P2749" t="s">
        <v>340</v>
      </c>
      <c r="Q2749" s="10" t="s">
        <v>24</v>
      </c>
    </row>
    <row r="2750" spans="1:18" hidden="1" x14ac:dyDescent="0.25">
      <c r="A2750" s="9" t="s">
        <v>1314</v>
      </c>
      <c r="B2750" s="3" t="s">
        <v>1388</v>
      </c>
      <c r="C2750" s="10">
        <v>25</v>
      </c>
      <c r="D2750" s="10">
        <v>10</v>
      </c>
      <c r="E2750" s="10">
        <v>19</v>
      </c>
      <c r="F2750" t="s">
        <v>66</v>
      </c>
      <c r="G2750" t="s">
        <v>67</v>
      </c>
      <c r="H2750" t="s">
        <v>59</v>
      </c>
      <c r="I2750" t="s">
        <v>27</v>
      </c>
      <c r="J2750" s="4">
        <v>149</v>
      </c>
      <c r="K2750">
        <v>2</v>
      </c>
      <c r="L2750">
        <v>149</v>
      </c>
      <c r="M2750">
        <v>298</v>
      </c>
      <c r="N2750" s="5">
        <v>15.084364454443193</v>
      </c>
      <c r="O2750" t="s">
        <v>51</v>
      </c>
      <c r="P2750" t="s">
        <v>340</v>
      </c>
      <c r="Q2750" s="10" t="s">
        <v>24</v>
      </c>
    </row>
    <row r="2751" spans="1:18" hidden="1" x14ac:dyDescent="0.25">
      <c r="A2751" s="9" t="s">
        <v>1314</v>
      </c>
      <c r="B2751" s="3" t="s">
        <v>1388</v>
      </c>
      <c r="C2751" s="10">
        <v>25</v>
      </c>
      <c r="D2751" s="10">
        <v>10</v>
      </c>
      <c r="E2751" s="10">
        <v>19</v>
      </c>
      <c r="F2751" t="s">
        <v>206</v>
      </c>
      <c r="G2751" t="s">
        <v>889</v>
      </c>
      <c r="H2751" t="s">
        <v>56</v>
      </c>
      <c r="I2751" t="s">
        <v>27</v>
      </c>
      <c r="J2751" s="4">
        <v>29.9</v>
      </c>
      <c r="K2751">
        <v>0.39200000000000002</v>
      </c>
      <c r="L2751">
        <v>29.9</v>
      </c>
      <c r="M2751">
        <v>11.720800000000001</v>
      </c>
      <c r="N2751" s="5">
        <v>0.59329133858267713</v>
      </c>
      <c r="O2751" t="s">
        <v>51</v>
      </c>
      <c r="P2751" t="s">
        <v>340</v>
      </c>
      <c r="Q2751" s="10" t="s">
        <v>24</v>
      </c>
    </row>
    <row r="2752" spans="1:18" hidden="1" x14ac:dyDescent="0.25">
      <c r="A2752" s="9" t="s">
        <v>1314</v>
      </c>
      <c r="B2752" s="3" t="s">
        <v>1388</v>
      </c>
      <c r="C2752" s="10">
        <v>25</v>
      </c>
      <c r="D2752" s="10">
        <v>10</v>
      </c>
      <c r="E2752" s="10">
        <v>19</v>
      </c>
      <c r="F2752" t="s">
        <v>1386</v>
      </c>
      <c r="G2752" t="s">
        <v>889</v>
      </c>
      <c r="H2752" t="s">
        <v>59</v>
      </c>
      <c r="I2752" t="s">
        <v>27</v>
      </c>
      <c r="J2752" s="4">
        <v>74.900000000000006</v>
      </c>
      <c r="K2752">
        <v>1</v>
      </c>
      <c r="L2752">
        <v>74.900000000000006</v>
      </c>
      <c r="M2752">
        <v>74.900000000000006</v>
      </c>
      <c r="N2752" s="5">
        <v>3.7913385826771653</v>
      </c>
      <c r="O2752" t="s">
        <v>51</v>
      </c>
      <c r="P2752" t="s">
        <v>340</v>
      </c>
      <c r="Q2752" s="10" t="s">
        <v>24</v>
      </c>
    </row>
    <row r="2753" spans="1:18" hidden="1" x14ac:dyDescent="0.25">
      <c r="A2753" s="9" t="s">
        <v>1314</v>
      </c>
      <c r="B2753" s="3" t="s">
        <v>1388</v>
      </c>
      <c r="C2753" s="10">
        <v>25</v>
      </c>
      <c r="D2753" s="10">
        <v>10</v>
      </c>
      <c r="E2753" s="10">
        <v>19</v>
      </c>
      <c r="F2753" t="s">
        <v>744</v>
      </c>
      <c r="G2753" t="s">
        <v>889</v>
      </c>
      <c r="H2753" t="s">
        <v>54</v>
      </c>
      <c r="I2753" t="s">
        <v>27</v>
      </c>
      <c r="J2753" s="4">
        <v>7.88</v>
      </c>
      <c r="K2753">
        <v>1</v>
      </c>
      <c r="L2753">
        <v>7.88</v>
      </c>
      <c r="M2753">
        <v>7.88</v>
      </c>
      <c r="N2753" s="5">
        <v>0.39887514060742407</v>
      </c>
      <c r="O2753" t="s">
        <v>51</v>
      </c>
      <c r="P2753" t="s">
        <v>340</v>
      </c>
      <c r="Q2753" s="10" t="s">
        <v>24</v>
      </c>
    </row>
    <row r="2754" spans="1:18" hidden="1" x14ac:dyDescent="0.25">
      <c r="A2754" s="9" t="s">
        <v>1314</v>
      </c>
      <c r="B2754" s="3" t="s">
        <v>1388</v>
      </c>
      <c r="C2754" s="10">
        <v>25</v>
      </c>
      <c r="D2754" s="10">
        <v>10</v>
      </c>
      <c r="E2754" s="10">
        <v>19</v>
      </c>
      <c r="F2754" t="s">
        <v>1387</v>
      </c>
      <c r="G2754" t="s">
        <v>889</v>
      </c>
      <c r="H2754" t="s">
        <v>59</v>
      </c>
      <c r="I2754" t="s">
        <v>27</v>
      </c>
      <c r="J2754" s="4">
        <v>239</v>
      </c>
      <c r="K2754">
        <v>1</v>
      </c>
      <c r="L2754">
        <v>239</v>
      </c>
      <c r="M2754">
        <v>239</v>
      </c>
      <c r="N2754" s="5">
        <v>12.097862767154105</v>
      </c>
      <c r="O2754" t="s">
        <v>51</v>
      </c>
      <c r="P2754" t="s">
        <v>340</v>
      </c>
      <c r="Q2754" s="10" t="s">
        <v>84</v>
      </c>
    </row>
    <row r="2755" spans="1:18" hidden="1" x14ac:dyDescent="0.25">
      <c r="A2755" s="9" t="s">
        <v>1314</v>
      </c>
      <c r="B2755" s="3" t="s">
        <v>1388</v>
      </c>
      <c r="C2755" s="10">
        <v>25</v>
      </c>
      <c r="D2755" s="10">
        <v>10</v>
      </c>
      <c r="E2755" s="10">
        <v>19</v>
      </c>
      <c r="F2755" t="s">
        <v>44</v>
      </c>
      <c r="G2755" t="s">
        <v>889</v>
      </c>
      <c r="H2755" t="s">
        <v>44</v>
      </c>
      <c r="I2755" t="s">
        <v>27</v>
      </c>
      <c r="J2755" s="4">
        <v>25.79</v>
      </c>
      <c r="K2755">
        <v>1</v>
      </c>
      <c r="L2755">
        <v>25.79</v>
      </c>
      <c r="M2755">
        <v>25.79</v>
      </c>
      <c r="N2755" s="5">
        <v>1.3054555680539932</v>
      </c>
      <c r="O2755" t="s">
        <v>51</v>
      </c>
      <c r="P2755" t="s">
        <v>340</v>
      </c>
      <c r="Q2755" s="10" t="s">
        <v>24</v>
      </c>
    </row>
    <row r="2756" spans="1:18" hidden="1" x14ac:dyDescent="0.25">
      <c r="A2756" s="9" t="s">
        <v>1314</v>
      </c>
      <c r="B2756" s="3" t="s">
        <v>1388</v>
      </c>
      <c r="C2756" s="10">
        <v>25</v>
      </c>
      <c r="D2756" s="10">
        <v>10</v>
      </c>
      <c r="E2756" s="10">
        <v>19</v>
      </c>
      <c r="F2756" t="s">
        <v>1522</v>
      </c>
      <c r="G2756" t="s">
        <v>889</v>
      </c>
      <c r="H2756" t="s">
        <v>49</v>
      </c>
      <c r="I2756" t="s">
        <v>50</v>
      </c>
      <c r="J2756" s="4">
        <v>15.98</v>
      </c>
      <c r="K2756">
        <v>1</v>
      </c>
      <c r="L2756">
        <v>15.98</v>
      </c>
      <c r="M2756">
        <v>15.98</v>
      </c>
      <c r="N2756" s="5">
        <v>0.80888638920134981</v>
      </c>
      <c r="O2756" t="s">
        <v>51</v>
      </c>
      <c r="P2756" t="s">
        <v>340</v>
      </c>
      <c r="Q2756" s="10" t="s">
        <v>24</v>
      </c>
      <c r="R2756" t="s">
        <v>1520</v>
      </c>
    </row>
    <row r="2757" spans="1:18" hidden="1" x14ac:dyDescent="0.25">
      <c r="A2757" s="9" t="s">
        <v>1314</v>
      </c>
      <c r="B2757" s="3" t="s">
        <v>1388</v>
      </c>
      <c r="C2757" s="10">
        <v>25</v>
      </c>
      <c r="D2757" s="10">
        <v>10</v>
      </c>
      <c r="E2757" s="10">
        <v>19</v>
      </c>
      <c r="F2757" t="s">
        <v>745</v>
      </c>
      <c r="G2757" t="s">
        <v>889</v>
      </c>
      <c r="H2757" t="s">
        <v>56</v>
      </c>
      <c r="I2757" t="s">
        <v>27</v>
      </c>
      <c r="J2757" s="4">
        <v>64.900000000000006</v>
      </c>
      <c r="K2757">
        <v>1</v>
      </c>
      <c r="L2757">
        <v>64.900000000000006</v>
      </c>
      <c r="M2757">
        <v>64.900000000000006</v>
      </c>
      <c r="N2757" s="5">
        <v>3.2851518560179978</v>
      </c>
      <c r="O2757" t="s">
        <v>51</v>
      </c>
      <c r="P2757" t="s">
        <v>340</v>
      </c>
      <c r="Q2757" s="10" t="s">
        <v>24</v>
      </c>
    </row>
    <row r="2758" spans="1:18" hidden="1" x14ac:dyDescent="0.25">
      <c r="A2758" s="9" t="s">
        <v>1314</v>
      </c>
      <c r="B2758" s="3" t="s">
        <v>1396</v>
      </c>
      <c r="C2758" s="10">
        <v>26</v>
      </c>
      <c r="D2758" s="10">
        <v>10</v>
      </c>
      <c r="E2758" s="10">
        <v>19</v>
      </c>
      <c r="F2758" t="s">
        <v>81</v>
      </c>
      <c r="G2758" t="s">
        <v>889</v>
      </c>
      <c r="H2758" t="s">
        <v>889</v>
      </c>
      <c r="I2758" t="s">
        <v>39</v>
      </c>
      <c r="J2758" s="4">
        <v>654</v>
      </c>
      <c r="K2758">
        <v>1</v>
      </c>
      <c r="L2758">
        <v>654</v>
      </c>
      <c r="M2758">
        <v>654</v>
      </c>
      <c r="N2758" s="5">
        <v>33.104611923509559</v>
      </c>
      <c r="O2758" t="s">
        <v>39</v>
      </c>
      <c r="P2758" t="s">
        <v>340</v>
      </c>
      <c r="Q2758" s="10" t="s">
        <v>84</v>
      </c>
      <c r="R2758" t="s">
        <v>1391</v>
      </c>
    </row>
    <row r="2759" spans="1:18" hidden="1" x14ac:dyDescent="0.25">
      <c r="A2759" s="9" t="s">
        <v>1314</v>
      </c>
      <c r="B2759" s="3" t="s">
        <v>1396</v>
      </c>
      <c r="C2759" s="10">
        <v>26</v>
      </c>
      <c r="D2759" s="10">
        <v>10</v>
      </c>
      <c r="E2759" s="10">
        <v>19</v>
      </c>
      <c r="F2759" t="s">
        <v>1392</v>
      </c>
      <c r="G2759" t="s">
        <v>889</v>
      </c>
      <c r="H2759" t="s">
        <v>63</v>
      </c>
      <c r="I2759" t="s">
        <v>50</v>
      </c>
      <c r="J2759" s="4">
        <v>247</v>
      </c>
      <c r="K2759">
        <v>1</v>
      </c>
      <c r="L2759">
        <v>247</v>
      </c>
      <c r="M2759">
        <v>247</v>
      </c>
      <c r="N2759" s="5">
        <v>12.502812148481439</v>
      </c>
      <c r="O2759" t="s">
        <v>39</v>
      </c>
      <c r="P2759" t="s">
        <v>340</v>
      </c>
      <c r="Q2759" s="10" t="s">
        <v>24</v>
      </c>
    </row>
    <row r="2760" spans="1:18" hidden="1" x14ac:dyDescent="0.25">
      <c r="A2760" s="9" t="s">
        <v>1314</v>
      </c>
      <c r="B2760" s="3" t="s">
        <v>1396</v>
      </c>
      <c r="C2760" s="10">
        <v>26</v>
      </c>
      <c r="D2760" s="10">
        <v>10</v>
      </c>
      <c r="E2760" s="10">
        <v>19</v>
      </c>
      <c r="F2760" t="s">
        <v>81</v>
      </c>
      <c r="G2760" t="s">
        <v>889</v>
      </c>
      <c r="H2760" t="s">
        <v>889</v>
      </c>
      <c r="I2760" t="s">
        <v>39</v>
      </c>
      <c r="J2760" s="4">
        <v>137</v>
      </c>
      <c r="K2760">
        <v>1</v>
      </c>
      <c r="L2760">
        <v>137</v>
      </c>
      <c r="M2760">
        <v>137</v>
      </c>
      <c r="N2760" s="5">
        <v>6.9347581552305959</v>
      </c>
      <c r="O2760" t="s">
        <v>39</v>
      </c>
      <c r="P2760" t="s">
        <v>340</v>
      </c>
      <c r="Q2760" s="10" t="s">
        <v>84</v>
      </c>
      <c r="R2760" t="s">
        <v>1412</v>
      </c>
    </row>
    <row r="2761" spans="1:18" hidden="1" x14ac:dyDescent="0.25">
      <c r="A2761" s="9" t="s">
        <v>1314</v>
      </c>
      <c r="B2761" s="3" t="s">
        <v>1396</v>
      </c>
      <c r="C2761" s="10">
        <v>26</v>
      </c>
      <c r="D2761" s="10">
        <v>10</v>
      </c>
      <c r="E2761" s="10">
        <v>19</v>
      </c>
      <c r="F2761" t="s">
        <v>1147</v>
      </c>
      <c r="G2761" t="s">
        <v>889</v>
      </c>
      <c r="H2761" t="s">
        <v>1599</v>
      </c>
      <c r="I2761" t="s">
        <v>22</v>
      </c>
      <c r="J2761" s="4">
        <v>220</v>
      </c>
      <c r="K2761">
        <v>1</v>
      </c>
      <c r="L2761">
        <v>220</v>
      </c>
      <c r="M2761">
        <v>220</v>
      </c>
      <c r="N2761" s="5">
        <v>11.136107986501687</v>
      </c>
      <c r="O2761" t="s">
        <v>39</v>
      </c>
      <c r="P2761" t="s">
        <v>340</v>
      </c>
      <c r="Q2761" s="10" t="s">
        <v>24</v>
      </c>
    </row>
    <row r="2762" spans="1:18" hidden="1" x14ac:dyDescent="0.25">
      <c r="A2762" s="9" t="s">
        <v>1314</v>
      </c>
      <c r="B2762" s="3" t="s">
        <v>1394</v>
      </c>
      <c r="C2762" s="10">
        <v>27</v>
      </c>
      <c r="D2762" s="10">
        <v>10</v>
      </c>
      <c r="E2762" s="10">
        <v>19</v>
      </c>
      <c r="F2762" t="s">
        <v>78</v>
      </c>
      <c r="G2762" t="s">
        <v>889</v>
      </c>
      <c r="H2762" t="s">
        <v>78</v>
      </c>
      <c r="I2762" t="s">
        <v>79</v>
      </c>
      <c r="J2762" s="4">
        <v>18.63</v>
      </c>
      <c r="K2762">
        <v>44.25</v>
      </c>
      <c r="L2762">
        <v>18.63</v>
      </c>
      <c r="M2762">
        <v>824.37749999999994</v>
      </c>
      <c r="N2762" s="5">
        <v>41.72889482564679</v>
      </c>
      <c r="O2762" t="s">
        <v>39</v>
      </c>
      <c r="P2762" t="s">
        <v>340</v>
      </c>
      <c r="Q2762" s="10" t="s">
        <v>84</v>
      </c>
    </row>
    <row r="2763" spans="1:18" hidden="1" x14ac:dyDescent="0.25">
      <c r="A2763" s="9" t="s">
        <v>1314</v>
      </c>
      <c r="B2763" s="3" t="s">
        <v>1394</v>
      </c>
      <c r="C2763" s="10">
        <v>27</v>
      </c>
      <c r="D2763" s="10">
        <v>10</v>
      </c>
      <c r="E2763" s="10">
        <v>19</v>
      </c>
      <c r="F2763" t="s">
        <v>179</v>
      </c>
      <c r="G2763" t="s">
        <v>889</v>
      </c>
      <c r="H2763" t="s">
        <v>179</v>
      </c>
      <c r="I2763" t="s">
        <v>105</v>
      </c>
      <c r="J2763" s="4">
        <v>66</v>
      </c>
      <c r="K2763">
        <v>1</v>
      </c>
      <c r="L2763">
        <v>66</v>
      </c>
      <c r="M2763">
        <v>66</v>
      </c>
      <c r="N2763" s="5">
        <v>3.345159655347187</v>
      </c>
      <c r="O2763" t="s">
        <v>39</v>
      </c>
      <c r="P2763" t="s">
        <v>340</v>
      </c>
      <c r="Q2763" s="10" t="s">
        <v>24</v>
      </c>
    </row>
    <row r="2764" spans="1:18" hidden="1" x14ac:dyDescent="0.25">
      <c r="A2764" s="9" t="s">
        <v>1314</v>
      </c>
      <c r="B2764" s="3" t="s">
        <v>1394</v>
      </c>
      <c r="C2764" s="10">
        <v>27</v>
      </c>
      <c r="D2764" s="10">
        <v>10</v>
      </c>
      <c r="E2764" s="10">
        <v>19</v>
      </c>
      <c r="F2764" t="s">
        <v>176</v>
      </c>
      <c r="G2764" t="s">
        <v>889</v>
      </c>
      <c r="H2764" t="s">
        <v>176</v>
      </c>
      <c r="I2764" t="s">
        <v>105</v>
      </c>
      <c r="J2764" s="4">
        <v>146</v>
      </c>
      <c r="K2764">
        <v>1</v>
      </c>
      <c r="L2764">
        <v>146</v>
      </c>
      <c r="M2764">
        <v>146</v>
      </c>
      <c r="N2764" s="5">
        <v>7.3998986315255957</v>
      </c>
      <c r="O2764" t="s">
        <v>39</v>
      </c>
      <c r="P2764" t="s">
        <v>340</v>
      </c>
      <c r="Q2764" s="10" t="s">
        <v>24</v>
      </c>
    </row>
    <row r="2765" spans="1:18" hidden="1" x14ac:dyDescent="0.25">
      <c r="A2765" s="9" t="s">
        <v>1314</v>
      </c>
      <c r="B2765" s="3" t="s">
        <v>1394</v>
      </c>
      <c r="C2765" s="10">
        <v>27</v>
      </c>
      <c r="D2765" s="10">
        <v>10</v>
      </c>
      <c r="E2765" s="10">
        <v>19</v>
      </c>
      <c r="F2765" t="s">
        <v>197</v>
      </c>
      <c r="G2765" t="s">
        <v>889</v>
      </c>
      <c r="H2765" t="s">
        <v>1094</v>
      </c>
      <c r="I2765" t="s">
        <v>105</v>
      </c>
      <c r="J2765" s="4">
        <v>200</v>
      </c>
      <c r="K2765">
        <v>1</v>
      </c>
      <c r="L2765">
        <v>200</v>
      </c>
      <c r="M2765">
        <v>200</v>
      </c>
      <c r="N2765" s="5">
        <v>10.13684744044602</v>
      </c>
      <c r="O2765" t="s">
        <v>39</v>
      </c>
      <c r="P2765" t="s">
        <v>340</v>
      </c>
      <c r="Q2765" s="10" t="s">
        <v>24</v>
      </c>
    </row>
    <row r="2766" spans="1:18" hidden="1" x14ac:dyDescent="0.25">
      <c r="A2766" s="9" t="s">
        <v>1314</v>
      </c>
      <c r="B2766" s="3" t="s">
        <v>1394</v>
      </c>
      <c r="C2766" s="10">
        <v>27</v>
      </c>
      <c r="D2766" s="10">
        <v>10</v>
      </c>
      <c r="E2766" s="10">
        <v>19</v>
      </c>
      <c r="F2766" t="s">
        <v>199</v>
      </c>
      <c r="G2766" t="s">
        <v>889</v>
      </c>
      <c r="H2766" t="s">
        <v>1094</v>
      </c>
      <c r="I2766" t="s">
        <v>105</v>
      </c>
      <c r="J2766" s="4">
        <v>200</v>
      </c>
      <c r="K2766">
        <v>1</v>
      </c>
      <c r="L2766">
        <v>200</v>
      </c>
      <c r="M2766">
        <v>200</v>
      </c>
      <c r="N2766" s="5">
        <v>10.13684744044602</v>
      </c>
      <c r="O2766" t="s">
        <v>39</v>
      </c>
      <c r="P2766" t="s">
        <v>340</v>
      </c>
      <c r="Q2766" s="10" t="s">
        <v>24</v>
      </c>
    </row>
    <row r="2767" spans="1:18" hidden="1" x14ac:dyDescent="0.25">
      <c r="A2767" s="9" t="s">
        <v>1314</v>
      </c>
      <c r="B2767" s="3" t="s">
        <v>1394</v>
      </c>
      <c r="C2767" s="10">
        <v>27</v>
      </c>
      <c r="D2767" s="10">
        <v>10</v>
      </c>
      <c r="E2767" s="10">
        <v>19</v>
      </c>
      <c r="F2767" t="s">
        <v>390</v>
      </c>
      <c r="G2767" t="s">
        <v>304</v>
      </c>
      <c r="H2767" t="s">
        <v>39</v>
      </c>
      <c r="I2767" t="s">
        <v>79</v>
      </c>
      <c r="J2767" s="4">
        <v>310.24</v>
      </c>
      <c r="K2767">
        <v>1</v>
      </c>
      <c r="L2767">
        <v>310.24</v>
      </c>
      <c r="M2767">
        <v>310.24</v>
      </c>
      <c r="N2767" s="5">
        <v>15.724277749619869</v>
      </c>
      <c r="O2767" t="s">
        <v>39</v>
      </c>
      <c r="P2767" t="s">
        <v>340</v>
      </c>
      <c r="Q2767" s="10" t="s">
        <v>24</v>
      </c>
    </row>
    <row r="2768" spans="1:18" hidden="1" x14ac:dyDescent="0.25">
      <c r="A2768" s="9" t="s">
        <v>1314</v>
      </c>
      <c r="B2768" s="3" t="s">
        <v>1393</v>
      </c>
      <c r="C2768" s="10">
        <v>28</v>
      </c>
      <c r="D2768" s="10">
        <v>10</v>
      </c>
      <c r="E2768" s="10">
        <v>19</v>
      </c>
      <c r="F2768" t="s">
        <v>41</v>
      </c>
      <c r="G2768" t="s">
        <v>889</v>
      </c>
      <c r="H2768" t="s">
        <v>39</v>
      </c>
      <c r="I2768" t="s">
        <v>27</v>
      </c>
      <c r="J2768" s="4">
        <v>7</v>
      </c>
      <c r="K2768">
        <v>15</v>
      </c>
      <c r="L2768">
        <v>7</v>
      </c>
      <c r="M2768">
        <v>105</v>
      </c>
      <c r="N2768" s="5">
        <v>5.3149606299212593</v>
      </c>
      <c r="O2768" t="s">
        <v>39</v>
      </c>
      <c r="P2768" t="s">
        <v>340</v>
      </c>
      <c r="Q2768" s="10" t="s">
        <v>24</v>
      </c>
    </row>
    <row r="2769" spans="1:18" hidden="1" x14ac:dyDescent="0.25">
      <c r="A2769" s="9" t="s">
        <v>1314</v>
      </c>
      <c r="B2769" s="3" t="s">
        <v>1393</v>
      </c>
      <c r="C2769" s="10">
        <v>28</v>
      </c>
      <c r="D2769" s="10">
        <v>10</v>
      </c>
      <c r="E2769" s="10">
        <v>19</v>
      </c>
      <c r="F2769" t="s">
        <v>71</v>
      </c>
      <c r="I2769" t="s">
        <v>72</v>
      </c>
      <c r="J2769" s="4">
        <v>300</v>
      </c>
      <c r="K2769">
        <v>1</v>
      </c>
      <c r="L2769">
        <v>300</v>
      </c>
      <c r="M2769">
        <v>300</v>
      </c>
      <c r="N2769" s="5">
        <v>15.185601799775027</v>
      </c>
      <c r="O2769" t="s">
        <v>39</v>
      </c>
      <c r="P2769" t="s">
        <v>340</v>
      </c>
      <c r="Q2769" s="10" t="s">
        <v>24</v>
      </c>
      <c r="R2769" t="s">
        <v>1390</v>
      </c>
    </row>
    <row r="2770" spans="1:18" hidden="1" x14ac:dyDescent="0.25">
      <c r="A2770" s="9" t="s">
        <v>1314</v>
      </c>
      <c r="B2770" s="3" t="s">
        <v>1393</v>
      </c>
      <c r="C2770" s="10">
        <v>28</v>
      </c>
      <c r="D2770" s="10">
        <v>10</v>
      </c>
      <c r="E2770" s="10">
        <v>19</v>
      </c>
      <c r="F2770" t="s">
        <v>81</v>
      </c>
      <c r="G2770" t="s">
        <v>889</v>
      </c>
      <c r="H2770" t="s">
        <v>889</v>
      </c>
      <c r="I2770" t="s">
        <v>39</v>
      </c>
      <c r="J2770" s="4">
        <v>750</v>
      </c>
      <c r="K2770">
        <v>1</v>
      </c>
      <c r="L2770">
        <v>750</v>
      </c>
      <c r="M2770">
        <v>750</v>
      </c>
      <c r="N2770" s="5">
        <v>37.964004499437571</v>
      </c>
      <c r="O2770" t="s">
        <v>39</v>
      </c>
      <c r="P2770" t="s">
        <v>340</v>
      </c>
      <c r="Q2770" s="10" t="s">
        <v>84</v>
      </c>
      <c r="R2770" t="s">
        <v>1410</v>
      </c>
    </row>
    <row r="2771" spans="1:18" hidden="1" x14ac:dyDescent="0.25">
      <c r="A2771" s="9" t="s">
        <v>1314</v>
      </c>
      <c r="B2771" s="3" t="s">
        <v>1401</v>
      </c>
      <c r="C2771" s="10">
        <v>29</v>
      </c>
      <c r="D2771" s="10">
        <v>10</v>
      </c>
      <c r="E2771" s="10">
        <v>19</v>
      </c>
      <c r="F2771" t="s">
        <v>1374</v>
      </c>
      <c r="G2771" t="s">
        <v>889</v>
      </c>
      <c r="H2771" t="s">
        <v>35</v>
      </c>
      <c r="I2771" t="s">
        <v>27</v>
      </c>
      <c r="J2771" s="4">
        <v>180.6</v>
      </c>
      <c r="K2771">
        <v>0.14599999999999999</v>
      </c>
      <c r="L2771">
        <v>180.6</v>
      </c>
      <c r="M2771">
        <v>26.367599999999996</v>
      </c>
      <c r="N2771" s="5">
        <v>1.3346929133858265</v>
      </c>
      <c r="O2771" t="s">
        <v>100</v>
      </c>
      <c r="P2771" t="s">
        <v>340</v>
      </c>
      <c r="Q2771" s="10" t="s">
        <v>24</v>
      </c>
    </row>
    <row r="2772" spans="1:18" hidden="1" x14ac:dyDescent="0.25">
      <c r="A2772" s="9" t="s">
        <v>1314</v>
      </c>
      <c r="B2772" s="3" t="s">
        <v>1401</v>
      </c>
      <c r="C2772" s="10">
        <v>29</v>
      </c>
      <c r="D2772" s="10">
        <v>10</v>
      </c>
      <c r="E2772" s="10">
        <v>19</v>
      </c>
      <c r="F2772" t="s">
        <v>1113</v>
      </c>
      <c r="G2772" t="s">
        <v>889</v>
      </c>
      <c r="H2772" t="s">
        <v>35</v>
      </c>
      <c r="I2772" t="s">
        <v>27</v>
      </c>
      <c r="J2772" s="4">
        <v>318.60000000000002</v>
      </c>
      <c r="K2772">
        <v>0.154</v>
      </c>
      <c r="L2772">
        <v>318.60000000000002</v>
      </c>
      <c r="M2772">
        <v>49.064400000000006</v>
      </c>
      <c r="N2772" s="5">
        <v>2.4835748031496063</v>
      </c>
      <c r="O2772" t="s">
        <v>100</v>
      </c>
      <c r="P2772" t="s">
        <v>340</v>
      </c>
      <c r="Q2772" s="10" t="s">
        <v>24</v>
      </c>
    </row>
    <row r="2773" spans="1:18" hidden="1" x14ac:dyDescent="0.25">
      <c r="A2773" s="9" t="s">
        <v>1314</v>
      </c>
      <c r="B2773" s="3" t="s">
        <v>1401</v>
      </c>
      <c r="C2773" s="10">
        <v>29</v>
      </c>
      <c r="D2773" s="10">
        <v>10</v>
      </c>
      <c r="E2773" s="10">
        <v>19</v>
      </c>
      <c r="F2773" t="s">
        <v>1036</v>
      </c>
      <c r="G2773" t="s">
        <v>889</v>
      </c>
      <c r="H2773" t="s">
        <v>38</v>
      </c>
      <c r="I2773" t="s">
        <v>27</v>
      </c>
      <c r="J2773" s="4">
        <v>126</v>
      </c>
      <c r="K2773">
        <v>0.24</v>
      </c>
      <c r="L2773">
        <v>126</v>
      </c>
      <c r="M2773">
        <v>30.24</v>
      </c>
      <c r="N2773" s="5">
        <v>1.5307086614173226</v>
      </c>
      <c r="O2773" t="s">
        <v>100</v>
      </c>
      <c r="P2773" t="s">
        <v>340</v>
      </c>
      <c r="Q2773" s="10" t="s">
        <v>24</v>
      </c>
    </row>
    <row r="2774" spans="1:18" hidden="1" x14ac:dyDescent="0.25">
      <c r="A2774" s="9" t="s">
        <v>1314</v>
      </c>
      <c r="B2774" s="3" t="s">
        <v>1401</v>
      </c>
      <c r="C2774" s="10">
        <v>29</v>
      </c>
      <c r="D2774" s="10">
        <v>10</v>
      </c>
      <c r="E2774" s="10">
        <v>19</v>
      </c>
      <c r="F2774" t="s">
        <v>369</v>
      </c>
      <c r="G2774" t="s">
        <v>210</v>
      </c>
      <c r="H2774" t="s">
        <v>131</v>
      </c>
      <c r="I2774" t="s">
        <v>27</v>
      </c>
      <c r="J2774" s="4">
        <v>64</v>
      </c>
      <c r="K2774">
        <v>1</v>
      </c>
      <c r="L2774">
        <v>64</v>
      </c>
      <c r="M2774">
        <v>64</v>
      </c>
      <c r="N2774" s="5">
        <v>3.2395950506186724</v>
      </c>
      <c r="O2774" t="s">
        <v>100</v>
      </c>
      <c r="P2774" t="s">
        <v>340</v>
      </c>
      <c r="Q2774" s="10" t="s">
        <v>24</v>
      </c>
    </row>
    <row r="2775" spans="1:18" hidden="1" x14ac:dyDescent="0.25">
      <c r="A2775" s="9" t="s">
        <v>1314</v>
      </c>
      <c r="B2775" s="3" t="s">
        <v>1401</v>
      </c>
      <c r="C2775" s="10">
        <v>29</v>
      </c>
      <c r="D2775" s="10">
        <v>10</v>
      </c>
      <c r="E2775" s="10">
        <v>19</v>
      </c>
      <c r="F2775" t="s">
        <v>1381</v>
      </c>
      <c r="G2775" t="s">
        <v>889</v>
      </c>
      <c r="H2775" t="s">
        <v>53</v>
      </c>
      <c r="I2775" t="s">
        <v>27</v>
      </c>
      <c r="J2775" s="4">
        <v>23.75</v>
      </c>
      <c r="K2775">
        <v>1</v>
      </c>
      <c r="L2775">
        <v>23.75</v>
      </c>
      <c r="M2775">
        <v>23.75</v>
      </c>
      <c r="N2775" s="5">
        <v>1.202193475815523</v>
      </c>
      <c r="O2775" t="s">
        <v>100</v>
      </c>
      <c r="P2775" t="s">
        <v>340</v>
      </c>
      <c r="Q2775" s="10" t="s">
        <v>24</v>
      </c>
    </row>
    <row r="2776" spans="1:18" hidden="1" x14ac:dyDescent="0.25">
      <c r="A2776" s="9" t="s">
        <v>1314</v>
      </c>
      <c r="B2776" s="3" t="s">
        <v>1401</v>
      </c>
      <c r="C2776" s="10">
        <v>29</v>
      </c>
      <c r="D2776" s="10">
        <v>10</v>
      </c>
      <c r="E2776" s="10">
        <v>19</v>
      </c>
      <c r="F2776" t="s">
        <v>2242</v>
      </c>
      <c r="G2776" t="s">
        <v>345</v>
      </c>
      <c r="H2776" t="s">
        <v>26</v>
      </c>
      <c r="I2776" t="s">
        <v>27</v>
      </c>
      <c r="J2776" s="4">
        <v>6.77</v>
      </c>
      <c r="K2776">
        <v>1</v>
      </c>
      <c r="L2776">
        <v>6.77</v>
      </c>
      <c r="M2776">
        <v>6.77</v>
      </c>
      <c r="N2776" s="5">
        <v>0.34268841394825644</v>
      </c>
      <c r="O2776" t="s">
        <v>100</v>
      </c>
      <c r="P2776" t="s">
        <v>340</v>
      </c>
      <c r="Q2776" s="10" t="s">
        <v>24</v>
      </c>
    </row>
    <row r="2777" spans="1:18" hidden="1" x14ac:dyDescent="0.25">
      <c r="A2777" s="9" t="s">
        <v>1314</v>
      </c>
      <c r="B2777" s="3" t="s">
        <v>1401</v>
      </c>
      <c r="C2777" s="10">
        <v>29</v>
      </c>
      <c r="D2777" s="10">
        <v>10</v>
      </c>
      <c r="E2777" s="10">
        <v>19</v>
      </c>
      <c r="F2777" t="s">
        <v>2041</v>
      </c>
      <c r="G2777" t="s">
        <v>889</v>
      </c>
      <c r="H2777" t="s">
        <v>35</v>
      </c>
      <c r="I2777" t="s">
        <v>27</v>
      </c>
      <c r="J2777" s="4">
        <v>148.6</v>
      </c>
      <c r="K2777">
        <v>0.14399999999999999</v>
      </c>
      <c r="L2777">
        <v>148.6</v>
      </c>
      <c r="M2777">
        <v>21.398399999999999</v>
      </c>
      <c r="N2777" s="5">
        <v>1.0831586051743531</v>
      </c>
      <c r="O2777" t="s">
        <v>100</v>
      </c>
      <c r="P2777" t="s">
        <v>340</v>
      </c>
      <c r="Q2777" s="10" t="s">
        <v>24</v>
      </c>
    </row>
    <row r="2778" spans="1:18" hidden="1" x14ac:dyDescent="0.25">
      <c r="A2778" s="9" t="s">
        <v>1314</v>
      </c>
      <c r="B2778" s="3" t="s">
        <v>1401</v>
      </c>
      <c r="C2778" s="10">
        <v>29</v>
      </c>
      <c r="D2778" s="10">
        <v>10</v>
      </c>
      <c r="E2778" s="10">
        <v>19</v>
      </c>
      <c r="F2778" t="s">
        <v>1358</v>
      </c>
      <c r="G2778" t="s">
        <v>155</v>
      </c>
      <c r="H2778" t="s">
        <v>131</v>
      </c>
      <c r="I2778" t="s">
        <v>27</v>
      </c>
      <c r="J2778" s="4">
        <v>75</v>
      </c>
      <c r="K2778">
        <v>1</v>
      </c>
      <c r="L2778">
        <v>75</v>
      </c>
      <c r="M2778">
        <v>75</v>
      </c>
      <c r="N2778" s="5">
        <v>3.7964004499437567</v>
      </c>
      <c r="O2778" t="s">
        <v>100</v>
      </c>
      <c r="P2778" t="s">
        <v>340</v>
      </c>
      <c r="Q2778" s="10" t="s">
        <v>24</v>
      </c>
    </row>
    <row r="2779" spans="1:18" hidden="1" x14ac:dyDescent="0.25">
      <c r="A2779" s="9" t="s">
        <v>1314</v>
      </c>
      <c r="B2779" s="3" t="s">
        <v>1401</v>
      </c>
      <c r="C2779" s="10">
        <v>29</v>
      </c>
      <c r="D2779" s="10">
        <v>10</v>
      </c>
      <c r="E2779" s="10">
        <v>19</v>
      </c>
      <c r="F2779" t="s">
        <v>155</v>
      </c>
      <c r="G2779" t="s">
        <v>155</v>
      </c>
      <c r="H2779" t="s">
        <v>131</v>
      </c>
      <c r="I2779" t="s">
        <v>27</v>
      </c>
      <c r="J2779" s="4">
        <v>28.6</v>
      </c>
      <c r="K2779">
        <v>2</v>
      </c>
      <c r="L2779">
        <v>28.6</v>
      </c>
      <c r="M2779">
        <v>57.2</v>
      </c>
      <c r="N2779" s="5">
        <v>2.8953880764904385</v>
      </c>
      <c r="O2779" t="s">
        <v>100</v>
      </c>
      <c r="P2779" t="s">
        <v>340</v>
      </c>
      <c r="Q2779" s="10" t="s">
        <v>24</v>
      </c>
    </row>
    <row r="2780" spans="1:18" hidden="1" x14ac:dyDescent="0.25">
      <c r="A2780" s="9" t="s">
        <v>1314</v>
      </c>
      <c r="B2780" s="3" t="s">
        <v>1401</v>
      </c>
      <c r="C2780" s="10">
        <v>29</v>
      </c>
      <c r="D2780" s="10">
        <v>10</v>
      </c>
      <c r="E2780" s="10">
        <v>19</v>
      </c>
      <c r="F2780" t="s">
        <v>657</v>
      </c>
      <c r="G2780" t="s">
        <v>889</v>
      </c>
      <c r="H2780" t="s">
        <v>40</v>
      </c>
      <c r="I2780" t="s">
        <v>27</v>
      </c>
      <c r="J2780" s="4">
        <v>14</v>
      </c>
      <c r="K2780">
        <v>1</v>
      </c>
      <c r="L2780">
        <v>14</v>
      </c>
      <c r="M2780">
        <v>14</v>
      </c>
      <c r="N2780" s="5">
        <v>0.70866141732283461</v>
      </c>
      <c r="O2780" t="s">
        <v>100</v>
      </c>
      <c r="P2780" t="s">
        <v>340</v>
      </c>
      <c r="Q2780" s="10" t="s">
        <v>24</v>
      </c>
    </row>
    <row r="2781" spans="1:18" hidden="1" x14ac:dyDescent="0.25">
      <c r="A2781" s="9" t="s">
        <v>1314</v>
      </c>
      <c r="B2781" s="3" t="s">
        <v>1401</v>
      </c>
      <c r="C2781" s="10">
        <v>29</v>
      </c>
      <c r="D2781" s="10">
        <v>10</v>
      </c>
      <c r="E2781" s="10">
        <v>19</v>
      </c>
      <c r="F2781" t="s">
        <v>1265</v>
      </c>
      <c r="G2781" t="s">
        <v>31</v>
      </c>
      <c r="H2781" t="s">
        <v>26</v>
      </c>
      <c r="I2781" t="s">
        <v>27</v>
      </c>
      <c r="J2781" s="4">
        <v>11.6</v>
      </c>
      <c r="K2781">
        <v>2</v>
      </c>
      <c r="L2781">
        <v>11.6</v>
      </c>
      <c r="M2781">
        <v>23.2</v>
      </c>
      <c r="N2781" s="5">
        <v>1.1743532058492687</v>
      </c>
      <c r="O2781" t="s">
        <v>100</v>
      </c>
      <c r="P2781" t="s">
        <v>340</v>
      </c>
      <c r="Q2781" s="10" t="s">
        <v>24</v>
      </c>
    </row>
    <row r="2782" spans="1:18" hidden="1" x14ac:dyDescent="0.25">
      <c r="A2782" s="9" t="s">
        <v>1314</v>
      </c>
      <c r="B2782" s="3" t="s">
        <v>1401</v>
      </c>
      <c r="C2782" s="10">
        <v>29</v>
      </c>
      <c r="D2782" s="10">
        <v>10</v>
      </c>
      <c r="E2782" s="10">
        <v>19</v>
      </c>
      <c r="F2782" t="s">
        <v>1397</v>
      </c>
      <c r="G2782" t="s">
        <v>31</v>
      </c>
      <c r="H2782" t="s">
        <v>26</v>
      </c>
      <c r="I2782" t="s">
        <v>27</v>
      </c>
      <c r="J2782" s="4">
        <v>10</v>
      </c>
      <c r="K2782">
        <v>2</v>
      </c>
      <c r="L2782">
        <v>10</v>
      </c>
      <c r="M2782">
        <v>20</v>
      </c>
      <c r="N2782" s="5">
        <v>1.0123734533183351</v>
      </c>
      <c r="O2782" t="s">
        <v>100</v>
      </c>
      <c r="P2782" t="s">
        <v>340</v>
      </c>
      <c r="Q2782" s="10" t="s">
        <v>24</v>
      </c>
    </row>
    <row r="2783" spans="1:18" hidden="1" x14ac:dyDescent="0.25">
      <c r="A2783" s="9" t="s">
        <v>1314</v>
      </c>
      <c r="B2783" s="3" t="s">
        <v>1729</v>
      </c>
      <c r="C2783" s="10">
        <v>3</v>
      </c>
      <c r="D2783" s="10">
        <v>10</v>
      </c>
      <c r="E2783" s="10">
        <v>19</v>
      </c>
      <c r="F2783" t="s">
        <v>174</v>
      </c>
      <c r="G2783" t="s">
        <v>889</v>
      </c>
      <c r="H2783" t="s">
        <v>54</v>
      </c>
      <c r="I2783" t="s">
        <v>27</v>
      </c>
      <c r="J2783" s="4">
        <v>8</v>
      </c>
      <c r="K2783">
        <v>0.69799999999999995</v>
      </c>
      <c r="L2783">
        <v>8</v>
      </c>
      <c r="M2783">
        <v>5.5839999999999996</v>
      </c>
      <c r="N2783" s="5">
        <v>0.28379227499537973</v>
      </c>
      <c r="O2783" t="s">
        <v>101</v>
      </c>
      <c r="P2783" t="s">
        <v>340</v>
      </c>
      <c r="Q2783" s="10" t="s">
        <v>24</v>
      </c>
    </row>
    <row r="2784" spans="1:18" hidden="1" x14ac:dyDescent="0.25">
      <c r="A2784" s="9" t="s">
        <v>1314</v>
      </c>
      <c r="B2784" s="3" t="s">
        <v>1729</v>
      </c>
      <c r="C2784" s="10">
        <v>3</v>
      </c>
      <c r="D2784" s="10">
        <v>10</v>
      </c>
      <c r="E2784" s="10">
        <v>19</v>
      </c>
      <c r="F2784" t="s">
        <v>676</v>
      </c>
      <c r="G2784" t="s">
        <v>39</v>
      </c>
      <c r="H2784" t="s">
        <v>131</v>
      </c>
      <c r="I2784" t="s">
        <v>27</v>
      </c>
      <c r="J2784" s="4">
        <v>5.4</v>
      </c>
      <c r="K2784">
        <v>1</v>
      </c>
      <c r="L2784">
        <v>5.4</v>
      </c>
      <c r="M2784">
        <v>5.4</v>
      </c>
      <c r="N2784" s="5">
        <v>0.27444095361301052</v>
      </c>
      <c r="O2784" t="s">
        <v>101</v>
      </c>
      <c r="P2784" t="s">
        <v>340</v>
      </c>
      <c r="Q2784" s="10" t="s">
        <v>24</v>
      </c>
    </row>
    <row r="2785" spans="1:18" hidden="1" x14ac:dyDescent="0.25">
      <c r="A2785" s="9" t="s">
        <v>1314</v>
      </c>
      <c r="B2785" s="3" t="s">
        <v>1395</v>
      </c>
      <c r="C2785" s="10">
        <v>31</v>
      </c>
      <c r="D2785" s="10">
        <v>10</v>
      </c>
      <c r="E2785" s="10">
        <v>19</v>
      </c>
      <c r="F2785" t="s">
        <v>1492</v>
      </c>
      <c r="G2785" t="s">
        <v>889</v>
      </c>
      <c r="H2785" t="s">
        <v>21</v>
      </c>
      <c r="I2785" t="s">
        <v>22</v>
      </c>
      <c r="J2785" s="4">
        <v>4286</v>
      </c>
      <c r="K2785">
        <v>1</v>
      </c>
      <c r="L2785">
        <v>4286</v>
      </c>
      <c r="M2785">
        <v>4286</v>
      </c>
      <c r="N2785" s="5">
        <v>216.95163104611922</v>
      </c>
      <c r="O2785" t="s">
        <v>39</v>
      </c>
      <c r="P2785" t="s">
        <v>340</v>
      </c>
      <c r="Q2785" s="10" t="s">
        <v>24</v>
      </c>
      <c r="R2785" t="s">
        <v>20</v>
      </c>
    </row>
    <row r="2786" spans="1:18" hidden="1" x14ac:dyDescent="0.25">
      <c r="A2786" s="9" t="s">
        <v>1314</v>
      </c>
      <c r="B2786" s="3" t="s">
        <v>1395</v>
      </c>
      <c r="C2786" s="10">
        <v>31</v>
      </c>
      <c r="D2786" s="10">
        <v>10</v>
      </c>
      <c r="E2786" s="10">
        <v>19</v>
      </c>
      <c r="F2786" t="s">
        <v>802</v>
      </c>
      <c r="G2786" t="s">
        <v>708</v>
      </c>
      <c r="H2786" t="s">
        <v>1612</v>
      </c>
      <c r="I2786" t="s">
        <v>27</v>
      </c>
      <c r="J2786" s="4">
        <v>128</v>
      </c>
      <c r="K2786">
        <v>0.22600000000000001</v>
      </c>
      <c r="L2786">
        <v>128</v>
      </c>
      <c r="M2786">
        <v>28.928000000000001</v>
      </c>
      <c r="N2786" s="5">
        <v>1.4642969628796401</v>
      </c>
      <c r="O2786" t="s">
        <v>100</v>
      </c>
      <c r="P2786" t="s">
        <v>340</v>
      </c>
      <c r="Q2786" s="10" t="s">
        <v>24</v>
      </c>
    </row>
    <row r="2787" spans="1:18" hidden="1" x14ac:dyDescent="0.25">
      <c r="A2787" s="9" t="s">
        <v>1314</v>
      </c>
      <c r="B2787" s="3" t="s">
        <v>1395</v>
      </c>
      <c r="C2787" s="10">
        <v>31</v>
      </c>
      <c r="D2787" s="10">
        <v>10</v>
      </c>
      <c r="E2787" s="10">
        <v>19</v>
      </c>
      <c r="F2787" t="s">
        <v>1376</v>
      </c>
      <c r="G2787" t="s">
        <v>889</v>
      </c>
      <c r="H2787" t="s">
        <v>131</v>
      </c>
      <c r="I2787" t="s">
        <v>27</v>
      </c>
      <c r="J2787" s="4">
        <v>219.01</v>
      </c>
      <c r="K2787">
        <v>0.214</v>
      </c>
      <c r="L2787">
        <v>219.01</v>
      </c>
      <c r="M2787">
        <v>46.868139999999997</v>
      </c>
      <c r="N2787" s="5">
        <v>2.3724030371203595</v>
      </c>
      <c r="O2787" t="s">
        <v>100</v>
      </c>
      <c r="P2787" t="s">
        <v>340</v>
      </c>
      <c r="Q2787" s="10" t="s">
        <v>24</v>
      </c>
    </row>
    <row r="2788" spans="1:18" hidden="1" x14ac:dyDescent="0.25">
      <c r="A2788" s="9" t="s">
        <v>1314</v>
      </c>
      <c r="B2788" s="3" t="s">
        <v>1395</v>
      </c>
      <c r="C2788" s="10">
        <v>31</v>
      </c>
      <c r="D2788" s="10">
        <v>10</v>
      </c>
      <c r="E2788" s="10">
        <v>19</v>
      </c>
      <c r="F2788" t="s">
        <v>1398</v>
      </c>
      <c r="G2788" t="s">
        <v>39</v>
      </c>
      <c r="H2788" t="s">
        <v>35</v>
      </c>
      <c r="I2788" t="s">
        <v>27</v>
      </c>
      <c r="J2788" s="4">
        <v>246.6</v>
      </c>
      <c r="K2788">
        <v>0.50800000000000001</v>
      </c>
      <c r="L2788">
        <v>246.6</v>
      </c>
      <c r="M2788">
        <v>125.2728</v>
      </c>
      <c r="N2788" s="5">
        <v>6.3411428571428567</v>
      </c>
      <c r="O2788" t="s">
        <v>100</v>
      </c>
      <c r="P2788" t="s">
        <v>340</v>
      </c>
      <c r="Q2788" s="10" t="s">
        <v>24</v>
      </c>
    </row>
    <row r="2789" spans="1:18" hidden="1" x14ac:dyDescent="0.25">
      <c r="A2789" s="9" t="s">
        <v>1314</v>
      </c>
      <c r="B2789" s="3" t="s">
        <v>1395</v>
      </c>
      <c r="C2789" s="10">
        <v>31</v>
      </c>
      <c r="D2789" s="10">
        <v>10</v>
      </c>
      <c r="E2789" s="10">
        <v>19</v>
      </c>
      <c r="F2789" t="s">
        <v>1399</v>
      </c>
      <c r="G2789" t="s">
        <v>889</v>
      </c>
      <c r="H2789" t="s">
        <v>35</v>
      </c>
      <c r="I2789" t="s">
        <v>27</v>
      </c>
      <c r="J2789" s="4">
        <v>134.19999999999999</v>
      </c>
      <c r="K2789">
        <v>0.31</v>
      </c>
      <c r="L2789">
        <v>134.19999999999999</v>
      </c>
      <c r="M2789">
        <v>41.601999999999997</v>
      </c>
      <c r="N2789" s="5">
        <v>2.1058380202474689</v>
      </c>
      <c r="O2789" t="s">
        <v>100</v>
      </c>
      <c r="P2789" t="s">
        <v>340</v>
      </c>
      <c r="Q2789" s="10" t="s">
        <v>24</v>
      </c>
    </row>
    <row r="2790" spans="1:18" hidden="1" x14ac:dyDescent="0.25">
      <c r="A2790" s="9" t="s">
        <v>1314</v>
      </c>
      <c r="B2790" s="3" t="s">
        <v>1395</v>
      </c>
      <c r="C2790" s="10">
        <v>31</v>
      </c>
      <c r="D2790" s="10">
        <v>10</v>
      </c>
      <c r="E2790" s="10">
        <v>19</v>
      </c>
      <c r="F2790" t="s">
        <v>656</v>
      </c>
      <c r="G2790" t="s">
        <v>33</v>
      </c>
      <c r="H2790" t="s">
        <v>35</v>
      </c>
      <c r="I2790" t="s">
        <v>27</v>
      </c>
      <c r="J2790" s="4">
        <v>111.6</v>
      </c>
      <c r="K2790">
        <v>0.75800000000000001</v>
      </c>
      <c r="L2790">
        <v>111.6</v>
      </c>
      <c r="M2790">
        <v>84.592799999999997</v>
      </c>
      <c r="N2790" s="5">
        <v>4.2819752530933632</v>
      </c>
      <c r="O2790" t="s">
        <v>100</v>
      </c>
      <c r="P2790" t="s">
        <v>340</v>
      </c>
      <c r="Q2790" s="10" t="s">
        <v>24</v>
      </c>
    </row>
    <row r="2791" spans="1:18" hidden="1" x14ac:dyDescent="0.25">
      <c r="A2791" s="9" t="s">
        <v>1314</v>
      </c>
      <c r="B2791" s="3" t="s">
        <v>1395</v>
      </c>
      <c r="C2791" s="10">
        <v>31</v>
      </c>
      <c r="D2791" s="10">
        <v>10</v>
      </c>
      <c r="E2791" s="10">
        <v>19</v>
      </c>
      <c r="F2791" t="s">
        <v>974</v>
      </c>
      <c r="G2791" t="s">
        <v>25</v>
      </c>
      <c r="H2791" t="s">
        <v>26</v>
      </c>
      <c r="I2791" t="s">
        <v>27</v>
      </c>
      <c r="J2791" s="4">
        <v>211.6</v>
      </c>
      <c r="K2791">
        <v>0.32400000000000001</v>
      </c>
      <c r="L2791">
        <v>211.6</v>
      </c>
      <c r="M2791">
        <v>68.558400000000006</v>
      </c>
      <c r="N2791" s="5">
        <v>3.4703352080989878</v>
      </c>
      <c r="O2791" t="s">
        <v>100</v>
      </c>
      <c r="P2791" t="s">
        <v>340</v>
      </c>
      <c r="Q2791" s="10" t="s">
        <v>24</v>
      </c>
    </row>
    <row r="2792" spans="1:18" hidden="1" x14ac:dyDescent="0.25">
      <c r="A2792" s="9" t="s">
        <v>1314</v>
      </c>
      <c r="B2792" s="3" t="s">
        <v>1395</v>
      </c>
      <c r="C2792" s="10">
        <v>31</v>
      </c>
      <c r="D2792" s="10">
        <v>10</v>
      </c>
      <c r="E2792" s="10">
        <v>19</v>
      </c>
      <c r="F2792" t="s">
        <v>2041</v>
      </c>
      <c r="G2792" t="s">
        <v>889</v>
      </c>
      <c r="H2792" t="s">
        <v>35</v>
      </c>
      <c r="I2792" t="s">
        <v>27</v>
      </c>
      <c r="J2792" s="4">
        <v>148.6</v>
      </c>
      <c r="K2792">
        <v>0.22600000000000001</v>
      </c>
      <c r="L2792">
        <v>148.6</v>
      </c>
      <c r="M2792">
        <v>33.583599999999997</v>
      </c>
      <c r="N2792" s="5">
        <v>1.699957255343082</v>
      </c>
      <c r="O2792" t="s">
        <v>100</v>
      </c>
      <c r="P2792" t="s">
        <v>340</v>
      </c>
      <c r="Q2792" s="10" t="s">
        <v>24</v>
      </c>
    </row>
    <row r="2793" spans="1:18" hidden="1" x14ac:dyDescent="0.25">
      <c r="A2793" s="9" t="s">
        <v>1314</v>
      </c>
      <c r="B2793" s="3" t="s">
        <v>1395</v>
      </c>
      <c r="C2793" s="10">
        <v>31</v>
      </c>
      <c r="D2793" s="10">
        <v>10</v>
      </c>
      <c r="E2793" s="10">
        <v>19</v>
      </c>
      <c r="F2793" t="s">
        <v>424</v>
      </c>
      <c r="G2793" t="s">
        <v>889</v>
      </c>
      <c r="H2793" t="s">
        <v>40</v>
      </c>
      <c r="I2793" t="s">
        <v>27</v>
      </c>
      <c r="J2793" s="4">
        <v>17</v>
      </c>
      <c r="K2793">
        <v>1</v>
      </c>
      <c r="L2793">
        <v>17</v>
      </c>
      <c r="M2793">
        <v>17</v>
      </c>
      <c r="N2793" s="5">
        <v>0.86051743532058489</v>
      </c>
      <c r="O2793" t="s">
        <v>100</v>
      </c>
      <c r="P2793" t="s">
        <v>340</v>
      </c>
      <c r="Q2793" s="10" t="s">
        <v>24</v>
      </c>
    </row>
    <row r="2794" spans="1:18" hidden="1" x14ac:dyDescent="0.25">
      <c r="A2794" s="9" t="s">
        <v>1314</v>
      </c>
      <c r="B2794" s="3" t="s">
        <v>1395</v>
      </c>
      <c r="C2794" s="10">
        <v>31</v>
      </c>
      <c r="D2794" s="10">
        <v>10</v>
      </c>
      <c r="E2794" s="10">
        <v>19</v>
      </c>
      <c r="F2794" t="s">
        <v>1400</v>
      </c>
      <c r="G2794" t="s">
        <v>155</v>
      </c>
      <c r="H2794" t="s">
        <v>131</v>
      </c>
      <c r="I2794" t="s">
        <v>27</v>
      </c>
      <c r="J2794" s="4">
        <v>16</v>
      </c>
      <c r="K2794">
        <v>2</v>
      </c>
      <c r="L2794">
        <v>16</v>
      </c>
      <c r="M2794">
        <v>32</v>
      </c>
      <c r="N2794" s="5">
        <v>1.6197975253093362</v>
      </c>
      <c r="O2794" t="s">
        <v>100</v>
      </c>
      <c r="P2794" t="s">
        <v>340</v>
      </c>
      <c r="Q2794" s="10" t="s">
        <v>24</v>
      </c>
    </row>
    <row r="2795" spans="1:18" hidden="1" x14ac:dyDescent="0.25">
      <c r="A2795" s="9" t="s">
        <v>1314</v>
      </c>
      <c r="B2795" s="3" t="s">
        <v>1736</v>
      </c>
      <c r="C2795" s="10">
        <v>4</v>
      </c>
      <c r="D2795" s="10">
        <v>10</v>
      </c>
      <c r="E2795" s="10">
        <v>19</v>
      </c>
      <c r="F2795" t="s">
        <v>159</v>
      </c>
      <c r="G2795" t="s">
        <v>889</v>
      </c>
      <c r="H2795" t="s">
        <v>1748</v>
      </c>
      <c r="I2795" t="s">
        <v>72</v>
      </c>
      <c r="J2795" s="4">
        <v>67.989999999999995</v>
      </c>
      <c r="K2795">
        <v>1</v>
      </c>
      <c r="L2795">
        <v>286.23789999999997</v>
      </c>
      <c r="M2795">
        <v>286.23789999999997</v>
      </c>
      <c r="N2795" s="5">
        <v>14.547296710404726</v>
      </c>
      <c r="O2795" t="s">
        <v>80</v>
      </c>
      <c r="P2795" t="s">
        <v>148</v>
      </c>
      <c r="Q2795" s="10" t="s">
        <v>24</v>
      </c>
      <c r="R2795" t="s">
        <v>1733</v>
      </c>
    </row>
    <row r="2796" spans="1:18" hidden="1" x14ac:dyDescent="0.25">
      <c r="A2796" s="9" t="s">
        <v>1314</v>
      </c>
      <c r="B2796" s="3" t="s">
        <v>1736</v>
      </c>
      <c r="C2796" s="10">
        <v>4</v>
      </c>
      <c r="D2796" s="10">
        <v>10</v>
      </c>
      <c r="E2796" s="10">
        <v>19</v>
      </c>
      <c r="F2796" t="s">
        <v>104</v>
      </c>
      <c r="G2796" t="s">
        <v>889</v>
      </c>
      <c r="H2796" t="s">
        <v>889</v>
      </c>
      <c r="I2796" t="s">
        <v>72</v>
      </c>
      <c r="J2796" s="4">
        <v>28.99</v>
      </c>
      <c r="K2796">
        <v>1</v>
      </c>
      <c r="L2796">
        <v>122.0479</v>
      </c>
      <c r="M2796">
        <v>122.0479</v>
      </c>
      <c r="N2796" s="5">
        <v>6.2027670486046933</v>
      </c>
      <c r="O2796" t="s">
        <v>80</v>
      </c>
      <c r="P2796" t="s">
        <v>148</v>
      </c>
      <c r="Q2796" s="10" t="s">
        <v>24</v>
      </c>
      <c r="R2796" t="s">
        <v>1734</v>
      </c>
    </row>
    <row r="2797" spans="1:18" hidden="1" x14ac:dyDescent="0.25">
      <c r="A2797" s="9" t="s">
        <v>1314</v>
      </c>
      <c r="B2797" s="3" t="s">
        <v>1313</v>
      </c>
      <c r="C2797" s="10">
        <v>8</v>
      </c>
      <c r="D2797" s="10">
        <v>10</v>
      </c>
      <c r="E2797" s="10">
        <v>19</v>
      </c>
      <c r="F2797" t="s">
        <v>176</v>
      </c>
      <c r="G2797" t="s">
        <v>889</v>
      </c>
      <c r="H2797" t="s">
        <v>176</v>
      </c>
      <c r="I2797" t="s">
        <v>105</v>
      </c>
      <c r="J2797" s="4">
        <v>224</v>
      </c>
      <c r="K2797">
        <v>1</v>
      </c>
      <c r="L2797">
        <v>224</v>
      </c>
      <c r="M2797">
        <v>224</v>
      </c>
      <c r="N2797" s="5">
        <v>11.338582677165354</v>
      </c>
      <c r="O2797" t="s">
        <v>39</v>
      </c>
      <c r="P2797" t="s">
        <v>340</v>
      </c>
      <c r="Q2797" s="10" t="s">
        <v>1102</v>
      </c>
    </row>
    <row r="2798" spans="1:18" hidden="1" x14ac:dyDescent="0.25">
      <c r="A2798" s="9" t="s">
        <v>1314</v>
      </c>
      <c r="B2798" s="3" t="s">
        <v>1313</v>
      </c>
      <c r="C2798" s="10">
        <v>8</v>
      </c>
      <c r="D2798" s="10">
        <v>10</v>
      </c>
      <c r="E2798" s="10">
        <v>19</v>
      </c>
      <c r="F2798" t="s">
        <v>170</v>
      </c>
      <c r="G2798" t="s">
        <v>889</v>
      </c>
      <c r="H2798" t="s">
        <v>170</v>
      </c>
      <c r="I2798" t="s">
        <v>105</v>
      </c>
      <c r="J2798" s="4">
        <v>210</v>
      </c>
      <c r="K2798">
        <v>1</v>
      </c>
      <c r="L2798">
        <v>210</v>
      </c>
      <c r="M2798">
        <v>210</v>
      </c>
      <c r="N2798" s="5">
        <v>10.629921259842519</v>
      </c>
      <c r="O2798" t="s">
        <v>39</v>
      </c>
      <c r="P2798" t="s">
        <v>340</v>
      </c>
      <c r="Q2798" s="10" t="s">
        <v>1102</v>
      </c>
    </row>
    <row r="2799" spans="1:18" hidden="1" x14ac:dyDescent="0.25">
      <c r="A2799" s="9" t="s">
        <v>1314</v>
      </c>
      <c r="B2799" s="3" t="s">
        <v>1313</v>
      </c>
      <c r="C2799" s="10">
        <v>8</v>
      </c>
      <c r="D2799" s="10">
        <v>10</v>
      </c>
      <c r="E2799" s="10">
        <v>19</v>
      </c>
      <c r="F2799" t="s">
        <v>593</v>
      </c>
      <c r="G2799" t="s">
        <v>889</v>
      </c>
      <c r="H2799" t="s">
        <v>39</v>
      </c>
      <c r="I2799" t="s">
        <v>27</v>
      </c>
      <c r="J2799" s="4">
        <v>21.6</v>
      </c>
      <c r="K2799">
        <v>1</v>
      </c>
      <c r="L2799">
        <v>21.6</v>
      </c>
      <c r="M2799">
        <v>21.6</v>
      </c>
      <c r="N2799" s="5">
        <v>1.0933633295838021</v>
      </c>
      <c r="O2799" t="s">
        <v>39</v>
      </c>
      <c r="P2799" t="s">
        <v>340</v>
      </c>
      <c r="Q2799" s="10" t="s">
        <v>24</v>
      </c>
    </row>
    <row r="2800" spans="1:18" hidden="1" x14ac:dyDescent="0.25">
      <c r="A2800" s="9" t="s">
        <v>1314</v>
      </c>
      <c r="B2800" s="3" t="s">
        <v>1313</v>
      </c>
      <c r="C2800" s="10">
        <v>8</v>
      </c>
      <c r="D2800" s="10">
        <v>10</v>
      </c>
      <c r="E2800" s="10">
        <v>19</v>
      </c>
      <c r="F2800" t="s">
        <v>176</v>
      </c>
      <c r="G2800" t="s">
        <v>889</v>
      </c>
      <c r="H2800" t="s">
        <v>176</v>
      </c>
      <c r="I2800" t="s">
        <v>105</v>
      </c>
      <c r="J2800" s="4">
        <v>224</v>
      </c>
      <c r="K2800">
        <v>1</v>
      </c>
      <c r="L2800">
        <v>224</v>
      </c>
      <c r="M2800">
        <v>224</v>
      </c>
      <c r="N2800" s="5">
        <v>11.353269133299543</v>
      </c>
      <c r="O2800" t="s">
        <v>39</v>
      </c>
      <c r="P2800" t="s">
        <v>340</v>
      </c>
      <c r="Q2800" s="10" t="s">
        <v>24</v>
      </c>
    </row>
    <row r="2801" spans="1:18" hidden="1" x14ac:dyDescent="0.25">
      <c r="A2801" s="9" t="s">
        <v>1314</v>
      </c>
      <c r="B2801" s="3" t="s">
        <v>1313</v>
      </c>
      <c r="C2801" s="10">
        <v>8</v>
      </c>
      <c r="D2801" s="10">
        <v>10</v>
      </c>
      <c r="E2801" s="10">
        <v>19</v>
      </c>
      <c r="F2801" t="s">
        <v>169</v>
      </c>
      <c r="G2801" t="s">
        <v>889</v>
      </c>
      <c r="H2801" t="s">
        <v>170</v>
      </c>
      <c r="I2801" t="s">
        <v>105</v>
      </c>
      <c r="J2801" s="4">
        <v>210</v>
      </c>
      <c r="K2801">
        <v>1</v>
      </c>
      <c r="L2801">
        <v>210</v>
      </c>
      <c r="M2801">
        <v>210</v>
      </c>
      <c r="N2801" s="5">
        <v>10.643689812468322</v>
      </c>
      <c r="O2801" t="s">
        <v>39</v>
      </c>
      <c r="P2801" t="s">
        <v>340</v>
      </c>
      <c r="Q2801" s="10" t="s">
        <v>24</v>
      </c>
    </row>
    <row r="2802" spans="1:18" hidden="1" x14ac:dyDescent="0.25">
      <c r="A2802" s="9" t="s">
        <v>1314</v>
      </c>
      <c r="B2802" s="3" t="s">
        <v>1686</v>
      </c>
      <c r="C2802" s="10">
        <v>9</v>
      </c>
      <c r="D2802" s="10">
        <v>10</v>
      </c>
      <c r="E2802" s="10">
        <v>19</v>
      </c>
      <c r="F2802" t="s">
        <v>1687</v>
      </c>
      <c r="G2802" t="s">
        <v>889</v>
      </c>
      <c r="H2802" t="s">
        <v>53</v>
      </c>
      <c r="I2802" t="s">
        <v>27</v>
      </c>
      <c r="J2802" s="4">
        <v>1.65</v>
      </c>
      <c r="K2802">
        <v>12</v>
      </c>
      <c r="L2802">
        <v>6.9464999999999995</v>
      </c>
      <c r="M2802">
        <v>83.35799999999999</v>
      </c>
      <c r="N2802" s="5">
        <v>4.2412740409077028</v>
      </c>
      <c r="O2802" t="s">
        <v>301</v>
      </c>
      <c r="P2802" t="s">
        <v>148</v>
      </c>
      <c r="Q2802" s="10" t="s">
        <v>24</v>
      </c>
      <c r="R2802" t="s">
        <v>1694</v>
      </c>
    </row>
    <row r="2803" spans="1:18" hidden="1" x14ac:dyDescent="0.25">
      <c r="A2803" s="9" t="s">
        <v>1314</v>
      </c>
      <c r="B2803" s="3" t="s">
        <v>1686</v>
      </c>
      <c r="C2803" s="10">
        <v>9</v>
      </c>
      <c r="D2803" s="10">
        <v>10</v>
      </c>
      <c r="E2803" s="10">
        <v>19</v>
      </c>
      <c r="F2803" t="s">
        <v>1688</v>
      </c>
      <c r="G2803" t="s">
        <v>889</v>
      </c>
      <c r="H2803" t="s">
        <v>59</v>
      </c>
      <c r="I2803" t="s">
        <v>27</v>
      </c>
      <c r="J2803" s="4">
        <v>64.989999999999995</v>
      </c>
      <c r="K2803">
        <v>1</v>
      </c>
      <c r="L2803">
        <v>273.60789999999997</v>
      </c>
      <c r="M2803">
        <v>273.60789999999997</v>
      </c>
      <c r="N2803" s="5">
        <v>13.921232319120788</v>
      </c>
      <c r="O2803" t="s">
        <v>301</v>
      </c>
      <c r="P2803" t="s">
        <v>148</v>
      </c>
      <c r="Q2803" s="10" t="s">
        <v>24</v>
      </c>
      <c r="R2803" t="s">
        <v>1694</v>
      </c>
    </row>
    <row r="2804" spans="1:18" hidden="1" x14ac:dyDescent="0.25">
      <c r="A2804" s="9" t="s">
        <v>1314</v>
      </c>
      <c r="B2804" s="3" t="s">
        <v>1686</v>
      </c>
      <c r="C2804" s="10">
        <v>9</v>
      </c>
      <c r="D2804" s="10">
        <v>10</v>
      </c>
      <c r="E2804" s="10">
        <v>19</v>
      </c>
      <c r="F2804" t="s">
        <v>1689</v>
      </c>
      <c r="G2804" t="s">
        <v>889</v>
      </c>
      <c r="H2804" t="s">
        <v>40</v>
      </c>
      <c r="I2804" t="s">
        <v>27</v>
      </c>
      <c r="J2804" s="4">
        <v>0.89</v>
      </c>
      <c r="K2804">
        <v>2</v>
      </c>
      <c r="L2804">
        <v>3.7469000000000001</v>
      </c>
      <c r="M2804">
        <v>7.4938000000000002</v>
      </c>
      <c r="N2804" s="5">
        <v>0.38128625216240969</v>
      </c>
      <c r="O2804" t="s">
        <v>301</v>
      </c>
      <c r="P2804" t="s">
        <v>148</v>
      </c>
      <c r="Q2804" s="10" t="s">
        <v>24</v>
      </c>
      <c r="R2804" t="s">
        <v>1694</v>
      </c>
    </row>
    <row r="2805" spans="1:18" hidden="1" x14ac:dyDescent="0.25">
      <c r="A2805" s="9" t="s">
        <v>1314</v>
      </c>
      <c r="B2805" s="3" t="s">
        <v>1686</v>
      </c>
      <c r="C2805" s="10">
        <v>9</v>
      </c>
      <c r="D2805" s="10">
        <v>10</v>
      </c>
      <c r="E2805" s="10">
        <v>19</v>
      </c>
      <c r="F2805" t="s">
        <v>1339</v>
      </c>
      <c r="G2805" t="s">
        <v>889</v>
      </c>
      <c r="H2805" t="s">
        <v>131</v>
      </c>
      <c r="I2805" t="s">
        <v>27</v>
      </c>
      <c r="J2805" s="4">
        <v>2.79</v>
      </c>
      <c r="K2805">
        <v>2</v>
      </c>
      <c r="L2805">
        <v>11.745900000000001</v>
      </c>
      <c r="M2805">
        <v>23.491800000000001</v>
      </c>
      <c r="N2805" s="5">
        <v>1.1952681388012618</v>
      </c>
      <c r="O2805" t="s">
        <v>301</v>
      </c>
      <c r="P2805" t="s">
        <v>148</v>
      </c>
      <c r="Q2805" s="10" t="s">
        <v>24</v>
      </c>
      <c r="R2805" t="s">
        <v>1694</v>
      </c>
    </row>
    <row r="2806" spans="1:18" hidden="1" x14ac:dyDescent="0.25">
      <c r="A2806" s="9" t="s">
        <v>1314</v>
      </c>
      <c r="B2806" s="3" t="s">
        <v>1686</v>
      </c>
      <c r="C2806" s="10">
        <v>9</v>
      </c>
      <c r="D2806" s="10">
        <v>10</v>
      </c>
      <c r="E2806" s="10">
        <v>19</v>
      </c>
      <c r="F2806" t="s">
        <v>1690</v>
      </c>
      <c r="G2806" t="s">
        <v>889</v>
      </c>
      <c r="H2806" t="s">
        <v>63</v>
      </c>
      <c r="I2806" t="s">
        <v>50</v>
      </c>
      <c r="J2806" s="4">
        <v>18.39</v>
      </c>
      <c r="K2806">
        <v>1</v>
      </c>
      <c r="L2806">
        <v>77.421900000000008</v>
      </c>
      <c r="M2806">
        <v>77.421900000000008</v>
      </c>
      <c r="N2806" s="5">
        <v>3.9392439198127613</v>
      </c>
      <c r="O2806" t="s">
        <v>301</v>
      </c>
      <c r="P2806" t="s">
        <v>148</v>
      </c>
      <c r="Q2806" s="10" t="s">
        <v>24</v>
      </c>
      <c r="R2806" t="s">
        <v>1694</v>
      </c>
    </row>
    <row r="2807" spans="1:18" hidden="1" x14ac:dyDescent="0.25">
      <c r="A2807" s="9" t="s">
        <v>1314</v>
      </c>
      <c r="B2807" s="3" t="s">
        <v>1686</v>
      </c>
      <c r="C2807" s="10">
        <v>9</v>
      </c>
      <c r="D2807" s="10">
        <v>10</v>
      </c>
      <c r="E2807" s="10">
        <v>19</v>
      </c>
      <c r="F2807" t="s">
        <v>1691</v>
      </c>
      <c r="G2807" t="s">
        <v>889</v>
      </c>
      <c r="H2807" t="s">
        <v>63</v>
      </c>
      <c r="I2807" t="s">
        <v>50</v>
      </c>
      <c r="J2807" s="4">
        <v>13.39</v>
      </c>
      <c r="K2807">
        <v>1</v>
      </c>
      <c r="L2807">
        <v>56.371900000000004</v>
      </c>
      <c r="M2807">
        <v>56.371900000000004</v>
      </c>
      <c r="N2807" s="5">
        <v>2.868215121603745</v>
      </c>
      <c r="O2807" t="s">
        <v>301</v>
      </c>
      <c r="P2807" t="s">
        <v>148</v>
      </c>
      <c r="Q2807" s="10" t="s">
        <v>24</v>
      </c>
      <c r="R2807" t="s">
        <v>1694</v>
      </c>
    </row>
    <row r="2808" spans="1:18" hidden="1" x14ac:dyDescent="0.25">
      <c r="A2808" s="9" t="s">
        <v>1314</v>
      </c>
      <c r="B2808" s="3" t="s">
        <v>1686</v>
      </c>
      <c r="C2808" s="10">
        <v>9</v>
      </c>
      <c r="D2808" s="10">
        <v>10</v>
      </c>
      <c r="E2808" s="10">
        <v>19</v>
      </c>
      <c r="F2808" t="s">
        <v>140</v>
      </c>
      <c r="G2808" t="s">
        <v>889</v>
      </c>
      <c r="H2808" t="s">
        <v>49</v>
      </c>
      <c r="I2808" t="s">
        <v>50</v>
      </c>
      <c r="J2808" s="4">
        <v>10.95</v>
      </c>
      <c r="K2808">
        <v>1</v>
      </c>
      <c r="L2808">
        <v>46.099499999999999</v>
      </c>
      <c r="M2808">
        <v>46.099499999999999</v>
      </c>
      <c r="N2808" s="5">
        <v>2.345553068077745</v>
      </c>
      <c r="O2808" t="s">
        <v>301</v>
      </c>
      <c r="P2808" t="s">
        <v>148</v>
      </c>
      <c r="Q2808" s="10" t="s">
        <v>24</v>
      </c>
      <c r="R2808" t="s">
        <v>1694</v>
      </c>
    </row>
    <row r="2809" spans="1:18" hidden="1" x14ac:dyDescent="0.25">
      <c r="A2809" s="9" t="s">
        <v>1314</v>
      </c>
      <c r="B2809" s="3" t="s">
        <v>1686</v>
      </c>
      <c r="C2809" s="10">
        <v>9</v>
      </c>
      <c r="D2809" s="10">
        <v>10</v>
      </c>
      <c r="E2809" s="10">
        <v>19</v>
      </c>
      <c r="F2809" t="s">
        <v>962</v>
      </c>
      <c r="G2809" t="s">
        <v>889</v>
      </c>
      <c r="H2809" t="s">
        <v>49</v>
      </c>
      <c r="I2809" t="s">
        <v>50</v>
      </c>
      <c r="J2809" s="4">
        <v>26.69</v>
      </c>
      <c r="K2809">
        <v>1</v>
      </c>
      <c r="L2809">
        <v>112.36490000000001</v>
      </c>
      <c r="M2809">
        <v>112.36490000000001</v>
      </c>
      <c r="N2809" s="5">
        <v>5.7171517248397272</v>
      </c>
      <c r="O2809" t="s">
        <v>301</v>
      </c>
      <c r="P2809" t="s">
        <v>148</v>
      </c>
      <c r="Q2809" s="10" t="s">
        <v>24</v>
      </c>
      <c r="R2809" t="s">
        <v>1694</v>
      </c>
    </row>
    <row r="2810" spans="1:18" hidden="1" x14ac:dyDescent="0.25">
      <c r="A2810" s="9" t="s">
        <v>1314</v>
      </c>
      <c r="B2810" s="3" t="s">
        <v>1686</v>
      </c>
      <c r="C2810" s="10">
        <v>9</v>
      </c>
      <c r="D2810" s="10">
        <v>10</v>
      </c>
      <c r="E2810" s="10">
        <v>19</v>
      </c>
      <c r="F2810" t="s">
        <v>140</v>
      </c>
      <c r="G2810" t="s">
        <v>889</v>
      </c>
      <c r="H2810" t="s">
        <v>49</v>
      </c>
      <c r="I2810" t="s">
        <v>50</v>
      </c>
      <c r="J2810" s="4">
        <v>3.19</v>
      </c>
      <c r="K2810">
        <v>1</v>
      </c>
      <c r="L2810">
        <v>13.4299</v>
      </c>
      <c r="M2810">
        <v>13.4299</v>
      </c>
      <c r="N2810" s="5">
        <v>0.68331637325735217</v>
      </c>
      <c r="O2810" t="s">
        <v>301</v>
      </c>
      <c r="P2810" t="s">
        <v>148</v>
      </c>
      <c r="Q2810" s="10" t="s">
        <v>24</v>
      </c>
      <c r="R2810" t="s">
        <v>1694</v>
      </c>
    </row>
    <row r="2811" spans="1:18" hidden="1" x14ac:dyDescent="0.25">
      <c r="A2811" s="9" t="s">
        <v>1314</v>
      </c>
      <c r="B2811" s="3" t="s">
        <v>1686</v>
      </c>
      <c r="C2811" s="10">
        <v>9</v>
      </c>
      <c r="D2811" s="10">
        <v>10</v>
      </c>
      <c r="E2811" s="10">
        <v>19</v>
      </c>
      <c r="F2811" t="s">
        <v>1692</v>
      </c>
      <c r="G2811" t="s">
        <v>889</v>
      </c>
      <c r="H2811" t="s">
        <v>49</v>
      </c>
      <c r="I2811" t="s">
        <v>50</v>
      </c>
      <c r="J2811" s="4">
        <v>7.15</v>
      </c>
      <c r="K2811">
        <v>1</v>
      </c>
      <c r="L2811">
        <v>30.101500000000001</v>
      </c>
      <c r="M2811">
        <v>30.101500000000001</v>
      </c>
      <c r="N2811" s="5">
        <v>1.531571181438893</v>
      </c>
      <c r="O2811" t="s">
        <v>301</v>
      </c>
      <c r="P2811" t="s">
        <v>148</v>
      </c>
      <c r="Q2811" s="10" t="s">
        <v>24</v>
      </c>
      <c r="R2811" t="s">
        <v>1694</v>
      </c>
    </row>
    <row r="2812" spans="1:18" hidden="1" x14ac:dyDescent="0.25">
      <c r="A2812" s="9" t="s">
        <v>1314</v>
      </c>
      <c r="B2812" s="3" t="s">
        <v>1686</v>
      </c>
      <c r="C2812" s="10">
        <v>9</v>
      </c>
      <c r="D2812" s="10">
        <v>10</v>
      </c>
      <c r="E2812" s="10">
        <v>19</v>
      </c>
      <c r="F2812" t="s">
        <v>1693</v>
      </c>
      <c r="G2812" t="s">
        <v>31</v>
      </c>
      <c r="H2812" t="s">
        <v>26</v>
      </c>
      <c r="I2812" t="s">
        <v>27</v>
      </c>
      <c r="J2812" s="4">
        <v>2.69</v>
      </c>
      <c r="K2812">
        <v>4</v>
      </c>
      <c r="L2812">
        <v>11.3249</v>
      </c>
      <c r="M2812">
        <v>45.299599999999998</v>
      </c>
      <c r="N2812" s="5">
        <v>2.3048539737458023</v>
      </c>
      <c r="O2812" t="s">
        <v>301</v>
      </c>
      <c r="P2812" t="s">
        <v>148</v>
      </c>
      <c r="Q2812" s="10" t="s">
        <v>24</v>
      </c>
      <c r="R2812" t="s">
        <v>1694</v>
      </c>
    </row>
    <row r="2813" spans="1:18" hidden="1" x14ac:dyDescent="0.25">
      <c r="A2813" s="9" t="s">
        <v>1314</v>
      </c>
      <c r="B2813" s="3" t="s">
        <v>1686</v>
      </c>
      <c r="C2813" s="10">
        <v>9</v>
      </c>
      <c r="D2813" s="10">
        <v>10</v>
      </c>
      <c r="E2813" s="10">
        <v>19</v>
      </c>
      <c r="F2813" t="s">
        <v>217</v>
      </c>
      <c r="G2813" t="s">
        <v>25</v>
      </c>
      <c r="H2813" t="s">
        <v>26</v>
      </c>
      <c r="I2813" t="s">
        <v>27</v>
      </c>
      <c r="J2813" s="4">
        <v>4.95</v>
      </c>
      <c r="K2813">
        <v>1</v>
      </c>
      <c r="L2813">
        <v>20.839500000000001</v>
      </c>
      <c r="M2813">
        <v>20.839500000000001</v>
      </c>
      <c r="N2813" s="5">
        <v>1.0603185102269259</v>
      </c>
      <c r="O2813" t="s">
        <v>301</v>
      </c>
      <c r="P2813" t="s">
        <v>148</v>
      </c>
      <c r="Q2813" s="10" t="s">
        <v>24</v>
      </c>
      <c r="R2813" t="s">
        <v>1694</v>
      </c>
    </row>
    <row r="2814" spans="1:18" hidden="1" x14ac:dyDescent="0.25">
      <c r="A2814" s="9" t="s">
        <v>1314</v>
      </c>
      <c r="B2814" s="3" t="s">
        <v>1686</v>
      </c>
      <c r="C2814" s="10">
        <v>9</v>
      </c>
      <c r="D2814" s="10">
        <v>10</v>
      </c>
      <c r="E2814" s="10">
        <v>19</v>
      </c>
      <c r="F2814" t="s">
        <v>1466</v>
      </c>
      <c r="G2814" t="s">
        <v>31</v>
      </c>
      <c r="H2814" t="s">
        <v>26</v>
      </c>
      <c r="I2814" t="s">
        <v>27</v>
      </c>
      <c r="J2814" s="4">
        <v>5.69</v>
      </c>
      <c r="K2814">
        <v>2</v>
      </c>
      <c r="L2814">
        <v>23.954900000000002</v>
      </c>
      <c r="M2814">
        <v>47.909800000000004</v>
      </c>
      <c r="N2814" s="5">
        <v>2.4376615447237207</v>
      </c>
      <c r="O2814" t="s">
        <v>301</v>
      </c>
      <c r="P2814" t="s">
        <v>148</v>
      </c>
      <c r="Q2814" s="10" t="s">
        <v>24</v>
      </c>
      <c r="R2814" t="s">
        <v>1694</v>
      </c>
    </row>
    <row r="2815" spans="1:18" hidden="1" x14ac:dyDescent="0.25">
      <c r="A2815" s="9" t="s">
        <v>1314</v>
      </c>
      <c r="B2815" s="3" t="s">
        <v>1686</v>
      </c>
      <c r="C2815" s="10">
        <v>9</v>
      </c>
      <c r="D2815" s="10">
        <v>10</v>
      </c>
      <c r="E2815" s="10">
        <v>19</v>
      </c>
      <c r="F2815" t="s">
        <v>165</v>
      </c>
      <c r="G2815" t="s">
        <v>364</v>
      </c>
      <c r="H2815" t="s">
        <v>63</v>
      </c>
      <c r="I2815" t="s">
        <v>27</v>
      </c>
      <c r="J2815" s="4">
        <v>24.69</v>
      </c>
      <c r="K2815">
        <v>1</v>
      </c>
      <c r="L2815">
        <v>103.9449</v>
      </c>
      <c r="M2815">
        <v>103.9449</v>
      </c>
      <c r="N2815" s="5">
        <v>5.2887402055561212</v>
      </c>
      <c r="O2815" t="s">
        <v>301</v>
      </c>
      <c r="P2815" t="s">
        <v>148</v>
      </c>
      <c r="Q2815" s="10" t="s">
        <v>24</v>
      </c>
      <c r="R2815" t="s">
        <v>1694</v>
      </c>
    </row>
    <row r="2816" spans="1:18" hidden="1" x14ac:dyDescent="0.25">
      <c r="A2816" s="9" t="s">
        <v>1314</v>
      </c>
      <c r="B2816" s="3" t="s">
        <v>1686</v>
      </c>
      <c r="C2816" s="10">
        <v>9</v>
      </c>
      <c r="D2816" s="10">
        <v>10</v>
      </c>
      <c r="E2816" s="10">
        <v>19</v>
      </c>
      <c r="F2816" t="s">
        <v>55</v>
      </c>
      <c r="G2816" t="s">
        <v>889</v>
      </c>
      <c r="H2816" t="s">
        <v>56</v>
      </c>
      <c r="I2816" t="s">
        <v>27</v>
      </c>
      <c r="J2816" s="4">
        <v>4.49</v>
      </c>
      <c r="K2816">
        <v>0.95599999999999996</v>
      </c>
      <c r="L2816">
        <v>18.902900000000002</v>
      </c>
      <c r="M2816">
        <v>18.071172400000002</v>
      </c>
      <c r="N2816" s="5">
        <v>0.91946537091686176</v>
      </c>
      <c r="O2816" t="s">
        <v>301</v>
      </c>
      <c r="P2816" t="s">
        <v>148</v>
      </c>
      <c r="Q2816" s="10" t="s">
        <v>24</v>
      </c>
      <c r="R2816" t="s">
        <v>1694</v>
      </c>
    </row>
    <row r="2817" spans="1:18" hidden="1" x14ac:dyDescent="0.25">
      <c r="A2817" s="9" t="s">
        <v>1314</v>
      </c>
      <c r="B2817" s="3" t="s">
        <v>1686</v>
      </c>
      <c r="C2817" s="10">
        <v>9</v>
      </c>
      <c r="D2817" s="10">
        <v>10</v>
      </c>
      <c r="E2817" s="10">
        <v>19</v>
      </c>
      <c r="F2817" t="s">
        <v>112</v>
      </c>
      <c r="G2817" t="s">
        <v>889</v>
      </c>
      <c r="H2817" t="s">
        <v>56</v>
      </c>
      <c r="I2817" t="s">
        <v>27</v>
      </c>
      <c r="J2817" s="4">
        <v>9.99</v>
      </c>
      <c r="K2817">
        <v>0.316</v>
      </c>
      <c r="L2817">
        <v>42.057900000000004</v>
      </c>
      <c r="M2817">
        <v>13.290296400000001</v>
      </c>
      <c r="N2817" s="5">
        <v>0.6762133102676301</v>
      </c>
      <c r="O2817" t="s">
        <v>301</v>
      </c>
      <c r="P2817" t="s">
        <v>148</v>
      </c>
      <c r="Q2817" s="10" t="s">
        <v>24</v>
      </c>
      <c r="R2817" t="s">
        <v>1694</v>
      </c>
    </row>
    <row r="2818" spans="1:18" hidden="1" x14ac:dyDescent="0.25">
      <c r="A2818" s="9" t="s">
        <v>1314</v>
      </c>
      <c r="B2818" s="3" t="s">
        <v>1686</v>
      </c>
      <c r="C2818" s="10">
        <v>9</v>
      </c>
      <c r="D2818" s="10">
        <v>10</v>
      </c>
      <c r="E2818" s="10">
        <v>19</v>
      </c>
      <c r="F2818" t="s">
        <v>202</v>
      </c>
      <c r="G2818" t="s">
        <v>889</v>
      </c>
      <c r="H2818" t="s">
        <v>56</v>
      </c>
      <c r="I2818" t="s">
        <v>27</v>
      </c>
      <c r="J2818" s="4">
        <v>4.99</v>
      </c>
      <c r="K2818">
        <v>2</v>
      </c>
      <c r="L2818">
        <v>21.007899999999999</v>
      </c>
      <c r="M2818">
        <v>42.015799999999999</v>
      </c>
      <c r="N2818" s="5">
        <v>2.1377734812251958</v>
      </c>
      <c r="O2818" t="s">
        <v>301</v>
      </c>
      <c r="P2818" t="s">
        <v>148</v>
      </c>
      <c r="Q2818" s="10" t="s">
        <v>24</v>
      </c>
      <c r="R2818" t="s">
        <v>1694</v>
      </c>
    </row>
    <row r="2819" spans="1:18" hidden="1" x14ac:dyDescent="0.25">
      <c r="A2819" s="9" t="s">
        <v>1314</v>
      </c>
      <c r="B2819" s="3" t="s">
        <v>1686</v>
      </c>
      <c r="C2819" s="10">
        <v>9</v>
      </c>
      <c r="D2819" s="10">
        <v>10</v>
      </c>
      <c r="E2819" s="10">
        <v>19</v>
      </c>
      <c r="F2819" t="s">
        <v>112</v>
      </c>
      <c r="G2819" t="s">
        <v>889</v>
      </c>
      <c r="H2819" t="s">
        <v>56</v>
      </c>
      <c r="I2819" t="s">
        <v>27</v>
      </c>
      <c r="J2819" s="4">
        <v>4.99</v>
      </c>
      <c r="K2819">
        <v>0.48599999999999999</v>
      </c>
      <c r="L2819">
        <v>21.007899999999999</v>
      </c>
      <c r="M2819">
        <v>10.2098394</v>
      </c>
      <c r="N2819" s="5">
        <v>0.51947895593772264</v>
      </c>
      <c r="O2819" t="s">
        <v>301</v>
      </c>
      <c r="P2819" t="s">
        <v>148</v>
      </c>
      <c r="Q2819" s="10" t="s">
        <v>24</v>
      </c>
      <c r="R2819" t="s">
        <v>1694</v>
      </c>
    </row>
    <row r="2820" spans="1:18" hidden="1" x14ac:dyDescent="0.25">
      <c r="A2820" s="9" t="s">
        <v>1314</v>
      </c>
      <c r="B2820" s="3" t="s">
        <v>1686</v>
      </c>
      <c r="C2820" s="10">
        <v>9</v>
      </c>
      <c r="D2820" s="10">
        <v>10</v>
      </c>
      <c r="E2820" s="10">
        <v>19</v>
      </c>
      <c r="F2820" t="s">
        <v>146</v>
      </c>
      <c r="G2820" t="s">
        <v>146</v>
      </c>
      <c r="H2820" t="s">
        <v>49</v>
      </c>
      <c r="I2820" t="s">
        <v>50</v>
      </c>
      <c r="J2820" s="4">
        <v>0.1</v>
      </c>
      <c r="K2820">
        <v>4</v>
      </c>
      <c r="L2820">
        <v>0.42100000000000004</v>
      </c>
      <c r="M2820">
        <v>1.6840000000000002</v>
      </c>
      <c r="N2820" s="5">
        <v>8.5682303856721292E-2</v>
      </c>
      <c r="O2820" t="s">
        <v>301</v>
      </c>
      <c r="P2820" t="s">
        <v>148</v>
      </c>
      <c r="Q2820" s="10" t="s">
        <v>24</v>
      </c>
      <c r="R2820" t="s">
        <v>1694</v>
      </c>
    </row>
    <row r="2821" spans="1:18" hidden="1" x14ac:dyDescent="0.25">
      <c r="A2821" s="9" t="s">
        <v>1314</v>
      </c>
      <c r="B2821" s="3" t="s">
        <v>1686</v>
      </c>
      <c r="C2821" s="10">
        <v>9</v>
      </c>
      <c r="D2821" s="10">
        <v>10</v>
      </c>
      <c r="E2821" s="10">
        <v>19</v>
      </c>
      <c r="F2821" t="s">
        <v>155</v>
      </c>
      <c r="G2821" t="s">
        <v>889</v>
      </c>
      <c r="H2821" t="s">
        <v>131</v>
      </c>
      <c r="I2821" t="s">
        <v>27</v>
      </c>
      <c r="J2821" s="4">
        <v>8.99</v>
      </c>
      <c r="K2821">
        <v>1</v>
      </c>
      <c r="L2821">
        <v>37.847900000000003</v>
      </c>
      <c r="M2821">
        <v>37.847900000000003</v>
      </c>
      <c r="N2821" s="5">
        <v>1.9257097791798108</v>
      </c>
      <c r="O2821" t="s">
        <v>301</v>
      </c>
      <c r="P2821" t="s">
        <v>148</v>
      </c>
      <c r="Q2821" s="10" t="s">
        <v>24</v>
      </c>
      <c r="R2821" t="s">
        <v>1694</v>
      </c>
    </row>
    <row r="2822" spans="1:18" hidden="1" x14ac:dyDescent="0.25">
      <c r="A2822" s="9" t="s">
        <v>1314</v>
      </c>
      <c r="B2822" s="3" t="s">
        <v>1686</v>
      </c>
      <c r="C2822" s="10">
        <v>9</v>
      </c>
      <c r="D2822" s="10">
        <v>10</v>
      </c>
      <c r="E2822" s="10">
        <v>19</v>
      </c>
      <c r="F2822" t="s">
        <v>155</v>
      </c>
      <c r="G2822" t="s">
        <v>889</v>
      </c>
      <c r="H2822" t="s">
        <v>131</v>
      </c>
      <c r="I2822" t="s">
        <v>27</v>
      </c>
      <c r="J2822" s="4">
        <v>3.69</v>
      </c>
      <c r="K2822">
        <v>4</v>
      </c>
      <c r="L2822">
        <v>15.5349</v>
      </c>
      <c r="M2822">
        <v>62.139600000000002</v>
      </c>
      <c r="N2822" s="5">
        <v>3.1616770123130151</v>
      </c>
      <c r="O2822" t="s">
        <v>301</v>
      </c>
      <c r="P2822" t="s">
        <v>148</v>
      </c>
      <c r="Q2822" s="10" t="s">
        <v>24</v>
      </c>
      <c r="R2822" t="s">
        <v>1694</v>
      </c>
    </row>
    <row r="2823" spans="1:18" hidden="1" x14ac:dyDescent="0.25">
      <c r="A2823" s="9" t="s">
        <v>1314</v>
      </c>
      <c r="B2823" s="3" t="s">
        <v>1686</v>
      </c>
      <c r="C2823" s="10">
        <v>9</v>
      </c>
      <c r="D2823" s="10">
        <v>10</v>
      </c>
      <c r="E2823" s="10">
        <v>19</v>
      </c>
      <c r="F2823" t="s">
        <v>155</v>
      </c>
      <c r="G2823" t="s">
        <v>889</v>
      </c>
      <c r="H2823" t="s">
        <v>131</v>
      </c>
      <c r="I2823" t="s">
        <v>27</v>
      </c>
      <c r="J2823" s="4">
        <v>8.99</v>
      </c>
      <c r="K2823">
        <v>2</v>
      </c>
      <c r="L2823">
        <v>37.847900000000003</v>
      </c>
      <c r="M2823">
        <v>75.695800000000006</v>
      </c>
      <c r="N2823" s="5">
        <v>3.8514195583596216</v>
      </c>
      <c r="O2823" t="s">
        <v>301</v>
      </c>
      <c r="P2823" t="s">
        <v>148</v>
      </c>
      <c r="Q2823" s="10" t="s">
        <v>24</v>
      </c>
      <c r="R2823" t="s">
        <v>1694</v>
      </c>
    </row>
    <row r="2824" spans="1:18" hidden="1" x14ac:dyDescent="0.25">
      <c r="A2824" s="9" t="s">
        <v>1314</v>
      </c>
      <c r="B2824" s="3" t="s">
        <v>1686</v>
      </c>
      <c r="C2824" s="10">
        <v>9</v>
      </c>
      <c r="D2824" s="10">
        <v>10</v>
      </c>
      <c r="E2824" s="10">
        <v>19</v>
      </c>
      <c r="F2824" t="s">
        <v>1078</v>
      </c>
      <c r="G2824" t="s">
        <v>889</v>
      </c>
      <c r="H2824" t="s">
        <v>65</v>
      </c>
      <c r="I2824" t="s">
        <v>27</v>
      </c>
      <c r="J2824" s="4">
        <v>14.99</v>
      </c>
      <c r="K2824">
        <v>2</v>
      </c>
      <c r="L2824">
        <v>63.107900000000001</v>
      </c>
      <c r="M2824">
        <v>126.2158</v>
      </c>
      <c r="N2824" s="5">
        <v>6.4218886740612602</v>
      </c>
      <c r="O2824" t="s">
        <v>301</v>
      </c>
      <c r="P2824" t="s">
        <v>148</v>
      </c>
      <c r="Q2824" s="10" t="s">
        <v>24</v>
      </c>
      <c r="R2824" t="s">
        <v>1694</v>
      </c>
    </row>
    <row r="2825" spans="1:18" hidden="1" x14ac:dyDescent="0.25">
      <c r="A2825" s="9" t="s">
        <v>1314</v>
      </c>
      <c r="B2825" s="3" t="s">
        <v>1686</v>
      </c>
      <c r="C2825" s="10">
        <v>9</v>
      </c>
      <c r="D2825" s="10">
        <v>10</v>
      </c>
      <c r="E2825" s="10">
        <v>19</v>
      </c>
      <c r="F2825" t="s">
        <v>708</v>
      </c>
      <c r="G2825" t="s">
        <v>889</v>
      </c>
      <c r="H2825" t="s">
        <v>1612</v>
      </c>
      <c r="I2825" t="s">
        <v>27</v>
      </c>
      <c r="J2825" s="4">
        <v>6.99</v>
      </c>
      <c r="K2825">
        <v>3</v>
      </c>
      <c r="L2825">
        <v>29.427900000000001</v>
      </c>
      <c r="M2825">
        <v>88.28370000000001</v>
      </c>
      <c r="N2825" s="5">
        <v>4.4918947796886135</v>
      </c>
      <c r="O2825" t="s">
        <v>301</v>
      </c>
      <c r="P2825" t="s">
        <v>148</v>
      </c>
      <c r="Q2825" s="10" t="s">
        <v>24</v>
      </c>
      <c r="R2825" t="s">
        <v>1694</v>
      </c>
    </row>
    <row r="2826" spans="1:18" hidden="1" x14ac:dyDescent="0.25">
      <c r="A2826" s="9" t="s">
        <v>1314</v>
      </c>
      <c r="B2826" s="3" t="s">
        <v>1686</v>
      </c>
      <c r="C2826" s="10">
        <v>9</v>
      </c>
      <c r="D2826" s="10">
        <v>10</v>
      </c>
      <c r="E2826" s="10">
        <v>19</v>
      </c>
      <c r="F2826" t="s">
        <v>478</v>
      </c>
      <c r="G2826" t="s">
        <v>65</v>
      </c>
      <c r="H2826" t="s">
        <v>65</v>
      </c>
      <c r="I2826" t="s">
        <v>27</v>
      </c>
      <c r="J2826" s="4">
        <v>2.99</v>
      </c>
      <c r="K2826">
        <v>2</v>
      </c>
      <c r="L2826">
        <v>12.587900000000001</v>
      </c>
      <c r="M2826">
        <v>25.175800000000002</v>
      </c>
      <c r="N2826" s="5">
        <v>1.2809504426579832</v>
      </c>
      <c r="O2826" t="s">
        <v>301</v>
      </c>
      <c r="P2826" t="s">
        <v>148</v>
      </c>
      <c r="Q2826" s="10" t="s">
        <v>24</v>
      </c>
      <c r="R2826" t="s">
        <v>1694</v>
      </c>
    </row>
    <row r="2827" spans="1:18" hidden="1" x14ac:dyDescent="0.25">
      <c r="A2827" s="9" t="s">
        <v>1314</v>
      </c>
      <c r="B2827" s="3" t="s">
        <v>1686</v>
      </c>
      <c r="C2827" s="10">
        <v>9</v>
      </c>
      <c r="D2827" s="10">
        <v>10</v>
      </c>
      <c r="E2827" s="10">
        <v>19</v>
      </c>
      <c r="F2827" t="s">
        <v>44</v>
      </c>
      <c r="G2827" t="s">
        <v>889</v>
      </c>
      <c r="H2827" t="s">
        <v>44</v>
      </c>
      <c r="I2827" t="s">
        <v>27</v>
      </c>
      <c r="J2827" s="4">
        <v>7.49</v>
      </c>
      <c r="K2827">
        <v>1</v>
      </c>
      <c r="L2827">
        <v>31.532900000000001</v>
      </c>
      <c r="M2827">
        <v>31.532900000000001</v>
      </c>
      <c r="N2827" s="5">
        <v>1.6044011397171061</v>
      </c>
      <c r="O2827" t="s">
        <v>301</v>
      </c>
      <c r="P2827" t="s">
        <v>148</v>
      </c>
      <c r="Q2827" s="10" t="s">
        <v>24</v>
      </c>
      <c r="R2827" t="s">
        <v>1694</v>
      </c>
    </row>
    <row r="2828" spans="1:18" hidden="1" x14ac:dyDescent="0.25">
      <c r="A2828" s="9" t="s">
        <v>1314</v>
      </c>
      <c r="B2828" s="3" t="s">
        <v>1686</v>
      </c>
      <c r="C2828" s="10">
        <v>9</v>
      </c>
      <c r="D2828" s="10">
        <v>10</v>
      </c>
      <c r="E2828" s="10">
        <v>19</v>
      </c>
      <c r="F2828" t="s">
        <v>44</v>
      </c>
      <c r="G2828" t="s">
        <v>889</v>
      </c>
      <c r="H2828" t="s">
        <v>44</v>
      </c>
      <c r="I2828" t="s">
        <v>27</v>
      </c>
      <c r="J2828" s="4">
        <v>8.99</v>
      </c>
      <c r="K2828">
        <v>1</v>
      </c>
      <c r="L2828">
        <v>37.847900000000003</v>
      </c>
      <c r="M2828">
        <v>37.847900000000003</v>
      </c>
      <c r="N2828" s="5">
        <v>1.9257097791798108</v>
      </c>
      <c r="O2828" t="s">
        <v>301</v>
      </c>
      <c r="P2828" t="s">
        <v>148</v>
      </c>
      <c r="Q2828" s="10" t="s">
        <v>24</v>
      </c>
      <c r="R2828" t="s">
        <v>1694</v>
      </c>
    </row>
    <row r="2829" spans="1:18" hidden="1" x14ac:dyDescent="0.25">
      <c r="A2829" s="9" t="s">
        <v>1314</v>
      </c>
      <c r="B2829" s="3" t="s">
        <v>1686</v>
      </c>
      <c r="C2829" s="10">
        <v>9</v>
      </c>
      <c r="D2829" s="10">
        <v>10</v>
      </c>
      <c r="E2829" s="10">
        <v>19</v>
      </c>
      <c r="F2829" t="s">
        <v>104</v>
      </c>
      <c r="G2829" t="s">
        <v>889</v>
      </c>
      <c r="H2829" t="s">
        <v>889</v>
      </c>
      <c r="I2829" t="s">
        <v>72</v>
      </c>
      <c r="J2829" s="4">
        <v>33.99</v>
      </c>
      <c r="K2829">
        <v>1</v>
      </c>
      <c r="L2829">
        <v>143.09790000000001</v>
      </c>
      <c r="M2829">
        <v>143.09790000000001</v>
      </c>
      <c r="N2829" s="5">
        <v>7.2725785437072625</v>
      </c>
      <c r="O2829" t="s">
        <v>301</v>
      </c>
      <c r="P2829" t="s">
        <v>148</v>
      </c>
      <c r="Q2829" s="10" t="s">
        <v>24</v>
      </c>
      <c r="R2829" t="s">
        <v>1732</v>
      </c>
    </row>
    <row r="2830" spans="1:18" hidden="1" x14ac:dyDescent="0.25">
      <c r="A2830" s="9" t="s">
        <v>1405</v>
      </c>
      <c r="B2830" s="3" t="s">
        <v>1406</v>
      </c>
      <c r="C2830" s="10">
        <v>1</v>
      </c>
      <c r="D2830" s="10">
        <v>11</v>
      </c>
      <c r="E2830" s="10">
        <v>19</v>
      </c>
      <c r="F2830" t="s">
        <v>1721</v>
      </c>
      <c r="G2830" t="s">
        <v>889</v>
      </c>
      <c r="H2830" t="s">
        <v>39</v>
      </c>
      <c r="I2830" t="s">
        <v>27</v>
      </c>
      <c r="J2830" s="4">
        <v>11.62</v>
      </c>
      <c r="K2830">
        <v>1</v>
      </c>
      <c r="L2830">
        <v>11.62</v>
      </c>
      <c r="M2830">
        <v>11.62</v>
      </c>
      <c r="N2830" s="5">
        <v>0.58818897637795264</v>
      </c>
      <c r="O2830" t="s">
        <v>181</v>
      </c>
      <c r="P2830" t="s">
        <v>340</v>
      </c>
      <c r="Q2830" s="10" t="s">
        <v>24</v>
      </c>
      <c r="R2830" t="s">
        <v>1724</v>
      </c>
    </row>
    <row r="2831" spans="1:18" hidden="1" x14ac:dyDescent="0.25">
      <c r="A2831" s="9" t="s">
        <v>1405</v>
      </c>
      <c r="B2831" s="3" t="s">
        <v>1406</v>
      </c>
      <c r="C2831" s="10">
        <v>1</v>
      </c>
      <c r="D2831" s="10">
        <v>11</v>
      </c>
      <c r="E2831" s="10">
        <v>19</v>
      </c>
      <c r="F2831" t="s">
        <v>2242</v>
      </c>
      <c r="G2831" t="s">
        <v>345</v>
      </c>
      <c r="H2831" t="s">
        <v>26</v>
      </c>
      <c r="I2831" t="s">
        <v>27</v>
      </c>
      <c r="J2831" s="4">
        <v>5.95</v>
      </c>
      <c r="K2831">
        <v>1</v>
      </c>
      <c r="L2831">
        <v>5.95</v>
      </c>
      <c r="M2831">
        <v>5.95</v>
      </c>
      <c r="N2831" s="5">
        <v>0.30118110236220474</v>
      </c>
      <c r="O2831" t="s">
        <v>181</v>
      </c>
      <c r="P2831" t="s">
        <v>340</v>
      </c>
      <c r="Q2831" s="10" t="s">
        <v>24</v>
      </c>
    </row>
    <row r="2832" spans="1:18" hidden="1" x14ac:dyDescent="0.25">
      <c r="A2832" s="9" t="s">
        <v>1405</v>
      </c>
      <c r="B2832" s="3" t="s">
        <v>1406</v>
      </c>
      <c r="C2832" s="10">
        <v>1</v>
      </c>
      <c r="D2832" s="10">
        <v>11</v>
      </c>
      <c r="E2832" s="10">
        <v>19</v>
      </c>
      <c r="F2832" t="s">
        <v>1185</v>
      </c>
      <c r="G2832" t="s">
        <v>889</v>
      </c>
      <c r="H2832" t="s">
        <v>73</v>
      </c>
      <c r="I2832" t="s">
        <v>27</v>
      </c>
      <c r="J2832" s="4">
        <v>22.56</v>
      </c>
      <c r="K2832">
        <v>1</v>
      </c>
      <c r="L2832">
        <v>22.56</v>
      </c>
      <c r="M2832">
        <v>22.56</v>
      </c>
      <c r="N2832" s="5">
        <v>1.1419572553430819</v>
      </c>
      <c r="O2832" t="s">
        <v>181</v>
      </c>
      <c r="P2832" t="s">
        <v>340</v>
      </c>
      <c r="Q2832" s="10" t="s">
        <v>24</v>
      </c>
    </row>
    <row r="2833" spans="1:17" hidden="1" x14ac:dyDescent="0.25">
      <c r="A2833" s="9" t="s">
        <v>1405</v>
      </c>
      <c r="B2833" s="3" t="s">
        <v>1406</v>
      </c>
      <c r="C2833" s="10">
        <v>1</v>
      </c>
      <c r="D2833" s="10">
        <v>11</v>
      </c>
      <c r="E2833" s="10">
        <v>19</v>
      </c>
      <c r="F2833" t="s">
        <v>1402</v>
      </c>
      <c r="G2833" t="s">
        <v>889</v>
      </c>
      <c r="H2833" t="s">
        <v>39</v>
      </c>
      <c r="I2833" t="s">
        <v>27</v>
      </c>
      <c r="J2833" s="4">
        <v>12.1</v>
      </c>
      <c r="K2833">
        <v>1</v>
      </c>
      <c r="L2833">
        <v>12.1</v>
      </c>
      <c r="M2833">
        <v>12.1</v>
      </c>
      <c r="N2833" s="5">
        <v>0.61248593925759276</v>
      </c>
      <c r="O2833" t="s">
        <v>181</v>
      </c>
      <c r="P2833" t="s">
        <v>340</v>
      </c>
      <c r="Q2833" s="10" t="s">
        <v>24</v>
      </c>
    </row>
    <row r="2834" spans="1:17" hidden="1" x14ac:dyDescent="0.25">
      <c r="A2834" s="9" t="s">
        <v>1405</v>
      </c>
      <c r="B2834" s="3" t="s">
        <v>1406</v>
      </c>
      <c r="C2834" s="10">
        <v>1</v>
      </c>
      <c r="D2834" s="10">
        <v>11</v>
      </c>
      <c r="E2834" s="10">
        <v>19</v>
      </c>
      <c r="F2834" t="s">
        <v>1403</v>
      </c>
      <c r="G2834" t="s">
        <v>889</v>
      </c>
      <c r="H2834" t="s">
        <v>39</v>
      </c>
      <c r="I2834" t="s">
        <v>27</v>
      </c>
      <c r="J2834" s="4">
        <v>11.35</v>
      </c>
      <c r="K2834">
        <v>1</v>
      </c>
      <c r="L2834">
        <v>11.35</v>
      </c>
      <c r="M2834">
        <v>11.35</v>
      </c>
      <c r="N2834" s="5">
        <v>0.57452193475815516</v>
      </c>
      <c r="O2834" t="s">
        <v>181</v>
      </c>
      <c r="P2834" t="s">
        <v>340</v>
      </c>
      <c r="Q2834" s="10" t="s">
        <v>24</v>
      </c>
    </row>
    <row r="2835" spans="1:17" hidden="1" x14ac:dyDescent="0.25">
      <c r="A2835" s="9" t="s">
        <v>1405</v>
      </c>
      <c r="B2835" s="3" t="s">
        <v>1406</v>
      </c>
      <c r="C2835" s="10">
        <v>1</v>
      </c>
      <c r="D2835" s="10">
        <v>11</v>
      </c>
      <c r="E2835" s="10">
        <v>19</v>
      </c>
      <c r="F2835" t="s">
        <v>1264</v>
      </c>
      <c r="G2835" t="s">
        <v>31</v>
      </c>
      <c r="H2835" t="s">
        <v>26</v>
      </c>
      <c r="I2835" t="s">
        <v>27</v>
      </c>
      <c r="J2835" s="4">
        <v>19.68</v>
      </c>
      <c r="K2835">
        <v>1</v>
      </c>
      <c r="L2835">
        <v>19.68</v>
      </c>
      <c r="M2835">
        <v>19.68</v>
      </c>
      <c r="N2835" s="5">
        <v>0.99617547806524176</v>
      </c>
      <c r="O2835" t="s">
        <v>181</v>
      </c>
      <c r="P2835" t="s">
        <v>340</v>
      </c>
      <c r="Q2835" s="10" t="s">
        <v>24</v>
      </c>
    </row>
    <row r="2836" spans="1:17" hidden="1" x14ac:dyDescent="0.25">
      <c r="A2836" s="9" t="s">
        <v>1405</v>
      </c>
      <c r="B2836" s="3" t="s">
        <v>1406</v>
      </c>
      <c r="C2836" s="10">
        <v>1</v>
      </c>
      <c r="D2836" s="10">
        <v>11</v>
      </c>
      <c r="E2836" s="10">
        <v>19</v>
      </c>
      <c r="F2836" t="s">
        <v>203</v>
      </c>
      <c r="G2836" t="s">
        <v>889</v>
      </c>
      <c r="H2836" t="s">
        <v>54</v>
      </c>
      <c r="I2836" t="s">
        <v>27</v>
      </c>
      <c r="J2836" s="4">
        <v>24.2</v>
      </c>
      <c r="K2836">
        <v>1</v>
      </c>
      <c r="L2836">
        <v>24.2</v>
      </c>
      <c r="M2836">
        <v>24.2</v>
      </c>
      <c r="N2836" s="5">
        <v>1.2249718785151855</v>
      </c>
      <c r="O2836" t="s">
        <v>181</v>
      </c>
      <c r="P2836" t="s">
        <v>340</v>
      </c>
      <c r="Q2836" s="10" t="s">
        <v>24</v>
      </c>
    </row>
    <row r="2837" spans="1:17" hidden="1" x14ac:dyDescent="0.25">
      <c r="A2837" s="9" t="s">
        <v>1405</v>
      </c>
      <c r="B2837" s="3" t="s">
        <v>1406</v>
      </c>
      <c r="C2837" s="10">
        <v>1</v>
      </c>
      <c r="D2837" s="10">
        <v>11</v>
      </c>
      <c r="E2837" s="10">
        <v>19</v>
      </c>
      <c r="F2837" t="s">
        <v>55</v>
      </c>
      <c r="G2837" t="s">
        <v>889</v>
      </c>
      <c r="H2837" t="s">
        <v>56</v>
      </c>
      <c r="I2837" t="s">
        <v>27</v>
      </c>
      <c r="J2837" s="4">
        <v>21.96</v>
      </c>
      <c r="K2837">
        <v>1.022</v>
      </c>
      <c r="L2837">
        <v>21.96</v>
      </c>
      <c r="M2837">
        <v>22.44312</v>
      </c>
      <c r="N2837" s="5">
        <v>1.1360409448818898</v>
      </c>
      <c r="O2837" t="s">
        <v>181</v>
      </c>
      <c r="P2837" t="s">
        <v>340</v>
      </c>
      <c r="Q2837" s="10" t="s">
        <v>24</v>
      </c>
    </row>
    <row r="2838" spans="1:17" hidden="1" x14ac:dyDescent="0.25">
      <c r="A2838" s="9" t="s">
        <v>1405</v>
      </c>
      <c r="B2838" s="3" t="s">
        <v>1406</v>
      </c>
      <c r="C2838" s="10">
        <v>1</v>
      </c>
      <c r="D2838" s="10">
        <v>11</v>
      </c>
      <c r="E2838" s="10">
        <v>19</v>
      </c>
      <c r="F2838" t="s">
        <v>404</v>
      </c>
      <c r="G2838" t="s">
        <v>889</v>
      </c>
      <c r="H2838" t="s">
        <v>54</v>
      </c>
      <c r="I2838" t="s">
        <v>27</v>
      </c>
      <c r="J2838" s="4">
        <v>19.600000000000001</v>
      </c>
      <c r="K2838">
        <v>0.32</v>
      </c>
      <c r="L2838">
        <v>19.600000000000001</v>
      </c>
      <c r="M2838">
        <v>6.2720000000000002</v>
      </c>
      <c r="N2838" s="5">
        <v>0.31748031496062989</v>
      </c>
      <c r="O2838" t="s">
        <v>181</v>
      </c>
      <c r="P2838" t="s">
        <v>340</v>
      </c>
      <c r="Q2838" s="10" t="s">
        <v>24</v>
      </c>
    </row>
    <row r="2839" spans="1:17" hidden="1" x14ac:dyDescent="0.25">
      <c r="A2839" s="9" t="s">
        <v>1405</v>
      </c>
      <c r="B2839" s="3" t="s">
        <v>1406</v>
      </c>
      <c r="C2839" s="10">
        <v>1</v>
      </c>
      <c r="D2839" s="10">
        <v>11</v>
      </c>
      <c r="E2839" s="10">
        <v>19</v>
      </c>
      <c r="F2839" t="s">
        <v>108</v>
      </c>
      <c r="G2839" t="s">
        <v>889</v>
      </c>
      <c r="H2839" t="s">
        <v>54</v>
      </c>
      <c r="I2839" t="s">
        <v>27</v>
      </c>
      <c r="J2839" s="4">
        <v>24</v>
      </c>
      <c r="K2839">
        <v>0.18</v>
      </c>
      <c r="L2839">
        <v>24</v>
      </c>
      <c r="M2839">
        <v>4.32</v>
      </c>
      <c r="N2839" s="5">
        <v>0.21867266591676041</v>
      </c>
      <c r="O2839" t="s">
        <v>181</v>
      </c>
      <c r="P2839" t="s">
        <v>340</v>
      </c>
      <c r="Q2839" s="10" t="s">
        <v>24</v>
      </c>
    </row>
    <row r="2840" spans="1:17" hidden="1" x14ac:dyDescent="0.25">
      <c r="A2840" s="9" t="s">
        <v>1405</v>
      </c>
      <c r="B2840" s="3" t="s">
        <v>1406</v>
      </c>
      <c r="C2840" s="10">
        <v>1</v>
      </c>
      <c r="D2840" s="10">
        <v>11</v>
      </c>
      <c r="E2840" s="10">
        <v>19</v>
      </c>
      <c r="F2840" t="s">
        <v>240</v>
      </c>
      <c r="G2840" t="s">
        <v>889</v>
      </c>
      <c r="H2840" t="s">
        <v>54</v>
      </c>
      <c r="I2840" t="s">
        <v>27</v>
      </c>
      <c r="J2840" s="4">
        <v>16.5</v>
      </c>
      <c r="K2840">
        <v>1</v>
      </c>
      <c r="L2840">
        <v>16.5</v>
      </c>
      <c r="M2840">
        <v>16.5</v>
      </c>
      <c r="N2840" s="5">
        <v>0.83520809898762649</v>
      </c>
      <c r="O2840" t="s">
        <v>181</v>
      </c>
      <c r="P2840" t="s">
        <v>340</v>
      </c>
      <c r="Q2840" s="10" t="s">
        <v>24</v>
      </c>
    </row>
    <row r="2841" spans="1:17" hidden="1" x14ac:dyDescent="0.25">
      <c r="A2841" s="9" t="s">
        <v>1405</v>
      </c>
      <c r="B2841" s="3" t="s">
        <v>1406</v>
      </c>
      <c r="C2841" s="10">
        <v>1</v>
      </c>
      <c r="D2841" s="10">
        <v>11</v>
      </c>
      <c r="E2841" s="10">
        <v>19</v>
      </c>
      <c r="F2841" t="s">
        <v>215</v>
      </c>
      <c r="G2841" t="s">
        <v>25</v>
      </c>
      <c r="H2841" t="s">
        <v>26</v>
      </c>
      <c r="I2841" t="s">
        <v>27</v>
      </c>
      <c r="J2841" s="4">
        <v>15.26</v>
      </c>
      <c r="K2841">
        <v>1</v>
      </c>
      <c r="L2841">
        <v>15.26</v>
      </c>
      <c r="M2841">
        <v>15.26</v>
      </c>
      <c r="N2841" s="5">
        <v>0.77244094488188975</v>
      </c>
      <c r="O2841" t="s">
        <v>181</v>
      </c>
      <c r="P2841" t="s">
        <v>340</v>
      </c>
      <c r="Q2841" s="10" t="s">
        <v>24</v>
      </c>
    </row>
    <row r="2842" spans="1:17" hidden="1" x14ac:dyDescent="0.25">
      <c r="A2842" s="9" t="s">
        <v>1405</v>
      </c>
      <c r="B2842" s="3" t="s">
        <v>1406</v>
      </c>
      <c r="C2842" s="10">
        <v>1</v>
      </c>
      <c r="D2842" s="10">
        <v>11</v>
      </c>
      <c r="E2842" s="10">
        <v>19</v>
      </c>
      <c r="F2842" t="s">
        <v>1466</v>
      </c>
      <c r="G2842" t="s">
        <v>31</v>
      </c>
      <c r="H2842" t="s">
        <v>26</v>
      </c>
      <c r="I2842" t="s">
        <v>27</v>
      </c>
      <c r="J2842" s="4">
        <v>33.22</v>
      </c>
      <c r="K2842">
        <v>1</v>
      </c>
      <c r="L2842">
        <v>33.22</v>
      </c>
      <c r="M2842">
        <v>33.22</v>
      </c>
      <c r="N2842" s="5">
        <v>1.6815523059617548</v>
      </c>
      <c r="O2842" t="s">
        <v>181</v>
      </c>
      <c r="P2842" t="s">
        <v>340</v>
      </c>
      <c r="Q2842" s="10" t="s">
        <v>24</v>
      </c>
    </row>
    <row r="2843" spans="1:17" hidden="1" x14ac:dyDescent="0.25">
      <c r="A2843" s="9" t="s">
        <v>1405</v>
      </c>
      <c r="B2843" s="3" t="s">
        <v>1406</v>
      </c>
      <c r="C2843" s="10">
        <v>1</v>
      </c>
      <c r="D2843" s="10">
        <v>11</v>
      </c>
      <c r="E2843" s="10">
        <v>19</v>
      </c>
      <c r="F2843" t="s">
        <v>658</v>
      </c>
      <c r="G2843" t="s">
        <v>889</v>
      </c>
      <c r="H2843" t="s">
        <v>54</v>
      </c>
      <c r="I2843" t="s">
        <v>27</v>
      </c>
      <c r="J2843" s="4">
        <v>30.7</v>
      </c>
      <c r="K2843">
        <v>0.67200000000000004</v>
      </c>
      <c r="L2843">
        <v>30.7</v>
      </c>
      <c r="M2843">
        <v>20.630400000000002</v>
      </c>
      <c r="N2843" s="5">
        <v>1.0442834645669292</v>
      </c>
      <c r="O2843" t="s">
        <v>181</v>
      </c>
      <c r="P2843" t="s">
        <v>340</v>
      </c>
      <c r="Q2843" s="10" t="s">
        <v>24</v>
      </c>
    </row>
    <row r="2844" spans="1:17" hidden="1" x14ac:dyDescent="0.25">
      <c r="A2844" s="9" t="s">
        <v>1405</v>
      </c>
      <c r="B2844" s="3" t="s">
        <v>1406</v>
      </c>
      <c r="C2844" s="10">
        <v>1</v>
      </c>
      <c r="D2844" s="10">
        <v>11</v>
      </c>
      <c r="E2844" s="10">
        <v>19</v>
      </c>
      <c r="F2844" t="s">
        <v>155</v>
      </c>
      <c r="G2844" t="s">
        <v>155</v>
      </c>
      <c r="H2844" t="s">
        <v>131</v>
      </c>
      <c r="I2844" t="s">
        <v>27</v>
      </c>
      <c r="J2844" s="4">
        <v>22.37</v>
      </c>
      <c r="K2844">
        <v>1</v>
      </c>
      <c r="L2844">
        <v>22.37</v>
      </c>
      <c r="M2844">
        <v>22.37</v>
      </c>
      <c r="N2844" s="5">
        <v>1.132339707536558</v>
      </c>
      <c r="O2844" t="s">
        <v>181</v>
      </c>
      <c r="P2844" t="s">
        <v>340</v>
      </c>
      <c r="Q2844" s="10" t="s">
        <v>24</v>
      </c>
    </row>
    <row r="2845" spans="1:17" hidden="1" x14ac:dyDescent="0.25">
      <c r="A2845" s="9" t="s">
        <v>1405</v>
      </c>
      <c r="B2845" s="3" t="s">
        <v>1406</v>
      </c>
      <c r="C2845" s="10">
        <v>1</v>
      </c>
      <c r="D2845" s="10">
        <v>11</v>
      </c>
      <c r="E2845" s="10">
        <v>19</v>
      </c>
      <c r="F2845" t="s">
        <v>401</v>
      </c>
      <c r="G2845" t="s">
        <v>889</v>
      </c>
      <c r="H2845" t="s">
        <v>39</v>
      </c>
      <c r="I2845" t="s">
        <v>27</v>
      </c>
      <c r="J2845" s="4">
        <v>50.69</v>
      </c>
      <c r="K2845">
        <v>1</v>
      </c>
      <c r="L2845">
        <v>50.69</v>
      </c>
      <c r="M2845">
        <v>50.69</v>
      </c>
      <c r="N2845" s="5">
        <v>2.5658605174353202</v>
      </c>
      <c r="O2845" t="s">
        <v>181</v>
      </c>
      <c r="P2845" t="s">
        <v>340</v>
      </c>
      <c r="Q2845" s="10" t="s">
        <v>24</v>
      </c>
    </row>
    <row r="2846" spans="1:17" hidden="1" x14ac:dyDescent="0.25">
      <c r="A2846" s="9" t="s">
        <v>1405</v>
      </c>
      <c r="B2846" s="3" t="s">
        <v>1406</v>
      </c>
      <c r="C2846" s="10">
        <v>1</v>
      </c>
      <c r="D2846" s="10">
        <v>11</v>
      </c>
      <c r="E2846" s="10">
        <v>19</v>
      </c>
      <c r="F2846" t="s">
        <v>173</v>
      </c>
      <c r="G2846" t="s">
        <v>174</v>
      </c>
      <c r="H2846" t="s">
        <v>54</v>
      </c>
      <c r="I2846" t="s">
        <v>27</v>
      </c>
      <c r="J2846" s="4">
        <v>13.2</v>
      </c>
      <c r="K2846">
        <v>0.45400000000000001</v>
      </c>
      <c r="L2846">
        <v>13.2</v>
      </c>
      <c r="M2846">
        <v>5.9927999999999999</v>
      </c>
      <c r="N2846" s="5">
        <v>0.30334758155230596</v>
      </c>
      <c r="O2846" t="s">
        <v>181</v>
      </c>
      <c r="P2846" t="s">
        <v>340</v>
      </c>
      <c r="Q2846" s="10" t="s">
        <v>24</v>
      </c>
    </row>
    <row r="2847" spans="1:17" hidden="1" x14ac:dyDescent="0.25">
      <c r="A2847" s="9" t="s">
        <v>1405</v>
      </c>
      <c r="B2847" s="3" t="s">
        <v>1406</v>
      </c>
      <c r="C2847" s="10">
        <v>1</v>
      </c>
      <c r="D2847" s="10">
        <v>11</v>
      </c>
      <c r="E2847" s="10">
        <v>19</v>
      </c>
      <c r="F2847" t="s">
        <v>109</v>
      </c>
      <c r="G2847" t="s">
        <v>889</v>
      </c>
      <c r="H2847" t="s">
        <v>54</v>
      </c>
      <c r="I2847" t="s">
        <v>27</v>
      </c>
      <c r="J2847" s="4">
        <v>25.3</v>
      </c>
      <c r="K2847">
        <v>0.218</v>
      </c>
      <c r="L2847">
        <v>25.3</v>
      </c>
      <c r="M2847">
        <v>5.5154000000000005</v>
      </c>
      <c r="N2847" s="5">
        <v>0.2791822272215973</v>
      </c>
      <c r="O2847" t="s">
        <v>181</v>
      </c>
      <c r="P2847" t="s">
        <v>340</v>
      </c>
      <c r="Q2847" s="10" t="s">
        <v>24</v>
      </c>
    </row>
    <row r="2848" spans="1:17" hidden="1" x14ac:dyDescent="0.25">
      <c r="A2848" s="9" t="s">
        <v>1405</v>
      </c>
      <c r="B2848" s="3" t="s">
        <v>1406</v>
      </c>
      <c r="C2848" s="10">
        <v>1</v>
      </c>
      <c r="D2848" s="10">
        <v>11</v>
      </c>
      <c r="E2848" s="10">
        <v>19</v>
      </c>
      <c r="F2848" t="s">
        <v>1466</v>
      </c>
      <c r="G2848" t="s">
        <v>31</v>
      </c>
      <c r="H2848" t="s">
        <v>26</v>
      </c>
      <c r="I2848" t="s">
        <v>27</v>
      </c>
      <c r="J2848" s="4">
        <v>33.22</v>
      </c>
      <c r="K2848">
        <v>1</v>
      </c>
      <c r="L2848">
        <v>33.22</v>
      </c>
      <c r="M2848">
        <v>33.22</v>
      </c>
      <c r="N2848" s="5">
        <v>1.6815523059617548</v>
      </c>
      <c r="O2848" t="s">
        <v>181</v>
      </c>
      <c r="P2848" t="s">
        <v>340</v>
      </c>
      <c r="Q2848" s="10" t="s">
        <v>24</v>
      </c>
    </row>
    <row r="2849" spans="1:17" hidden="1" x14ac:dyDescent="0.25">
      <c r="A2849" s="9" t="s">
        <v>1405</v>
      </c>
      <c r="B2849" s="3" t="s">
        <v>1406</v>
      </c>
      <c r="C2849" s="10">
        <v>1</v>
      </c>
      <c r="D2849" s="10">
        <v>11</v>
      </c>
      <c r="E2849" s="10">
        <v>19</v>
      </c>
      <c r="F2849" t="s">
        <v>1123</v>
      </c>
      <c r="G2849" t="s">
        <v>77</v>
      </c>
      <c r="H2849" t="s">
        <v>26</v>
      </c>
      <c r="I2849" t="s">
        <v>27</v>
      </c>
      <c r="J2849" s="4">
        <v>34.369999999999997</v>
      </c>
      <c r="K2849">
        <v>1</v>
      </c>
      <c r="L2849">
        <v>34.369999999999997</v>
      </c>
      <c r="M2849">
        <v>34.369999999999997</v>
      </c>
      <c r="N2849" s="5">
        <v>1.7397637795275589</v>
      </c>
      <c r="O2849" t="s">
        <v>181</v>
      </c>
      <c r="P2849" t="s">
        <v>340</v>
      </c>
      <c r="Q2849" s="10" t="s">
        <v>24</v>
      </c>
    </row>
    <row r="2850" spans="1:17" hidden="1" x14ac:dyDescent="0.25">
      <c r="A2850" s="9" t="s">
        <v>1405</v>
      </c>
      <c r="B2850" s="3" t="s">
        <v>1406</v>
      </c>
      <c r="C2850" s="10">
        <v>1</v>
      </c>
      <c r="D2850" s="10">
        <v>11</v>
      </c>
      <c r="E2850" s="10">
        <v>19</v>
      </c>
      <c r="F2850" t="s">
        <v>112</v>
      </c>
      <c r="G2850" t="s">
        <v>889</v>
      </c>
      <c r="H2850" t="s">
        <v>56</v>
      </c>
      <c r="I2850" t="s">
        <v>27</v>
      </c>
      <c r="J2850" s="4">
        <v>19.600000000000001</v>
      </c>
      <c r="K2850">
        <v>0.69399999999999995</v>
      </c>
      <c r="L2850">
        <v>19.600000000000001</v>
      </c>
      <c r="M2850">
        <v>13.602399999999999</v>
      </c>
      <c r="N2850" s="5">
        <v>0.68853543307086607</v>
      </c>
      <c r="O2850" t="s">
        <v>181</v>
      </c>
      <c r="P2850" t="s">
        <v>340</v>
      </c>
      <c r="Q2850" s="10" t="s">
        <v>24</v>
      </c>
    </row>
    <row r="2851" spans="1:17" hidden="1" x14ac:dyDescent="0.25">
      <c r="A2851" s="9" t="s">
        <v>1405</v>
      </c>
      <c r="B2851" s="3" t="s">
        <v>1406</v>
      </c>
      <c r="C2851" s="10">
        <v>1</v>
      </c>
      <c r="D2851" s="10">
        <v>11</v>
      </c>
      <c r="E2851" s="10">
        <v>19</v>
      </c>
      <c r="F2851" t="s">
        <v>1404</v>
      </c>
      <c r="G2851" t="s">
        <v>889</v>
      </c>
      <c r="H2851" t="s">
        <v>40</v>
      </c>
      <c r="I2851" t="s">
        <v>27</v>
      </c>
      <c r="J2851" s="4">
        <v>9.6</v>
      </c>
      <c r="K2851">
        <v>1</v>
      </c>
      <c r="L2851">
        <v>9.6</v>
      </c>
      <c r="M2851">
        <v>9.6</v>
      </c>
      <c r="N2851" s="5">
        <v>0.48593925759280088</v>
      </c>
      <c r="O2851" t="s">
        <v>181</v>
      </c>
      <c r="P2851" t="s">
        <v>340</v>
      </c>
      <c r="Q2851" s="10" t="s">
        <v>24</v>
      </c>
    </row>
    <row r="2852" spans="1:17" hidden="1" x14ac:dyDescent="0.25">
      <c r="A2852" s="9" t="s">
        <v>1405</v>
      </c>
      <c r="B2852" s="3" t="s">
        <v>1406</v>
      </c>
      <c r="C2852" s="10">
        <v>1</v>
      </c>
      <c r="D2852" s="10">
        <v>11</v>
      </c>
      <c r="E2852" s="10">
        <v>19</v>
      </c>
      <c r="F2852" t="s">
        <v>2371</v>
      </c>
      <c r="G2852" t="s">
        <v>889</v>
      </c>
      <c r="H2852" t="s">
        <v>44</v>
      </c>
      <c r="I2852" t="s">
        <v>27</v>
      </c>
      <c r="J2852" s="4">
        <v>40.32</v>
      </c>
      <c r="K2852">
        <v>1</v>
      </c>
      <c r="L2852">
        <v>40.32</v>
      </c>
      <c r="M2852">
        <v>40.32</v>
      </c>
      <c r="N2852" s="5">
        <v>2.0409448818897635</v>
      </c>
      <c r="O2852" t="s">
        <v>181</v>
      </c>
      <c r="P2852" t="s">
        <v>340</v>
      </c>
      <c r="Q2852" s="10" t="s">
        <v>24</v>
      </c>
    </row>
    <row r="2853" spans="1:17" hidden="1" x14ac:dyDescent="0.25">
      <c r="A2853" s="9" t="s">
        <v>1405</v>
      </c>
      <c r="B2853" s="3" t="s">
        <v>1406</v>
      </c>
      <c r="C2853" s="10">
        <v>1</v>
      </c>
      <c r="D2853" s="10">
        <v>11</v>
      </c>
      <c r="E2853" s="10">
        <v>19</v>
      </c>
      <c r="F2853" t="s">
        <v>73</v>
      </c>
      <c r="G2853" t="s">
        <v>889</v>
      </c>
      <c r="H2853" t="s">
        <v>73</v>
      </c>
      <c r="I2853" t="s">
        <v>27</v>
      </c>
      <c r="J2853" s="4">
        <v>26.4</v>
      </c>
      <c r="K2853">
        <v>1</v>
      </c>
      <c r="L2853">
        <v>26.4</v>
      </c>
      <c r="M2853">
        <v>26.4</v>
      </c>
      <c r="N2853" s="5">
        <v>1.3363329583802024</v>
      </c>
      <c r="O2853" t="s">
        <v>181</v>
      </c>
      <c r="P2853" t="s">
        <v>340</v>
      </c>
      <c r="Q2853" s="10" t="s">
        <v>24</v>
      </c>
    </row>
    <row r="2854" spans="1:17" hidden="1" x14ac:dyDescent="0.25">
      <c r="A2854" s="9" t="s">
        <v>1405</v>
      </c>
      <c r="B2854" s="3" t="s">
        <v>1406</v>
      </c>
      <c r="C2854" s="10">
        <v>1</v>
      </c>
      <c r="D2854" s="10">
        <v>11</v>
      </c>
      <c r="E2854" s="10">
        <v>19</v>
      </c>
      <c r="F2854" t="s">
        <v>202</v>
      </c>
      <c r="G2854" t="s">
        <v>889</v>
      </c>
      <c r="H2854" t="s">
        <v>54</v>
      </c>
      <c r="I2854" t="s">
        <v>27</v>
      </c>
      <c r="J2854" s="4">
        <v>74.900000000000006</v>
      </c>
      <c r="K2854">
        <v>0.28000000000000003</v>
      </c>
      <c r="L2854">
        <v>74.900000000000006</v>
      </c>
      <c r="M2854">
        <v>20.972000000000005</v>
      </c>
      <c r="N2854" s="5">
        <v>1.0615748031496064</v>
      </c>
      <c r="O2854" t="s">
        <v>181</v>
      </c>
      <c r="P2854" t="s">
        <v>340</v>
      </c>
      <c r="Q2854" s="10" t="s">
        <v>24</v>
      </c>
    </row>
    <row r="2855" spans="1:17" hidden="1" x14ac:dyDescent="0.25">
      <c r="A2855" s="9" t="s">
        <v>1405</v>
      </c>
      <c r="B2855" s="3" t="s">
        <v>1462</v>
      </c>
      <c r="C2855" s="10">
        <v>10</v>
      </c>
      <c r="D2855" s="10">
        <v>11</v>
      </c>
      <c r="E2855" s="10">
        <v>19</v>
      </c>
      <c r="F2855" t="s">
        <v>1214</v>
      </c>
      <c r="G2855" t="s">
        <v>889</v>
      </c>
      <c r="H2855" t="s">
        <v>53</v>
      </c>
      <c r="I2855" t="s">
        <v>27</v>
      </c>
      <c r="J2855" s="4">
        <v>10.49</v>
      </c>
      <c r="K2855">
        <v>12</v>
      </c>
      <c r="L2855">
        <v>10.49</v>
      </c>
      <c r="M2855">
        <v>125.88</v>
      </c>
      <c r="N2855" s="5">
        <v>6.3718785151856014</v>
      </c>
      <c r="O2855" t="s">
        <v>51</v>
      </c>
      <c r="P2855" t="s">
        <v>340</v>
      </c>
      <c r="Q2855" s="10" t="s">
        <v>24</v>
      </c>
    </row>
    <row r="2856" spans="1:17" hidden="1" x14ac:dyDescent="0.25">
      <c r="A2856" s="9" t="s">
        <v>1405</v>
      </c>
      <c r="B2856" s="3" t="s">
        <v>1462</v>
      </c>
      <c r="C2856" s="10">
        <v>10</v>
      </c>
      <c r="D2856" s="10">
        <v>11</v>
      </c>
      <c r="E2856" s="10">
        <v>19</v>
      </c>
      <c r="F2856" t="s">
        <v>1381</v>
      </c>
      <c r="G2856" t="s">
        <v>889</v>
      </c>
      <c r="H2856" t="s">
        <v>53</v>
      </c>
      <c r="I2856" t="s">
        <v>27</v>
      </c>
      <c r="J2856" s="4">
        <v>20.41</v>
      </c>
      <c r="K2856">
        <v>12</v>
      </c>
      <c r="L2856">
        <v>20.41</v>
      </c>
      <c r="M2856">
        <v>244.92000000000002</v>
      </c>
      <c r="N2856" s="5">
        <v>12.397525309336332</v>
      </c>
      <c r="O2856" t="s">
        <v>51</v>
      </c>
      <c r="P2856" t="s">
        <v>340</v>
      </c>
      <c r="Q2856" s="10" t="s">
        <v>24</v>
      </c>
    </row>
    <row r="2857" spans="1:17" hidden="1" x14ac:dyDescent="0.25">
      <c r="A2857" s="9" t="s">
        <v>1405</v>
      </c>
      <c r="B2857" s="3" t="s">
        <v>1462</v>
      </c>
      <c r="C2857" s="10">
        <v>10</v>
      </c>
      <c r="D2857" s="10">
        <v>11</v>
      </c>
      <c r="E2857" s="10">
        <v>19</v>
      </c>
      <c r="F2857" t="s">
        <v>1383</v>
      </c>
      <c r="G2857" t="s">
        <v>889</v>
      </c>
      <c r="H2857" t="s">
        <v>53</v>
      </c>
      <c r="I2857" t="s">
        <v>27</v>
      </c>
      <c r="J2857" s="4">
        <v>18.989999999999998</v>
      </c>
      <c r="K2857">
        <v>12</v>
      </c>
      <c r="L2857">
        <v>18.989999999999998</v>
      </c>
      <c r="M2857">
        <v>227.88</v>
      </c>
      <c r="N2857" s="5">
        <v>11.534983127109111</v>
      </c>
      <c r="O2857" t="s">
        <v>51</v>
      </c>
      <c r="P2857" t="s">
        <v>340</v>
      </c>
      <c r="Q2857" s="10" t="s">
        <v>24</v>
      </c>
    </row>
    <row r="2858" spans="1:17" hidden="1" x14ac:dyDescent="0.25">
      <c r="A2858" s="9" t="s">
        <v>1405</v>
      </c>
      <c r="B2858" s="3" t="s">
        <v>1462</v>
      </c>
      <c r="C2858" s="10">
        <v>10</v>
      </c>
      <c r="D2858" s="10">
        <v>11</v>
      </c>
      <c r="E2858" s="10">
        <v>19</v>
      </c>
      <c r="F2858" t="s">
        <v>1458</v>
      </c>
      <c r="G2858" t="s">
        <v>889</v>
      </c>
      <c r="H2858" t="s">
        <v>59</v>
      </c>
      <c r="I2858" t="s">
        <v>27</v>
      </c>
      <c r="J2858" s="4">
        <v>239</v>
      </c>
      <c r="K2858">
        <v>1</v>
      </c>
      <c r="L2858">
        <v>239</v>
      </c>
      <c r="M2858">
        <v>239</v>
      </c>
      <c r="N2858" s="5">
        <v>12.097862767154105</v>
      </c>
      <c r="O2858" t="s">
        <v>51</v>
      </c>
      <c r="P2858" t="s">
        <v>340</v>
      </c>
      <c r="Q2858" s="10" t="s">
        <v>24</v>
      </c>
    </row>
    <row r="2859" spans="1:17" hidden="1" x14ac:dyDescent="0.25">
      <c r="A2859" s="9" t="s">
        <v>1405</v>
      </c>
      <c r="B2859" s="3" t="s">
        <v>1462</v>
      </c>
      <c r="C2859" s="10">
        <v>10</v>
      </c>
      <c r="D2859" s="10">
        <v>11</v>
      </c>
      <c r="E2859" s="10">
        <v>19</v>
      </c>
      <c r="F2859" t="s">
        <v>1459</v>
      </c>
      <c r="G2859" t="s">
        <v>889</v>
      </c>
      <c r="H2859" t="s">
        <v>65</v>
      </c>
      <c r="I2859" t="s">
        <v>27</v>
      </c>
      <c r="J2859" s="4">
        <v>139</v>
      </c>
      <c r="K2859">
        <v>1</v>
      </c>
      <c r="L2859">
        <v>139</v>
      </c>
      <c r="M2859">
        <v>139</v>
      </c>
      <c r="N2859" s="5">
        <v>7.0359955005624295</v>
      </c>
      <c r="O2859" t="s">
        <v>51</v>
      </c>
      <c r="P2859" t="s">
        <v>340</v>
      </c>
      <c r="Q2859" s="10" t="s">
        <v>24</v>
      </c>
    </row>
    <row r="2860" spans="1:17" hidden="1" x14ac:dyDescent="0.25">
      <c r="A2860" s="9" t="s">
        <v>1405</v>
      </c>
      <c r="B2860" s="3" t="s">
        <v>1462</v>
      </c>
      <c r="C2860" s="10">
        <v>10</v>
      </c>
      <c r="D2860" s="10">
        <v>11</v>
      </c>
      <c r="E2860" s="10">
        <v>19</v>
      </c>
      <c r="F2860" t="s">
        <v>1460</v>
      </c>
      <c r="G2860" t="s">
        <v>889</v>
      </c>
      <c r="H2860" t="s">
        <v>65</v>
      </c>
      <c r="I2860" t="s">
        <v>27</v>
      </c>
      <c r="J2860" s="4">
        <v>29.9</v>
      </c>
      <c r="K2860">
        <v>1</v>
      </c>
      <c r="L2860">
        <v>29.9</v>
      </c>
      <c r="M2860">
        <v>29.9</v>
      </c>
      <c r="N2860" s="5">
        <v>1.513498312710911</v>
      </c>
      <c r="O2860" t="s">
        <v>51</v>
      </c>
      <c r="P2860" t="s">
        <v>340</v>
      </c>
      <c r="Q2860" s="10" t="s">
        <v>24</v>
      </c>
    </row>
    <row r="2861" spans="1:17" hidden="1" x14ac:dyDescent="0.25">
      <c r="A2861" s="9" t="s">
        <v>1405</v>
      </c>
      <c r="B2861" s="3" t="s">
        <v>1462</v>
      </c>
      <c r="C2861" s="10">
        <v>10</v>
      </c>
      <c r="D2861" s="10">
        <v>11</v>
      </c>
      <c r="E2861" s="10">
        <v>19</v>
      </c>
      <c r="F2861" t="s">
        <v>1461</v>
      </c>
      <c r="G2861" t="s">
        <v>889</v>
      </c>
      <c r="H2861" t="s">
        <v>63</v>
      </c>
      <c r="I2861" t="s">
        <v>50</v>
      </c>
      <c r="J2861" s="4">
        <v>26.9</v>
      </c>
      <c r="K2861">
        <v>4</v>
      </c>
      <c r="L2861">
        <v>26.9</v>
      </c>
      <c r="M2861">
        <v>107.6</v>
      </c>
      <c r="N2861" s="5">
        <v>5.4465691788526431</v>
      </c>
      <c r="O2861" t="s">
        <v>51</v>
      </c>
      <c r="P2861" t="s">
        <v>340</v>
      </c>
      <c r="Q2861" s="10" t="s">
        <v>24</v>
      </c>
    </row>
    <row r="2862" spans="1:17" hidden="1" x14ac:dyDescent="0.25">
      <c r="A2862" s="9" t="s">
        <v>1405</v>
      </c>
      <c r="B2862" s="3" t="s">
        <v>1462</v>
      </c>
      <c r="C2862" s="10">
        <v>10</v>
      </c>
      <c r="D2862" s="10">
        <v>11</v>
      </c>
      <c r="E2862" s="10">
        <v>19</v>
      </c>
      <c r="F2862" t="s">
        <v>1692</v>
      </c>
      <c r="H2862" t="s">
        <v>49</v>
      </c>
      <c r="I2862" t="s">
        <v>50</v>
      </c>
      <c r="J2862" s="4">
        <v>31.81</v>
      </c>
      <c r="K2862">
        <v>2</v>
      </c>
      <c r="L2862">
        <v>31.81</v>
      </c>
      <c r="M2862">
        <v>63.62</v>
      </c>
      <c r="N2862" s="5">
        <v>3.2203599550056241</v>
      </c>
      <c r="O2862" t="s">
        <v>51</v>
      </c>
      <c r="P2862" t="s">
        <v>340</v>
      </c>
      <c r="Q2862" s="10" t="s">
        <v>24</v>
      </c>
    </row>
    <row r="2863" spans="1:17" hidden="1" x14ac:dyDescent="0.25">
      <c r="A2863" s="9" t="s">
        <v>1405</v>
      </c>
      <c r="B2863" s="3" t="s">
        <v>1462</v>
      </c>
      <c r="C2863" s="10">
        <v>10</v>
      </c>
      <c r="D2863" s="10">
        <v>11</v>
      </c>
      <c r="E2863" s="10">
        <v>19</v>
      </c>
      <c r="F2863" t="s">
        <v>61</v>
      </c>
      <c r="H2863" t="s">
        <v>62</v>
      </c>
      <c r="I2863" t="s">
        <v>27</v>
      </c>
      <c r="J2863" s="4">
        <v>14.9</v>
      </c>
      <c r="K2863">
        <v>1</v>
      </c>
      <c r="L2863">
        <v>14.9</v>
      </c>
      <c r="M2863">
        <v>14.9</v>
      </c>
      <c r="N2863" s="5">
        <v>0.75421822272215977</v>
      </c>
      <c r="O2863" t="s">
        <v>51</v>
      </c>
      <c r="P2863" t="s">
        <v>340</v>
      </c>
      <c r="Q2863" s="10" t="s">
        <v>24</v>
      </c>
    </row>
    <row r="2864" spans="1:17" hidden="1" x14ac:dyDescent="0.25">
      <c r="A2864" s="9" t="s">
        <v>1405</v>
      </c>
      <c r="B2864" s="3" t="s">
        <v>1462</v>
      </c>
      <c r="C2864" s="10">
        <v>10</v>
      </c>
      <c r="D2864" s="10">
        <v>11</v>
      </c>
      <c r="E2864" s="10">
        <v>19</v>
      </c>
      <c r="F2864" t="s">
        <v>1051</v>
      </c>
      <c r="G2864" t="s">
        <v>889</v>
      </c>
      <c r="H2864" t="s">
        <v>56</v>
      </c>
      <c r="I2864" t="s">
        <v>27</v>
      </c>
      <c r="J2864" s="4">
        <v>26.48</v>
      </c>
      <c r="K2864">
        <v>0.54400000000000004</v>
      </c>
      <c r="L2864">
        <v>26.48</v>
      </c>
      <c r="M2864">
        <v>14.405120000000002</v>
      </c>
      <c r="N2864" s="5">
        <v>0.72916805399325091</v>
      </c>
      <c r="O2864" t="s">
        <v>51</v>
      </c>
      <c r="P2864" t="s">
        <v>340</v>
      </c>
      <c r="Q2864" s="10" t="s">
        <v>24</v>
      </c>
    </row>
    <row r="2865" spans="1:18" hidden="1" x14ac:dyDescent="0.25">
      <c r="A2865" s="9" t="s">
        <v>1405</v>
      </c>
      <c r="B2865" s="3" t="s">
        <v>1462</v>
      </c>
      <c r="C2865" s="10">
        <v>10</v>
      </c>
      <c r="D2865" s="10">
        <v>11</v>
      </c>
      <c r="E2865" s="10">
        <v>19</v>
      </c>
      <c r="F2865" t="s">
        <v>119</v>
      </c>
      <c r="G2865" t="s">
        <v>889</v>
      </c>
      <c r="H2865" t="s">
        <v>56</v>
      </c>
      <c r="I2865" t="s">
        <v>27</v>
      </c>
      <c r="J2865" s="4">
        <v>24.9</v>
      </c>
      <c r="K2865">
        <v>0.63800000000000001</v>
      </c>
      <c r="L2865">
        <v>24.9</v>
      </c>
      <c r="M2865">
        <v>15.886199999999999</v>
      </c>
      <c r="N2865" s="5">
        <v>0.80413835770528674</v>
      </c>
      <c r="O2865" t="s">
        <v>51</v>
      </c>
      <c r="P2865" t="s">
        <v>340</v>
      </c>
      <c r="Q2865" s="10" t="s">
        <v>24</v>
      </c>
    </row>
    <row r="2866" spans="1:18" hidden="1" x14ac:dyDescent="0.25">
      <c r="A2866" s="9" t="s">
        <v>1405</v>
      </c>
      <c r="B2866" s="3" t="s">
        <v>1462</v>
      </c>
      <c r="C2866" s="10">
        <v>10</v>
      </c>
      <c r="D2866" s="10">
        <v>11</v>
      </c>
      <c r="E2866" s="10">
        <v>19</v>
      </c>
      <c r="F2866" t="s">
        <v>48</v>
      </c>
      <c r="G2866" t="s">
        <v>889</v>
      </c>
      <c r="H2866" t="s">
        <v>49</v>
      </c>
      <c r="I2866" t="s">
        <v>50</v>
      </c>
      <c r="J2866" s="4">
        <v>39.9</v>
      </c>
      <c r="K2866">
        <v>1</v>
      </c>
      <c r="L2866">
        <v>39.9</v>
      </c>
      <c r="M2866">
        <v>39.9</v>
      </c>
      <c r="N2866" s="5">
        <v>2.0196850393700787</v>
      </c>
      <c r="O2866" t="s">
        <v>51</v>
      </c>
      <c r="P2866" t="s">
        <v>340</v>
      </c>
      <c r="Q2866" s="10" t="s">
        <v>24</v>
      </c>
    </row>
    <row r="2867" spans="1:18" hidden="1" x14ac:dyDescent="0.25">
      <c r="A2867" s="9" t="s">
        <v>1405</v>
      </c>
      <c r="B2867" s="3" t="s">
        <v>1462</v>
      </c>
      <c r="C2867" s="10">
        <v>10</v>
      </c>
      <c r="D2867" s="10">
        <v>11</v>
      </c>
      <c r="E2867" s="10">
        <v>19</v>
      </c>
      <c r="F2867" t="s">
        <v>202</v>
      </c>
      <c r="G2867" t="s">
        <v>889</v>
      </c>
      <c r="H2867" t="s">
        <v>54</v>
      </c>
      <c r="I2867" t="s">
        <v>27</v>
      </c>
      <c r="J2867" s="4">
        <v>32.25</v>
      </c>
      <c r="K2867">
        <v>2</v>
      </c>
      <c r="L2867">
        <v>32.25</v>
      </c>
      <c r="M2867">
        <v>64.5</v>
      </c>
      <c r="N2867" s="5">
        <v>3.2649043869516308</v>
      </c>
      <c r="O2867" t="s">
        <v>51</v>
      </c>
      <c r="P2867" t="s">
        <v>340</v>
      </c>
      <c r="Q2867" s="10" t="s">
        <v>24</v>
      </c>
    </row>
    <row r="2868" spans="1:18" hidden="1" x14ac:dyDescent="0.25">
      <c r="A2868" s="9" t="s">
        <v>1405</v>
      </c>
      <c r="B2868" s="3" t="s">
        <v>1462</v>
      </c>
      <c r="C2868" s="10">
        <v>10</v>
      </c>
      <c r="D2868" s="10">
        <v>11</v>
      </c>
      <c r="E2868" s="10">
        <v>19</v>
      </c>
      <c r="F2868" t="s">
        <v>525</v>
      </c>
      <c r="G2868" t="s">
        <v>889</v>
      </c>
      <c r="H2868" t="s">
        <v>49</v>
      </c>
      <c r="I2868" t="s">
        <v>50</v>
      </c>
      <c r="J2868" s="4">
        <v>17.5</v>
      </c>
      <c r="K2868">
        <v>1</v>
      </c>
      <c r="L2868">
        <v>17.5</v>
      </c>
      <c r="M2868">
        <v>17.5</v>
      </c>
      <c r="N2868" s="5">
        <v>0.88582677165354329</v>
      </c>
      <c r="O2868" t="s">
        <v>51</v>
      </c>
      <c r="P2868" t="s">
        <v>340</v>
      </c>
      <c r="Q2868" s="10" t="s">
        <v>24</v>
      </c>
    </row>
    <row r="2869" spans="1:18" hidden="1" x14ac:dyDescent="0.25">
      <c r="A2869" s="9" t="s">
        <v>1405</v>
      </c>
      <c r="B2869" s="3" t="s">
        <v>1508</v>
      </c>
      <c r="C2869" s="10">
        <v>11</v>
      </c>
      <c r="D2869" s="10">
        <v>11</v>
      </c>
      <c r="E2869" s="10">
        <v>19</v>
      </c>
      <c r="F2869" t="s">
        <v>39</v>
      </c>
      <c r="G2869" t="s">
        <v>889</v>
      </c>
      <c r="H2869" t="s">
        <v>889</v>
      </c>
      <c r="I2869" t="s">
        <v>39</v>
      </c>
      <c r="J2869" s="4">
        <v>315</v>
      </c>
      <c r="K2869">
        <v>1</v>
      </c>
      <c r="L2869">
        <v>315</v>
      </c>
      <c r="M2869">
        <v>315</v>
      </c>
      <c r="N2869" s="5">
        <v>16.009055627425614</v>
      </c>
      <c r="O2869" t="s">
        <v>39</v>
      </c>
      <c r="P2869" t="s">
        <v>340</v>
      </c>
      <c r="Q2869" s="10" t="s">
        <v>24</v>
      </c>
      <c r="R2869" t="s">
        <v>1557</v>
      </c>
    </row>
    <row r="2870" spans="1:18" hidden="1" x14ac:dyDescent="0.25">
      <c r="A2870" s="9" t="s">
        <v>1405</v>
      </c>
      <c r="B2870" s="3" t="s">
        <v>1508</v>
      </c>
      <c r="C2870" s="10">
        <v>11</v>
      </c>
      <c r="D2870" s="10">
        <v>11</v>
      </c>
      <c r="E2870" s="10">
        <v>19</v>
      </c>
      <c r="F2870" t="s">
        <v>1649</v>
      </c>
      <c r="G2870" t="s">
        <v>889</v>
      </c>
      <c r="H2870" t="s">
        <v>21</v>
      </c>
      <c r="I2870" t="s">
        <v>87</v>
      </c>
      <c r="J2870" s="4">
        <v>302</v>
      </c>
      <c r="K2870">
        <v>1</v>
      </c>
      <c r="L2870">
        <v>302</v>
      </c>
      <c r="M2870">
        <v>302</v>
      </c>
      <c r="N2870" s="5">
        <v>15.348364442801698</v>
      </c>
      <c r="O2870" t="s">
        <v>39</v>
      </c>
      <c r="P2870" t="s">
        <v>340</v>
      </c>
      <c r="Q2870" s="10" t="s">
        <v>24</v>
      </c>
      <c r="R2870" t="s">
        <v>1650</v>
      </c>
    </row>
    <row r="2871" spans="1:18" hidden="1" x14ac:dyDescent="0.25">
      <c r="A2871" s="9" t="s">
        <v>1405</v>
      </c>
      <c r="B2871" s="3" t="s">
        <v>1451</v>
      </c>
      <c r="C2871" s="10">
        <v>12</v>
      </c>
      <c r="D2871" s="10">
        <v>11</v>
      </c>
      <c r="E2871" s="10">
        <v>19</v>
      </c>
      <c r="F2871" t="s">
        <v>1747</v>
      </c>
      <c r="H2871" t="s">
        <v>1748</v>
      </c>
      <c r="I2871" t="s">
        <v>72</v>
      </c>
      <c r="J2871" s="4">
        <v>700</v>
      </c>
      <c r="K2871">
        <v>1</v>
      </c>
      <c r="L2871">
        <v>700</v>
      </c>
      <c r="M2871">
        <v>700</v>
      </c>
      <c r="N2871" s="5">
        <v>35.433070866141733</v>
      </c>
      <c r="O2871" t="s">
        <v>1448</v>
      </c>
      <c r="P2871" t="s">
        <v>340</v>
      </c>
      <c r="Q2871" s="10" t="s">
        <v>24</v>
      </c>
      <c r="R2871" t="s">
        <v>1493</v>
      </c>
    </row>
    <row r="2872" spans="1:18" hidden="1" x14ac:dyDescent="0.25">
      <c r="A2872" s="9" t="s">
        <v>1405</v>
      </c>
      <c r="B2872" s="3" t="s">
        <v>1451</v>
      </c>
      <c r="C2872" s="10">
        <v>12</v>
      </c>
      <c r="D2872" s="10">
        <v>11</v>
      </c>
      <c r="E2872" s="10">
        <v>19</v>
      </c>
      <c r="F2872" t="s">
        <v>146</v>
      </c>
      <c r="H2872" t="s">
        <v>49</v>
      </c>
      <c r="I2872" t="s">
        <v>50</v>
      </c>
      <c r="J2872" s="4">
        <v>0.75</v>
      </c>
      <c r="K2872">
        <v>1</v>
      </c>
      <c r="L2872">
        <v>0.75</v>
      </c>
      <c r="M2872">
        <v>0.75</v>
      </c>
      <c r="N2872" s="5">
        <v>3.796400449943757E-2</v>
      </c>
      <c r="O2872" t="s">
        <v>100</v>
      </c>
      <c r="P2872" t="s">
        <v>340</v>
      </c>
      <c r="Q2872" s="10" t="s">
        <v>24</v>
      </c>
    </row>
    <row r="2873" spans="1:18" hidden="1" x14ac:dyDescent="0.25">
      <c r="A2873" s="9" t="s">
        <v>1405</v>
      </c>
      <c r="B2873" s="3" t="s">
        <v>1451</v>
      </c>
      <c r="C2873" s="10">
        <v>12</v>
      </c>
      <c r="D2873" s="10">
        <v>11</v>
      </c>
      <c r="E2873" s="10">
        <v>19</v>
      </c>
      <c r="F2873" t="s">
        <v>1466</v>
      </c>
      <c r="G2873" t="s">
        <v>31</v>
      </c>
      <c r="H2873" t="s">
        <v>26</v>
      </c>
      <c r="I2873" t="s">
        <v>27</v>
      </c>
      <c r="J2873" s="4">
        <v>36.6</v>
      </c>
      <c r="K2873">
        <v>1</v>
      </c>
      <c r="L2873">
        <v>36.6</v>
      </c>
      <c r="M2873">
        <v>36.6</v>
      </c>
      <c r="N2873" s="5">
        <v>1.8526434195725534</v>
      </c>
      <c r="O2873" t="s">
        <v>100</v>
      </c>
      <c r="P2873" t="s">
        <v>340</v>
      </c>
      <c r="Q2873" s="10" t="s">
        <v>24</v>
      </c>
    </row>
    <row r="2874" spans="1:18" hidden="1" x14ac:dyDescent="0.25">
      <c r="A2874" s="9" t="s">
        <v>1405</v>
      </c>
      <c r="B2874" s="3" t="s">
        <v>1451</v>
      </c>
      <c r="C2874" s="10">
        <v>12</v>
      </c>
      <c r="D2874" s="10">
        <v>11</v>
      </c>
      <c r="E2874" s="10">
        <v>19</v>
      </c>
      <c r="F2874" t="s">
        <v>1468</v>
      </c>
      <c r="G2874" t="s">
        <v>889</v>
      </c>
      <c r="H2874" t="s">
        <v>56</v>
      </c>
      <c r="I2874" t="s">
        <v>27</v>
      </c>
      <c r="J2874" s="4">
        <v>10</v>
      </c>
      <c r="K2874">
        <v>2</v>
      </c>
      <c r="L2874">
        <v>10</v>
      </c>
      <c r="M2874">
        <v>20</v>
      </c>
      <c r="N2874" s="5">
        <v>1.0123734533183351</v>
      </c>
      <c r="O2874" t="s">
        <v>100</v>
      </c>
      <c r="P2874" t="s">
        <v>340</v>
      </c>
      <c r="Q2874" s="10" t="s">
        <v>24</v>
      </c>
    </row>
    <row r="2875" spans="1:18" hidden="1" x14ac:dyDescent="0.25">
      <c r="A2875" s="9" t="s">
        <v>1405</v>
      </c>
      <c r="B2875" s="3" t="s">
        <v>1451</v>
      </c>
      <c r="C2875" s="10">
        <v>12</v>
      </c>
      <c r="D2875" s="10">
        <v>11</v>
      </c>
      <c r="E2875" s="10">
        <v>19</v>
      </c>
      <c r="F2875" t="s">
        <v>55</v>
      </c>
      <c r="G2875" t="s">
        <v>889</v>
      </c>
      <c r="H2875" t="s">
        <v>56</v>
      </c>
      <c r="I2875" t="s">
        <v>27</v>
      </c>
      <c r="J2875" s="4">
        <v>29.6</v>
      </c>
      <c r="K2875">
        <v>0.9</v>
      </c>
      <c r="L2875">
        <v>29.6</v>
      </c>
      <c r="M2875">
        <v>26.64</v>
      </c>
      <c r="N2875" s="5">
        <v>1.3484814398200224</v>
      </c>
      <c r="O2875" t="s">
        <v>100</v>
      </c>
      <c r="P2875" t="s">
        <v>340</v>
      </c>
      <c r="Q2875" s="10" t="s">
        <v>24</v>
      </c>
    </row>
    <row r="2876" spans="1:18" hidden="1" x14ac:dyDescent="0.25">
      <c r="A2876" s="9" t="s">
        <v>1405</v>
      </c>
      <c r="B2876" s="3" t="s">
        <v>1451</v>
      </c>
      <c r="C2876" s="10">
        <v>12</v>
      </c>
      <c r="D2876" s="10">
        <v>11</v>
      </c>
      <c r="E2876" s="10">
        <v>19</v>
      </c>
      <c r="F2876" t="s">
        <v>2271</v>
      </c>
      <c r="G2876" t="s">
        <v>889</v>
      </c>
      <c r="H2876" t="s">
        <v>131</v>
      </c>
      <c r="I2876" t="s">
        <v>27</v>
      </c>
      <c r="J2876" s="4">
        <v>16.600000000000001</v>
      </c>
      <c r="K2876">
        <v>4</v>
      </c>
      <c r="L2876">
        <v>16.600000000000001</v>
      </c>
      <c r="M2876">
        <v>66.400000000000006</v>
      </c>
      <c r="N2876" s="5">
        <v>3.3610798650168729</v>
      </c>
      <c r="O2876" t="s">
        <v>100</v>
      </c>
      <c r="P2876" t="s">
        <v>340</v>
      </c>
      <c r="Q2876" s="10" t="s">
        <v>24</v>
      </c>
    </row>
    <row r="2877" spans="1:18" hidden="1" x14ac:dyDescent="0.25">
      <c r="A2877" s="9" t="s">
        <v>1405</v>
      </c>
      <c r="B2877" s="3" t="s">
        <v>1451</v>
      </c>
      <c r="C2877" s="10">
        <v>12</v>
      </c>
      <c r="D2877" s="10">
        <v>11</v>
      </c>
      <c r="E2877" s="10">
        <v>19</v>
      </c>
      <c r="F2877" t="s">
        <v>1465</v>
      </c>
      <c r="G2877" t="s">
        <v>889</v>
      </c>
      <c r="H2877" t="s">
        <v>131</v>
      </c>
      <c r="I2877" t="s">
        <v>27</v>
      </c>
      <c r="J2877" s="4">
        <v>7.8</v>
      </c>
      <c r="K2877">
        <v>4</v>
      </c>
      <c r="L2877">
        <v>7.8</v>
      </c>
      <c r="M2877">
        <v>31.2</v>
      </c>
      <c r="N2877" s="5">
        <v>1.5793025871766029</v>
      </c>
      <c r="O2877" t="s">
        <v>100</v>
      </c>
      <c r="P2877" t="s">
        <v>340</v>
      </c>
      <c r="Q2877" s="10" t="s">
        <v>24</v>
      </c>
    </row>
    <row r="2878" spans="1:18" hidden="1" x14ac:dyDescent="0.25">
      <c r="A2878" s="9" t="s">
        <v>1405</v>
      </c>
      <c r="B2878" s="3" t="s">
        <v>1451</v>
      </c>
      <c r="C2878" s="10">
        <v>12</v>
      </c>
      <c r="D2878" s="10">
        <v>11</v>
      </c>
      <c r="E2878" s="10">
        <v>19</v>
      </c>
      <c r="F2878" t="s">
        <v>118</v>
      </c>
      <c r="G2878" t="s">
        <v>889</v>
      </c>
      <c r="H2878" t="s">
        <v>40</v>
      </c>
      <c r="I2878" t="s">
        <v>27</v>
      </c>
      <c r="J2878" s="4">
        <v>10</v>
      </c>
      <c r="K2878">
        <v>1</v>
      </c>
      <c r="L2878">
        <v>10</v>
      </c>
      <c r="M2878">
        <v>10</v>
      </c>
      <c r="N2878" s="5">
        <v>0.50618672665916753</v>
      </c>
      <c r="O2878" t="s">
        <v>100</v>
      </c>
      <c r="P2878" t="s">
        <v>340</v>
      </c>
      <c r="Q2878" s="10" t="s">
        <v>24</v>
      </c>
    </row>
    <row r="2879" spans="1:18" hidden="1" x14ac:dyDescent="0.25">
      <c r="A2879" s="9" t="s">
        <v>1405</v>
      </c>
      <c r="B2879" s="3" t="s">
        <v>1451</v>
      </c>
      <c r="C2879" s="10">
        <v>12</v>
      </c>
      <c r="D2879" s="10">
        <v>11</v>
      </c>
      <c r="E2879" s="10">
        <v>19</v>
      </c>
      <c r="F2879" t="s">
        <v>1469</v>
      </c>
      <c r="G2879" t="s">
        <v>889</v>
      </c>
      <c r="H2879" t="s">
        <v>131</v>
      </c>
      <c r="I2879" t="s">
        <v>27</v>
      </c>
      <c r="J2879" s="4">
        <v>10.8</v>
      </c>
      <c r="K2879">
        <v>1</v>
      </c>
      <c r="L2879">
        <v>10.8</v>
      </c>
      <c r="M2879">
        <v>10.8</v>
      </c>
      <c r="N2879" s="5">
        <v>0.54668166479190106</v>
      </c>
      <c r="O2879" t="s">
        <v>100</v>
      </c>
      <c r="P2879" t="s">
        <v>340</v>
      </c>
      <c r="Q2879" s="10" t="s">
        <v>24</v>
      </c>
    </row>
    <row r="2880" spans="1:18" hidden="1" x14ac:dyDescent="0.25">
      <c r="A2880" s="9" t="s">
        <v>1405</v>
      </c>
      <c r="B2880" s="3" t="s">
        <v>1454</v>
      </c>
      <c r="C2880" s="10">
        <v>14</v>
      </c>
      <c r="D2880" s="10">
        <v>11</v>
      </c>
      <c r="E2880" s="10">
        <v>19</v>
      </c>
      <c r="F2880" t="s">
        <v>40</v>
      </c>
      <c r="G2880" t="s">
        <v>889</v>
      </c>
      <c r="H2880" t="s">
        <v>519</v>
      </c>
      <c r="I2880" t="s">
        <v>27</v>
      </c>
      <c r="J2880" s="4">
        <v>10</v>
      </c>
      <c r="K2880">
        <v>1</v>
      </c>
      <c r="L2880">
        <v>10</v>
      </c>
      <c r="M2880">
        <v>10</v>
      </c>
      <c r="N2880" s="5">
        <v>0.50618672665916753</v>
      </c>
      <c r="O2880" t="s">
        <v>274</v>
      </c>
      <c r="P2880" t="s">
        <v>340</v>
      </c>
      <c r="Q2880" s="10" t="s">
        <v>24</v>
      </c>
    </row>
    <row r="2881" spans="1:18" hidden="1" x14ac:dyDescent="0.25">
      <c r="A2881" s="9" t="s">
        <v>1405</v>
      </c>
      <c r="B2881" s="3" t="s">
        <v>1454</v>
      </c>
      <c r="C2881" s="10">
        <v>14</v>
      </c>
      <c r="D2881" s="10">
        <v>11</v>
      </c>
      <c r="E2881" s="10">
        <v>19</v>
      </c>
      <c r="F2881" t="s">
        <v>98</v>
      </c>
      <c r="G2881" t="s">
        <v>889</v>
      </c>
      <c r="H2881" t="s">
        <v>26</v>
      </c>
      <c r="I2881" t="s">
        <v>27</v>
      </c>
      <c r="J2881" s="4">
        <v>46</v>
      </c>
      <c r="K2881">
        <v>1</v>
      </c>
      <c r="L2881">
        <v>46</v>
      </c>
      <c r="M2881">
        <v>46</v>
      </c>
      <c r="N2881" s="5">
        <v>2.3284589426321709</v>
      </c>
      <c r="O2881" t="s">
        <v>1472</v>
      </c>
      <c r="P2881" t="s">
        <v>340</v>
      </c>
      <c r="Q2881" s="10" t="s">
        <v>24</v>
      </c>
      <c r="R2881" t="s">
        <v>1258</v>
      </c>
    </row>
    <row r="2882" spans="1:18" hidden="1" x14ac:dyDescent="0.25">
      <c r="A2882" s="9" t="s">
        <v>1405</v>
      </c>
      <c r="B2882" s="3" t="s">
        <v>1454</v>
      </c>
      <c r="C2882" s="10">
        <v>14</v>
      </c>
      <c r="D2882" s="10">
        <v>11</v>
      </c>
      <c r="E2882" s="10">
        <v>19</v>
      </c>
      <c r="F2882" t="s">
        <v>1466</v>
      </c>
      <c r="G2882" t="s">
        <v>31</v>
      </c>
      <c r="H2882" t="s">
        <v>26</v>
      </c>
      <c r="I2882" t="s">
        <v>27</v>
      </c>
      <c r="J2882" s="4">
        <v>37.1</v>
      </c>
      <c r="K2882">
        <v>2</v>
      </c>
      <c r="L2882">
        <v>37.1</v>
      </c>
      <c r="M2882">
        <v>74.2</v>
      </c>
      <c r="N2882" s="5">
        <v>3.7559055118110236</v>
      </c>
      <c r="O2882" t="s">
        <v>1472</v>
      </c>
      <c r="P2882" t="s">
        <v>340</v>
      </c>
      <c r="Q2882" s="10" t="s">
        <v>24</v>
      </c>
    </row>
    <row r="2883" spans="1:18" hidden="1" x14ac:dyDescent="0.25">
      <c r="A2883" s="9" t="s">
        <v>1405</v>
      </c>
      <c r="B2883" s="3" t="s">
        <v>1454</v>
      </c>
      <c r="C2883" s="10">
        <v>14</v>
      </c>
      <c r="D2883" s="10">
        <v>11</v>
      </c>
      <c r="E2883" s="10">
        <v>19</v>
      </c>
      <c r="F2883" t="s">
        <v>166</v>
      </c>
      <c r="G2883" t="s">
        <v>77</v>
      </c>
      <c r="H2883" t="s">
        <v>26</v>
      </c>
      <c r="I2883" t="s">
        <v>27</v>
      </c>
      <c r="J2883" s="4">
        <v>18.7</v>
      </c>
      <c r="K2883">
        <v>1</v>
      </c>
      <c r="L2883">
        <v>18.7</v>
      </c>
      <c r="M2883">
        <v>18.7</v>
      </c>
      <c r="N2883" s="5">
        <v>0.94656917885264336</v>
      </c>
      <c r="O2883" t="s">
        <v>1472</v>
      </c>
      <c r="P2883" t="s">
        <v>340</v>
      </c>
      <c r="Q2883" s="10" t="s">
        <v>24</v>
      </c>
    </row>
    <row r="2884" spans="1:18" hidden="1" x14ac:dyDescent="0.25">
      <c r="A2884" s="9" t="s">
        <v>1405</v>
      </c>
      <c r="B2884" s="3" t="s">
        <v>1454</v>
      </c>
      <c r="C2884" s="10">
        <v>14</v>
      </c>
      <c r="D2884" s="10">
        <v>11</v>
      </c>
      <c r="E2884" s="10">
        <v>19</v>
      </c>
      <c r="F2884" t="s">
        <v>2242</v>
      </c>
      <c r="G2884" t="s">
        <v>345</v>
      </c>
      <c r="H2884" t="s">
        <v>26</v>
      </c>
      <c r="I2884" t="s">
        <v>27</v>
      </c>
      <c r="J2884" s="4">
        <v>6.35</v>
      </c>
      <c r="K2884">
        <v>1</v>
      </c>
      <c r="L2884">
        <v>6.35</v>
      </c>
      <c r="M2884">
        <v>6.35</v>
      </c>
      <c r="N2884" s="5">
        <v>0.3214285714285714</v>
      </c>
      <c r="O2884" t="s">
        <v>1472</v>
      </c>
      <c r="P2884" t="s">
        <v>340</v>
      </c>
      <c r="Q2884" s="10" t="s">
        <v>24</v>
      </c>
    </row>
    <row r="2885" spans="1:18" hidden="1" x14ac:dyDescent="0.25">
      <c r="A2885" s="9" t="s">
        <v>1405</v>
      </c>
      <c r="B2885" s="3" t="s">
        <v>1454</v>
      </c>
      <c r="C2885" s="10">
        <v>14</v>
      </c>
      <c r="D2885" s="10">
        <v>11</v>
      </c>
      <c r="E2885" s="10">
        <v>19</v>
      </c>
      <c r="F2885" t="s">
        <v>1464</v>
      </c>
      <c r="G2885" t="s">
        <v>889</v>
      </c>
      <c r="H2885" t="s">
        <v>131</v>
      </c>
      <c r="I2885" t="s">
        <v>27</v>
      </c>
      <c r="J2885" s="4">
        <v>46.25</v>
      </c>
      <c r="K2885">
        <v>1</v>
      </c>
      <c r="L2885">
        <v>46.25</v>
      </c>
      <c r="M2885">
        <v>46.25</v>
      </c>
      <c r="N2885" s="5">
        <v>2.3411136107986499</v>
      </c>
      <c r="O2885" t="s">
        <v>1472</v>
      </c>
      <c r="P2885" t="s">
        <v>340</v>
      </c>
      <c r="Q2885" s="10" t="s">
        <v>24</v>
      </c>
    </row>
    <row r="2886" spans="1:18" hidden="1" x14ac:dyDescent="0.25">
      <c r="A2886" s="9" t="s">
        <v>1405</v>
      </c>
      <c r="B2886" s="3" t="s">
        <v>1454</v>
      </c>
      <c r="C2886" s="10">
        <v>14</v>
      </c>
      <c r="D2886" s="10">
        <v>11</v>
      </c>
      <c r="E2886" s="10">
        <v>19</v>
      </c>
      <c r="F2886" t="s">
        <v>112</v>
      </c>
      <c r="G2886" t="s">
        <v>889</v>
      </c>
      <c r="H2886" t="s">
        <v>56</v>
      </c>
      <c r="I2886" t="s">
        <v>27</v>
      </c>
      <c r="J2886" s="4">
        <v>27.95</v>
      </c>
      <c r="K2886">
        <v>0.79800000000000004</v>
      </c>
      <c r="L2886">
        <v>27.95</v>
      </c>
      <c r="M2886">
        <v>22.304100000000002</v>
      </c>
      <c r="N2886" s="5">
        <v>1.1290039370078742</v>
      </c>
      <c r="O2886" t="s">
        <v>1472</v>
      </c>
      <c r="P2886" t="s">
        <v>340</v>
      </c>
      <c r="Q2886" s="10" t="s">
        <v>24</v>
      </c>
    </row>
    <row r="2887" spans="1:18" hidden="1" x14ac:dyDescent="0.25">
      <c r="A2887" s="9" t="s">
        <v>1405</v>
      </c>
      <c r="B2887" s="3" t="s">
        <v>1454</v>
      </c>
      <c r="C2887" s="10">
        <v>14</v>
      </c>
      <c r="D2887" s="10">
        <v>11</v>
      </c>
      <c r="E2887" s="10">
        <v>19</v>
      </c>
      <c r="F2887" t="s">
        <v>212</v>
      </c>
      <c r="G2887" t="s">
        <v>889</v>
      </c>
      <c r="H2887" t="s">
        <v>54</v>
      </c>
      <c r="I2887" t="s">
        <v>27</v>
      </c>
      <c r="J2887" s="4">
        <v>29.5</v>
      </c>
      <c r="K2887">
        <v>1</v>
      </c>
      <c r="L2887">
        <v>29.5</v>
      </c>
      <c r="M2887">
        <v>29.5</v>
      </c>
      <c r="N2887" s="5">
        <v>1.4932508436445444</v>
      </c>
      <c r="O2887" t="s">
        <v>1472</v>
      </c>
      <c r="P2887" t="s">
        <v>340</v>
      </c>
      <c r="Q2887" s="10" t="s">
        <v>24</v>
      </c>
    </row>
    <row r="2888" spans="1:18" hidden="1" x14ac:dyDescent="0.25">
      <c r="A2888" s="9" t="s">
        <v>1405</v>
      </c>
      <c r="B2888" s="3" t="s">
        <v>1454</v>
      </c>
      <c r="C2888" s="10">
        <v>14</v>
      </c>
      <c r="D2888" s="10">
        <v>11</v>
      </c>
      <c r="E2888" s="10">
        <v>19</v>
      </c>
      <c r="F2888" t="s">
        <v>55</v>
      </c>
      <c r="G2888" t="s">
        <v>889</v>
      </c>
      <c r="H2888" t="s">
        <v>56</v>
      </c>
      <c r="I2888" t="s">
        <v>27</v>
      </c>
      <c r="J2888" s="4">
        <v>25.85</v>
      </c>
      <c r="K2888">
        <v>0.68400000000000005</v>
      </c>
      <c r="L2888">
        <v>25.85</v>
      </c>
      <c r="M2888">
        <v>17.681400000000004</v>
      </c>
      <c r="N2888" s="5">
        <v>0.89500899887514074</v>
      </c>
      <c r="O2888" t="s">
        <v>1472</v>
      </c>
      <c r="P2888" t="s">
        <v>340</v>
      </c>
      <c r="Q2888" s="10" t="s">
        <v>24</v>
      </c>
    </row>
    <row r="2889" spans="1:18" hidden="1" x14ac:dyDescent="0.25">
      <c r="A2889" s="9" t="s">
        <v>1405</v>
      </c>
      <c r="B2889" s="3" t="s">
        <v>1454</v>
      </c>
      <c r="C2889" s="10">
        <v>14</v>
      </c>
      <c r="D2889" s="10">
        <v>11</v>
      </c>
      <c r="E2889" s="10">
        <v>19</v>
      </c>
      <c r="F2889" t="s">
        <v>179</v>
      </c>
      <c r="G2889" t="s">
        <v>889</v>
      </c>
      <c r="H2889" t="s">
        <v>179</v>
      </c>
      <c r="I2889" t="s">
        <v>105</v>
      </c>
      <c r="J2889" s="4">
        <v>132</v>
      </c>
      <c r="K2889">
        <v>1</v>
      </c>
      <c r="L2889">
        <v>132</v>
      </c>
      <c r="M2889">
        <v>132</v>
      </c>
      <c r="N2889" s="5">
        <v>6.6903193106943739</v>
      </c>
      <c r="O2889" t="s">
        <v>39</v>
      </c>
      <c r="P2889" t="s">
        <v>340</v>
      </c>
      <c r="Q2889" s="10" t="s">
        <v>24</v>
      </c>
    </row>
    <row r="2890" spans="1:18" hidden="1" x14ac:dyDescent="0.25">
      <c r="A2890" s="9" t="s">
        <v>1405</v>
      </c>
      <c r="B2890" s="3" t="s">
        <v>1454</v>
      </c>
      <c r="C2890" s="10">
        <v>14</v>
      </c>
      <c r="D2890" s="10">
        <v>11</v>
      </c>
      <c r="E2890" s="10">
        <v>19</v>
      </c>
      <c r="F2890" t="s">
        <v>168</v>
      </c>
      <c r="G2890" t="s">
        <v>889</v>
      </c>
      <c r="H2890" t="s">
        <v>168</v>
      </c>
      <c r="I2890" t="s">
        <v>105</v>
      </c>
      <c r="J2890" s="4">
        <v>238</v>
      </c>
      <c r="K2890">
        <v>1</v>
      </c>
      <c r="L2890">
        <v>238</v>
      </c>
      <c r="M2890">
        <v>238</v>
      </c>
      <c r="N2890" s="5">
        <v>12.062848454130766</v>
      </c>
      <c r="O2890" t="s">
        <v>39</v>
      </c>
      <c r="P2890" t="s">
        <v>340</v>
      </c>
      <c r="Q2890" s="10" t="s">
        <v>24</v>
      </c>
    </row>
    <row r="2891" spans="1:18" hidden="1" x14ac:dyDescent="0.25">
      <c r="A2891" s="9" t="s">
        <v>1405</v>
      </c>
      <c r="B2891" s="3" t="s">
        <v>1454</v>
      </c>
      <c r="C2891" s="10">
        <v>14</v>
      </c>
      <c r="D2891" s="10">
        <v>11</v>
      </c>
      <c r="E2891" s="10">
        <v>19</v>
      </c>
      <c r="F2891" t="s">
        <v>169</v>
      </c>
      <c r="G2891" t="s">
        <v>889</v>
      </c>
      <c r="H2891" t="s">
        <v>170</v>
      </c>
      <c r="I2891" t="s">
        <v>105</v>
      </c>
      <c r="J2891" s="4">
        <v>210</v>
      </c>
      <c r="K2891">
        <v>1</v>
      </c>
      <c r="L2891">
        <v>210</v>
      </c>
      <c r="M2891">
        <v>210</v>
      </c>
      <c r="N2891" s="5">
        <v>10.643689812468322</v>
      </c>
      <c r="O2891" t="s">
        <v>39</v>
      </c>
      <c r="P2891" t="s">
        <v>340</v>
      </c>
      <c r="Q2891" s="10" t="s">
        <v>24</v>
      </c>
    </row>
    <row r="2892" spans="1:18" hidden="1" x14ac:dyDescent="0.25">
      <c r="A2892" s="9" t="s">
        <v>1405</v>
      </c>
      <c r="B2892" s="3" t="s">
        <v>1454</v>
      </c>
      <c r="C2892" s="10">
        <v>14</v>
      </c>
      <c r="D2892" s="10">
        <v>11</v>
      </c>
      <c r="E2892" s="10">
        <v>19</v>
      </c>
      <c r="F2892" t="s">
        <v>390</v>
      </c>
      <c r="G2892" t="s">
        <v>304</v>
      </c>
      <c r="H2892" t="s">
        <v>39</v>
      </c>
      <c r="I2892" t="s">
        <v>79</v>
      </c>
      <c r="J2892" s="4">
        <v>310.24</v>
      </c>
      <c r="K2892">
        <v>1</v>
      </c>
      <c r="L2892">
        <v>310.24</v>
      </c>
      <c r="M2892">
        <v>310.24</v>
      </c>
      <c r="N2892" s="5">
        <v>15.724277749619869</v>
      </c>
      <c r="O2892" t="s">
        <v>39</v>
      </c>
      <c r="P2892" t="s">
        <v>340</v>
      </c>
      <c r="Q2892" s="10" t="s">
        <v>24</v>
      </c>
    </row>
    <row r="2893" spans="1:18" hidden="1" x14ac:dyDescent="0.25">
      <c r="A2893" s="9" t="s">
        <v>1405</v>
      </c>
      <c r="B2893" s="3" t="s">
        <v>1471</v>
      </c>
      <c r="C2893" s="10">
        <v>15</v>
      </c>
      <c r="D2893" s="10">
        <v>11</v>
      </c>
      <c r="E2893" s="10">
        <v>19</v>
      </c>
      <c r="F2893" t="s">
        <v>1357</v>
      </c>
      <c r="G2893" t="s">
        <v>889</v>
      </c>
      <c r="H2893" t="s">
        <v>35</v>
      </c>
      <c r="I2893" t="s">
        <v>27</v>
      </c>
      <c r="J2893" s="4">
        <v>182.6</v>
      </c>
      <c r="K2893">
        <v>0.155</v>
      </c>
      <c r="L2893">
        <v>182.6</v>
      </c>
      <c r="M2893">
        <v>28.302999999999997</v>
      </c>
      <c r="N2893" s="5">
        <v>1.432660292463442</v>
      </c>
      <c r="O2893" t="s">
        <v>100</v>
      </c>
      <c r="P2893" t="s">
        <v>340</v>
      </c>
      <c r="Q2893" s="10" t="s">
        <v>24</v>
      </c>
    </row>
    <row r="2894" spans="1:18" hidden="1" x14ac:dyDescent="0.25">
      <c r="A2894" s="9" t="s">
        <v>1405</v>
      </c>
      <c r="B2894" s="3" t="s">
        <v>1471</v>
      </c>
      <c r="C2894" s="10">
        <v>15</v>
      </c>
      <c r="D2894" s="10">
        <v>11</v>
      </c>
      <c r="E2894" s="10">
        <v>19</v>
      </c>
      <c r="F2894" t="s">
        <v>118</v>
      </c>
      <c r="G2894" t="s">
        <v>889</v>
      </c>
      <c r="H2894" t="s">
        <v>40</v>
      </c>
      <c r="I2894" t="s">
        <v>27</v>
      </c>
      <c r="J2894" s="4">
        <v>10</v>
      </c>
      <c r="K2894">
        <v>1</v>
      </c>
      <c r="L2894">
        <v>10</v>
      </c>
      <c r="M2894">
        <v>10</v>
      </c>
      <c r="N2894" s="5">
        <v>0.50618672665916753</v>
      </c>
      <c r="O2894" t="s">
        <v>100</v>
      </c>
      <c r="P2894" t="s">
        <v>340</v>
      </c>
      <c r="Q2894" s="10" t="s">
        <v>24</v>
      </c>
    </row>
    <row r="2895" spans="1:18" hidden="1" x14ac:dyDescent="0.25">
      <c r="A2895" s="9" t="s">
        <v>1405</v>
      </c>
      <c r="B2895" s="3" t="s">
        <v>1471</v>
      </c>
      <c r="C2895" s="10">
        <v>15</v>
      </c>
      <c r="D2895" s="10">
        <v>11</v>
      </c>
      <c r="E2895" s="10">
        <v>19</v>
      </c>
      <c r="F2895" t="s">
        <v>2271</v>
      </c>
      <c r="G2895" t="s">
        <v>889</v>
      </c>
      <c r="H2895" t="s">
        <v>131</v>
      </c>
      <c r="I2895" t="s">
        <v>27</v>
      </c>
      <c r="J2895" s="4">
        <v>16.600000000000001</v>
      </c>
      <c r="K2895">
        <v>2</v>
      </c>
      <c r="L2895">
        <v>16</v>
      </c>
      <c r="M2895">
        <v>32</v>
      </c>
      <c r="N2895" s="5">
        <v>1.6197975253093362</v>
      </c>
      <c r="O2895" t="s">
        <v>100</v>
      </c>
      <c r="P2895" t="s">
        <v>340</v>
      </c>
      <c r="Q2895" s="10" t="s">
        <v>24</v>
      </c>
    </row>
    <row r="2896" spans="1:18" hidden="1" x14ac:dyDescent="0.25">
      <c r="A2896" s="9" t="s">
        <v>1405</v>
      </c>
      <c r="B2896" s="3" t="s">
        <v>1471</v>
      </c>
      <c r="C2896" s="10">
        <v>15</v>
      </c>
      <c r="D2896" s="10">
        <v>11</v>
      </c>
      <c r="E2896" s="10">
        <v>19</v>
      </c>
      <c r="F2896" t="s">
        <v>146</v>
      </c>
      <c r="H2896" t="s">
        <v>49</v>
      </c>
      <c r="I2896" t="s">
        <v>50</v>
      </c>
      <c r="J2896" s="4">
        <v>0.35</v>
      </c>
      <c r="K2896">
        <v>1</v>
      </c>
      <c r="L2896">
        <v>0.35</v>
      </c>
      <c r="M2896">
        <v>0.35</v>
      </c>
      <c r="N2896" s="5">
        <v>1.7716535433070866E-2</v>
      </c>
      <c r="O2896" t="s">
        <v>100</v>
      </c>
      <c r="P2896" t="s">
        <v>340</v>
      </c>
      <c r="Q2896" s="10" t="s">
        <v>24</v>
      </c>
    </row>
    <row r="2897" spans="1:18" hidden="1" x14ac:dyDescent="0.25">
      <c r="A2897" s="9" t="s">
        <v>1405</v>
      </c>
      <c r="B2897" s="3" t="s">
        <v>1471</v>
      </c>
      <c r="C2897" s="10">
        <v>15</v>
      </c>
      <c r="D2897" s="10">
        <v>11</v>
      </c>
      <c r="E2897" s="10">
        <v>19</v>
      </c>
      <c r="F2897" t="s">
        <v>1147</v>
      </c>
      <c r="G2897" t="s">
        <v>889</v>
      </c>
      <c r="H2897" t="s">
        <v>1599</v>
      </c>
      <c r="I2897" t="s">
        <v>22</v>
      </c>
      <c r="J2897" s="4">
        <v>135</v>
      </c>
      <c r="K2897">
        <v>1</v>
      </c>
      <c r="L2897">
        <v>135</v>
      </c>
      <c r="M2897">
        <v>135</v>
      </c>
      <c r="N2897" s="5">
        <v>6.8335208098987623</v>
      </c>
      <c r="O2897" t="s">
        <v>39</v>
      </c>
      <c r="P2897" t="s">
        <v>340</v>
      </c>
      <c r="Q2897" s="10" t="s">
        <v>24</v>
      </c>
      <c r="R2897" t="s">
        <v>1505</v>
      </c>
    </row>
    <row r="2898" spans="1:18" hidden="1" x14ac:dyDescent="0.25">
      <c r="A2898" s="9" t="s">
        <v>1405</v>
      </c>
      <c r="B2898" s="3" t="s">
        <v>1471</v>
      </c>
      <c r="C2898" s="10">
        <v>15</v>
      </c>
      <c r="D2898" s="10">
        <v>11</v>
      </c>
      <c r="E2898" s="10">
        <v>19</v>
      </c>
      <c r="F2898" t="s">
        <v>1147</v>
      </c>
      <c r="G2898" t="s">
        <v>889</v>
      </c>
      <c r="H2898" t="s">
        <v>1599</v>
      </c>
      <c r="I2898" t="s">
        <v>22</v>
      </c>
      <c r="J2898" s="4">
        <v>435</v>
      </c>
      <c r="K2898">
        <v>1</v>
      </c>
      <c r="L2898">
        <v>435</v>
      </c>
      <c r="M2898">
        <v>435</v>
      </c>
      <c r="N2898" s="5">
        <v>22.107743485492513</v>
      </c>
      <c r="O2898" t="s">
        <v>39</v>
      </c>
      <c r="P2898" t="s">
        <v>340</v>
      </c>
      <c r="Q2898" s="10" t="s">
        <v>24</v>
      </c>
      <c r="R2898" t="s">
        <v>1505</v>
      </c>
    </row>
    <row r="2899" spans="1:18" hidden="1" x14ac:dyDescent="0.25">
      <c r="A2899" s="9" t="s">
        <v>1405</v>
      </c>
      <c r="B2899" s="3" t="s">
        <v>1471</v>
      </c>
      <c r="C2899" s="10">
        <v>15</v>
      </c>
      <c r="D2899" s="10">
        <v>11</v>
      </c>
      <c r="E2899" s="10">
        <v>19</v>
      </c>
      <c r="F2899" t="s">
        <v>2081</v>
      </c>
      <c r="G2899" t="s">
        <v>1147</v>
      </c>
      <c r="H2899" t="s">
        <v>21</v>
      </c>
      <c r="I2899" t="s">
        <v>22</v>
      </c>
      <c r="J2899" s="4">
        <v>30</v>
      </c>
      <c r="K2899">
        <v>1</v>
      </c>
      <c r="L2899">
        <v>30</v>
      </c>
      <c r="M2899">
        <v>30</v>
      </c>
      <c r="N2899" s="5">
        <v>1.524671964516725</v>
      </c>
      <c r="O2899" t="s">
        <v>39</v>
      </c>
      <c r="P2899" t="s">
        <v>340</v>
      </c>
      <c r="Q2899" s="10" t="s">
        <v>24</v>
      </c>
    </row>
    <row r="2900" spans="1:18" hidden="1" x14ac:dyDescent="0.25">
      <c r="A2900" s="9" t="s">
        <v>1405</v>
      </c>
      <c r="B2900" s="3" t="s">
        <v>1449</v>
      </c>
      <c r="C2900" s="10">
        <v>16</v>
      </c>
      <c r="D2900" s="10">
        <v>11</v>
      </c>
      <c r="E2900" s="10">
        <v>19</v>
      </c>
      <c r="F2900" t="s">
        <v>141</v>
      </c>
      <c r="G2900" t="s">
        <v>889</v>
      </c>
      <c r="H2900" t="s">
        <v>172</v>
      </c>
      <c r="I2900" t="s">
        <v>39</v>
      </c>
      <c r="J2900" s="4">
        <v>2</v>
      </c>
      <c r="K2900">
        <v>17</v>
      </c>
      <c r="L2900">
        <v>2</v>
      </c>
      <c r="M2900">
        <v>34</v>
      </c>
      <c r="N2900" s="5">
        <v>1.7210348706411698</v>
      </c>
      <c r="O2900" t="s">
        <v>39</v>
      </c>
      <c r="P2900" t="s">
        <v>340</v>
      </c>
      <c r="Q2900" s="10" t="s">
        <v>24</v>
      </c>
    </row>
    <row r="2901" spans="1:18" hidden="1" x14ac:dyDescent="0.25">
      <c r="A2901" s="9" t="s">
        <v>1405</v>
      </c>
      <c r="B2901" s="3" t="s">
        <v>1449</v>
      </c>
      <c r="C2901" s="10">
        <v>16</v>
      </c>
      <c r="D2901" s="10">
        <v>11</v>
      </c>
      <c r="E2901" s="10">
        <v>19</v>
      </c>
      <c r="F2901" t="s">
        <v>141</v>
      </c>
      <c r="G2901" t="s">
        <v>889</v>
      </c>
      <c r="H2901" t="s">
        <v>172</v>
      </c>
      <c r="I2901" t="s">
        <v>39</v>
      </c>
      <c r="J2901" s="4">
        <v>3</v>
      </c>
      <c r="K2901">
        <v>4</v>
      </c>
      <c r="L2901">
        <v>3</v>
      </c>
      <c r="M2901">
        <v>12</v>
      </c>
      <c r="N2901" s="5">
        <v>0.60742407199100112</v>
      </c>
      <c r="O2901" t="s">
        <v>39</v>
      </c>
      <c r="P2901" t="s">
        <v>340</v>
      </c>
      <c r="Q2901" s="10" t="s">
        <v>24</v>
      </c>
    </row>
    <row r="2902" spans="1:18" hidden="1" x14ac:dyDescent="0.25">
      <c r="A2902" s="9" t="s">
        <v>1405</v>
      </c>
      <c r="B2902" s="3" t="s">
        <v>1449</v>
      </c>
      <c r="C2902" s="10">
        <v>16</v>
      </c>
      <c r="D2902" s="10">
        <v>11</v>
      </c>
      <c r="E2902" s="10">
        <v>19</v>
      </c>
      <c r="F2902" t="s">
        <v>1523</v>
      </c>
      <c r="G2902" t="s">
        <v>889</v>
      </c>
      <c r="H2902" t="s">
        <v>63</v>
      </c>
      <c r="I2902" t="s">
        <v>50</v>
      </c>
      <c r="J2902" s="4">
        <v>251</v>
      </c>
      <c r="K2902">
        <v>1</v>
      </c>
      <c r="L2902">
        <v>251</v>
      </c>
      <c r="M2902">
        <v>251</v>
      </c>
      <c r="N2902" s="5">
        <v>12.705286839145106</v>
      </c>
      <c r="O2902" t="s">
        <v>1447</v>
      </c>
      <c r="P2902" t="s">
        <v>340</v>
      </c>
      <c r="Q2902" s="10" t="s">
        <v>24</v>
      </c>
      <c r="R2902" t="s">
        <v>1524</v>
      </c>
    </row>
    <row r="2903" spans="1:18" hidden="1" x14ac:dyDescent="0.25">
      <c r="A2903" s="9" t="s">
        <v>1405</v>
      </c>
      <c r="B2903" s="3" t="s">
        <v>1449</v>
      </c>
      <c r="C2903" s="10">
        <v>16</v>
      </c>
      <c r="D2903" s="10">
        <v>11</v>
      </c>
      <c r="E2903" s="10">
        <v>19</v>
      </c>
      <c r="F2903" t="s">
        <v>593</v>
      </c>
      <c r="G2903" t="s">
        <v>889</v>
      </c>
      <c r="H2903" t="s">
        <v>39</v>
      </c>
      <c r="I2903" t="s">
        <v>27</v>
      </c>
      <c r="J2903" s="4">
        <v>67</v>
      </c>
      <c r="K2903">
        <v>1</v>
      </c>
      <c r="L2903">
        <v>67</v>
      </c>
      <c r="M2903">
        <v>67</v>
      </c>
      <c r="N2903" s="5">
        <v>3.3914510686164228</v>
      </c>
      <c r="O2903" t="s">
        <v>593</v>
      </c>
      <c r="P2903" t="s">
        <v>340</v>
      </c>
      <c r="Q2903" s="10" t="s">
        <v>24</v>
      </c>
    </row>
    <row r="2904" spans="1:18" hidden="1" x14ac:dyDescent="0.25">
      <c r="A2904" s="9" t="s">
        <v>1405</v>
      </c>
      <c r="B2904" s="3" t="s">
        <v>1452</v>
      </c>
      <c r="C2904" s="10">
        <v>17</v>
      </c>
      <c r="D2904" s="10">
        <v>11</v>
      </c>
      <c r="E2904" s="10">
        <v>19</v>
      </c>
      <c r="F2904" t="s">
        <v>1517</v>
      </c>
      <c r="G2904" t="s">
        <v>889</v>
      </c>
      <c r="H2904" t="s">
        <v>49</v>
      </c>
      <c r="I2904" t="s">
        <v>50</v>
      </c>
      <c r="J2904" s="4">
        <v>29</v>
      </c>
      <c r="K2904">
        <v>2</v>
      </c>
      <c r="L2904">
        <v>29</v>
      </c>
      <c r="M2904">
        <v>58</v>
      </c>
      <c r="N2904" s="5">
        <v>2.935883014623172</v>
      </c>
      <c r="O2904" t="s">
        <v>1447</v>
      </c>
      <c r="P2904" t="s">
        <v>340</v>
      </c>
      <c r="Q2904" s="10" t="s">
        <v>24</v>
      </c>
      <c r="R2904" t="s">
        <v>1514</v>
      </c>
    </row>
    <row r="2905" spans="1:18" hidden="1" x14ac:dyDescent="0.25">
      <c r="A2905" s="9" t="s">
        <v>1405</v>
      </c>
      <c r="B2905" s="3" t="s">
        <v>1452</v>
      </c>
      <c r="C2905" s="10">
        <v>17</v>
      </c>
      <c r="D2905" s="10">
        <v>11</v>
      </c>
      <c r="E2905" s="10">
        <v>19</v>
      </c>
      <c r="F2905" t="s">
        <v>1517</v>
      </c>
      <c r="G2905" t="s">
        <v>889</v>
      </c>
      <c r="H2905" t="s">
        <v>49</v>
      </c>
      <c r="I2905" t="s">
        <v>50</v>
      </c>
      <c r="J2905" s="4">
        <v>39.92</v>
      </c>
      <c r="K2905">
        <v>2</v>
      </c>
      <c r="L2905">
        <v>39.92</v>
      </c>
      <c r="M2905">
        <v>79.84</v>
      </c>
      <c r="N2905" s="5">
        <v>4.041394825646794</v>
      </c>
      <c r="O2905" t="s">
        <v>187</v>
      </c>
      <c r="P2905" t="s">
        <v>340</v>
      </c>
      <c r="Q2905" s="10" t="s">
        <v>24</v>
      </c>
      <c r="R2905" t="s">
        <v>1515</v>
      </c>
    </row>
    <row r="2906" spans="1:18" hidden="1" x14ac:dyDescent="0.25">
      <c r="A2906" s="9" t="s">
        <v>1405</v>
      </c>
      <c r="B2906" s="3" t="s">
        <v>1452</v>
      </c>
      <c r="C2906" s="10">
        <v>17</v>
      </c>
      <c r="D2906" s="10">
        <v>11</v>
      </c>
      <c r="E2906" s="10">
        <v>19</v>
      </c>
      <c r="F2906" t="s">
        <v>1517</v>
      </c>
      <c r="G2906" t="s">
        <v>889</v>
      </c>
      <c r="H2906" t="s">
        <v>49</v>
      </c>
      <c r="I2906" t="s">
        <v>50</v>
      </c>
      <c r="J2906" s="4">
        <v>45.9</v>
      </c>
      <c r="K2906">
        <v>2</v>
      </c>
      <c r="L2906">
        <v>45.9</v>
      </c>
      <c r="M2906">
        <v>91.8</v>
      </c>
      <c r="N2906" s="5">
        <v>4.6467941507311581</v>
      </c>
      <c r="O2906" t="s">
        <v>187</v>
      </c>
      <c r="P2906" t="s">
        <v>340</v>
      </c>
      <c r="Q2906" s="10" t="s">
        <v>24</v>
      </c>
      <c r="R2906" t="s">
        <v>1516</v>
      </c>
    </row>
    <row r="2907" spans="1:18" hidden="1" x14ac:dyDescent="0.25">
      <c r="A2907" s="9" t="s">
        <v>1405</v>
      </c>
      <c r="B2907" s="3" t="s">
        <v>1452</v>
      </c>
      <c r="C2907" s="10">
        <v>17</v>
      </c>
      <c r="D2907" s="10">
        <v>11</v>
      </c>
      <c r="E2907" s="10">
        <v>19</v>
      </c>
      <c r="F2907" t="s">
        <v>78</v>
      </c>
      <c r="G2907" t="s">
        <v>889</v>
      </c>
      <c r="H2907" t="s">
        <v>78</v>
      </c>
      <c r="I2907" t="s">
        <v>79</v>
      </c>
      <c r="J2907" s="4">
        <v>56.41</v>
      </c>
      <c r="K2907">
        <v>18.600000000000001</v>
      </c>
      <c r="L2907">
        <v>56.41</v>
      </c>
      <c r="M2907">
        <v>1049.2260000000001</v>
      </c>
      <c r="N2907" s="5">
        <v>53.110427446569183</v>
      </c>
      <c r="O2907" t="s">
        <v>103</v>
      </c>
      <c r="P2907" t="s">
        <v>340</v>
      </c>
      <c r="Q2907" s="10" t="s">
        <v>24</v>
      </c>
    </row>
    <row r="2908" spans="1:18" hidden="1" x14ac:dyDescent="0.25">
      <c r="A2908" s="9" t="s">
        <v>1405</v>
      </c>
      <c r="B2908" s="3" t="s">
        <v>1477</v>
      </c>
      <c r="C2908" s="10">
        <v>18</v>
      </c>
      <c r="D2908" s="10">
        <v>11</v>
      </c>
      <c r="E2908" s="10">
        <v>19</v>
      </c>
      <c r="F2908" t="s">
        <v>141</v>
      </c>
      <c r="G2908" t="s">
        <v>889</v>
      </c>
      <c r="H2908" t="s">
        <v>172</v>
      </c>
      <c r="I2908" t="s">
        <v>39</v>
      </c>
      <c r="J2908" s="4">
        <v>2</v>
      </c>
      <c r="K2908">
        <v>1</v>
      </c>
      <c r="L2908">
        <v>2</v>
      </c>
      <c r="M2908">
        <v>2</v>
      </c>
      <c r="N2908" s="5">
        <v>0.10123734533183351</v>
      </c>
      <c r="O2908" t="s">
        <v>39</v>
      </c>
      <c r="P2908" t="s">
        <v>340</v>
      </c>
      <c r="Q2908" s="10" t="s">
        <v>24</v>
      </c>
    </row>
    <row r="2909" spans="1:18" hidden="1" x14ac:dyDescent="0.25">
      <c r="A2909" s="9" t="s">
        <v>1405</v>
      </c>
      <c r="B2909" s="3" t="s">
        <v>1477</v>
      </c>
      <c r="C2909" s="10">
        <v>18</v>
      </c>
      <c r="D2909" s="10">
        <v>11</v>
      </c>
      <c r="E2909" s="10">
        <v>19</v>
      </c>
      <c r="F2909" t="s">
        <v>1478</v>
      </c>
      <c r="G2909" t="s">
        <v>889</v>
      </c>
      <c r="H2909" t="s">
        <v>131</v>
      </c>
      <c r="I2909" t="s">
        <v>27</v>
      </c>
      <c r="J2909" s="4">
        <v>29.73</v>
      </c>
      <c r="K2909">
        <v>1</v>
      </c>
      <c r="L2909">
        <v>29.73</v>
      </c>
      <c r="M2909">
        <v>29.73</v>
      </c>
      <c r="N2909" s="5">
        <v>1.5048931383577053</v>
      </c>
      <c r="O2909" t="s">
        <v>181</v>
      </c>
      <c r="P2909" t="s">
        <v>340</v>
      </c>
      <c r="Q2909" s="10" t="s">
        <v>24</v>
      </c>
    </row>
    <row r="2910" spans="1:18" hidden="1" x14ac:dyDescent="0.25">
      <c r="A2910" s="9" t="s">
        <v>1405</v>
      </c>
      <c r="B2910" s="3" t="s">
        <v>1477</v>
      </c>
      <c r="C2910" s="10">
        <v>18</v>
      </c>
      <c r="D2910" s="10">
        <v>11</v>
      </c>
      <c r="E2910" s="10">
        <v>19</v>
      </c>
      <c r="F2910" t="s">
        <v>1479</v>
      </c>
      <c r="G2910" t="s">
        <v>889</v>
      </c>
      <c r="H2910" t="s">
        <v>131</v>
      </c>
      <c r="I2910" t="s">
        <v>27</v>
      </c>
      <c r="J2910" s="4">
        <v>48.4</v>
      </c>
      <c r="K2910">
        <v>1</v>
      </c>
      <c r="L2910">
        <v>48.4</v>
      </c>
      <c r="M2910">
        <v>48.4</v>
      </c>
      <c r="N2910" s="5">
        <v>2.449943757030371</v>
      </c>
      <c r="O2910" t="s">
        <v>181</v>
      </c>
      <c r="P2910" t="s">
        <v>340</v>
      </c>
      <c r="Q2910" s="10" t="s">
        <v>24</v>
      </c>
    </row>
    <row r="2911" spans="1:18" hidden="1" x14ac:dyDescent="0.25">
      <c r="A2911" s="9" t="s">
        <v>1405</v>
      </c>
      <c r="B2911" s="3" t="s">
        <v>1477</v>
      </c>
      <c r="C2911" s="10">
        <v>18</v>
      </c>
      <c r="D2911" s="10">
        <v>11</v>
      </c>
      <c r="E2911" s="10">
        <v>19</v>
      </c>
      <c r="F2911" t="s">
        <v>1466</v>
      </c>
      <c r="G2911" t="s">
        <v>31</v>
      </c>
      <c r="H2911" t="s">
        <v>26</v>
      </c>
      <c r="I2911" t="s">
        <v>27</v>
      </c>
      <c r="J2911" s="4">
        <v>32.869999999999997</v>
      </c>
      <c r="K2911">
        <v>2</v>
      </c>
      <c r="L2911">
        <v>32.869999999999997</v>
      </c>
      <c r="M2911">
        <v>65.739999999999995</v>
      </c>
      <c r="N2911" s="5">
        <v>3.3276715410573674</v>
      </c>
      <c r="O2911" t="s">
        <v>181</v>
      </c>
      <c r="P2911" t="s">
        <v>340</v>
      </c>
      <c r="Q2911" s="10" t="s">
        <v>24</v>
      </c>
    </row>
    <row r="2912" spans="1:18" hidden="1" x14ac:dyDescent="0.25">
      <c r="A2912" s="9" t="s">
        <v>1405</v>
      </c>
      <c r="B2912" s="3" t="s">
        <v>1477</v>
      </c>
      <c r="C2912" s="10">
        <v>18</v>
      </c>
      <c r="D2912" s="10">
        <v>11</v>
      </c>
      <c r="E2912" s="10">
        <v>19</v>
      </c>
      <c r="F2912" t="s">
        <v>155</v>
      </c>
      <c r="G2912" t="s">
        <v>155</v>
      </c>
      <c r="H2912" t="s">
        <v>131</v>
      </c>
      <c r="I2912" t="s">
        <v>27</v>
      </c>
      <c r="J2912" s="4">
        <v>39.42</v>
      </c>
      <c r="K2912">
        <v>1</v>
      </c>
      <c r="L2912">
        <v>39.42</v>
      </c>
      <c r="M2912">
        <v>39.42</v>
      </c>
      <c r="N2912" s="5">
        <v>1.9953880764904386</v>
      </c>
      <c r="O2912" t="s">
        <v>181</v>
      </c>
      <c r="P2912" t="s">
        <v>340</v>
      </c>
      <c r="Q2912" s="10" t="s">
        <v>24</v>
      </c>
    </row>
    <row r="2913" spans="1:18" hidden="1" x14ac:dyDescent="0.25">
      <c r="A2913" s="9" t="s">
        <v>1405</v>
      </c>
      <c r="B2913" s="3" t="s">
        <v>1477</v>
      </c>
      <c r="C2913" s="10">
        <v>18</v>
      </c>
      <c r="D2913" s="10">
        <v>11</v>
      </c>
      <c r="E2913" s="10">
        <v>19</v>
      </c>
      <c r="F2913" t="s">
        <v>155</v>
      </c>
      <c r="G2913" t="s">
        <v>155</v>
      </c>
      <c r="H2913" t="s">
        <v>131</v>
      </c>
      <c r="I2913" t="s">
        <v>27</v>
      </c>
      <c r="J2913" s="4">
        <v>22.75</v>
      </c>
      <c r="K2913">
        <v>2</v>
      </c>
      <c r="L2913">
        <v>22.75</v>
      </c>
      <c r="M2913">
        <v>45.5</v>
      </c>
      <c r="N2913" s="5">
        <v>2.3031496062992125</v>
      </c>
      <c r="O2913" t="s">
        <v>181</v>
      </c>
      <c r="P2913" t="s">
        <v>340</v>
      </c>
      <c r="Q2913" s="10" t="s">
        <v>24</v>
      </c>
    </row>
    <row r="2914" spans="1:18" hidden="1" x14ac:dyDescent="0.25">
      <c r="A2914" s="9" t="s">
        <v>1405</v>
      </c>
      <c r="B2914" s="3" t="s">
        <v>1477</v>
      </c>
      <c r="C2914" s="10">
        <v>18</v>
      </c>
      <c r="D2914" s="10">
        <v>11</v>
      </c>
      <c r="E2914" s="10">
        <v>19</v>
      </c>
      <c r="F2914" t="s">
        <v>73</v>
      </c>
      <c r="G2914" t="s">
        <v>889</v>
      </c>
      <c r="H2914" t="s">
        <v>73</v>
      </c>
      <c r="I2914" t="s">
        <v>27</v>
      </c>
      <c r="J2914" s="4">
        <v>25.94</v>
      </c>
      <c r="K2914">
        <v>1</v>
      </c>
      <c r="L2914">
        <v>25.94</v>
      </c>
      <c r="M2914">
        <v>25.94</v>
      </c>
      <c r="N2914" s="5">
        <v>1.3130483689538808</v>
      </c>
      <c r="O2914" t="s">
        <v>181</v>
      </c>
      <c r="P2914" t="s">
        <v>340</v>
      </c>
      <c r="Q2914" s="10" t="s">
        <v>24</v>
      </c>
    </row>
    <row r="2915" spans="1:18" hidden="1" x14ac:dyDescent="0.25">
      <c r="A2915" s="9" t="s">
        <v>1405</v>
      </c>
      <c r="B2915" s="3" t="s">
        <v>1477</v>
      </c>
      <c r="C2915" s="10">
        <v>18</v>
      </c>
      <c r="D2915" s="10">
        <v>11</v>
      </c>
      <c r="E2915" s="10">
        <v>19</v>
      </c>
      <c r="F2915" t="s">
        <v>1721</v>
      </c>
      <c r="G2915" t="s">
        <v>889</v>
      </c>
      <c r="H2915" t="s">
        <v>39</v>
      </c>
      <c r="I2915" t="s">
        <v>27</v>
      </c>
      <c r="J2915" s="4">
        <v>11.49</v>
      </c>
      <c r="K2915">
        <v>1</v>
      </c>
      <c r="L2915">
        <v>11.49</v>
      </c>
      <c r="M2915">
        <v>11.49</v>
      </c>
      <c r="N2915" s="5">
        <v>0.58160854893138358</v>
      </c>
      <c r="O2915" t="s">
        <v>181</v>
      </c>
      <c r="P2915" t="s">
        <v>340</v>
      </c>
      <c r="Q2915" s="10" t="s">
        <v>24</v>
      </c>
      <c r="R2915" t="s">
        <v>1724</v>
      </c>
    </row>
    <row r="2916" spans="1:18" hidden="1" x14ac:dyDescent="0.25">
      <c r="A2916" s="9" t="s">
        <v>1405</v>
      </c>
      <c r="B2916" s="3" t="s">
        <v>1477</v>
      </c>
      <c r="C2916" s="10">
        <v>18</v>
      </c>
      <c r="D2916" s="10">
        <v>11</v>
      </c>
      <c r="E2916" s="10">
        <v>19</v>
      </c>
      <c r="F2916" t="s">
        <v>55</v>
      </c>
      <c r="G2916" t="s">
        <v>889</v>
      </c>
      <c r="H2916" t="s">
        <v>56</v>
      </c>
      <c r="I2916" t="s">
        <v>27</v>
      </c>
      <c r="J2916" s="4">
        <v>21.9</v>
      </c>
      <c r="K2916">
        <v>0.98599999999999999</v>
      </c>
      <c r="L2916">
        <v>21.9</v>
      </c>
      <c r="M2916">
        <v>21.593399999999999</v>
      </c>
      <c r="N2916" s="5">
        <v>1.0930292463442068</v>
      </c>
      <c r="O2916" t="s">
        <v>181</v>
      </c>
      <c r="P2916" t="s">
        <v>340</v>
      </c>
      <c r="Q2916" s="10" t="s">
        <v>24</v>
      </c>
    </row>
    <row r="2917" spans="1:18" hidden="1" x14ac:dyDescent="0.25">
      <c r="A2917" s="9" t="s">
        <v>1405</v>
      </c>
      <c r="B2917" s="3" t="s">
        <v>1477</v>
      </c>
      <c r="C2917" s="10">
        <v>18</v>
      </c>
      <c r="D2917" s="10">
        <v>11</v>
      </c>
      <c r="E2917" s="10">
        <v>19</v>
      </c>
      <c r="F2917" t="s">
        <v>99</v>
      </c>
      <c r="G2917" t="s">
        <v>889</v>
      </c>
      <c r="H2917" t="s">
        <v>40</v>
      </c>
      <c r="I2917" t="s">
        <v>27</v>
      </c>
      <c r="J2917" s="4">
        <v>4.08</v>
      </c>
      <c r="K2917">
        <v>1</v>
      </c>
      <c r="L2917">
        <v>4.08</v>
      </c>
      <c r="M2917">
        <v>4.08</v>
      </c>
      <c r="N2917" s="5">
        <v>0.20652418447694038</v>
      </c>
      <c r="O2917" t="s">
        <v>181</v>
      </c>
      <c r="P2917" t="s">
        <v>340</v>
      </c>
      <c r="Q2917" s="10" t="s">
        <v>24</v>
      </c>
    </row>
    <row r="2918" spans="1:18" hidden="1" x14ac:dyDescent="0.25">
      <c r="A2918" s="9" t="s">
        <v>1405</v>
      </c>
      <c r="B2918" s="3" t="s">
        <v>1477</v>
      </c>
      <c r="C2918" s="10">
        <v>18</v>
      </c>
      <c r="D2918" s="10">
        <v>11</v>
      </c>
      <c r="E2918" s="10">
        <v>19</v>
      </c>
      <c r="F2918" t="s">
        <v>2242</v>
      </c>
      <c r="G2918" t="s">
        <v>345</v>
      </c>
      <c r="H2918" t="s">
        <v>26</v>
      </c>
      <c r="I2918" t="s">
        <v>27</v>
      </c>
      <c r="J2918" s="4">
        <v>5.89</v>
      </c>
      <c r="K2918">
        <v>1</v>
      </c>
      <c r="L2918">
        <v>5.89</v>
      </c>
      <c r="M2918">
        <v>5.89</v>
      </c>
      <c r="N2918" s="5">
        <v>0.29814398200224967</v>
      </c>
      <c r="O2918" t="s">
        <v>181</v>
      </c>
      <c r="P2918" t="s">
        <v>340</v>
      </c>
      <c r="Q2918" s="10" t="s">
        <v>24</v>
      </c>
    </row>
    <row r="2919" spans="1:18" hidden="1" x14ac:dyDescent="0.25">
      <c r="A2919" s="9" t="s">
        <v>1405</v>
      </c>
      <c r="B2919" s="3" t="s">
        <v>1477</v>
      </c>
      <c r="C2919" s="10">
        <v>18</v>
      </c>
      <c r="D2919" s="10">
        <v>11</v>
      </c>
      <c r="E2919" s="10">
        <v>19</v>
      </c>
      <c r="F2919" t="s">
        <v>1480</v>
      </c>
      <c r="G2919" t="s">
        <v>889</v>
      </c>
      <c r="H2919" t="s">
        <v>39</v>
      </c>
      <c r="I2919" t="s">
        <v>27</v>
      </c>
      <c r="J2919" s="4">
        <v>36.479999999999997</v>
      </c>
      <c r="K2919">
        <v>1</v>
      </c>
      <c r="L2919">
        <v>36.479999999999997</v>
      </c>
      <c r="M2919">
        <v>36.479999999999997</v>
      </c>
      <c r="N2919" s="5">
        <v>1.8465691788526433</v>
      </c>
      <c r="O2919" t="s">
        <v>181</v>
      </c>
      <c r="P2919" t="s">
        <v>340</v>
      </c>
      <c r="Q2919" s="10" t="s">
        <v>24</v>
      </c>
      <c r="R2919" t="s">
        <v>1530</v>
      </c>
    </row>
    <row r="2920" spans="1:18" hidden="1" x14ac:dyDescent="0.25">
      <c r="A2920" s="9" t="s">
        <v>1405</v>
      </c>
      <c r="B2920" s="3" t="s">
        <v>1477</v>
      </c>
      <c r="C2920" s="10">
        <v>18</v>
      </c>
      <c r="D2920" s="10">
        <v>11</v>
      </c>
      <c r="E2920" s="10">
        <v>19</v>
      </c>
      <c r="F2920" t="s">
        <v>1481</v>
      </c>
      <c r="G2920" t="s">
        <v>889</v>
      </c>
      <c r="H2920" t="s">
        <v>54</v>
      </c>
      <c r="I2920" t="s">
        <v>27</v>
      </c>
      <c r="J2920" s="4">
        <v>16.5</v>
      </c>
      <c r="K2920">
        <v>1</v>
      </c>
      <c r="L2920">
        <v>16.5</v>
      </c>
      <c r="M2920">
        <v>16.5</v>
      </c>
      <c r="N2920" s="5">
        <v>0.83520809898762649</v>
      </c>
      <c r="O2920" t="s">
        <v>181</v>
      </c>
      <c r="P2920" t="s">
        <v>340</v>
      </c>
      <c r="Q2920" s="10" t="s">
        <v>24</v>
      </c>
    </row>
    <row r="2921" spans="1:18" hidden="1" x14ac:dyDescent="0.25">
      <c r="A2921" s="9" t="s">
        <v>1405</v>
      </c>
      <c r="B2921" s="3" t="s">
        <v>1477</v>
      </c>
      <c r="C2921" s="10">
        <v>18</v>
      </c>
      <c r="D2921" s="10">
        <v>11</v>
      </c>
      <c r="E2921" s="10">
        <v>19</v>
      </c>
      <c r="F2921" t="s">
        <v>155</v>
      </c>
      <c r="G2921" t="s">
        <v>155</v>
      </c>
      <c r="H2921" t="s">
        <v>131</v>
      </c>
      <c r="I2921" t="s">
        <v>27</v>
      </c>
      <c r="J2921" s="4">
        <v>13.58</v>
      </c>
      <c r="K2921">
        <v>2</v>
      </c>
      <c r="L2921">
        <v>13.58</v>
      </c>
      <c r="M2921">
        <v>27.16</v>
      </c>
      <c r="N2921" s="5">
        <v>1.3748031496062991</v>
      </c>
      <c r="O2921" t="s">
        <v>181</v>
      </c>
      <c r="P2921" t="s">
        <v>340</v>
      </c>
      <c r="Q2921" s="10" t="s">
        <v>24</v>
      </c>
    </row>
    <row r="2922" spans="1:18" hidden="1" x14ac:dyDescent="0.25">
      <c r="A2922" s="9" t="s">
        <v>1405</v>
      </c>
      <c r="B2922" s="3" t="s">
        <v>1477</v>
      </c>
      <c r="C2922" s="10">
        <v>18</v>
      </c>
      <c r="D2922" s="10">
        <v>11</v>
      </c>
      <c r="E2922" s="10">
        <v>19</v>
      </c>
      <c r="F2922" t="s">
        <v>1482</v>
      </c>
      <c r="G2922" t="s">
        <v>155</v>
      </c>
      <c r="H2922" t="s">
        <v>131</v>
      </c>
      <c r="I2922" t="s">
        <v>27</v>
      </c>
      <c r="J2922" s="4">
        <v>19.95</v>
      </c>
      <c r="K2922">
        <v>1</v>
      </c>
      <c r="L2922">
        <v>19.95</v>
      </c>
      <c r="M2922">
        <v>19.95</v>
      </c>
      <c r="N2922" s="5">
        <v>1.0098425196850394</v>
      </c>
      <c r="O2922" t="s">
        <v>181</v>
      </c>
      <c r="P2922" t="s">
        <v>340</v>
      </c>
      <c r="Q2922" s="10" t="s">
        <v>24</v>
      </c>
    </row>
    <row r="2923" spans="1:18" hidden="1" x14ac:dyDescent="0.25">
      <c r="A2923" s="9" t="s">
        <v>1405</v>
      </c>
      <c r="B2923" s="3" t="s">
        <v>1477</v>
      </c>
      <c r="C2923" s="10">
        <v>18</v>
      </c>
      <c r="D2923" s="10">
        <v>11</v>
      </c>
      <c r="E2923" s="10">
        <v>19</v>
      </c>
      <c r="F2923" t="s">
        <v>155</v>
      </c>
      <c r="G2923" t="s">
        <v>155</v>
      </c>
      <c r="H2923" t="s">
        <v>131</v>
      </c>
      <c r="I2923" t="s">
        <v>27</v>
      </c>
      <c r="J2923" s="4">
        <v>13.58</v>
      </c>
      <c r="K2923">
        <v>2</v>
      </c>
      <c r="L2923">
        <v>13.58</v>
      </c>
      <c r="M2923">
        <v>27.16</v>
      </c>
      <c r="N2923" s="5">
        <v>1.3748031496062991</v>
      </c>
      <c r="O2923" t="s">
        <v>181</v>
      </c>
      <c r="P2923" t="s">
        <v>340</v>
      </c>
      <c r="Q2923" s="10" t="s">
        <v>24</v>
      </c>
    </row>
    <row r="2924" spans="1:18" hidden="1" x14ac:dyDescent="0.25">
      <c r="A2924" s="9" t="s">
        <v>1405</v>
      </c>
      <c r="B2924" s="3" t="s">
        <v>1477</v>
      </c>
      <c r="C2924" s="10">
        <v>18</v>
      </c>
      <c r="D2924" s="10">
        <v>11</v>
      </c>
      <c r="E2924" s="10">
        <v>19</v>
      </c>
      <c r="F2924" t="s">
        <v>155</v>
      </c>
      <c r="G2924" t="s">
        <v>155</v>
      </c>
      <c r="H2924" t="s">
        <v>131</v>
      </c>
      <c r="I2924" t="s">
        <v>27</v>
      </c>
      <c r="J2924" s="4">
        <v>8.4499999999999993</v>
      </c>
      <c r="K2924">
        <v>2</v>
      </c>
      <c r="L2924">
        <v>8.4499999999999993</v>
      </c>
      <c r="M2924">
        <v>16.899999999999999</v>
      </c>
      <c r="N2924" s="5">
        <v>0.85545556805399314</v>
      </c>
      <c r="O2924" t="s">
        <v>181</v>
      </c>
      <c r="P2924" t="s">
        <v>340</v>
      </c>
      <c r="Q2924" s="10" t="s">
        <v>24</v>
      </c>
    </row>
    <row r="2925" spans="1:18" hidden="1" x14ac:dyDescent="0.25">
      <c r="A2925" s="9" t="s">
        <v>1405</v>
      </c>
      <c r="B2925" s="3" t="s">
        <v>1477</v>
      </c>
      <c r="C2925" s="10">
        <v>18</v>
      </c>
      <c r="D2925" s="10">
        <v>11</v>
      </c>
      <c r="E2925" s="10">
        <v>19</v>
      </c>
      <c r="F2925" t="s">
        <v>2287</v>
      </c>
      <c r="G2925" t="s">
        <v>77</v>
      </c>
      <c r="H2925" t="s">
        <v>26</v>
      </c>
      <c r="I2925" t="s">
        <v>27</v>
      </c>
      <c r="J2925" s="4">
        <v>19.850000000000001</v>
      </c>
      <c r="K2925">
        <v>1</v>
      </c>
      <c r="L2925">
        <v>19.850000000000001</v>
      </c>
      <c r="M2925">
        <v>19.850000000000001</v>
      </c>
      <c r="N2925" s="5">
        <v>1.0047806524184477</v>
      </c>
      <c r="O2925" t="s">
        <v>181</v>
      </c>
      <c r="P2925" t="s">
        <v>340</v>
      </c>
      <c r="Q2925" s="10" t="s">
        <v>24</v>
      </c>
    </row>
    <row r="2926" spans="1:18" hidden="1" x14ac:dyDescent="0.25">
      <c r="A2926" s="9" t="s">
        <v>1405</v>
      </c>
      <c r="B2926" s="3" t="s">
        <v>1477</v>
      </c>
      <c r="C2926" s="10">
        <v>18</v>
      </c>
      <c r="D2926" s="10">
        <v>11</v>
      </c>
      <c r="E2926" s="10">
        <v>19</v>
      </c>
      <c r="F2926" s="7" t="s">
        <v>589</v>
      </c>
      <c r="G2926" t="s">
        <v>889</v>
      </c>
      <c r="H2926" t="s">
        <v>63</v>
      </c>
      <c r="I2926" t="s">
        <v>50</v>
      </c>
      <c r="J2926" s="4">
        <v>69.44</v>
      </c>
      <c r="K2926">
        <v>2</v>
      </c>
      <c r="L2926">
        <v>69.44</v>
      </c>
      <c r="M2926">
        <v>138.88</v>
      </c>
      <c r="N2926" s="5">
        <v>7.0299212598425189</v>
      </c>
      <c r="O2926" t="s">
        <v>181</v>
      </c>
      <c r="P2926" t="s">
        <v>340</v>
      </c>
      <c r="Q2926" s="10" t="s">
        <v>24</v>
      </c>
    </row>
    <row r="2927" spans="1:18" hidden="1" x14ac:dyDescent="0.25">
      <c r="A2927" s="9" t="s">
        <v>1405</v>
      </c>
      <c r="B2927" s="3" t="s">
        <v>1477</v>
      </c>
      <c r="C2927" s="10">
        <v>18</v>
      </c>
      <c r="D2927" s="10">
        <v>11</v>
      </c>
      <c r="E2927" s="10">
        <v>19</v>
      </c>
      <c r="F2927" t="s">
        <v>155</v>
      </c>
      <c r="G2927" t="s">
        <v>155</v>
      </c>
      <c r="H2927" t="s">
        <v>131</v>
      </c>
      <c r="I2927" t="s">
        <v>27</v>
      </c>
      <c r="J2927" s="4">
        <v>31.07</v>
      </c>
      <c r="K2927">
        <v>1</v>
      </c>
      <c r="L2927">
        <v>31.07</v>
      </c>
      <c r="M2927">
        <v>31.07</v>
      </c>
      <c r="N2927" s="5">
        <v>1.5727221597300336</v>
      </c>
      <c r="O2927" t="s">
        <v>181</v>
      </c>
      <c r="P2927" t="s">
        <v>340</v>
      </c>
      <c r="Q2927" s="10" t="s">
        <v>24</v>
      </c>
    </row>
    <row r="2928" spans="1:18" hidden="1" x14ac:dyDescent="0.25">
      <c r="A2928" s="9" t="s">
        <v>1405</v>
      </c>
      <c r="B2928" s="3" t="s">
        <v>1477</v>
      </c>
      <c r="C2928" s="10">
        <v>18</v>
      </c>
      <c r="D2928" s="10">
        <v>11</v>
      </c>
      <c r="E2928" s="10">
        <v>19</v>
      </c>
      <c r="F2928" t="s">
        <v>1465</v>
      </c>
      <c r="G2928" t="s">
        <v>889</v>
      </c>
      <c r="H2928" t="s">
        <v>131</v>
      </c>
      <c r="I2928" t="s">
        <v>27</v>
      </c>
      <c r="J2928" s="4">
        <v>6.36</v>
      </c>
      <c r="K2928">
        <v>4</v>
      </c>
      <c r="L2928">
        <v>6.36</v>
      </c>
      <c r="M2928">
        <v>25.44</v>
      </c>
      <c r="N2928" s="5">
        <v>1.2877390326209224</v>
      </c>
      <c r="O2928" t="s">
        <v>181</v>
      </c>
      <c r="P2928" t="s">
        <v>340</v>
      </c>
      <c r="Q2928" s="10" t="s">
        <v>24</v>
      </c>
    </row>
    <row r="2929" spans="1:18" hidden="1" x14ac:dyDescent="0.25">
      <c r="A2929" s="9" t="s">
        <v>1405</v>
      </c>
      <c r="B2929" s="3" t="s">
        <v>1477</v>
      </c>
      <c r="C2929" s="10">
        <v>18</v>
      </c>
      <c r="D2929" s="10">
        <v>11</v>
      </c>
      <c r="E2929" s="10">
        <v>19</v>
      </c>
      <c r="F2929" t="s">
        <v>2371</v>
      </c>
      <c r="G2929" t="s">
        <v>889</v>
      </c>
      <c r="H2929" t="s">
        <v>44</v>
      </c>
      <c r="I2929" t="s">
        <v>27</v>
      </c>
      <c r="J2929" s="4">
        <v>34.200000000000003</v>
      </c>
      <c r="K2929">
        <v>1</v>
      </c>
      <c r="L2929">
        <v>34.200000000000003</v>
      </c>
      <c r="M2929">
        <v>34.200000000000003</v>
      </c>
      <c r="N2929" s="5">
        <v>1.7311586051743533</v>
      </c>
      <c r="O2929" t="s">
        <v>181</v>
      </c>
      <c r="P2929" t="s">
        <v>340</v>
      </c>
      <c r="Q2929" s="10" t="s">
        <v>24</v>
      </c>
    </row>
    <row r="2930" spans="1:18" hidden="1" x14ac:dyDescent="0.25">
      <c r="A2930" s="9" t="s">
        <v>1405</v>
      </c>
      <c r="B2930" s="3" t="s">
        <v>1477</v>
      </c>
      <c r="C2930" s="10">
        <v>18</v>
      </c>
      <c r="D2930" s="10">
        <v>11</v>
      </c>
      <c r="E2930" s="10">
        <v>19</v>
      </c>
      <c r="F2930" t="s">
        <v>1051</v>
      </c>
      <c r="G2930" t="s">
        <v>889</v>
      </c>
      <c r="H2930" t="s">
        <v>56</v>
      </c>
      <c r="I2930" t="s">
        <v>27</v>
      </c>
      <c r="J2930" s="4">
        <v>26.5</v>
      </c>
      <c r="K2930">
        <v>0.55200000000000005</v>
      </c>
      <c r="L2930">
        <v>26.5</v>
      </c>
      <c r="M2930">
        <v>14.628000000000002</v>
      </c>
      <c r="N2930" s="5">
        <v>0.74044994375703044</v>
      </c>
      <c r="O2930" t="s">
        <v>181</v>
      </c>
      <c r="P2930" t="s">
        <v>340</v>
      </c>
      <c r="Q2930" s="10" t="s">
        <v>24</v>
      </c>
    </row>
    <row r="2931" spans="1:18" hidden="1" x14ac:dyDescent="0.25">
      <c r="A2931" s="9" t="s">
        <v>1405</v>
      </c>
      <c r="B2931" s="3" t="s">
        <v>1477</v>
      </c>
      <c r="C2931" s="10">
        <v>18</v>
      </c>
      <c r="D2931" s="10">
        <v>11</v>
      </c>
      <c r="E2931" s="10">
        <v>19</v>
      </c>
      <c r="F2931" t="s">
        <v>146</v>
      </c>
      <c r="G2931" t="s">
        <v>889</v>
      </c>
      <c r="H2931" t="s">
        <v>49</v>
      </c>
      <c r="I2931" t="s">
        <v>50</v>
      </c>
      <c r="J2931" s="4">
        <v>0.6</v>
      </c>
      <c r="K2931">
        <v>1</v>
      </c>
      <c r="L2931">
        <v>0.6</v>
      </c>
      <c r="M2931">
        <v>0.6</v>
      </c>
      <c r="N2931" s="5">
        <v>3.0371203599550055E-2</v>
      </c>
      <c r="O2931" t="s">
        <v>181</v>
      </c>
      <c r="P2931" t="s">
        <v>340</v>
      </c>
      <c r="Q2931" s="10" t="s">
        <v>24</v>
      </c>
    </row>
    <row r="2932" spans="1:18" hidden="1" x14ac:dyDescent="0.25">
      <c r="A2932" s="9" t="s">
        <v>1405</v>
      </c>
      <c r="B2932" s="3" t="s">
        <v>1477</v>
      </c>
      <c r="C2932" s="10">
        <v>18</v>
      </c>
      <c r="D2932" s="10">
        <v>11</v>
      </c>
      <c r="E2932" s="10">
        <v>19</v>
      </c>
      <c r="F2932" t="s">
        <v>159</v>
      </c>
      <c r="G2932" t="s">
        <v>889</v>
      </c>
      <c r="H2932" t="s">
        <v>889</v>
      </c>
      <c r="I2932" t="s">
        <v>72</v>
      </c>
      <c r="J2932" s="4">
        <v>342.95</v>
      </c>
      <c r="K2932">
        <v>1</v>
      </c>
      <c r="L2932">
        <v>342.95</v>
      </c>
      <c r="M2932">
        <v>342.95</v>
      </c>
      <c r="N2932" s="5">
        <v>17.429541674367027</v>
      </c>
      <c r="O2932" t="s">
        <v>629</v>
      </c>
      <c r="P2932" t="s">
        <v>340</v>
      </c>
      <c r="Q2932" s="10" t="s">
        <v>24</v>
      </c>
      <c r="R2932" t="s">
        <v>1658</v>
      </c>
    </row>
    <row r="2933" spans="1:18" hidden="1" x14ac:dyDescent="0.25">
      <c r="A2933" s="9" t="s">
        <v>1405</v>
      </c>
      <c r="B2933" s="3" t="s">
        <v>1477</v>
      </c>
      <c r="C2933" s="10">
        <v>18</v>
      </c>
      <c r="D2933" s="10">
        <v>11</v>
      </c>
      <c r="E2933" s="10">
        <v>19</v>
      </c>
      <c r="F2933" t="s">
        <v>39</v>
      </c>
      <c r="G2933" t="s">
        <v>889</v>
      </c>
      <c r="H2933" t="s">
        <v>1748</v>
      </c>
      <c r="I2933" t="s">
        <v>72</v>
      </c>
      <c r="J2933" s="4">
        <v>3.62</v>
      </c>
      <c r="K2933">
        <v>1</v>
      </c>
      <c r="L2933">
        <v>3.62</v>
      </c>
      <c r="M2933">
        <v>3.62</v>
      </c>
      <c r="N2933" s="5">
        <v>0.18397708371835148</v>
      </c>
      <c r="O2933" t="s">
        <v>1659</v>
      </c>
      <c r="P2933" t="s">
        <v>340</v>
      </c>
      <c r="Q2933" s="10" t="s">
        <v>24</v>
      </c>
      <c r="R2933" t="s">
        <v>1428</v>
      </c>
    </row>
    <row r="2934" spans="1:18" hidden="1" x14ac:dyDescent="0.25">
      <c r="A2934" s="9" t="s">
        <v>1405</v>
      </c>
      <c r="B2934" s="3" t="s">
        <v>1485</v>
      </c>
      <c r="C2934" s="10">
        <v>19</v>
      </c>
      <c r="D2934" s="10">
        <v>11</v>
      </c>
      <c r="E2934" s="10">
        <v>19</v>
      </c>
      <c r="F2934" t="s">
        <v>99</v>
      </c>
      <c r="G2934" t="s">
        <v>889</v>
      </c>
      <c r="H2934" t="s">
        <v>40</v>
      </c>
      <c r="I2934" t="s">
        <v>27</v>
      </c>
      <c r="J2934" s="4">
        <v>4.3</v>
      </c>
      <c r="K2934">
        <v>1</v>
      </c>
      <c r="L2934">
        <v>4.3</v>
      </c>
      <c r="M2934">
        <v>4.3</v>
      </c>
      <c r="N2934" s="5">
        <v>0.21853631491406389</v>
      </c>
      <c r="O2934" t="s">
        <v>181</v>
      </c>
      <c r="P2934" t="s">
        <v>340</v>
      </c>
      <c r="Q2934" s="10" t="s">
        <v>24</v>
      </c>
    </row>
    <row r="2935" spans="1:18" hidden="1" x14ac:dyDescent="0.25">
      <c r="A2935" s="9" t="s">
        <v>1405</v>
      </c>
      <c r="B2935" s="3" t="s">
        <v>1485</v>
      </c>
      <c r="C2935" s="10">
        <v>19</v>
      </c>
      <c r="D2935" s="10">
        <v>11</v>
      </c>
      <c r="E2935" s="10">
        <v>19</v>
      </c>
      <c r="F2935" t="s">
        <v>202</v>
      </c>
      <c r="G2935" t="s">
        <v>889</v>
      </c>
      <c r="H2935" t="s">
        <v>54</v>
      </c>
      <c r="I2935" t="s">
        <v>27</v>
      </c>
      <c r="J2935" s="4">
        <v>77.900000000000006</v>
      </c>
      <c r="K2935">
        <v>0.46400000000000002</v>
      </c>
      <c r="L2935">
        <v>77.900000000000006</v>
      </c>
      <c r="M2935">
        <v>36.145600000000002</v>
      </c>
      <c r="N2935" s="5">
        <v>1.8370060986878578</v>
      </c>
      <c r="O2935" t="s">
        <v>181</v>
      </c>
      <c r="P2935" t="s">
        <v>340</v>
      </c>
      <c r="Q2935" s="10" t="s">
        <v>24</v>
      </c>
    </row>
    <row r="2936" spans="1:18" hidden="1" x14ac:dyDescent="0.25">
      <c r="A2936" s="9" t="s">
        <v>1405</v>
      </c>
      <c r="B2936" s="3" t="s">
        <v>1485</v>
      </c>
      <c r="C2936" s="10">
        <v>19</v>
      </c>
      <c r="D2936" s="10">
        <v>11</v>
      </c>
      <c r="E2936" s="10">
        <v>19</v>
      </c>
      <c r="F2936" t="s">
        <v>1592</v>
      </c>
      <c r="G2936" t="s">
        <v>304</v>
      </c>
      <c r="H2936" t="s">
        <v>709</v>
      </c>
      <c r="I2936" t="s">
        <v>79</v>
      </c>
      <c r="J2936" s="4">
        <v>550</v>
      </c>
      <c r="K2936">
        <v>1</v>
      </c>
      <c r="L2936">
        <v>550</v>
      </c>
      <c r="M2936">
        <v>550</v>
      </c>
      <c r="N2936" s="5">
        <v>27.952319349473292</v>
      </c>
      <c r="O2936" t="s">
        <v>39</v>
      </c>
      <c r="P2936" t="s">
        <v>340</v>
      </c>
      <c r="Q2936" s="10" t="s">
        <v>24</v>
      </c>
    </row>
    <row r="2937" spans="1:18" hidden="1" x14ac:dyDescent="0.25">
      <c r="A2937" s="9" t="s">
        <v>1405</v>
      </c>
      <c r="B2937" s="3" t="s">
        <v>1485</v>
      </c>
      <c r="C2937" s="10">
        <v>19</v>
      </c>
      <c r="D2937" s="10">
        <v>11</v>
      </c>
      <c r="E2937" s="10">
        <v>19</v>
      </c>
      <c r="F2937" t="s">
        <v>1591</v>
      </c>
      <c r="G2937" t="s">
        <v>304</v>
      </c>
      <c r="H2937" t="s">
        <v>709</v>
      </c>
      <c r="I2937" t="s">
        <v>79</v>
      </c>
      <c r="J2937" s="4">
        <v>1070</v>
      </c>
      <c r="K2937">
        <v>1</v>
      </c>
      <c r="L2937">
        <v>1070</v>
      </c>
      <c r="M2937">
        <v>1070</v>
      </c>
      <c r="N2937" s="5">
        <v>54.379966734429857</v>
      </c>
      <c r="O2937" t="s">
        <v>39</v>
      </c>
      <c r="P2937" t="s">
        <v>340</v>
      </c>
      <c r="Q2937" s="10" t="s">
        <v>24</v>
      </c>
    </row>
    <row r="2938" spans="1:18" hidden="1" x14ac:dyDescent="0.25">
      <c r="A2938" s="9" t="s">
        <v>1405</v>
      </c>
      <c r="B2938" s="3" t="s">
        <v>1485</v>
      </c>
      <c r="C2938" s="10">
        <v>19</v>
      </c>
      <c r="D2938" s="10">
        <v>11</v>
      </c>
      <c r="E2938" s="10">
        <v>19</v>
      </c>
      <c r="F2938" t="s">
        <v>1666</v>
      </c>
      <c r="G2938" t="s">
        <v>889</v>
      </c>
      <c r="H2938" t="s">
        <v>889</v>
      </c>
      <c r="I2938" t="s">
        <v>72</v>
      </c>
      <c r="J2938" s="4">
        <v>78.849999999999994</v>
      </c>
      <c r="K2938">
        <v>1</v>
      </c>
      <c r="L2938">
        <v>78.849999999999994</v>
      </c>
      <c r="M2938">
        <v>78.849999999999994</v>
      </c>
      <c r="N2938" s="5">
        <v>4.0073461467381248</v>
      </c>
      <c r="O2938" t="s">
        <v>629</v>
      </c>
      <c r="P2938" t="s">
        <v>340</v>
      </c>
      <c r="Q2938" s="10" t="s">
        <v>24</v>
      </c>
      <c r="R2938" t="s">
        <v>1660</v>
      </c>
    </row>
    <row r="2939" spans="1:18" hidden="1" x14ac:dyDescent="0.25">
      <c r="A2939" s="9" t="s">
        <v>1405</v>
      </c>
      <c r="B2939" s="3" t="s">
        <v>1485</v>
      </c>
      <c r="C2939" s="10">
        <v>19</v>
      </c>
      <c r="D2939" s="10">
        <v>11</v>
      </c>
      <c r="E2939" s="10">
        <v>19</v>
      </c>
      <c r="F2939" t="s">
        <v>159</v>
      </c>
      <c r="G2939" t="s">
        <v>889</v>
      </c>
      <c r="H2939" t="s">
        <v>889</v>
      </c>
      <c r="I2939" t="s">
        <v>72</v>
      </c>
      <c r="J2939" s="4">
        <v>435.03</v>
      </c>
      <c r="K2939">
        <v>1</v>
      </c>
      <c r="L2939">
        <v>435.03</v>
      </c>
      <c r="M2939">
        <v>435.03</v>
      </c>
      <c r="N2939" s="5">
        <v>22.109268157457027</v>
      </c>
      <c r="O2939" t="s">
        <v>629</v>
      </c>
      <c r="P2939" t="s">
        <v>340</v>
      </c>
      <c r="Q2939" s="10" t="s">
        <v>24</v>
      </c>
      <c r="R2939" t="s">
        <v>1662</v>
      </c>
    </row>
    <row r="2940" spans="1:18" hidden="1" x14ac:dyDescent="0.25">
      <c r="A2940" s="9" t="s">
        <v>1405</v>
      </c>
      <c r="B2940" s="3" t="s">
        <v>1416</v>
      </c>
      <c r="C2940" s="10">
        <v>2</v>
      </c>
      <c r="D2940" s="10">
        <v>11</v>
      </c>
      <c r="E2940" s="10">
        <v>19</v>
      </c>
      <c r="F2940" t="s">
        <v>81</v>
      </c>
      <c r="G2940" t="s">
        <v>889</v>
      </c>
      <c r="H2940" t="s">
        <v>889</v>
      </c>
      <c r="I2940" t="s">
        <v>39</v>
      </c>
      <c r="J2940" s="4">
        <v>1500</v>
      </c>
      <c r="K2940">
        <v>1</v>
      </c>
      <c r="L2940">
        <v>1500</v>
      </c>
      <c r="M2940">
        <v>1500</v>
      </c>
      <c r="N2940" s="5">
        <v>75.928008998875143</v>
      </c>
      <c r="O2940" t="s">
        <v>39</v>
      </c>
      <c r="P2940" t="s">
        <v>340</v>
      </c>
      <c r="Q2940" s="10" t="s">
        <v>84</v>
      </c>
      <c r="R2940" t="s">
        <v>1407</v>
      </c>
    </row>
    <row r="2941" spans="1:18" hidden="1" x14ac:dyDescent="0.25">
      <c r="A2941" s="9" t="s">
        <v>1405</v>
      </c>
      <c r="B2941" s="3" t="s">
        <v>1416</v>
      </c>
      <c r="C2941" s="10">
        <v>2</v>
      </c>
      <c r="D2941" s="10">
        <v>11</v>
      </c>
      <c r="E2941" s="10">
        <v>19</v>
      </c>
      <c r="F2941" t="s">
        <v>94</v>
      </c>
      <c r="G2941" t="s">
        <v>889</v>
      </c>
      <c r="H2941" t="s">
        <v>889</v>
      </c>
      <c r="I2941" t="s">
        <v>87</v>
      </c>
      <c r="J2941" s="4">
        <v>12</v>
      </c>
      <c r="K2941">
        <v>1</v>
      </c>
      <c r="L2941">
        <v>12</v>
      </c>
      <c r="M2941">
        <v>12</v>
      </c>
      <c r="N2941" s="5">
        <v>0.60742407199100112</v>
      </c>
      <c r="O2941" t="s">
        <v>39</v>
      </c>
      <c r="P2941" t="s">
        <v>340</v>
      </c>
      <c r="Q2941" s="10" t="s">
        <v>24</v>
      </c>
      <c r="R2941" t="s">
        <v>1408</v>
      </c>
    </row>
    <row r="2942" spans="1:18" hidden="1" x14ac:dyDescent="0.25">
      <c r="A2942" s="9" t="s">
        <v>1405</v>
      </c>
      <c r="B2942" s="3" t="s">
        <v>1484</v>
      </c>
      <c r="C2942" s="10">
        <v>20</v>
      </c>
      <c r="D2942" s="10">
        <v>11</v>
      </c>
      <c r="E2942" s="10">
        <v>19</v>
      </c>
      <c r="F2942" t="s">
        <v>141</v>
      </c>
      <c r="G2942" t="s">
        <v>889</v>
      </c>
      <c r="H2942" t="s">
        <v>172</v>
      </c>
      <c r="I2942" t="s">
        <v>39</v>
      </c>
      <c r="J2942" s="4">
        <v>2</v>
      </c>
      <c r="K2942">
        <v>2</v>
      </c>
      <c r="L2942">
        <v>2</v>
      </c>
      <c r="M2942">
        <v>4</v>
      </c>
      <c r="N2942" s="5">
        <v>0.20328959526889667</v>
      </c>
      <c r="O2942" t="s">
        <v>39</v>
      </c>
      <c r="P2942" t="s">
        <v>340</v>
      </c>
      <c r="Q2942" s="10" t="s">
        <v>24</v>
      </c>
    </row>
    <row r="2943" spans="1:18" hidden="1" x14ac:dyDescent="0.25">
      <c r="A2943" s="9" t="s">
        <v>1405</v>
      </c>
      <c r="B2943" s="3" t="s">
        <v>1484</v>
      </c>
      <c r="C2943" s="10">
        <v>20</v>
      </c>
      <c r="D2943" s="10">
        <v>11</v>
      </c>
      <c r="E2943" s="10">
        <v>19</v>
      </c>
      <c r="F2943" t="s">
        <v>1666</v>
      </c>
      <c r="I2943" t="s">
        <v>72</v>
      </c>
      <c r="J2943" s="4">
        <v>107.9</v>
      </c>
      <c r="K2943">
        <v>2</v>
      </c>
      <c r="L2943">
        <v>107.9</v>
      </c>
      <c r="M2943">
        <v>215.8</v>
      </c>
      <c r="N2943" s="5">
        <v>10.967473664756975</v>
      </c>
      <c r="O2943" t="s">
        <v>39</v>
      </c>
      <c r="P2943" t="s">
        <v>340</v>
      </c>
      <c r="Q2943" s="10" t="s">
        <v>24</v>
      </c>
      <c r="R2943" t="s">
        <v>1483</v>
      </c>
    </row>
    <row r="2944" spans="1:18" hidden="1" x14ac:dyDescent="0.25">
      <c r="A2944" s="9" t="s">
        <v>1405</v>
      </c>
      <c r="B2944" s="3" t="s">
        <v>1484</v>
      </c>
      <c r="C2944" s="10">
        <v>20</v>
      </c>
      <c r="D2944" s="10">
        <v>11</v>
      </c>
      <c r="E2944" s="10">
        <v>19</v>
      </c>
      <c r="F2944" t="s">
        <v>2041</v>
      </c>
      <c r="G2944" t="s">
        <v>889</v>
      </c>
      <c r="H2944" t="s">
        <v>35</v>
      </c>
      <c r="I2944" t="s">
        <v>27</v>
      </c>
      <c r="J2944" s="4">
        <v>148.6</v>
      </c>
      <c r="K2944">
        <v>0.16</v>
      </c>
      <c r="L2944">
        <v>148.6</v>
      </c>
      <c r="M2944">
        <v>23.776</v>
      </c>
      <c r="N2944" s="5">
        <v>1.2083533542783218</v>
      </c>
      <c r="O2944" t="s">
        <v>100</v>
      </c>
      <c r="P2944" t="s">
        <v>340</v>
      </c>
      <c r="Q2944" s="10" t="s">
        <v>24</v>
      </c>
    </row>
    <row r="2945" spans="1:17" hidden="1" x14ac:dyDescent="0.25">
      <c r="A2945" s="9" t="s">
        <v>1405</v>
      </c>
      <c r="B2945" s="3" t="s">
        <v>1484</v>
      </c>
      <c r="C2945" s="10">
        <v>20</v>
      </c>
      <c r="D2945" s="10">
        <v>11</v>
      </c>
      <c r="E2945" s="10">
        <v>19</v>
      </c>
      <c r="F2945" t="s">
        <v>974</v>
      </c>
      <c r="G2945" t="s">
        <v>25</v>
      </c>
      <c r="H2945" t="s">
        <v>26</v>
      </c>
      <c r="I2945" t="s">
        <v>27</v>
      </c>
      <c r="J2945" s="4">
        <v>211.6</v>
      </c>
      <c r="K2945">
        <v>0.40400000000000003</v>
      </c>
      <c r="L2945">
        <v>211.6</v>
      </c>
      <c r="M2945">
        <v>85.486400000000003</v>
      </c>
      <c r="N2945" s="5">
        <v>4.3446239142487517</v>
      </c>
      <c r="O2945" t="s">
        <v>100</v>
      </c>
      <c r="P2945" t="s">
        <v>340</v>
      </c>
      <c r="Q2945" s="10" t="s">
        <v>24</v>
      </c>
    </row>
    <row r="2946" spans="1:17" hidden="1" x14ac:dyDescent="0.25">
      <c r="A2946" s="9" t="s">
        <v>1405</v>
      </c>
      <c r="B2946" s="3" t="s">
        <v>1484</v>
      </c>
      <c r="C2946" s="10">
        <v>20</v>
      </c>
      <c r="D2946" s="10">
        <v>11</v>
      </c>
      <c r="E2946" s="10">
        <v>19</v>
      </c>
      <c r="F2946" t="s">
        <v>2495</v>
      </c>
      <c r="G2946" t="s">
        <v>889</v>
      </c>
      <c r="H2946" t="s">
        <v>35</v>
      </c>
      <c r="I2946" t="s">
        <v>27</v>
      </c>
      <c r="J2946" s="4">
        <v>219.6</v>
      </c>
      <c r="K2946">
        <v>0.17199999999999999</v>
      </c>
      <c r="L2946">
        <v>219.6</v>
      </c>
      <c r="M2946">
        <v>37.771199999999993</v>
      </c>
      <c r="N2946" s="5">
        <v>1.9196229902051369</v>
      </c>
      <c r="O2946" t="s">
        <v>100</v>
      </c>
      <c r="P2946" t="s">
        <v>340</v>
      </c>
      <c r="Q2946" s="10" t="s">
        <v>24</v>
      </c>
    </row>
    <row r="2947" spans="1:17" hidden="1" x14ac:dyDescent="0.25">
      <c r="A2947" s="9" t="s">
        <v>1405</v>
      </c>
      <c r="B2947" s="3" t="s">
        <v>1484</v>
      </c>
      <c r="C2947" s="10">
        <v>20</v>
      </c>
      <c r="D2947" s="10">
        <v>11</v>
      </c>
      <c r="E2947" s="10">
        <v>19</v>
      </c>
      <c r="F2947" t="s">
        <v>1265</v>
      </c>
      <c r="G2947" t="s">
        <v>31</v>
      </c>
      <c r="H2947" t="s">
        <v>26</v>
      </c>
      <c r="I2947" t="s">
        <v>27</v>
      </c>
      <c r="J2947" s="4">
        <v>11.6</v>
      </c>
      <c r="K2947">
        <v>2</v>
      </c>
      <c r="L2947">
        <v>11.6</v>
      </c>
      <c r="M2947">
        <v>23.2</v>
      </c>
      <c r="N2947" s="5">
        <v>1.1790796525596006</v>
      </c>
      <c r="O2947" t="s">
        <v>100</v>
      </c>
      <c r="P2947" t="s">
        <v>340</v>
      </c>
      <c r="Q2947" s="10" t="s">
        <v>24</v>
      </c>
    </row>
    <row r="2948" spans="1:17" hidden="1" x14ac:dyDescent="0.25">
      <c r="A2948" s="9" t="s">
        <v>1405</v>
      </c>
      <c r="B2948" s="3" t="s">
        <v>1484</v>
      </c>
      <c r="C2948" s="10">
        <v>20</v>
      </c>
      <c r="D2948" s="10">
        <v>11</v>
      </c>
      <c r="E2948" s="10">
        <v>19</v>
      </c>
      <c r="F2948" t="s">
        <v>1464</v>
      </c>
      <c r="G2948" t="s">
        <v>889</v>
      </c>
      <c r="H2948" t="s">
        <v>131</v>
      </c>
      <c r="I2948" t="s">
        <v>27</v>
      </c>
      <c r="J2948" s="4">
        <v>49.9</v>
      </c>
      <c r="K2948">
        <v>1</v>
      </c>
      <c r="L2948">
        <v>49.9</v>
      </c>
      <c r="M2948">
        <v>49.9</v>
      </c>
      <c r="N2948" s="5">
        <v>2.5360377009794859</v>
      </c>
      <c r="O2948" t="s">
        <v>100</v>
      </c>
      <c r="P2948" t="s">
        <v>340</v>
      </c>
      <c r="Q2948" s="10" t="s">
        <v>24</v>
      </c>
    </row>
    <row r="2949" spans="1:17" hidden="1" x14ac:dyDescent="0.25">
      <c r="A2949" s="9" t="s">
        <v>1405</v>
      </c>
      <c r="B2949" s="3" t="s">
        <v>1484</v>
      </c>
      <c r="C2949" s="10">
        <v>20</v>
      </c>
      <c r="D2949" s="10">
        <v>11</v>
      </c>
      <c r="E2949" s="10">
        <v>19</v>
      </c>
      <c r="F2949" t="s">
        <v>398</v>
      </c>
      <c r="G2949" t="s">
        <v>889</v>
      </c>
      <c r="H2949" t="s">
        <v>40</v>
      </c>
      <c r="I2949" t="s">
        <v>27</v>
      </c>
      <c r="J2949" s="4">
        <v>14.6</v>
      </c>
      <c r="K2949">
        <v>1</v>
      </c>
      <c r="L2949">
        <v>14.6</v>
      </c>
      <c r="M2949">
        <v>14.6</v>
      </c>
      <c r="N2949" s="5">
        <v>0.74200702273147279</v>
      </c>
      <c r="O2949" t="s">
        <v>100</v>
      </c>
      <c r="P2949" t="s">
        <v>340</v>
      </c>
      <c r="Q2949" s="10" t="s">
        <v>24</v>
      </c>
    </row>
    <row r="2950" spans="1:17" hidden="1" x14ac:dyDescent="0.25">
      <c r="A2950" s="9" t="s">
        <v>1405</v>
      </c>
      <c r="B2950" s="3" t="s">
        <v>1484</v>
      </c>
      <c r="C2950" s="10">
        <v>20</v>
      </c>
      <c r="D2950" s="10">
        <v>11</v>
      </c>
      <c r="E2950" s="10">
        <v>19</v>
      </c>
      <c r="F2950" t="s">
        <v>1465</v>
      </c>
      <c r="G2950" t="s">
        <v>889</v>
      </c>
      <c r="H2950" t="s">
        <v>131</v>
      </c>
      <c r="I2950" t="s">
        <v>27</v>
      </c>
      <c r="J2950" s="4">
        <v>7.8</v>
      </c>
      <c r="K2950">
        <v>4</v>
      </c>
      <c r="L2950">
        <v>7.8</v>
      </c>
      <c r="M2950">
        <v>31.2</v>
      </c>
      <c r="N2950" s="5">
        <v>1.5856588430973939</v>
      </c>
      <c r="O2950" t="s">
        <v>100</v>
      </c>
      <c r="P2950" t="s">
        <v>340</v>
      </c>
      <c r="Q2950" s="10" t="s">
        <v>24</v>
      </c>
    </row>
    <row r="2951" spans="1:17" hidden="1" x14ac:dyDescent="0.25">
      <c r="A2951" s="9" t="s">
        <v>1405</v>
      </c>
      <c r="B2951" s="3" t="s">
        <v>1484</v>
      </c>
      <c r="C2951" s="10">
        <v>20</v>
      </c>
      <c r="D2951" s="10">
        <v>11</v>
      </c>
      <c r="E2951" s="10">
        <v>19</v>
      </c>
      <c r="F2951" t="s">
        <v>1357</v>
      </c>
      <c r="G2951" t="s">
        <v>33</v>
      </c>
      <c r="H2951" t="s">
        <v>35</v>
      </c>
      <c r="I2951" t="s">
        <v>27</v>
      </c>
      <c r="J2951" s="4">
        <v>182.6</v>
      </c>
      <c r="K2951">
        <v>0.20399999999999999</v>
      </c>
      <c r="L2951">
        <v>182.6</v>
      </c>
      <c r="M2951">
        <v>37.250399999999999</v>
      </c>
      <c r="N2951" s="5">
        <v>1.8931546849011269</v>
      </c>
      <c r="O2951" t="s">
        <v>100</v>
      </c>
      <c r="P2951" t="s">
        <v>340</v>
      </c>
      <c r="Q2951" s="10" t="s">
        <v>24</v>
      </c>
    </row>
    <row r="2952" spans="1:17" hidden="1" x14ac:dyDescent="0.25">
      <c r="A2952" s="9" t="s">
        <v>1405</v>
      </c>
      <c r="B2952" s="3" t="s">
        <v>1654</v>
      </c>
      <c r="C2952" s="10">
        <v>21</v>
      </c>
      <c r="D2952" s="10">
        <v>11</v>
      </c>
      <c r="E2952" s="10">
        <v>19</v>
      </c>
      <c r="F2952" t="s">
        <v>166</v>
      </c>
      <c r="G2952" t="s">
        <v>77</v>
      </c>
      <c r="H2952" t="s">
        <v>26</v>
      </c>
      <c r="I2952" t="s">
        <v>27</v>
      </c>
      <c r="J2952" s="4">
        <v>20</v>
      </c>
      <c r="K2952">
        <v>1</v>
      </c>
      <c r="L2952">
        <v>20</v>
      </c>
      <c r="M2952">
        <v>20</v>
      </c>
      <c r="N2952" s="5">
        <v>1.0164479763444834</v>
      </c>
      <c r="O2952" t="s">
        <v>101</v>
      </c>
      <c r="P2952" t="s">
        <v>340</v>
      </c>
      <c r="Q2952" s="10" t="s">
        <v>24</v>
      </c>
    </row>
    <row r="2953" spans="1:17" hidden="1" x14ac:dyDescent="0.25">
      <c r="A2953" s="9" t="s">
        <v>1405</v>
      </c>
      <c r="B2953" s="3" t="s">
        <v>1654</v>
      </c>
      <c r="C2953" s="10">
        <v>21</v>
      </c>
      <c r="D2953" s="10">
        <v>11</v>
      </c>
      <c r="E2953" s="10">
        <v>19</v>
      </c>
      <c r="F2953" t="s">
        <v>676</v>
      </c>
      <c r="G2953" t="s">
        <v>39</v>
      </c>
      <c r="H2953" t="s">
        <v>131</v>
      </c>
      <c r="I2953" t="s">
        <v>27</v>
      </c>
      <c r="J2953" s="4">
        <v>5.4</v>
      </c>
      <c r="K2953">
        <v>2</v>
      </c>
      <c r="L2953">
        <v>5.4</v>
      </c>
      <c r="M2953">
        <v>10.8</v>
      </c>
      <c r="N2953" s="5">
        <v>0.54888190722602104</v>
      </c>
      <c r="O2953" t="s">
        <v>101</v>
      </c>
      <c r="P2953" t="s">
        <v>340</v>
      </c>
      <c r="Q2953" s="10" t="s">
        <v>24</v>
      </c>
    </row>
    <row r="2954" spans="1:17" hidden="1" x14ac:dyDescent="0.25">
      <c r="A2954" s="9" t="s">
        <v>1405</v>
      </c>
      <c r="B2954" s="3" t="s">
        <v>1629</v>
      </c>
      <c r="C2954" s="10">
        <v>23</v>
      </c>
      <c r="D2954" s="10">
        <v>11</v>
      </c>
      <c r="E2954" s="10">
        <v>19</v>
      </c>
      <c r="F2954" t="s">
        <v>657</v>
      </c>
      <c r="G2954" t="s">
        <v>889</v>
      </c>
      <c r="H2954" t="s">
        <v>40</v>
      </c>
      <c r="I2954" t="s">
        <v>27</v>
      </c>
      <c r="J2954" s="4">
        <v>14</v>
      </c>
      <c r="K2954">
        <v>1</v>
      </c>
      <c r="L2954">
        <v>14</v>
      </c>
      <c r="M2954">
        <v>14</v>
      </c>
      <c r="N2954" s="5">
        <v>0.71151358344113835</v>
      </c>
      <c r="O2954" t="s">
        <v>100</v>
      </c>
      <c r="P2954" t="s">
        <v>340</v>
      </c>
      <c r="Q2954" s="10" t="s">
        <v>24</v>
      </c>
    </row>
    <row r="2955" spans="1:17" hidden="1" x14ac:dyDescent="0.25">
      <c r="A2955" s="9" t="s">
        <v>1405</v>
      </c>
      <c r="B2955" s="3" t="s">
        <v>1629</v>
      </c>
      <c r="C2955" s="10">
        <v>23</v>
      </c>
      <c r="D2955" s="10">
        <v>11</v>
      </c>
      <c r="E2955" s="10">
        <v>19</v>
      </c>
      <c r="F2955" t="s">
        <v>1627</v>
      </c>
      <c r="G2955" t="s">
        <v>465</v>
      </c>
      <c r="H2955" t="s">
        <v>35</v>
      </c>
      <c r="I2955" t="s">
        <v>27</v>
      </c>
      <c r="J2955" s="4">
        <v>88.6</v>
      </c>
      <c r="K2955">
        <v>0.152</v>
      </c>
      <c r="L2955">
        <v>88.6</v>
      </c>
      <c r="M2955">
        <v>13.467199999999998</v>
      </c>
      <c r="N2955" s="5">
        <v>0.68443540935132119</v>
      </c>
      <c r="O2955" t="s">
        <v>100</v>
      </c>
      <c r="P2955" t="s">
        <v>340</v>
      </c>
      <c r="Q2955" s="10" t="s">
        <v>24</v>
      </c>
    </row>
    <row r="2956" spans="1:17" hidden="1" x14ac:dyDescent="0.25">
      <c r="A2956" s="9" t="s">
        <v>1405</v>
      </c>
      <c r="B2956" s="3" t="s">
        <v>1629</v>
      </c>
      <c r="C2956" s="10">
        <v>23</v>
      </c>
      <c r="D2956" s="10">
        <v>11</v>
      </c>
      <c r="E2956" s="10">
        <v>19</v>
      </c>
      <c r="F2956" t="s">
        <v>1628</v>
      </c>
      <c r="G2956" t="s">
        <v>889</v>
      </c>
      <c r="H2956" t="s">
        <v>65</v>
      </c>
      <c r="I2956" t="s">
        <v>27</v>
      </c>
      <c r="J2956" s="4">
        <v>21.6</v>
      </c>
      <c r="K2956">
        <v>1</v>
      </c>
      <c r="L2956">
        <v>21.6</v>
      </c>
      <c r="M2956">
        <v>21.6</v>
      </c>
      <c r="N2956" s="5">
        <v>1.0977638144520421</v>
      </c>
      <c r="O2956" t="s">
        <v>100</v>
      </c>
      <c r="P2956" t="s">
        <v>340</v>
      </c>
      <c r="Q2956" s="10" t="s">
        <v>24</v>
      </c>
    </row>
    <row r="2957" spans="1:17" hidden="1" x14ac:dyDescent="0.25">
      <c r="A2957" s="9" t="s">
        <v>1405</v>
      </c>
      <c r="B2957" s="3" t="s">
        <v>1629</v>
      </c>
      <c r="C2957" s="10">
        <v>23</v>
      </c>
      <c r="D2957" s="10">
        <v>11</v>
      </c>
      <c r="E2957" s="10">
        <v>19</v>
      </c>
      <c r="F2957" t="s">
        <v>656</v>
      </c>
      <c r="G2957" t="s">
        <v>33</v>
      </c>
      <c r="H2957" t="s">
        <v>35</v>
      </c>
      <c r="I2957" t="s">
        <v>27</v>
      </c>
      <c r="J2957" s="4">
        <v>111.6</v>
      </c>
      <c r="K2957">
        <v>0.60799999999999998</v>
      </c>
      <c r="L2957">
        <v>111.6</v>
      </c>
      <c r="M2957">
        <v>67.852799999999988</v>
      </c>
      <c r="N2957" s="5">
        <v>3.4484420624653471</v>
      </c>
      <c r="O2957" t="s">
        <v>100</v>
      </c>
      <c r="P2957" t="s">
        <v>340</v>
      </c>
      <c r="Q2957" s="10" t="s">
        <v>24</v>
      </c>
    </row>
    <row r="2958" spans="1:17" hidden="1" x14ac:dyDescent="0.25">
      <c r="A2958" s="9" t="s">
        <v>1405</v>
      </c>
      <c r="B2958" s="3" t="s">
        <v>1629</v>
      </c>
      <c r="C2958" s="10">
        <v>23</v>
      </c>
      <c r="D2958" s="10">
        <v>11</v>
      </c>
      <c r="E2958" s="10">
        <v>19</v>
      </c>
      <c r="F2958" t="s">
        <v>1357</v>
      </c>
      <c r="G2958" t="s">
        <v>33</v>
      </c>
      <c r="H2958" t="s">
        <v>35</v>
      </c>
      <c r="I2958" t="s">
        <v>27</v>
      </c>
      <c r="J2958" s="4">
        <v>182.6</v>
      </c>
      <c r="K2958">
        <v>0.218</v>
      </c>
      <c r="L2958">
        <v>182.6</v>
      </c>
      <c r="M2958">
        <v>39.806799999999996</v>
      </c>
      <c r="N2958" s="5">
        <v>2.0230770652374788</v>
      </c>
      <c r="O2958" t="s">
        <v>100</v>
      </c>
      <c r="P2958" t="s">
        <v>340</v>
      </c>
      <c r="Q2958" s="10" t="s">
        <v>24</v>
      </c>
    </row>
    <row r="2959" spans="1:17" hidden="1" x14ac:dyDescent="0.25">
      <c r="A2959" s="9" t="s">
        <v>1405</v>
      </c>
      <c r="B2959" s="3" t="s">
        <v>1629</v>
      </c>
      <c r="C2959" s="10">
        <v>23</v>
      </c>
      <c r="D2959" s="10">
        <v>11</v>
      </c>
      <c r="E2959" s="10">
        <v>19</v>
      </c>
      <c r="F2959" t="s">
        <v>2041</v>
      </c>
      <c r="G2959" t="s">
        <v>33</v>
      </c>
      <c r="H2959" t="s">
        <v>35</v>
      </c>
      <c r="I2959" t="s">
        <v>27</v>
      </c>
      <c r="J2959" s="4">
        <v>148.6</v>
      </c>
      <c r="K2959">
        <v>0.222</v>
      </c>
      <c r="L2959">
        <v>148.6</v>
      </c>
      <c r="M2959">
        <v>32.989199999999997</v>
      </c>
      <c r="N2959" s="5">
        <v>1.6765902790611713</v>
      </c>
      <c r="O2959" t="s">
        <v>100</v>
      </c>
      <c r="P2959" t="s">
        <v>340</v>
      </c>
      <c r="Q2959" s="10" t="s">
        <v>24</v>
      </c>
    </row>
    <row r="2960" spans="1:17" hidden="1" x14ac:dyDescent="0.25">
      <c r="A2960" s="9" t="s">
        <v>1405</v>
      </c>
      <c r="B2960" s="3" t="s">
        <v>1629</v>
      </c>
      <c r="C2960" s="10">
        <v>23</v>
      </c>
      <c r="D2960" s="10">
        <v>11</v>
      </c>
      <c r="E2960" s="10">
        <v>19</v>
      </c>
      <c r="F2960" t="s">
        <v>398</v>
      </c>
      <c r="G2960" t="s">
        <v>889</v>
      </c>
      <c r="H2960" t="s">
        <v>40</v>
      </c>
      <c r="I2960" t="s">
        <v>27</v>
      </c>
      <c r="J2960" s="4">
        <v>14.6</v>
      </c>
      <c r="K2960">
        <v>1</v>
      </c>
      <c r="L2960">
        <v>14.6</v>
      </c>
      <c r="M2960">
        <v>14.6</v>
      </c>
      <c r="N2960" s="5">
        <v>0.74200702273147279</v>
      </c>
      <c r="O2960" t="s">
        <v>100</v>
      </c>
      <c r="P2960" t="s">
        <v>340</v>
      </c>
      <c r="Q2960" s="10" t="s">
        <v>24</v>
      </c>
    </row>
    <row r="2961" spans="1:18" hidden="1" x14ac:dyDescent="0.25">
      <c r="A2961" s="9" t="s">
        <v>1405</v>
      </c>
      <c r="B2961" s="3" t="s">
        <v>1629</v>
      </c>
      <c r="C2961" s="10">
        <v>23</v>
      </c>
      <c r="D2961" s="10">
        <v>11</v>
      </c>
      <c r="E2961" s="10">
        <v>19</v>
      </c>
      <c r="F2961" t="s">
        <v>174</v>
      </c>
      <c r="G2961" t="s">
        <v>889</v>
      </c>
      <c r="H2961" t="s">
        <v>54</v>
      </c>
      <c r="I2961" t="s">
        <v>27</v>
      </c>
      <c r="J2961" s="4">
        <v>12.5</v>
      </c>
      <c r="K2961">
        <v>1</v>
      </c>
      <c r="L2961">
        <v>12.5</v>
      </c>
      <c r="M2961">
        <v>12.5</v>
      </c>
      <c r="N2961" s="5">
        <v>0.63527998521530205</v>
      </c>
      <c r="O2961" t="s">
        <v>181</v>
      </c>
      <c r="P2961" t="s">
        <v>340</v>
      </c>
      <c r="Q2961" s="10" t="s">
        <v>24</v>
      </c>
    </row>
    <row r="2962" spans="1:18" hidden="1" x14ac:dyDescent="0.25">
      <c r="A2962" s="9" t="s">
        <v>1405</v>
      </c>
      <c r="B2962" s="3" t="s">
        <v>1629</v>
      </c>
      <c r="C2962" s="10">
        <v>23</v>
      </c>
      <c r="D2962" s="10">
        <v>11</v>
      </c>
      <c r="E2962" s="10">
        <v>19</v>
      </c>
      <c r="F2962" t="s">
        <v>177</v>
      </c>
      <c r="G2962" t="s">
        <v>889</v>
      </c>
      <c r="H2962" t="s">
        <v>56</v>
      </c>
      <c r="I2962" t="s">
        <v>27</v>
      </c>
      <c r="J2962" s="4">
        <v>13.4</v>
      </c>
      <c r="K2962">
        <v>0.73799999999999999</v>
      </c>
      <c r="L2962">
        <v>13.4</v>
      </c>
      <c r="M2962">
        <v>9.8892000000000007</v>
      </c>
      <c r="N2962" s="5">
        <v>0.50259286638329326</v>
      </c>
      <c r="O2962" t="s">
        <v>181</v>
      </c>
      <c r="P2962" t="s">
        <v>340</v>
      </c>
      <c r="Q2962" s="10" t="s">
        <v>24</v>
      </c>
    </row>
    <row r="2963" spans="1:18" hidden="1" x14ac:dyDescent="0.25">
      <c r="A2963" s="9" t="s">
        <v>1405</v>
      </c>
      <c r="B2963" s="3" t="s">
        <v>1629</v>
      </c>
      <c r="C2963" s="10">
        <v>23</v>
      </c>
      <c r="D2963" s="10">
        <v>11</v>
      </c>
      <c r="E2963" s="10">
        <v>19</v>
      </c>
      <c r="F2963" t="s">
        <v>1198</v>
      </c>
      <c r="G2963" t="s">
        <v>889</v>
      </c>
      <c r="H2963" t="s">
        <v>56</v>
      </c>
      <c r="I2963" t="s">
        <v>27</v>
      </c>
      <c r="J2963" s="4">
        <v>25.3</v>
      </c>
      <c r="K2963">
        <v>0.41399999999999998</v>
      </c>
      <c r="L2963">
        <v>25.3</v>
      </c>
      <c r="M2963">
        <v>10.4742</v>
      </c>
      <c r="N2963" s="5">
        <v>0.5323239696913693</v>
      </c>
      <c r="O2963" t="s">
        <v>181</v>
      </c>
      <c r="P2963" t="s">
        <v>340</v>
      </c>
      <c r="Q2963" s="10" t="s">
        <v>24</v>
      </c>
    </row>
    <row r="2964" spans="1:18" hidden="1" x14ac:dyDescent="0.25">
      <c r="A2964" s="9" t="s">
        <v>1405</v>
      </c>
      <c r="B2964" s="3" t="s">
        <v>1629</v>
      </c>
      <c r="C2964" s="10">
        <v>23</v>
      </c>
      <c r="D2964" s="10">
        <v>11</v>
      </c>
      <c r="E2964" s="10">
        <v>19</v>
      </c>
      <c r="F2964" t="s">
        <v>119</v>
      </c>
      <c r="G2964" t="s">
        <v>889</v>
      </c>
      <c r="H2964" t="s">
        <v>56</v>
      </c>
      <c r="I2964" t="s">
        <v>27</v>
      </c>
      <c r="J2964" s="4">
        <v>22.4</v>
      </c>
      <c r="K2964">
        <v>1.8340000000000001</v>
      </c>
      <c r="L2964">
        <v>22.4</v>
      </c>
      <c r="M2964">
        <v>41.081600000000002</v>
      </c>
      <c r="N2964" s="5">
        <v>2.0878654592496764</v>
      </c>
      <c r="O2964" t="s">
        <v>181</v>
      </c>
      <c r="P2964" t="s">
        <v>340</v>
      </c>
      <c r="Q2964" s="10" t="s">
        <v>24</v>
      </c>
    </row>
    <row r="2965" spans="1:18" hidden="1" x14ac:dyDescent="0.25">
      <c r="A2965" s="9" t="s">
        <v>1405</v>
      </c>
      <c r="B2965" s="3" t="s">
        <v>1629</v>
      </c>
      <c r="C2965" s="10">
        <v>23</v>
      </c>
      <c r="D2965" s="10">
        <v>11</v>
      </c>
      <c r="E2965" s="10">
        <v>19</v>
      </c>
      <c r="F2965" t="s">
        <v>173</v>
      </c>
      <c r="G2965" t="s">
        <v>174</v>
      </c>
      <c r="H2965" t="s">
        <v>54</v>
      </c>
      <c r="I2965" t="s">
        <v>27</v>
      </c>
      <c r="J2965" s="4">
        <v>10.8</v>
      </c>
      <c r="K2965">
        <v>0.436</v>
      </c>
      <c r="L2965">
        <v>10.8</v>
      </c>
      <c r="M2965">
        <v>4.7088000000000001</v>
      </c>
      <c r="N2965" s="5">
        <v>0.23931251155054514</v>
      </c>
      <c r="O2965" t="s">
        <v>181</v>
      </c>
      <c r="P2965" t="s">
        <v>340</v>
      </c>
      <c r="Q2965" s="10" t="s">
        <v>24</v>
      </c>
    </row>
    <row r="2966" spans="1:18" hidden="1" x14ac:dyDescent="0.25">
      <c r="A2966" s="9" t="s">
        <v>1405</v>
      </c>
      <c r="B2966" s="3" t="s">
        <v>1629</v>
      </c>
      <c r="C2966" s="10">
        <v>23</v>
      </c>
      <c r="D2966" s="10">
        <v>11</v>
      </c>
      <c r="E2966" s="10">
        <v>19</v>
      </c>
      <c r="F2966" t="s">
        <v>203</v>
      </c>
      <c r="G2966" t="s">
        <v>889</v>
      </c>
      <c r="H2966" t="s">
        <v>54</v>
      </c>
      <c r="I2966" t="s">
        <v>27</v>
      </c>
      <c r="J2966" s="4">
        <v>25.3</v>
      </c>
      <c r="K2966">
        <v>1</v>
      </c>
      <c r="L2966">
        <v>25.3</v>
      </c>
      <c r="M2966">
        <v>25.3</v>
      </c>
      <c r="N2966" s="5">
        <v>1.2858066900757714</v>
      </c>
      <c r="O2966" t="s">
        <v>181</v>
      </c>
      <c r="P2966" t="s">
        <v>340</v>
      </c>
      <c r="Q2966" s="10" t="s">
        <v>24</v>
      </c>
    </row>
    <row r="2967" spans="1:18" hidden="1" x14ac:dyDescent="0.25">
      <c r="A2967" s="9" t="s">
        <v>1405</v>
      </c>
      <c r="B2967" s="3" t="s">
        <v>1629</v>
      </c>
      <c r="C2967" s="10">
        <v>23</v>
      </c>
      <c r="D2967" s="10">
        <v>11</v>
      </c>
      <c r="E2967" s="10">
        <v>19</v>
      </c>
      <c r="F2967" t="s">
        <v>1637</v>
      </c>
      <c r="G2967" t="s">
        <v>889</v>
      </c>
      <c r="H2967" t="s">
        <v>59</v>
      </c>
      <c r="I2967" t="s">
        <v>27</v>
      </c>
      <c r="J2967" s="4">
        <v>25.17</v>
      </c>
      <c r="K2967">
        <v>1</v>
      </c>
      <c r="L2967">
        <v>25.17</v>
      </c>
      <c r="M2967">
        <v>25.17</v>
      </c>
      <c r="N2967" s="5">
        <v>1.2791997782295323</v>
      </c>
      <c r="O2967" t="s">
        <v>181</v>
      </c>
      <c r="P2967" t="s">
        <v>340</v>
      </c>
      <c r="Q2967" s="10" t="s">
        <v>24</v>
      </c>
      <c r="R2967" t="s">
        <v>1640</v>
      </c>
    </row>
    <row r="2968" spans="1:18" hidden="1" x14ac:dyDescent="0.25">
      <c r="A2968" s="9" t="s">
        <v>1405</v>
      </c>
      <c r="B2968" s="3" t="s">
        <v>1629</v>
      </c>
      <c r="C2968" s="10">
        <v>23</v>
      </c>
      <c r="D2968" s="10">
        <v>11</v>
      </c>
      <c r="E2968" s="10">
        <v>19</v>
      </c>
      <c r="F2968" t="s">
        <v>2344</v>
      </c>
      <c r="G2968" t="s">
        <v>889</v>
      </c>
      <c r="H2968" t="s">
        <v>59</v>
      </c>
      <c r="I2968" t="s">
        <v>27</v>
      </c>
      <c r="J2968" s="4">
        <v>21.85</v>
      </c>
      <c r="K2968">
        <v>2</v>
      </c>
      <c r="L2968">
        <v>21.85</v>
      </c>
      <c r="M2968">
        <v>43.7</v>
      </c>
      <c r="N2968" s="5">
        <v>2.2209388283126961</v>
      </c>
      <c r="O2968" t="s">
        <v>181</v>
      </c>
      <c r="P2968" t="s">
        <v>340</v>
      </c>
      <c r="Q2968" s="10" t="s">
        <v>24</v>
      </c>
    </row>
    <row r="2969" spans="1:18" hidden="1" x14ac:dyDescent="0.25">
      <c r="A2969" s="9" t="s">
        <v>1405</v>
      </c>
      <c r="B2969" s="3" t="s">
        <v>1629</v>
      </c>
      <c r="C2969" s="10">
        <v>23</v>
      </c>
      <c r="D2969" s="10">
        <v>11</v>
      </c>
      <c r="E2969" s="10">
        <v>19</v>
      </c>
      <c r="F2969" t="s">
        <v>1637</v>
      </c>
      <c r="G2969" t="s">
        <v>889</v>
      </c>
      <c r="H2969" t="s">
        <v>59</v>
      </c>
      <c r="I2969" t="s">
        <v>27</v>
      </c>
      <c r="J2969" s="4">
        <v>30.59</v>
      </c>
      <c r="K2969">
        <v>1</v>
      </c>
      <c r="L2969">
        <v>30.59</v>
      </c>
      <c r="M2969">
        <v>30.59</v>
      </c>
      <c r="N2969" s="5">
        <v>1.5546571798188873</v>
      </c>
      <c r="O2969" t="s">
        <v>181</v>
      </c>
      <c r="P2969" t="s">
        <v>340</v>
      </c>
      <c r="Q2969" s="10" t="s">
        <v>24</v>
      </c>
      <c r="R2969" t="s">
        <v>1639</v>
      </c>
    </row>
    <row r="2970" spans="1:18" hidden="1" x14ac:dyDescent="0.25">
      <c r="A2970" s="9" t="s">
        <v>1405</v>
      </c>
      <c r="B2970" s="3" t="s">
        <v>1629</v>
      </c>
      <c r="C2970" s="10">
        <v>23</v>
      </c>
      <c r="D2970" s="10">
        <v>11</v>
      </c>
      <c r="E2970" s="10">
        <v>19</v>
      </c>
      <c r="F2970" t="s">
        <v>997</v>
      </c>
      <c r="G2970" t="s">
        <v>889</v>
      </c>
      <c r="H2970" t="s">
        <v>54</v>
      </c>
      <c r="I2970" t="s">
        <v>27</v>
      </c>
      <c r="J2970" s="4">
        <v>39.1</v>
      </c>
      <c r="K2970">
        <v>8.4000000000000005E-2</v>
      </c>
      <c r="L2970">
        <v>39.1</v>
      </c>
      <c r="M2970">
        <v>3.2844000000000002</v>
      </c>
      <c r="N2970" s="5">
        <v>0.16692108667529107</v>
      </c>
      <c r="O2970" t="s">
        <v>181</v>
      </c>
      <c r="P2970" t="s">
        <v>340</v>
      </c>
      <c r="Q2970" s="10" t="s">
        <v>24</v>
      </c>
    </row>
    <row r="2971" spans="1:18" hidden="1" x14ac:dyDescent="0.25">
      <c r="A2971" s="9" t="s">
        <v>1405</v>
      </c>
      <c r="B2971" s="3" t="s">
        <v>1629</v>
      </c>
      <c r="C2971" s="10">
        <v>23</v>
      </c>
      <c r="D2971" s="10">
        <v>11</v>
      </c>
      <c r="E2971" s="10">
        <v>19</v>
      </c>
      <c r="F2971" t="s">
        <v>1641</v>
      </c>
      <c r="G2971" t="s">
        <v>889</v>
      </c>
      <c r="H2971" t="s">
        <v>54</v>
      </c>
      <c r="I2971" t="s">
        <v>27</v>
      </c>
      <c r="J2971" s="4">
        <v>51.8</v>
      </c>
      <c r="K2971">
        <v>8.2000000000000003E-2</v>
      </c>
      <c r="L2971">
        <v>51.8</v>
      </c>
      <c r="M2971">
        <v>4.2476000000000003</v>
      </c>
      <c r="N2971" s="5">
        <v>0.21587322121604138</v>
      </c>
      <c r="O2971" t="s">
        <v>181</v>
      </c>
      <c r="P2971" t="s">
        <v>340</v>
      </c>
      <c r="Q2971" s="10" t="s">
        <v>24</v>
      </c>
    </row>
    <row r="2972" spans="1:18" hidden="1" x14ac:dyDescent="0.25">
      <c r="A2972" s="9" t="s">
        <v>1405</v>
      </c>
      <c r="B2972" s="3" t="s">
        <v>1629</v>
      </c>
      <c r="C2972" s="10">
        <v>23</v>
      </c>
      <c r="D2972" s="10">
        <v>11</v>
      </c>
      <c r="E2972" s="10">
        <v>19</v>
      </c>
      <c r="F2972" t="s">
        <v>208</v>
      </c>
      <c r="G2972" t="s">
        <v>889</v>
      </c>
      <c r="H2972" t="s">
        <v>56</v>
      </c>
      <c r="I2972" t="s">
        <v>27</v>
      </c>
      <c r="J2972" s="4">
        <v>126.5</v>
      </c>
      <c r="K2972">
        <v>0.188</v>
      </c>
      <c r="L2972">
        <v>126.5</v>
      </c>
      <c r="M2972">
        <v>23.782</v>
      </c>
      <c r="N2972" s="5">
        <v>1.2086582886712252</v>
      </c>
      <c r="O2972" t="s">
        <v>181</v>
      </c>
      <c r="P2972" t="s">
        <v>340</v>
      </c>
      <c r="Q2972" s="10" t="s">
        <v>24</v>
      </c>
    </row>
    <row r="2973" spans="1:18" hidden="1" x14ac:dyDescent="0.25">
      <c r="A2973" s="9" t="s">
        <v>1405</v>
      </c>
      <c r="B2973" s="3" t="s">
        <v>1629</v>
      </c>
      <c r="C2973" s="10">
        <v>23</v>
      </c>
      <c r="D2973" s="10">
        <v>11</v>
      </c>
      <c r="E2973" s="10">
        <v>19</v>
      </c>
      <c r="F2973" t="s">
        <v>1186</v>
      </c>
      <c r="G2973" t="s">
        <v>889</v>
      </c>
      <c r="H2973" t="s">
        <v>62</v>
      </c>
      <c r="I2973" t="s">
        <v>27</v>
      </c>
      <c r="J2973" s="4">
        <v>19.47</v>
      </c>
      <c r="K2973">
        <v>1</v>
      </c>
      <c r="L2973">
        <v>19.47</v>
      </c>
      <c r="M2973">
        <v>19.47</v>
      </c>
      <c r="N2973" s="5">
        <v>0.98951210497135444</v>
      </c>
      <c r="O2973" t="s">
        <v>181</v>
      </c>
      <c r="P2973" t="s">
        <v>340</v>
      </c>
      <c r="Q2973" s="10" t="s">
        <v>24</v>
      </c>
    </row>
    <row r="2974" spans="1:18" hidden="1" x14ac:dyDescent="0.25">
      <c r="A2974" s="9" t="s">
        <v>1405</v>
      </c>
      <c r="B2974" s="3" t="s">
        <v>1629</v>
      </c>
      <c r="C2974" s="10">
        <v>23</v>
      </c>
      <c r="D2974" s="10">
        <v>11</v>
      </c>
      <c r="E2974" s="10">
        <v>19</v>
      </c>
      <c r="F2974" t="s">
        <v>1642</v>
      </c>
      <c r="G2974" t="s">
        <v>889</v>
      </c>
      <c r="H2974" t="s">
        <v>62</v>
      </c>
      <c r="I2974" t="s">
        <v>27</v>
      </c>
      <c r="J2974" s="4">
        <v>12.92</v>
      </c>
      <c r="K2974">
        <v>1</v>
      </c>
      <c r="L2974">
        <v>12.92</v>
      </c>
      <c r="M2974">
        <v>12.92</v>
      </c>
      <c r="N2974" s="5">
        <v>0.65662539271853626</v>
      </c>
      <c r="O2974" t="s">
        <v>181</v>
      </c>
      <c r="P2974" t="s">
        <v>340</v>
      </c>
      <c r="Q2974" s="10" t="s">
        <v>24</v>
      </c>
    </row>
    <row r="2975" spans="1:18" hidden="1" x14ac:dyDescent="0.25">
      <c r="A2975" s="9" t="s">
        <v>1405</v>
      </c>
      <c r="B2975" s="3" t="s">
        <v>1629</v>
      </c>
      <c r="C2975" s="10">
        <v>23</v>
      </c>
      <c r="D2975" s="10">
        <v>11</v>
      </c>
      <c r="E2975" s="10">
        <v>19</v>
      </c>
      <c r="F2975" t="s">
        <v>1078</v>
      </c>
      <c r="G2975" t="s">
        <v>889</v>
      </c>
      <c r="H2975" t="s">
        <v>65</v>
      </c>
      <c r="I2975" t="s">
        <v>27</v>
      </c>
      <c r="J2975" s="4">
        <v>83.88</v>
      </c>
      <c r="K2975">
        <v>1</v>
      </c>
      <c r="L2975">
        <v>83.88</v>
      </c>
      <c r="M2975">
        <v>83.88</v>
      </c>
      <c r="N2975" s="5">
        <v>4.2629828127887626</v>
      </c>
      <c r="O2975" t="s">
        <v>181</v>
      </c>
      <c r="P2975" t="s">
        <v>340</v>
      </c>
      <c r="Q2975" s="10" t="s">
        <v>24</v>
      </c>
    </row>
    <row r="2976" spans="1:18" hidden="1" x14ac:dyDescent="0.25">
      <c r="A2976" s="9" t="s">
        <v>1405</v>
      </c>
      <c r="B2976" s="3" t="s">
        <v>1629</v>
      </c>
      <c r="C2976" s="10">
        <v>23</v>
      </c>
      <c r="D2976" s="10">
        <v>11</v>
      </c>
      <c r="E2976" s="10">
        <v>19</v>
      </c>
      <c r="F2976" t="s">
        <v>1721</v>
      </c>
      <c r="G2976" t="s">
        <v>889</v>
      </c>
      <c r="H2976" t="s">
        <v>39</v>
      </c>
      <c r="I2976" t="s">
        <v>27</v>
      </c>
      <c r="J2976" s="4">
        <v>56.75</v>
      </c>
      <c r="K2976">
        <v>0.4</v>
      </c>
      <c r="L2976">
        <v>56.75</v>
      </c>
      <c r="M2976">
        <v>22.700000000000003</v>
      </c>
      <c r="N2976" s="5">
        <v>1.1536684531509886</v>
      </c>
      <c r="O2976" t="s">
        <v>181</v>
      </c>
      <c r="P2976" t="s">
        <v>340</v>
      </c>
      <c r="Q2976" s="10" t="s">
        <v>24</v>
      </c>
      <c r="R2976" t="s">
        <v>1723</v>
      </c>
    </row>
    <row r="2977" spans="1:18" hidden="1" x14ac:dyDescent="0.25">
      <c r="A2977" s="9" t="s">
        <v>1405</v>
      </c>
      <c r="B2977" s="3" t="s">
        <v>1629</v>
      </c>
      <c r="C2977" s="10">
        <v>23</v>
      </c>
      <c r="D2977" s="10">
        <v>11</v>
      </c>
      <c r="E2977" s="10">
        <v>19</v>
      </c>
      <c r="F2977" t="s">
        <v>1466</v>
      </c>
      <c r="G2977" t="s">
        <v>31</v>
      </c>
      <c r="H2977" t="s">
        <v>26</v>
      </c>
      <c r="I2977" t="s">
        <v>27</v>
      </c>
      <c r="J2977" s="4">
        <v>32.869999999999997</v>
      </c>
      <c r="K2977">
        <v>3</v>
      </c>
      <c r="L2977">
        <v>32.869999999999997</v>
      </c>
      <c r="M2977">
        <v>98.609999999999985</v>
      </c>
      <c r="N2977" s="5">
        <v>5.0115967473664744</v>
      </c>
      <c r="O2977" t="s">
        <v>181</v>
      </c>
      <c r="P2977" t="s">
        <v>340</v>
      </c>
      <c r="Q2977" s="10" t="s">
        <v>24</v>
      </c>
    </row>
    <row r="2978" spans="1:18" hidden="1" x14ac:dyDescent="0.25">
      <c r="A2978" s="9" t="s">
        <v>1405</v>
      </c>
      <c r="B2978" s="3" t="s">
        <v>1629</v>
      </c>
      <c r="C2978" s="10">
        <v>23</v>
      </c>
      <c r="D2978" s="10">
        <v>11</v>
      </c>
      <c r="E2978" s="10">
        <v>19</v>
      </c>
      <c r="F2978" t="s">
        <v>1645</v>
      </c>
      <c r="G2978" t="s">
        <v>889</v>
      </c>
      <c r="H2978" t="s">
        <v>425</v>
      </c>
      <c r="I2978" t="s">
        <v>27</v>
      </c>
      <c r="J2978" s="4">
        <v>20.52</v>
      </c>
      <c r="K2978">
        <v>1</v>
      </c>
      <c r="L2978">
        <v>20.52</v>
      </c>
      <c r="M2978">
        <v>20.52</v>
      </c>
      <c r="N2978" s="5">
        <v>1.0428756237294399</v>
      </c>
      <c r="O2978" t="s">
        <v>181</v>
      </c>
      <c r="P2978" t="s">
        <v>340</v>
      </c>
      <c r="Q2978" s="10" t="s">
        <v>24</v>
      </c>
      <c r="R2978" t="s">
        <v>1645</v>
      </c>
    </row>
    <row r="2979" spans="1:18" hidden="1" x14ac:dyDescent="0.25">
      <c r="A2979" s="9" t="s">
        <v>1405</v>
      </c>
      <c r="B2979" s="3" t="s">
        <v>1629</v>
      </c>
      <c r="C2979" s="10">
        <v>23</v>
      </c>
      <c r="D2979" s="10">
        <v>11</v>
      </c>
      <c r="E2979" s="10">
        <v>19</v>
      </c>
      <c r="F2979" t="s">
        <v>441</v>
      </c>
      <c r="G2979" t="s">
        <v>889</v>
      </c>
      <c r="H2979" t="s">
        <v>364</v>
      </c>
      <c r="I2979" t="s">
        <v>27</v>
      </c>
      <c r="J2979" s="4">
        <v>2</v>
      </c>
      <c r="K2979">
        <v>1</v>
      </c>
      <c r="L2979">
        <v>2</v>
      </c>
      <c r="M2979">
        <v>2</v>
      </c>
      <c r="N2979" s="5">
        <v>0.10164479763444834</v>
      </c>
      <c r="O2979" t="s">
        <v>181</v>
      </c>
      <c r="P2979" t="s">
        <v>340</v>
      </c>
      <c r="Q2979" s="10" t="s">
        <v>24</v>
      </c>
    </row>
    <row r="2980" spans="1:18" hidden="1" x14ac:dyDescent="0.25">
      <c r="A2980" s="9" t="s">
        <v>1405</v>
      </c>
      <c r="B2980" s="3" t="s">
        <v>1629</v>
      </c>
      <c r="C2980" s="10">
        <v>23</v>
      </c>
      <c r="D2980" s="10">
        <v>11</v>
      </c>
      <c r="E2980" s="10">
        <v>19</v>
      </c>
      <c r="F2980" t="s">
        <v>1644</v>
      </c>
      <c r="G2980" t="s">
        <v>889</v>
      </c>
      <c r="H2980" t="s">
        <v>364</v>
      </c>
      <c r="I2980" t="s">
        <v>27</v>
      </c>
      <c r="J2980" s="4">
        <v>2.66</v>
      </c>
      <c r="K2980">
        <v>1</v>
      </c>
      <c r="L2980">
        <v>2.66</v>
      </c>
      <c r="M2980">
        <v>2.66</v>
      </c>
      <c r="N2980" s="5">
        <v>0.1351875808538163</v>
      </c>
      <c r="O2980" t="s">
        <v>181</v>
      </c>
      <c r="P2980" t="s">
        <v>340</v>
      </c>
      <c r="Q2980" s="10" t="s">
        <v>24</v>
      </c>
    </row>
    <row r="2981" spans="1:18" hidden="1" x14ac:dyDescent="0.25">
      <c r="A2981" s="9" t="s">
        <v>1405</v>
      </c>
      <c r="B2981" s="3" t="s">
        <v>1629</v>
      </c>
      <c r="C2981" s="10">
        <v>23</v>
      </c>
      <c r="D2981" s="10">
        <v>11</v>
      </c>
      <c r="E2981" s="10">
        <v>19</v>
      </c>
      <c r="F2981" t="s">
        <v>77</v>
      </c>
      <c r="G2981" t="s">
        <v>77</v>
      </c>
      <c r="H2981" t="s">
        <v>26</v>
      </c>
      <c r="I2981" t="s">
        <v>27</v>
      </c>
      <c r="J2981" s="4">
        <v>34.01</v>
      </c>
      <c r="K2981">
        <v>1</v>
      </c>
      <c r="L2981">
        <v>34.01</v>
      </c>
      <c r="M2981">
        <v>34.01</v>
      </c>
      <c r="N2981" s="5">
        <v>1.7284697837737937</v>
      </c>
      <c r="O2981" t="s">
        <v>181</v>
      </c>
      <c r="P2981" t="s">
        <v>340</v>
      </c>
      <c r="Q2981" s="10" t="s">
        <v>24</v>
      </c>
    </row>
    <row r="2982" spans="1:18" hidden="1" x14ac:dyDescent="0.25">
      <c r="A2982" s="9" t="s">
        <v>1405</v>
      </c>
      <c r="B2982" s="3" t="s">
        <v>1629</v>
      </c>
      <c r="C2982" s="10">
        <v>23</v>
      </c>
      <c r="D2982" s="10">
        <v>11</v>
      </c>
      <c r="E2982" s="10">
        <v>19</v>
      </c>
      <c r="F2982" t="s">
        <v>2339</v>
      </c>
      <c r="G2982" t="s">
        <v>889</v>
      </c>
      <c r="H2982" t="s">
        <v>65</v>
      </c>
      <c r="I2982" t="s">
        <v>27</v>
      </c>
      <c r="J2982" s="4">
        <v>34.200000000000003</v>
      </c>
      <c r="K2982">
        <v>1</v>
      </c>
      <c r="L2982">
        <v>34.200000000000003</v>
      </c>
      <c r="M2982">
        <v>34.200000000000003</v>
      </c>
      <c r="N2982" s="5">
        <v>1.7381260395490665</v>
      </c>
      <c r="O2982" t="s">
        <v>181</v>
      </c>
      <c r="P2982" t="s">
        <v>340</v>
      </c>
      <c r="Q2982" s="10" t="s">
        <v>24</v>
      </c>
    </row>
    <row r="2983" spans="1:18" hidden="1" x14ac:dyDescent="0.25">
      <c r="A2983" s="9" t="s">
        <v>1405</v>
      </c>
      <c r="B2983" s="3" t="s">
        <v>1629</v>
      </c>
      <c r="C2983" s="10">
        <v>23</v>
      </c>
      <c r="D2983" s="10">
        <v>11</v>
      </c>
      <c r="E2983" s="10">
        <v>19</v>
      </c>
      <c r="F2983" t="s">
        <v>155</v>
      </c>
      <c r="G2983" t="s">
        <v>155</v>
      </c>
      <c r="H2983" t="s">
        <v>131</v>
      </c>
      <c r="I2983" t="s">
        <v>27</v>
      </c>
      <c r="J2983" s="4">
        <v>13.58</v>
      </c>
      <c r="K2983">
        <v>4</v>
      </c>
      <c r="L2983">
        <v>13.58</v>
      </c>
      <c r="M2983">
        <v>54.32</v>
      </c>
      <c r="N2983" s="5">
        <v>2.7606727037516166</v>
      </c>
      <c r="O2983" t="s">
        <v>181</v>
      </c>
      <c r="P2983" t="s">
        <v>340</v>
      </c>
      <c r="Q2983" s="10" t="s">
        <v>24</v>
      </c>
      <c r="R2983" t="s">
        <v>1646</v>
      </c>
    </row>
    <row r="2984" spans="1:18" hidden="1" x14ac:dyDescent="0.25">
      <c r="A2984" s="9" t="s">
        <v>1405</v>
      </c>
      <c r="B2984" s="3" t="s">
        <v>1629</v>
      </c>
      <c r="C2984" s="10">
        <v>23</v>
      </c>
      <c r="D2984" s="10">
        <v>11</v>
      </c>
      <c r="E2984" s="10">
        <v>19</v>
      </c>
      <c r="F2984" t="s">
        <v>1078</v>
      </c>
      <c r="G2984" t="s">
        <v>889</v>
      </c>
      <c r="H2984" t="s">
        <v>65</v>
      </c>
      <c r="I2984" t="s">
        <v>27</v>
      </c>
      <c r="J2984" s="4">
        <v>21.66</v>
      </c>
      <c r="K2984">
        <v>1</v>
      </c>
      <c r="L2984">
        <v>21.66</v>
      </c>
      <c r="M2984">
        <v>21.66</v>
      </c>
      <c r="N2984" s="5">
        <v>1.1008131583810754</v>
      </c>
      <c r="O2984" t="s">
        <v>181</v>
      </c>
      <c r="P2984" t="s">
        <v>340</v>
      </c>
      <c r="Q2984" s="10" t="s">
        <v>24</v>
      </c>
    </row>
    <row r="2985" spans="1:18" hidden="1" x14ac:dyDescent="0.25">
      <c r="A2985" s="9" t="s">
        <v>1405</v>
      </c>
      <c r="B2985" s="3" t="s">
        <v>1629</v>
      </c>
      <c r="C2985" s="10">
        <v>23</v>
      </c>
      <c r="D2985" s="10">
        <v>11</v>
      </c>
      <c r="E2985" s="10">
        <v>19</v>
      </c>
      <c r="F2985" t="s">
        <v>212</v>
      </c>
      <c r="G2985" t="s">
        <v>889</v>
      </c>
      <c r="H2985" t="s">
        <v>54</v>
      </c>
      <c r="I2985" t="s">
        <v>27</v>
      </c>
      <c r="J2985" s="4">
        <v>16.5</v>
      </c>
      <c r="K2985">
        <v>1</v>
      </c>
      <c r="L2985">
        <v>16.5</v>
      </c>
      <c r="M2985">
        <v>16.5</v>
      </c>
      <c r="N2985" s="5">
        <v>0.83856958048419872</v>
      </c>
      <c r="O2985" t="s">
        <v>181</v>
      </c>
      <c r="P2985" t="s">
        <v>340</v>
      </c>
      <c r="Q2985" s="10" t="s">
        <v>24</v>
      </c>
    </row>
    <row r="2986" spans="1:18" hidden="1" x14ac:dyDescent="0.25">
      <c r="A2986" s="9" t="s">
        <v>1405</v>
      </c>
      <c r="B2986" s="3" t="s">
        <v>1629</v>
      </c>
      <c r="C2986" s="10">
        <v>23</v>
      </c>
      <c r="D2986" s="10">
        <v>11</v>
      </c>
      <c r="E2986" s="10">
        <v>19</v>
      </c>
      <c r="F2986" t="s">
        <v>73</v>
      </c>
      <c r="G2986" t="s">
        <v>889</v>
      </c>
      <c r="H2986" t="s">
        <v>73</v>
      </c>
      <c r="I2986" t="s">
        <v>27</v>
      </c>
      <c r="J2986" s="4">
        <v>25.94</v>
      </c>
      <c r="K2986">
        <v>1</v>
      </c>
      <c r="L2986">
        <v>25.94</v>
      </c>
      <c r="M2986">
        <v>25.94</v>
      </c>
      <c r="N2986" s="5">
        <v>1.3183330253187948</v>
      </c>
      <c r="O2986" t="s">
        <v>181</v>
      </c>
      <c r="P2986" t="s">
        <v>340</v>
      </c>
      <c r="Q2986" s="10" t="s">
        <v>24</v>
      </c>
    </row>
    <row r="2987" spans="1:18" hidden="1" x14ac:dyDescent="0.25">
      <c r="A2987" s="9" t="s">
        <v>1405</v>
      </c>
      <c r="B2987" s="3" t="s">
        <v>1629</v>
      </c>
      <c r="C2987" s="10">
        <v>23</v>
      </c>
      <c r="D2987" s="10">
        <v>11</v>
      </c>
      <c r="E2987" s="10">
        <v>19</v>
      </c>
      <c r="F2987" t="s">
        <v>155</v>
      </c>
      <c r="G2987" t="s">
        <v>155</v>
      </c>
      <c r="H2987" t="s">
        <v>131</v>
      </c>
      <c r="I2987" t="s">
        <v>27</v>
      </c>
      <c r="J2987" s="4">
        <v>32.869999999999997</v>
      </c>
      <c r="K2987">
        <v>1</v>
      </c>
      <c r="L2987">
        <v>32.869999999999997</v>
      </c>
      <c r="M2987">
        <v>32.869999999999997</v>
      </c>
      <c r="N2987" s="5">
        <v>1.6705322491221581</v>
      </c>
      <c r="O2987" t="s">
        <v>181</v>
      </c>
      <c r="P2987" t="s">
        <v>340</v>
      </c>
      <c r="Q2987" s="10" t="s">
        <v>24</v>
      </c>
    </row>
    <row r="2988" spans="1:18" hidden="1" x14ac:dyDescent="0.25">
      <c r="A2988" s="9" t="s">
        <v>1405</v>
      </c>
      <c r="B2988" s="3" t="s">
        <v>1629</v>
      </c>
      <c r="C2988" s="10">
        <v>23</v>
      </c>
      <c r="D2988" s="10">
        <v>11</v>
      </c>
      <c r="E2988" s="10">
        <v>19</v>
      </c>
      <c r="F2988" t="s">
        <v>155</v>
      </c>
      <c r="G2988" t="s">
        <v>155</v>
      </c>
      <c r="H2988" t="s">
        <v>131</v>
      </c>
      <c r="I2988" t="s">
        <v>27</v>
      </c>
      <c r="J2988" s="4">
        <v>22.75</v>
      </c>
      <c r="K2988">
        <v>2</v>
      </c>
      <c r="L2988">
        <v>22.75</v>
      </c>
      <c r="M2988">
        <v>45.5</v>
      </c>
      <c r="N2988" s="5">
        <v>2.3124191461836996</v>
      </c>
      <c r="O2988" t="s">
        <v>181</v>
      </c>
      <c r="P2988" t="s">
        <v>340</v>
      </c>
      <c r="Q2988" s="10" t="s">
        <v>24</v>
      </c>
      <c r="R2988" t="s">
        <v>1647</v>
      </c>
    </row>
    <row r="2989" spans="1:18" hidden="1" x14ac:dyDescent="0.25">
      <c r="A2989" s="9" t="s">
        <v>1405</v>
      </c>
      <c r="B2989" s="3" t="s">
        <v>1629</v>
      </c>
      <c r="C2989" s="10">
        <v>23</v>
      </c>
      <c r="D2989" s="10">
        <v>11</v>
      </c>
      <c r="E2989" s="10">
        <v>19</v>
      </c>
      <c r="F2989" t="s">
        <v>2072</v>
      </c>
      <c r="G2989" t="s">
        <v>328</v>
      </c>
      <c r="H2989" t="s">
        <v>49</v>
      </c>
      <c r="I2989" t="s">
        <v>50</v>
      </c>
      <c r="J2989" s="4">
        <v>16.53</v>
      </c>
      <c r="K2989">
        <v>1</v>
      </c>
      <c r="L2989">
        <v>16.53</v>
      </c>
      <c r="M2989">
        <v>16.53</v>
      </c>
      <c r="N2989" s="5">
        <v>0.84009425244871549</v>
      </c>
      <c r="O2989" t="s">
        <v>181</v>
      </c>
      <c r="P2989" t="s">
        <v>340</v>
      </c>
      <c r="Q2989" s="10" t="s">
        <v>24</v>
      </c>
    </row>
    <row r="2990" spans="1:18" hidden="1" x14ac:dyDescent="0.25">
      <c r="A2990" s="9" t="s">
        <v>1405</v>
      </c>
      <c r="B2990" s="3" t="s">
        <v>1629</v>
      </c>
      <c r="C2990" s="10">
        <v>23</v>
      </c>
      <c r="D2990" s="10">
        <v>11</v>
      </c>
      <c r="E2990" s="10">
        <v>19</v>
      </c>
      <c r="F2990" t="s">
        <v>98</v>
      </c>
      <c r="G2990" t="s">
        <v>889</v>
      </c>
      <c r="H2990" t="s">
        <v>26</v>
      </c>
      <c r="I2990" t="s">
        <v>27</v>
      </c>
      <c r="J2990" s="4">
        <v>23.56</v>
      </c>
      <c r="K2990">
        <v>1</v>
      </c>
      <c r="L2990">
        <v>23.56</v>
      </c>
      <c r="M2990">
        <v>23.56</v>
      </c>
      <c r="N2990" s="5">
        <v>1.1973757161338012</v>
      </c>
      <c r="O2990" t="s">
        <v>181</v>
      </c>
      <c r="P2990" t="s">
        <v>340</v>
      </c>
      <c r="Q2990" s="10" t="s">
        <v>24</v>
      </c>
    </row>
    <row r="2991" spans="1:18" hidden="1" x14ac:dyDescent="0.25">
      <c r="A2991" s="9" t="s">
        <v>1405</v>
      </c>
      <c r="B2991" s="3" t="s">
        <v>1629</v>
      </c>
      <c r="C2991" s="10">
        <v>23</v>
      </c>
      <c r="D2991" s="10">
        <v>11</v>
      </c>
      <c r="E2991" s="10">
        <v>19</v>
      </c>
      <c r="F2991" t="s">
        <v>708</v>
      </c>
      <c r="G2991" t="s">
        <v>708</v>
      </c>
      <c r="H2991" t="s">
        <v>131</v>
      </c>
      <c r="I2991" t="s">
        <v>27</v>
      </c>
      <c r="J2991" s="4">
        <v>48.4</v>
      </c>
      <c r="K2991">
        <v>1</v>
      </c>
      <c r="L2991">
        <v>48.4</v>
      </c>
      <c r="M2991">
        <v>48.4</v>
      </c>
      <c r="N2991" s="5">
        <v>2.4598041027536497</v>
      </c>
      <c r="O2991" t="s">
        <v>181</v>
      </c>
      <c r="P2991" t="s">
        <v>340</v>
      </c>
      <c r="Q2991" s="10" t="s">
        <v>24</v>
      </c>
    </row>
    <row r="2992" spans="1:18" hidden="1" x14ac:dyDescent="0.25">
      <c r="A2992" s="9" t="s">
        <v>1405</v>
      </c>
      <c r="B2992" s="3" t="s">
        <v>1629</v>
      </c>
      <c r="C2992" s="10">
        <v>23</v>
      </c>
      <c r="D2992" s="10">
        <v>11</v>
      </c>
      <c r="E2992" s="10">
        <v>19</v>
      </c>
      <c r="F2992" t="s">
        <v>1643</v>
      </c>
      <c r="G2992" t="s">
        <v>889</v>
      </c>
      <c r="H2992" t="s">
        <v>425</v>
      </c>
      <c r="I2992" t="s">
        <v>27</v>
      </c>
      <c r="J2992" s="4">
        <v>38.200000000000003</v>
      </c>
      <c r="K2992">
        <v>1</v>
      </c>
      <c r="L2992">
        <v>38.200000000000003</v>
      </c>
      <c r="M2992">
        <v>38.200000000000003</v>
      </c>
      <c r="N2992" s="5">
        <v>1.9414156348179632</v>
      </c>
      <c r="O2992" t="s">
        <v>181</v>
      </c>
      <c r="P2992" t="s">
        <v>340</v>
      </c>
      <c r="Q2992" s="10" t="s">
        <v>24</v>
      </c>
      <c r="R2992" t="s">
        <v>1643</v>
      </c>
    </row>
    <row r="2993" spans="1:18" hidden="1" x14ac:dyDescent="0.25">
      <c r="A2993" s="9" t="s">
        <v>1405</v>
      </c>
      <c r="B2993" s="3" t="s">
        <v>1629</v>
      </c>
      <c r="C2993" s="10">
        <v>23</v>
      </c>
      <c r="D2993" s="10">
        <v>11</v>
      </c>
      <c r="E2993" s="10">
        <v>19</v>
      </c>
      <c r="F2993" t="s">
        <v>141</v>
      </c>
      <c r="G2993" t="s">
        <v>889</v>
      </c>
      <c r="H2993" t="s">
        <v>172</v>
      </c>
      <c r="I2993" t="s">
        <v>39</v>
      </c>
      <c r="J2993" s="4">
        <v>2</v>
      </c>
      <c r="K2993">
        <v>2</v>
      </c>
      <c r="L2993">
        <v>2</v>
      </c>
      <c r="M2993">
        <v>4</v>
      </c>
      <c r="N2993" s="5">
        <v>0.20328959526889667</v>
      </c>
      <c r="O2993" t="s">
        <v>39</v>
      </c>
      <c r="P2993" t="s">
        <v>340</v>
      </c>
      <c r="Q2993" s="10" t="s">
        <v>24</v>
      </c>
    </row>
    <row r="2994" spans="1:18" hidden="1" x14ac:dyDescent="0.25">
      <c r="A2994" s="9" t="s">
        <v>1405</v>
      </c>
      <c r="B2994" s="3" t="s">
        <v>1629</v>
      </c>
      <c r="C2994" s="10">
        <v>23</v>
      </c>
      <c r="D2994" s="10">
        <v>11</v>
      </c>
      <c r="E2994" s="10">
        <v>19</v>
      </c>
      <c r="F2994" t="s">
        <v>141</v>
      </c>
      <c r="G2994" t="s">
        <v>889</v>
      </c>
      <c r="H2994" t="s">
        <v>172</v>
      </c>
      <c r="I2994" t="s">
        <v>39</v>
      </c>
      <c r="J2994" s="4">
        <v>3</v>
      </c>
      <c r="K2994">
        <v>2</v>
      </c>
      <c r="L2994">
        <v>3</v>
      </c>
      <c r="M2994">
        <v>6</v>
      </c>
      <c r="N2994" s="5">
        <v>0.30493439290334501</v>
      </c>
      <c r="O2994" t="s">
        <v>39</v>
      </c>
      <c r="P2994" t="s">
        <v>340</v>
      </c>
      <c r="Q2994" s="10" t="s">
        <v>24</v>
      </c>
    </row>
    <row r="2995" spans="1:18" hidden="1" x14ac:dyDescent="0.25">
      <c r="A2995" s="9" t="s">
        <v>1405</v>
      </c>
      <c r="B2995" s="3" t="s">
        <v>1629</v>
      </c>
      <c r="C2995" s="10">
        <v>23</v>
      </c>
      <c r="D2995" s="10">
        <v>11</v>
      </c>
      <c r="E2995" s="10">
        <v>19</v>
      </c>
      <c r="F2995" t="s">
        <v>2242</v>
      </c>
      <c r="G2995" t="s">
        <v>345</v>
      </c>
      <c r="H2995" t="s">
        <v>26</v>
      </c>
      <c r="I2995" t="s">
        <v>27</v>
      </c>
      <c r="J2995" s="4">
        <v>6.8</v>
      </c>
      <c r="K2995">
        <v>1</v>
      </c>
      <c r="L2995">
        <v>6.8</v>
      </c>
      <c r="M2995">
        <v>6.8</v>
      </c>
      <c r="N2995" s="5">
        <v>0.34559231195712431</v>
      </c>
      <c r="O2995" t="s">
        <v>101</v>
      </c>
      <c r="P2995" t="s">
        <v>340</v>
      </c>
      <c r="Q2995" s="10" t="s">
        <v>24</v>
      </c>
    </row>
    <row r="2996" spans="1:18" hidden="1" x14ac:dyDescent="0.25">
      <c r="A2996" s="9" t="s">
        <v>1405</v>
      </c>
      <c r="B2996" s="3" t="s">
        <v>1629</v>
      </c>
      <c r="C2996" s="10">
        <v>23</v>
      </c>
      <c r="D2996" s="10">
        <v>11</v>
      </c>
      <c r="E2996" s="10">
        <v>19</v>
      </c>
      <c r="F2996" t="s">
        <v>430</v>
      </c>
      <c r="G2996" t="s">
        <v>889</v>
      </c>
      <c r="H2996" t="s">
        <v>889</v>
      </c>
      <c r="I2996" t="s">
        <v>431</v>
      </c>
      <c r="J2996" s="4">
        <v>119</v>
      </c>
      <c r="K2996">
        <v>1</v>
      </c>
      <c r="L2996">
        <v>119</v>
      </c>
      <c r="M2996">
        <v>119</v>
      </c>
      <c r="N2996" s="5">
        <v>6.0478654592496754</v>
      </c>
      <c r="O2996" t="s">
        <v>1657</v>
      </c>
      <c r="P2996" t="s">
        <v>340</v>
      </c>
      <c r="Q2996" s="10" t="s">
        <v>24</v>
      </c>
      <c r="R2996" t="s">
        <v>1656</v>
      </c>
    </row>
    <row r="2997" spans="1:18" hidden="1" x14ac:dyDescent="0.25">
      <c r="A2997" s="9" t="s">
        <v>1405</v>
      </c>
      <c r="B2997" s="3" t="s">
        <v>1629</v>
      </c>
      <c r="C2997" s="10">
        <v>23</v>
      </c>
      <c r="D2997" s="10">
        <v>11</v>
      </c>
      <c r="E2997" s="10">
        <v>19</v>
      </c>
      <c r="F2997" t="s">
        <v>86</v>
      </c>
      <c r="G2997" t="s">
        <v>889</v>
      </c>
      <c r="H2997" t="s">
        <v>102</v>
      </c>
      <c r="I2997" t="s">
        <v>27</v>
      </c>
      <c r="J2997" s="4">
        <v>18</v>
      </c>
      <c r="K2997">
        <v>1</v>
      </c>
      <c r="L2997">
        <v>18</v>
      </c>
      <c r="M2997">
        <v>18</v>
      </c>
      <c r="N2997" s="5">
        <v>0.91480317871003503</v>
      </c>
      <c r="O2997" t="s">
        <v>39</v>
      </c>
      <c r="P2997" t="s">
        <v>340</v>
      </c>
      <c r="Q2997" s="10" t="s">
        <v>24</v>
      </c>
    </row>
    <row r="2998" spans="1:18" hidden="1" x14ac:dyDescent="0.25">
      <c r="A2998" s="9" t="s">
        <v>1405</v>
      </c>
      <c r="B2998" s="3" t="s">
        <v>1655</v>
      </c>
      <c r="C2998" s="10">
        <v>24</v>
      </c>
      <c r="D2998" s="10">
        <v>11</v>
      </c>
      <c r="E2998" s="10">
        <v>19</v>
      </c>
      <c r="F2998" t="s">
        <v>1064</v>
      </c>
      <c r="G2998" t="s">
        <v>889</v>
      </c>
      <c r="H2998" t="s">
        <v>53</v>
      </c>
      <c r="I2998" t="s">
        <v>27</v>
      </c>
      <c r="J2998" s="4">
        <v>40.5</v>
      </c>
      <c r="K2998">
        <v>2</v>
      </c>
      <c r="L2998">
        <v>40.5</v>
      </c>
      <c r="M2998">
        <v>81</v>
      </c>
      <c r="N2998" s="5">
        <v>4.1166143041951573</v>
      </c>
      <c r="O2998" t="s">
        <v>101</v>
      </c>
      <c r="P2998" t="s">
        <v>340</v>
      </c>
      <c r="Q2998" s="10" t="s">
        <v>24</v>
      </c>
    </row>
    <row r="2999" spans="1:18" hidden="1" x14ac:dyDescent="0.25">
      <c r="A2999" s="9" t="s">
        <v>1405</v>
      </c>
      <c r="B2999" s="3" t="s">
        <v>1509</v>
      </c>
      <c r="C2999" s="10">
        <v>25</v>
      </c>
      <c r="D2999" s="10">
        <v>11</v>
      </c>
      <c r="E2999" s="10">
        <v>19</v>
      </c>
      <c r="F2999" t="s">
        <v>586</v>
      </c>
      <c r="G2999" t="s">
        <v>31</v>
      </c>
      <c r="H2999" t="s">
        <v>26</v>
      </c>
      <c r="I2999" t="s">
        <v>27</v>
      </c>
      <c r="J2999" s="4">
        <v>8.1999999999999993</v>
      </c>
      <c r="K2999">
        <v>1</v>
      </c>
      <c r="L2999">
        <v>8.1999999999999993</v>
      </c>
      <c r="M2999">
        <v>8.1999999999999993</v>
      </c>
      <c r="N2999" s="5">
        <v>0.4167436703012381</v>
      </c>
      <c r="O2999" t="s">
        <v>101</v>
      </c>
      <c r="P2999" t="s">
        <v>340</v>
      </c>
      <c r="Q2999" s="10" t="s">
        <v>24</v>
      </c>
    </row>
    <row r="3000" spans="1:18" hidden="1" x14ac:dyDescent="0.25">
      <c r="A3000" s="9" t="s">
        <v>1405</v>
      </c>
      <c r="B3000" s="3" t="s">
        <v>1509</v>
      </c>
      <c r="C3000" s="10">
        <v>25</v>
      </c>
      <c r="D3000" s="10">
        <v>11</v>
      </c>
      <c r="E3000" s="10">
        <v>19</v>
      </c>
      <c r="F3000" t="s">
        <v>141</v>
      </c>
      <c r="G3000" t="s">
        <v>889</v>
      </c>
      <c r="H3000" t="s">
        <v>172</v>
      </c>
      <c r="I3000" t="s">
        <v>39</v>
      </c>
      <c r="J3000" s="4">
        <v>2</v>
      </c>
      <c r="K3000">
        <v>2</v>
      </c>
      <c r="L3000">
        <v>2</v>
      </c>
      <c r="M3000">
        <v>4</v>
      </c>
      <c r="N3000" s="5">
        <v>0.20328959526889667</v>
      </c>
      <c r="O3000" t="s">
        <v>39</v>
      </c>
      <c r="P3000" t="s">
        <v>340</v>
      </c>
      <c r="Q3000" s="10" t="s">
        <v>24</v>
      </c>
    </row>
    <row r="3001" spans="1:18" hidden="1" x14ac:dyDescent="0.25">
      <c r="A3001" s="9" t="s">
        <v>1405</v>
      </c>
      <c r="B3001" s="3" t="s">
        <v>1509</v>
      </c>
      <c r="C3001" s="10">
        <v>25</v>
      </c>
      <c r="D3001" s="10">
        <v>11</v>
      </c>
      <c r="E3001" s="10">
        <v>19</v>
      </c>
      <c r="F3001" t="s">
        <v>1064</v>
      </c>
      <c r="G3001" t="s">
        <v>889</v>
      </c>
      <c r="H3001" t="s">
        <v>53</v>
      </c>
      <c r="I3001" t="s">
        <v>27</v>
      </c>
      <c r="J3001" s="4">
        <v>40.5</v>
      </c>
      <c r="K3001">
        <v>1</v>
      </c>
      <c r="L3001">
        <v>40.5</v>
      </c>
      <c r="M3001">
        <v>40.5</v>
      </c>
      <c r="N3001" s="5">
        <v>2.0583071520975786</v>
      </c>
      <c r="O3001" t="s">
        <v>101</v>
      </c>
      <c r="P3001" t="s">
        <v>340</v>
      </c>
      <c r="Q3001" s="10" t="s">
        <v>24</v>
      </c>
    </row>
    <row r="3002" spans="1:18" hidden="1" x14ac:dyDescent="0.25">
      <c r="A3002" s="9" t="s">
        <v>1405</v>
      </c>
      <c r="B3002" s="3" t="s">
        <v>1622</v>
      </c>
      <c r="C3002" s="10">
        <v>26</v>
      </c>
      <c r="D3002" s="10">
        <v>11</v>
      </c>
      <c r="E3002" s="10">
        <v>19</v>
      </c>
      <c r="F3002" t="s">
        <v>2242</v>
      </c>
      <c r="G3002" t="s">
        <v>345</v>
      </c>
      <c r="H3002" t="s">
        <v>26</v>
      </c>
      <c r="I3002" t="s">
        <v>27</v>
      </c>
      <c r="J3002" s="4">
        <v>6.8</v>
      </c>
      <c r="K3002">
        <v>1</v>
      </c>
      <c r="L3002">
        <v>6.8</v>
      </c>
      <c r="M3002">
        <v>6.8</v>
      </c>
      <c r="N3002">
        <v>0.34559231195712431</v>
      </c>
      <c r="O3002" s="5" t="s">
        <v>101</v>
      </c>
      <c r="P3002" t="s">
        <v>340</v>
      </c>
      <c r="Q3002" s="10" t="s">
        <v>24</v>
      </c>
    </row>
    <row r="3003" spans="1:18" hidden="1" x14ac:dyDescent="0.25">
      <c r="A3003" s="9" t="s">
        <v>1405</v>
      </c>
      <c r="B3003" s="3" t="s">
        <v>1623</v>
      </c>
      <c r="C3003" s="10">
        <v>27</v>
      </c>
      <c r="D3003" s="10">
        <v>11</v>
      </c>
      <c r="E3003" s="10">
        <v>19</v>
      </c>
      <c r="F3003" t="s">
        <v>177</v>
      </c>
      <c r="G3003" t="s">
        <v>889</v>
      </c>
      <c r="H3003" t="s">
        <v>56</v>
      </c>
      <c r="I3003" t="s">
        <v>27</v>
      </c>
      <c r="J3003" s="4">
        <v>12.99</v>
      </c>
      <c r="K3003">
        <v>0.39</v>
      </c>
      <c r="L3003">
        <v>12.99</v>
      </c>
      <c r="M3003">
        <v>0.25747135464793935</v>
      </c>
      <c r="N3003" s="5">
        <v>1.3163157190589947E-2</v>
      </c>
      <c r="O3003" s="5" t="s">
        <v>829</v>
      </c>
      <c r="P3003" t="s">
        <v>340</v>
      </c>
      <c r="Q3003" s="10" t="s">
        <v>24</v>
      </c>
    </row>
    <row r="3004" spans="1:18" hidden="1" x14ac:dyDescent="0.25">
      <c r="A3004" s="9" t="s">
        <v>1405</v>
      </c>
      <c r="B3004" s="3" t="s">
        <v>1623</v>
      </c>
      <c r="C3004" s="10">
        <v>27</v>
      </c>
      <c r="D3004" s="10">
        <v>11</v>
      </c>
      <c r="E3004" s="10">
        <v>19</v>
      </c>
      <c r="F3004" t="s">
        <v>177</v>
      </c>
      <c r="G3004" t="s">
        <v>889</v>
      </c>
      <c r="H3004" t="s">
        <v>56</v>
      </c>
      <c r="I3004" t="s">
        <v>27</v>
      </c>
      <c r="J3004" s="4">
        <v>10.99</v>
      </c>
      <c r="K3004">
        <v>0.42799999999999999</v>
      </c>
      <c r="L3004">
        <v>10.99</v>
      </c>
      <c r="M3004">
        <v>0.23905433376455362</v>
      </c>
      <c r="N3004" s="5">
        <v>1.2221591705754277E-2</v>
      </c>
      <c r="O3004" s="5" t="s">
        <v>829</v>
      </c>
      <c r="P3004" t="s">
        <v>340</v>
      </c>
      <c r="Q3004" s="10" t="s">
        <v>24</v>
      </c>
    </row>
    <row r="3005" spans="1:18" hidden="1" x14ac:dyDescent="0.25">
      <c r="A3005" s="9" t="s">
        <v>1405</v>
      </c>
      <c r="B3005" s="3" t="s">
        <v>1623</v>
      </c>
      <c r="C3005" s="10">
        <v>27</v>
      </c>
      <c r="D3005" s="10">
        <v>11</v>
      </c>
      <c r="E3005" s="10">
        <v>19</v>
      </c>
      <c r="F3005" t="s">
        <v>124</v>
      </c>
      <c r="G3005" t="s">
        <v>404</v>
      </c>
      <c r="H3005" t="s">
        <v>54</v>
      </c>
      <c r="I3005" t="s">
        <v>27</v>
      </c>
      <c r="J3005" s="4">
        <v>29.99</v>
      </c>
      <c r="K3005">
        <v>0.23599999999999999</v>
      </c>
      <c r="L3005">
        <v>29.99</v>
      </c>
      <c r="M3005">
        <v>0.3597026427647384</v>
      </c>
      <c r="N3005" s="5">
        <v>1.8389705662818938E-2</v>
      </c>
      <c r="O3005" s="5" t="s">
        <v>829</v>
      </c>
      <c r="P3005" t="s">
        <v>340</v>
      </c>
      <c r="Q3005" s="10" t="s">
        <v>24</v>
      </c>
    </row>
    <row r="3006" spans="1:18" hidden="1" x14ac:dyDescent="0.25">
      <c r="A3006" s="9" t="s">
        <v>1405</v>
      </c>
      <c r="B3006" s="3" t="s">
        <v>1623</v>
      </c>
      <c r="C3006" s="10">
        <v>27</v>
      </c>
      <c r="D3006" s="10">
        <v>11</v>
      </c>
      <c r="E3006" s="10">
        <v>19</v>
      </c>
      <c r="F3006" t="s">
        <v>1197</v>
      </c>
      <c r="G3006" t="s">
        <v>889</v>
      </c>
      <c r="H3006" t="s">
        <v>403</v>
      </c>
      <c r="I3006" t="s">
        <v>27</v>
      </c>
      <c r="J3006" s="4">
        <v>44.8</v>
      </c>
      <c r="K3006">
        <v>0.63200000000000001</v>
      </c>
      <c r="L3006">
        <v>44.8</v>
      </c>
      <c r="M3006">
        <v>1.438965071151358</v>
      </c>
      <c r="N3006" s="5">
        <v>7.3566721429006041E-2</v>
      </c>
      <c r="O3006" s="5" t="s">
        <v>100</v>
      </c>
      <c r="P3006" t="s">
        <v>340</v>
      </c>
      <c r="Q3006" s="10" t="s">
        <v>24</v>
      </c>
    </row>
    <row r="3007" spans="1:18" hidden="1" x14ac:dyDescent="0.25">
      <c r="A3007" s="9" t="s">
        <v>1405</v>
      </c>
      <c r="B3007" s="3" t="s">
        <v>1623</v>
      </c>
      <c r="C3007" s="10">
        <v>27</v>
      </c>
      <c r="D3007" s="10">
        <v>11</v>
      </c>
      <c r="E3007" s="10">
        <v>19</v>
      </c>
      <c r="F3007" t="s">
        <v>99</v>
      </c>
      <c r="G3007" t="s">
        <v>889</v>
      </c>
      <c r="H3007" t="s">
        <v>40</v>
      </c>
      <c r="I3007" t="s">
        <v>27</v>
      </c>
      <c r="J3007" s="4">
        <v>10</v>
      </c>
      <c r="K3007">
        <v>1</v>
      </c>
      <c r="L3007">
        <v>10</v>
      </c>
      <c r="M3007">
        <v>0.50822398817224168</v>
      </c>
      <c r="N3007" s="5">
        <v>2.5982821481198452E-2</v>
      </c>
      <c r="O3007" s="5" t="s">
        <v>100</v>
      </c>
      <c r="P3007" t="s">
        <v>340</v>
      </c>
      <c r="Q3007" s="10" t="s">
        <v>24</v>
      </c>
    </row>
    <row r="3008" spans="1:18" hidden="1" x14ac:dyDescent="0.25">
      <c r="A3008" s="9" t="s">
        <v>1405</v>
      </c>
      <c r="B3008" s="3" t="s">
        <v>1623</v>
      </c>
      <c r="C3008" s="10">
        <v>27</v>
      </c>
      <c r="D3008" s="10">
        <v>11</v>
      </c>
      <c r="E3008" s="10">
        <v>19</v>
      </c>
      <c r="F3008" t="s">
        <v>1624</v>
      </c>
      <c r="H3008" t="s">
        <v>131</v>
      </c>
      <c r="I3008" t="s">
        <v>27</v>
      </c>
      <c r="J3008" s="4">
        <v>17.600000000000001</v>
      </c>
      <c r="K3008">
        <v>1</v>
      </c>
      <c r="L3008">
        <v>17.600000000000001</v>
      </c>
      <c r="M3008">
        <v>0.8944742191831454</v>
      </c>
      <c r="N3008" s="5">
        <v>4.5729765806909274E-2</v>
      </c>
      <c r="O3008" s="5" t="s">
        <v>100</v>
      </c>
      <c r="P3008" t="s">
        <v>340</v>
      </c>
      <c r="Q3008" s="10" t="s">
        <v>24</v>
      </c>
      <c r="R3008" t="s">
        <v>1625</v>
      </c>
    </row>
    <row r="3009" spans="1:18" hidden="1" x14ac:dyDescent="0.25">
      <c r="A3009" s="9" t="s">
        <v>1405</v>
      </c>
      <c r="B3009" s="3" t="s">
        <v>1623</v>
      </c>
      <c r="C3009" s="10">
        <v>27</v>
      </c>
      <c r="D3009" s="10">
        <v>11</v>
      </c>
      <c r="E3009" s="10">
        <v>19</v>
      </c>
      <c r="F3009" t="s">
        <v>98</v>
      </c>
      <c r="H3009" t="s">
        <v>26</v>
      </c>
      <c r="I3009" t="s">
        <v>27</v>
      </c>
      <c r="J3009" s="4">
        <v>82.6</v>
      </c>
      <c r="K3009">
        <v>1</v>
      </c>
      <c r="L3009">
        <v>82.6</v>
      </c>
      <c r="M3009">
        <v>4.1979301423027158</v>
      </c>
      <c r="N3009" s="5">
        <v>0.2146181054346992</v>
      </c>
      <c r="O3009" s="5" t="s">
        <v>100</v>
      </c>
      <c r="P3009" t="s">
        <v>340</v>
      </c>
      <c r="Q3009" s="10" t="s">
        <v>24</v>
      </c>
      <c r="R3009" t="s">
        <v>1626</v>
      </c>
    </row>
    <row r="3010" spans="1:18" hidden="1" x14ac:dyDescent="0.25">
      <c r="A3010" s="9" t="s">
        <v>1405</v>
      </c>
      <c r="B3010" s="3" t="s">
        <v>1623</v>
      </c>
      <c r="C3010" s="10">
        <v>27</v>
      </c>
      <c r="D3010" s="10">
        <v>11</v>
      </c>
      <c r="E3010" s="10">
        <v>19</v>
      </c>
      <c r="F3010" t="s">
        <v>1565</v>
      </c>
      <c r="G3010" t="s">
        <v>889</v>
      </c>
      <c r="H3010" t="s">
        <v>889</v>
      </c>
      <c r="I3010" t="s">
        <v>82</v>
      </c>
      <c r="J3010" s="4">
        <v>4.1900000000000004</v>
      </c>
      <c r="K3010">
        <v>1</v>
      </c>
      <c r="L3010">
        <v>72.646220000000014</v>
      </c>
      <c r="M3010">
        <v>72.646220000000014</v>
      </c>
      <c r="N3010" s="5">
        <v>3.6920551654038074</v>
      </c>
      <c r="O3010" t="s">
        <v>651</v>
      </c>
      <c r="P3010" t="s">
        <v>340</v>
      </c>
      <c r="Q3010" s="10" t="s">
        <v>84</v>
      </c>
      <c r="R3010" t="s">
        <v>1709</v>
      </c>
    </row>
    <row r="3011" spans="1:18" hidden="1" x14ac:dyDescent="0.25">
      <c r="A3011" s="9" t="s">
        <v>1405</v>
      </c>
      <c r="B3011" s="3" t="s">
        <v>1623</v>
      </c>
      <c r="C3011" s="10">
        <v>27</v>
      </c>
      <c r="D3011" s="10">
        <v>11</v>
      </c>
      <c r="E3011" s="10">
        <v>19</v>
      </c>
      <c r="F3011" t="s">
        <v>2356</v>
      </c>
      <c r="G3011" t="s">
        <v>889</v>
      </c>
      <c r="H3011" t="s">
        <v>889</v>
      </c>
      <c r="I3011" t="s">
        <v>39</v>
      </c>
      <c r="J3011" s="4">
        <v>26</v>
      </c>
      <c r="K3011">
        <v>1</v>
      </c>
      <c r="L3011">
        <v>450.78800000000001</v>
      </c>
      <c r="M3011">
        <v>450.78800000000001</v>
      </c>
      <c r="N3011" s="5">
        <v>22.910127518018847</v>
      </c>
      <c r="O3011" t="s">
        <v>651</v>
      </c>
      <c r="P3011" t="s">
        <v>340</v>
      </c>
      <c r="Q3011" s="10" t="s">
        <v>84</v>
      </c>
      <c r="R3011" t="s">
        <v>2445</v>
      </c>
    </row>
    <row r="3012" spans="1:18" hidden="1" x14ac:dyDescent="0.25">
      <c r="A3012" s="9" t="s">
        <v>1405</v>
      </c>
      <c r="B3012" s="3" t="s">
        <v>1653</v>
      </c>
      <c r="C3012" s="10">
        <v>28</v>
      </c>
      <c r="D3012" s="10">
        <v>11</v>
      </c>
      <c r="E3012" s="10">
        <v>19</v>
      </c>
      <c r="F3012" t="s">
        <v>39</v>
      </c>
      <c r="G3012" t="s">
        <v>304</v>
      </c>
      <c r="H3012" t="s">
        <v>1593</v>
      </c>
      <c r="I3012" t="s">
        <v>79</v>
      </c>
      <c r="J3012" s="4">
        <v>160</v>
      </c>
      <c r="K3012">
        <v>1</v>
      </c>
      <c r="L3012">
        <v>160</v>
      </c>
      <c r="M3012">
        <v>160</v>
      </c>
      <c r="N3012" s="5">
        <v>8.1315838107558669</v>
      </c>
      <c r="O3012" t="s">
        <v>39</v>
      </c>
      <c r="P3012" t="s">
        <v>340</v>
      </c>
      <c r="Q3012" s="10" t="s">
        <v>24</v>
      </c>
      <c r="R3012" t="s">
        <v>449</v>
      </c>
    </row>
    <row r="3013" spans="1:18" hidden="1" x14ac:dyDescent="0.25">
      <c r="A3013" s="9" t="s">
        <v>1405</v>
      </c>
      <c r="B3013" s="3" t="s">
        <v>1652</v>
      </c>
      <c r="C3013" s="10">
        <v>29</v>
      </c>
      <c r="D3013" s="10">
        <v>11</v>
      </c>
      <c r="E3013" s="10">
        <v>19</v>
      </c>
      <c r="F3013" t="s">
        <v>1696</v>
      </c>
      <c r="G3013" t="s">
        <v>304</v>
      </c>
      <c r="H3013" t="s">
        <v>1695</v>
      </c>
      <c r="I3013" t="s">
        <v>79</v>
      </c>
      <c r="J3013" s="4">
        <v>1350</v>
      </c>
      <c r="K3013">
        <v>1</v>
      </c>
      <c r="L3013">
        <v>1350</v>
      </c>
      <c r="M3013">
        <v>1350</v>
      </c>
      <c r="N3013" s="5">
        <v>68.610238403252623</v>
      </c>
      <c r="O3013" t="s">
        <v>39</v>
      </c>
      <c r="P3013" t="s">
        <v>340</v>
      </c>
      <c r="Q3013" s="10" t="s">
        <v>24</v>
      </c>
    </row>
    <row r="3014" spans="1:18" hidden="1" x14ac:dyDescent="0.25">
      <c r="A3014" s="9" t="s">
        <v>1405</v>
      </c>
      <c r="B3014" s="3" t="s">
        <v>1652</v>
      </c>
      <c r="C3014" s="10">
        <v>29</v>
      </c>
      <c r="D3014" s="10">
        <v>11</v>
      </c>
      <c r="E3014" s="10">
        <v>19</v>
      </c>
      <c r="F3014" t="s">
        <v>166</v>
      </c>
      <c r="G3014" t="s">
        <v>77</v>
      </c>
      <c r="H3014" t="s">
        <v>26</v>
      </c>
      <c r="I3014" t="s">
        <v>27</v>
      </c>
      <c r="J3014" s="4">
        <v>20</v>
      </c>
      <c r="K3014">
        <v>1</v>
      </c>
      <c r="L3014">
        <v>20</v>
      </c>
      <c r="M3014">
        <v>20</v>
      </c>
      <c r="N3014" s="5">
        <v>1.0164479763444834</v>
      </c>
      <c r="O3014" t="s">
        <v>101</v>
      </c>
      <c r="P3014" t="s">
        <v>340</v>
      </c>
      <c r="Q3014" s="10" t="s">
        <v>24</v>
      </c>
    </row>
    <row r="3015" spans="1:18" hidden="1" x14ac:dyDescent="0.25">
      <c r="A3015" s="9" t="s">
        <v>1405</v>
      </c>
      <c r="B3015" s="3" t="s">
        <v>1652</v>
      </c>
      <c r="C3015" s="10">
        <v>29</v>
      </c>
      <c r="D3015" s="10">
        <v>11</v>
      </c>
      <c r="E3015" s="10">
        <v>19</v>
      </c>
      <c r="F3015" t="s">
        <v>2242</v>
      </c>
      <c r="G3015" t="s">
        <v>345</v>
      </c>
      <c r="H3015" t="s">
        <v>26</v>
      </c>
      <c r="I3015" t="s">
        <v>27</v>
      </c>
      <c r="J3015" s="4">
        <v>6.8</v>
      </c>
      <c r="K3015">
        <v>1</v>
      </c>
      <c r="L3015">
        <v>6.8</v>
      </c>
      <c r="M3015">
        <v>6.8</v>
      </c>
      <c r="N3015" s="5">
        <v>0.34559231195712431</v>
      </c>
      <c r="O3015" t="s">
        <v>101</v>
      </c>
      <c r="P3015" t="s">
        <v>340</v>
      </c>
      <c r="Q3015" s="10" t="s">
        <v>24</v>
      </c>
    </row>
    <row r="3016" spans="1:18" hidden="1" x14ac:dyDescent="0.25">
      <c r="A3016" s="9" t="s">
        <v>1405</v>
      </c>
      <c r="B3016" s="3" t="s">
        <v>1652</v>
      </c>
      <c r="C3016" s="10">
        <v>29</v>
      </c>
      <c r="D3016" s="10">
        <v>11</v>
      </c>
      <c r="E3016" s="10">
        <v>19</v>
      </c>
      <c r="F3016" t="s">
        <v>41</v>
      </c>
      <c r="G3016" t="s">
        <v>889</v>
      </c>
      <c r="H3016" t="s">
        <v>39</v>
      </c>
      <c r="I3016" t="s">
        <v>27</v>
      </c>
      <c r="J3016" s="4">
        <v>15</v>
      </c>
      <c r="K3016">
        <v>45</v>
      </c>
      <c r="L3016">
        <v>15</v>
      </c>
      <c r="M3016">
        <v>675</v>
      </c>
      <c r="N3016" s="5">
        <v>34.305119201626312</v>
      </c>
      <c r="O3016" t="s">
        <v>42</v>
      </c>
      <c r="P3016" t="s">
        <v>340</v>
      </c>
      <c r="Q3016" s="10" t="s">
        <v>24</v>
      </c>
      <c r="R3016" t="s">
        <v>1664</v>
      </c>
    </row>
    <row r="3017" spans="1:18" hidden="1" x14ac:dyDescent="0.25">
      <c r="A3017" s="9" t="s">
        <v>1405</v>
      </c>
      <c r="B3017" s="3" t="s">
        <v>1651</v>
      </c>
      <c r="C3017" s="10">
        <v>30</v>
      </c>
      <c r="D3017" s="10">
        <v>11</v>
      </c>
      <c r="E3017" s="10">
        <v>19</v>
      </c>
      <c r="F3017" t="s">
        <v>1147</v>
      </c>
      <c r="G3017" t="s">
        <v>889</v>
      </c>
      <c r="H3017" t="s">
        <v>39</v>
      </c>
      <c r="I3017" t="s">
        <v>22</v>
      </c>
      <c r="J3017" s="4">
        <v>182.5</v>
      </c>
      <c r="K3017">
        <v>1</v>
      </c>
      <c r="L3017">
        <v>182.5</v>
      </c>
      <c r="M3017">
        <v>182.5</v>
      </c>
      <c r="N3017" s="5">
        <v>9.2750877841434107</v>
      </c>
      <c r="O3017" t="s">
        <v>39</v>
      </c>
      <c r="P3017" t="s">
        <v>340</v>
      </c>
      <c r="Q3017" s="10" t="s">
        <v>24</v>
      </c>
    </row>
    <row r="3018" spans="1:18" hidden="1" x14ac:dyDescent="0.25">
      <c r="A3018" s="9" t="s">
        <v>1405</v>
      </c>
      <c r="B3018" s="3" t="s">
        <v>1651</v>
      </c>
      <c r="C3018" s="10">
        <v>30</v>
      </c>
      <c r="D3018" s="10">
        <v>11</v>
      </c>
      <c r="E3018" s="10">
        <v>19</v>
      </c>
      <c r="F3018" t="s">
        <v>53</v>
      </c>
      <c r="G3018" t="s">
        <v>889</v>
      </c>
      <c r="H3018" t="s">
        <v>53</v>
      </c>
      <c r="I3018" t="s">
        <v>27</v>
      </c>
      <c r="J3018" s="4">
        <v>13</v>
      </c>
      <c r="K3018">
        <v>1</v>
      </c>
      <c r="L3018">
        <v>13</v>
      </c>
      <c r="M3018">
        <v>13</v>
      </c>
      <c r="N3018" s="5">
        <v>0.66069118462391419</v>
      </c>
      <c r="O3018" t="s">
        <v>39</v>
      </c>
      <c r="P3018" t="s">
        <v>340</v>
      </c>
      <c r="Q3018" s="10" t="s">
        <v>24</v>
      </c>
    </row>
    <row r="3019" spans="1:18" hidden="1" x14ac:dyDescent="0.25">
      <c r="A3019" s="9" t="s">
        <v>1405</v>
      </c>
      <c r="B3019" s="3" t="s">
        <v>1651</v>
      </c>
      <c r="C3019" s="10">
        <v>30</v>
      </c>
      <c r="D3019" s="10">
        <v>11</v>
      </c>
      <c r="E3019" s="10">
        <v>19</v>
      </c>
      <c r="F3019" t="s">
        <v>86</v>
      </c>
      <c r="G3019" t="s">
        <v>889</v>
      </c>
      <c r="H3019" t="s">
        <v>102</v>
      </c>
      <c r="I3019" t="s">
        <v>27</v>
      </c>
      <c r="J3019" s="4">
        <v>15</v>
      </c>
      <c r="K3019">
        <v>1</v>
      </c>
      <c r="L3019">
        <v>15</v>
      </c>
      <c r="M3019">
        <v>15</v>
      </c>
      <c r="N3019" s="5">
        <v>0.76233598225836252</v>
      </c>
      <c r="O3019" t="s">
        <v>39</v>
      </c>
      <c r="P3019" t="s">
        <v>340</v>
      </c>
      <c r="Q3019" s="10" t="s">
        <v>24</v>
      </c>
    </row>
    <row r="3020" spans="1:18" hidden="1" x14ac:dyDescent="0.25">
      <c r="A3020" s="9" t="s">
        <v>1405</v>
      </c>
      <c r="B3020" s="3" t="s">
        <v>1450</v>
      </c>
      <c r="C3020" s="10">
        <v>4</v>
      </c>
      <c r="D3020" s="10">
        <v>11</v>
      </c>
      <c r="E3020" s="10">
        <v>19</v>
      </c>
      <c r="F3020" t="s">
        <v>1492</v>
      </c>
      <c r="G3020" t="s">
        <v>889</v>
      </c>
      <c r="H3020" t="s">
        <v>21</v>
      </c>
      <c r="I3020" t="s">
        <v>22</v>
      </c>
      <c r="J3020" s="4">
        <v>505</v>
      </c>
      <c r="K3020">
        <v>1</v>
      </c>
      <c r="L3020">
        <v>505</v>
      </c>
      <c r="M3020">
        <v>505</v>
      </c>
      <c r="N3020" s="5">
        <v>25.562429696287964</v>
      </c>
      <c r="O3020" t="s">
        <v>39</v>
      </c>
      <c r="P3020" t="s">
        <v>340</v>
      </c>
      <c r="Q3020" s="10" t="s">
        <v>24</v>
      </c>
      <c r="R3020" t="s">
        <v>1486</v>
      </c>
    </row>
    <row r="3021" spans="1:18" hidden="1" x14ac:dyDescent="0.25">
      <c r="A3021" s="9" t="s">
        <v>1405</v>
      </c>
      <c r="B3021" s="3" t="s">
        <v>1457</v>
      </c>
      <c r="C3021" s="10">
        <v>5</v>
      </c>
      <c r="D3021" s="10">
        <v>11</v>
      </c>
      <c r="E3021" s="10">
        <v>19</v>
      </c>
      <c r="F3021" t="s">
        <v>2242</v>
      </c>
      <c r="G3021" t="s">
        <v>345</v>
      </c>
      <c r="H3021" t="s">
        <v>26</v>
      </c>
      <c r="I3021" t="s">
        <v>27</v>
      </c>
      <c r="J3021" s="4">
        <v>6.8</v>
      </c>
      <c r="K3021">
        <v>1</v>
      </c>
      <c r="L3021">
        <v>6.8</v>
      </c>
      <c r="M3021">
        <v>6.8</v>
      </c>
      <c r="N3021" s="5">
        <v>0.34420697412823392</v>
      </c>
      <c r="O3021" t="s">
        <v>101</v>
      </c>
      <c r="P3021" t="s">
        <v>340</v>
      </c>
      <c r="Q3021" s="10" t="s">
        <v>24</v>
      </c>
    </row>
    <row r="3022" spans="1:18" hidden="1" x14ac:dyDescent="0.25">
      <c r="A3022" s="9" t="s">
        <v>1405</v>
      </c>
      <c r="B3022" s="3" t="s">
        <v>1457</v>
      </c>
      <c r="C3022" s="10">
        <v>5</v>
      </c>
      <c r="D3022" s="10">
        <v>11</v>
      </c>
      <c r="E3022" s="10">
        <v>19</v>
      </c>
      <c r="F3022" t="s">
        <v>676</v>
      </c>
      <c r="G3022" t="s">
        <v>39</v>
      </c>
      <c r="H3022" t="s">
        <v>131</v>
      </c>
      <c r="I3022" t="s">
        <v>27</v>
      </c>
      <c r="J3022" s="4">
        <v>5.4</v>
      </c>
      <c r="K3022">
        <v>1</v>
      </c>
      <c r="L3022">
        <v>5.4</v>
      </c>
      <c r="M3022">
        <v>5.4</v>
      </c>
      <c r="N3022" s="5">
        <v>0.27334083239595053</v>
      </c>
      <c r="O3022" t="s">
        <v>101</v>
      </c>
      <c r="P3022" t="s">
        <v>340</v>
      </c>
      <c r="Q3022" s="10" t="s">
        <v>24</v>
      </c>
    </row>
    <row r="3023" spans="1:18" hidden="1" x14ac:dyDescent="0.25">
      <c r="A3023" s="9" t="s">
        <v>1405</v>
      </c>
      <c r="B3023" s="3" t="s">
        <v>1457</v>
      </c>
      <c r="C3023" s="10">
        <v>5</v>
      </c>
      <c r="D3023" s="10">
        <v>11</v>
      </c>
      <c r="E3023" s="10">
        <v>19</v>
      </c>
      <c r="F3023" t="s">
        <v>166</v>
      </c>
      <c r="G3023" t="s">
        <v>77</v>
      </c>
      <c r="H3023" t="s">
        <v>26</v>
      </c>
      <c r="I3023" t="s">
        <v>27</v>
      </c>
      <c r="J3023" s="4">
        <v>20</v>
      </c>
      <c r="K3023">
        <v>1</v>
      </c>
      <c r="L3023">
        <v>20</v>
      </c>
      <c r="M3023">
        <v>20</v>
      </c>
      <c r="N3023" s="5">
        <v>1.0123734533183351</v>
      </c>
      <c r="O3023" t="s">
        <v>101</v>
      </c>
      <c r="P3023" t="s">
        <v>340</v>
      </c>
      <c r="Q3023" s="10" t="s">
        <v>24</v>
      </c>
    </row>
    <row r="3024" spans="1:18" hidden="1" x14ac:dyDescent="0.25">
      <c r="A3024" s="9" t="s">
        <v>1405</v>
      </c>
      <c r="B3024" s="3" t="s">
        <v>1457</v>
      </c>
      <c r="C3024" s="10">
        <v>5</v>
      </c>
      <c r="D3024" s="10">
        <v>11</v>
      </c>
      <c r="E3024" s="10">
        <v>19</v>
      </c>
      <c r="F3024" t="s">
        <v>974</v>
      </c>
      <c r="G3024" t="s">
        <v>25</v>
      </c>
      <c r="H3024" t="s">
        <v>26</v>
      </c>
      <c r="I3024" t="s">
        <v>27</v>
      </c>
      <c r="J3024" s="4">
        <v>211.6</v>
      </c>
      <c r="K3024">
        <v>0.36399999999999999</v>
      </c>
      <c r="L3024">
        <v>211.6</v>
      </c>
      <c r="M3024">
        <v>77.02239999999999</v>
      </c>
      <c r="N3024" s="5">
        <v>3.8987716535433066</v>
      </c>
      <c r="O3024" t="s">
        <v>100</v>
      </c>
      <c r="P3024" t="s">
        <v>340</v>
      </c>
      <c r="Q3024" s="10" t="s">
        <v>24</v>
      </c>
    </row>
    <row r="3025" spans="1:17" hidden="1" x14ac:dyDescent="0.25">
      <c r="A3025" s="9" t="s">
        <v>1405</v>
      </c>
      <c r="B3025" s="3" t="s">
        <v>1457</v>
      </c>
      <c r="C3025" s="10">
        <v>5</v>
      </c>
      <c r="D3025" s="10">
        <v>11</v>
      </c>
      <c r="E3025" s="10">
        <v>19</v>
      </c>
      <c r="F3025" t="s">
        <v>1036</v>
      </c>
      <c r="G3025" t="s">
        <v>889</v>
      </c>
      <c r="H3025" t="s">
        <v>38</v>
      </c>
      <c r="I3025" t="s">
        <v>27</v>
      </c>
      <c r="J3025" s="4">
        <v>126</v>
      </c>
      <c r="K3025">
        <v>0.22</v>
      </c>
      <c r="L3025">
        <v>126</v>
      </c>
      <c r="M3025">
        <v>27.72</v>
      </c>
      <c r="N3025" s="5">
        <v>1.4031496062992124</v>
      </c>
      <c r="O3025" t="s">
        <v>100</v>
      </c>
      <c r="P3025" t="s">
        <v>340</v>
      </c>
      <c r="Q3025" s="10" t="s">
        <v>24</v>
      </c>
    </row>
    <row r="3026" spans="1:17" hidden="1" x14ac:dyDescent="0.25">
      <c r="A3026" s="9" t="s">
        <v>1405</v>
      </c>
      <c r="B3026" s="3" t="s">
        <v>1457</v>
      </c>
      <c r="C3026" s="10">
        <v>5</v>
      </c>
      <c r="D3026" s="10">
        <v>11</v>
      </c>
      <c r="E3026" s="10">
        <v>19</v>
      </c>
      <c r="F3026" t="s">
        <v>1376</v>
      </c>
      <c r="G3026" t="s">
        <v>889</v>
      </c>
      <c r="H3026" t="s">
        <v>131</v>
      </c>
      <c r="I3026" t="s">
        <v>27</v>
      </c>
      <c r="J3026" s="4">
        <v>219</v>
      </c>
      <c r="K3026">
        <v>0.252</v>
      </c>
      <c r="L3026">
        <v>219</v>
      </c>
      <c r="M3026">
        <v>55.188000000000002</v>
      </c>
      <c r="N3026" s="5">
        <v>2.793543307086614</v>
      </c>
      <c r="O3026" t="s">
        <v>100</v>
      </c>
      <c r="P3026" t="s">
        <v>340</v>
      </c>
      <c r="Q3026" s="10" t="s">
        <v>24</v>
      </c>
    </row>
    <row r="3027" spans="1:17" hidden="1" x14ac:dyDescent="0.25">
      <c r="A3027" s="9" t="s">
        <v>1405</v>
      </c>
      <c r="B3027" s="3" t="s">
        <v>1457</v>
      </c>
      <c r="C3027" s="10">
        <v>5</v>
      </c>
      <c r="D3027" s="10">
        <v>11</v>
      </c>
      <c r="E3027" s="10">
        <v>19</v>
      </c>
      <c r="F3027" t="s">
        <v>1464</v>
      </c>
      <c r="G3027" t="s">
        <v>889</v>
      </c>
      <c r="H3027" t="s">
        <v>131</v>
      </c>
      <c r="I3027" t="s">
        <v>27</v>
      </c>
      <c r="J3027" s="4">
        <v>49.9</v>
      </c>
      <c r="K3027">
        <v>1</v>
      </c>
      <c r="L3027">
        <v>49.9</v>
      </c>
      <c r="M3027">
        <v>49.9</v>
      </c>
      <c r="N3027" s="5">
        <v>2.5258717660292462</v>
      </c>
      <c r="O3027" t="s">
        <v>100</v>
      </c>
      <c r="P3027" t="s">
        <v>340</v>
      </c>
      <c r="Q3027" s="10" t="s">
        <v>24</v>
      </c>
    </row>
    <row r="3028" spans="1:17" hidden="1" x14ac:dyDescent="0.25">
      <c r="A3028" s="9" t="s">
        <v>1405</v>
      </c>
      <c r="B3028" s="3" t="s">
        <v>1457</v>
      </c>
      <c r="C3028" s="10">
        <v>5</v>
      </c>
      <c r="D3028" s="10">
        <v>11</v>
      </c>
      <c r="E3028" s="10">
        <v>19</v>
      </c>
      <c r="F3028" t="s">
        <v>188</v>
      </c>
      <c r="G3028" t="s">
        <v>77</v>
      </c>
      <c r="H3028" t="s">
        <v>26</v>
      </c>
      <c r="I3028" t="s">
        <v>27</v>
      </c>
      <c r="J3028" s="4">
        <v>40.6</v>
      </c>
      <c r="K3028">
        <v>1</v>
      </c>
      <c r="L3028">
        <v>40.6</v>
      </c>
      <c r="M3028">
        <v>40.6</v>
      </c>
      <c r="N3028" s="5">
        <v>2.0551181102362204</v>
      </c>
      <c r="O3028" t="s">
        <v>100</v>
      </c>
      <c r="P3028" t="s">
        <v>340</v>
      </c>
      <c r="Q3028" s="10" t="s">
        <v>24</v>
      </c>
    </row>
    <row r="3029" spans="1:17" hidden="1" x14ac:dyDescent="0.25">
      <c r="A3029" s="9" t="s">
        <v>1405</v>
      </c>
      <c r="B3029" s="3" t="s">
        <v>1457</v>
      </c>
      <c r="C3029" s="10">
        <v>5</v>
      </c>
      <c r="D3029" s="10">
        <v>11</v>
      </c>
      <c r="E3029" s="10">
        <v>19</v>
      </c>
      <c r="F3029" t="s">
        <v>1465</v>
      </c>
      <c r="G3029" t="s">
        <v>889</v>
      </c>
      <c r="H3029" t="s">
        <v>131</v>
      </c>
      <c r="I3029" t="s">
        <v>27</v>
      </c>
      <c r="J3029" s="4">
        <v>7.8</v>
      </c>
      <c r="K3029">
        <v>4</v>
      </c>
      <c r="L3029">
        <v>7.8</v>
      </c>
      <c r="M3029">
        <v>31.2</v>
      </c>
      <c r="N3029" s="5">
        <v>1.5793025871766029</v>
      </c>
      <c r="O3029" t="s">
        <v>100</v>
      </c>
      <c r="P3029" t="s">
        <v>340</v>
      </c>
      <c r="Q3029" s="10" t="s">
        <v>24</v>
      </c>
    </row>
    <row r="3030" spans="1:17" hidden="1" x14ac:dyDescent="0.25">
      <c r="A3030" s="9" t="s">
        <v>1405</v>
      </c>
      <c r="B3030" s="3" t="s">
        <v>1457</v>
      </c>
      <c r="C3030" s="10">
        <v>5</v>
      </c>
      <c r="D3030" s="10">
        <v>11</v>
      </c>
      <c r="E3030" s="10">
        <v>19</v>
      </c>
      <c r="F3030" t="s">
        <v>1466</v>
      </c>
      <c r="G3030" t="s">
        <v>31</v>
      </c>
      <c r="H3030" t="s">
        <v>26</v>
      </c>
      <c r="I3030" t="s">
        <v>27</v>
      </c>
      <c r="J3030" s="4">
        <v>38.6</v>
      </c>
      <c r="K3030">
        <v>1</v>
      </c>
      <c r="L3030">
        <v>38.6</v>
      </c>
      <c r="M3030">
        <v>38.6</v>
      </c>
      <c r="N3030" s="5">
        <v>1.953880764904387</v>
      </c>
      <c r="O3030" t="s">
        <v>100</v>
      </c>
      <c r="P3030" t="s">
        <v>340</v>
      </c>
      <c r="Q3030" s="10" t="s">
        <v>24</v>
      </c>
    </row>
    <row r="3031" spans="1:17" hidden="1" x14ac:dyDescent="0.25">
      <c r="A3031" s="9" t="s">
        <v>1405</v>
      </c>
      <c r="B3031" s="3" t="s">
        <v>1457</v>
      </c>
      <c r="C3031" s="10">
        <v>5</v>
      </c>
      <c r="D3031" s="10">
        <v>11</v>
      </c>
      <c r="E3031" s="10">
        <v>19</v>
      </c>
      <c r="F3031" t="s">
        <v>155</v>
      </c>
      <c r="G3031" t="s">
        <v>155</v>
      </c>
      <c r="H3031" t="s">
        <v>131</v>
      </c>
      <c r="I3031" t="s">
        <v>27</v>
      </c>
      <c r="J3031" s="4">
        <v>21.85</v>
      </c>
      <c r="K3031">
        <v>1</v>
      </c>
      <c r="L3031">
        <v>21.85</v>
      </c>
      <c r="M3031">
        <v>21.85</v>
      </c>
      <c r="N3031" s="5">
        <v>1.1060179977502813</v>
      </c>
      <c r="O3031" t="s">
        <v>100</v>
      </c>
      <c r="P3031" t="s">
        <v>340</v>
      </c>
      <c r="Q3031" s="10" t="s">
        <v>24</v>
      </c>
    </row>
    <row r="3032" spans="1:17" hidden="1" x14ac:dyDescent="0.25">
      <c r="A3032" s="9" t="s">
        <v>1405</v>
      </c>
      <c r="B3032" s="3" t="s">
        <v>1457</v>
      </c>
      <c r="C3032" s="10">
        <v>5</v>
      </c>
      <c r="D3032" s="10">
        <v>11</v>
      </c>
      <c r="E3032" s="10">
        <v>19</v>
      </c>
      <c r="F3032" t="s">
        <v>2271</v>
      </c>
      <c r="G3032" t="s">
        <v>889</v>
      </c>
      <c r="H3032" t="s">
        <v>131</v>
      </c>
      <c r="I3032" t="s">
        <v>27</v>
      </c>
      <c r="J3032" s="4">
        <v>16.600000000000001</v>
      </c>
      <c r="K3032">
        <v>4</v>
      </c>
      <c r="L3032">
        <v>16.600000000000001</v>
      </c>
      <c r="M3032">
        <v>66.400000000000006</v>
      </c>
      <c r="N3032" s="5">
        <v>3.3610798650168729</v>
      </c>
      <c r="O3032" t="s">
        <v>100</v>
      </c>
      <c r="P3032" t="s">
        <v>340</v>
      </c>
      <c r="Q3032" s="10" t="s">
        <v>24</v>
      </c>
    </row>
    <row r="3033" spans="1:17" hidden="1" x14ac:dyDescent="0.25">
      <c r="A3033" s="9" t="s">
        <v>1405</v>
      </c>
      <c r="B3033" s="3" t="s">
        <v>1457</v>
      </c>
      <c r="C3033" s="10">
        <v>5</v>
      </c>
      <c r="D3033" s="10">
        <v>11</v>
      </c>
      <c r="E3033" s="10">
        <v>19</v>
      </c>
      <c r="F3033" t="s">
        <v>1467</v>
      </c>
      <c r="G3033" t="s">
        <v>31</v>
      </c>
      <c r="H3033" t="s">
        <v>26</v>
      </c>
      <c r="I3033" t="s">
        <v>27</v>
      </c>
      <c r="J3033" s="4">
        <v>20.6</v>
      </c>
      <c r="K3033">
        <v>1</v>
      </c>
      <c r="L3033">
        <v>20.6</v>
      </c>
      <c r="M3033">
        <v>20.6</v>
      </c>
      <c r="N3033" s="5">
        <v>1.0427446569178853</v>
      </c>
      <c r="O3033" t="s">
        <v>100</v>
      </c>
      <c r="P3033" t="s">
        <v>340</v>
      </c>
      <c r="Q3033" s="10" t="s">
        <v>24</v>
      </c>
    </row>
    <row r="3034" spans="1:17" hidden="1" x14ac:dyDescent="0.25">
      <c r="A3034" s="9" t="s">
        <v>1405</v>
      </c>
      <c r="B3034" s="3" t="s">
        <v>1457</v>
      </c>
      <c r="C3034" s="10">
        <v>5</v>
      </c>
      <c r="D3034" s="10">
        <v>11</v>
      </c>
      <c r="E3034" s="10">
        <v>19</v>
      </c>
      <c r="F3034" t="s">
        <v>146</v>
      </c>
      <c r="H3034" t="s">
        <v>49</v>
      </c>
      <c r="I3034" t="s">
        <v>50</v>
      </c>
      <c r="J3034" s="4">
        <v>0.75</v>
      </c>
      <c r="K3034">
        <v>1</v>
      </c>
      <c r="L3034">
        <v>0.75</v>
      </c>
      <c r="M3034">
        <v>0.75</v>
      </c>
      <c r="N3034" s="5">
        <v>3.796400449943757E-2</v>
      </c>
      <c r="O3034" t="s">
        <v>100</v>
      </c>
      <c r="P3034" t="s">
        <v>340</v>
      </c>
      <c r="Q3034" s="10" t="s">
        <v>24</v>
      </c>
    </row>
    <row r="3035" spans="1:17" hidden="1" x14ac:dyDescent="0.25">
      <c r="A3035" s="9" t="s">
        <v>1405</v>
      </c>
      <c r="B3035" s="3" t="s">
        <v>1457</v>
      </c>
      <c r="C3035" s="10">
        <v>5</v>
      </c>
      <c r="D3035" s="10">
        <v>11</v>
      </c>
      <c r="E3035" s="10">
        <v>19</v>
      </c>
      <c r="F3035" t="s">
        <v>398</v>
      </c>
      <c r="G3035" t="s">
        <v>889</v>
      </c>
      <c r="H3035" t="s">
        <v>40</v>
      </c>
      <c r="I3035" t="s">
        <v>27</v>
      </c>
      <c r="J3035" s="4">
        <v>14.6</v>
      </c>
      <c r="K3035">
        <v>1</v>
      </c>
      <c r="L3035">
        <v>14.6</v>
      </c>
      <c r="M3035">
        <v>14.6</v>
      </c>
      <c r="N3035" s="5">
        <v>0.73903262092238464</v>
      </c>
      <c r="O3035" t="s">
        <v>100</v>
      </c>
      <c r="P3035" t="s">
        <v>340</v>
      </c>
      <c r="Q3035" s="10" t="s">
        <v>24</v>
      </c>
    </row>
    <row r="3036" spans="1:17" hidden="1" x14ac:dyDescent="0.25">
      <c r="A3036" s="9" t="s">
        <v>1405</v>
      </c>
      <c r="B3036" s="3" t="s">
        <v>1457</v>
      </c>
      <c r="C3036" s="10">
        <v>5</v>
      </c>
      <c r="D3036" s="10">
        <v>11</v>
      </c>
      <c r="E3036" s="10">
        <v>19</v>
      </c>
      <c r="F3036" t="s">
        <v>1470</v>
      </c>
      <c r="G3036" t="s">
        <v>889</v>
      </c>
      <c r="H3036" t="s">
        <v>131</v>
      </c>
      <c r="I3036" t="s">
        <v>27</v>
      </c>
      <c r="J3036" s="4">
        <v>19.75</v>
      </c>
      <c r="K3036">
        <v>1</v>
      </c>
      <c r="L3036">
        <v>19.75</v>
      </c>
      <c r="M3036">
        <v>19.75</v>
      </c>
      <c r="N3036" s="5">
        <v>0.99971878515185597</v>
      </c>
      <c r="O3036" t="s">
        <v>100</v>
      </c>
      <c r="P3036" t="s">
        <v>340</v>
      </c>
      <c r="Q3036" s="10" t="s">
        <v>24</v>
      </c>
    </row>
    <row r="3037" spans="1:17" hidden="1" x14ac:dyDescent="0.25">
      <c r="A3037" s="9" t="s">
        <v>1405</v>
      </c>
      <c r="B3037" s="3" t="s">
        <v>1457</v>
      </c>
      <c r="C3037" s="10">
        <v>5</v>
      </c>
      <c r="D3037" s="10">
        <v>11</v>
      </c>
      <c r="E3037" s="10">
        <v>19</v>
      </c>
      <c r="F3037" t="s">
        <v>1468</v>
      </c>
      <c r="G3037" t="s">
        <v>31</v>
      </c>
      <c r="H3037" t="s">
        <v>26</v>
      </c>
      <c r="I3037" t="s">
        <v>27</v>
      </c>
      <c r="J3037" s="4">
        <v>11.6</v>
      </c>
      <c r="K3037">
        <v>2</v>
      </c>
      <c r="L3037">
        <v>11.6</v>
      </c>
      <c r="M3037">
        <v>23.2</v>
      </c>
      <c r="N3037" s="5">
        <v>1.1743532058492687</v>
      </c>
      <c r="O3037" t="s">
        <v>100</v>
      </c>
      <c r="P3037" t="s">
        <v>340</v>
      </c>
      <c r="Q3037" s="10" t="s">
        <v>24</v>
      </c>
    </row>
    <row r="3038" spans="1:17" hidden="1" x14ac:dyDescent="0.25">
      <c r="A3038" s="9" t="s">
        <v>1405</v>
      </c>
      <c r="B3038" s="3" t="s">
        <v>1457</v>
      </c>
      <c r="C3038" s="10">
        <v>5</v>
      </c>
      <c r="D3038" s="10">
        <v>11</v>
      </c>
      <c r="E3038" s="10">
        <v>19</v>
      </c>
      <c r="F3038" t="s">
        <v>1465</v>
      </c>
      <c r="G3038" t="s">
        <v>889</v>
      </c>
      <c r="H3038" t="s">
        <v>131</v>
      </c>
      <c r="I3038" t="s">
        <v>27</v>
      </c>
      <c r="J3038" s="4">
        <v>7.8</v>
      </c>
      <c r="K3038">
        <v>4</v>
      </c>
      <c r="L3038">
        <v>7.8</v>
      </c>
      <c r="M3038">
        <v>31.2</v>
      </c>
      <c r="N3038" s="5">
        <v>1.5793025871766029</v>
      </c>
      <c r="O3038" t="s">
        <v>100</v>
      </c>
      <c r="P3038" t="s">
        <v>340</v>
      </c>
      <c r="Q3038" s="10" t="s">
        <v>24</v>
      </c>
    </row>
    <row r="3039" spans="1:17" hidden="1" x14ac:dyDescent="0.25">
      <c r="A3039" s="9" t="s">
        <v>1405</v>
      </c>
      <c r="B3039" s="3" t="s">
        <v>1457</v>
      </c>
      <c r="C3039" s="10">
        <v>5</v>
      </c>
      <c r="D3039" s="10">
        <v>11</v>
      </c>
      <c r="E3039" s="10">
        <v>19</v>
      </c>
      <c r="F3039" t="s">
        <v>1374</v>
      </c>
      <c r="G3039" t="s">
        <v>889</v>
      </c>
      <c r="H3039" t="s">
        <v>35</v>
      </c>
      <c r="I3039" t="s">
        <v>27</v>
      </c>
      <c r="J3039" s="4">
        <v>180.6</v>
      </c>
      <c r="K3039">
        <v>0.152</v>
      </c>
      <c r="L3039">
        <v>180.6</v>
      </c>
      <c r="M3039">
        <v>27.4512</v>
      </c>
      <c r="N3039" s="5">
        <v>1.3895433070866141</v>
      </c>
      <c r="O3039" t="s">
        <v>100</v>
      </c>
      <c r="P3039" t="s">
        <v>340</v>
      </c>
      <c r="Q3039" s="10" t="s">
        <v>24</v>
      </c>
    </row>
    <row r="3040" spans="1:17" hidden="1" x14ac:dyDescent="0.25">
      <c r="A3040" s="9" t="s">
        <v>1405</v>
      </c>
      <c r="B3040" s="3" t="s">
        <v>1456</v>
      </c>
      <c r="C3040" s="10">
        <v>6</v>
      </c>
      <c r="D3040" s="10">
        <v>11</v>
      </c>
      <c r="E3040" s="10">
        <v>19</v>
      </c>
      <c r="F3040" t="s">
        <v>55</v>
      </c>
      <c r="G3040" t="s">
        <v>889</v>
      </c>
      <c r="H3040" t="s">
        <v>56</v>
      </c>
      <c r="I3040" t="s">
        <v>27</v>
      </c>
      <c r="J3040" s="4">
        <v>28</v>
      </c>
      <c r="K3040">
        <v>0.52</v>
      </c>
      <c r="L3040">
        <v>28</v>
      </c>
      <c r="M3040">
        <v>14.56</v>
      </c>
      <c r="N3040" s="5">
        <v>0.73700787401574808</v>
      </c>
      <c r="O3040" t="s">
        <v>101</v>
      </c>
      <c r="P3040" t="s">
        <v>340</v>
      </c>
      <c r="Q3040" s="10" t="s">
        <v>24</v>
      </c>
    </row>
    <row r="3041" spans="1:18" hidden="1" x14ac:dyDescent="0.25">
      <c r="A3041" s="9" t="s">
        <v>1405</v>
      </c>
      <c r="B3041" s="3" t="s">
        <v>1456</v>
      </c>
      <c r="C3041" s="10">
        <v>6</v>
      </c>
      <c r="D3041" s="10">
        <v>11</v>
      </c>
      <c r="E3041" s="10">
        <v>19</v>
      </c>
      <c r="F3041" t="s">
        <v>2242</v>
      </c>
      <c r="G3041" t="s">
        <v>345</v>
      </c>
      <c r="H3041" t="s">
        <v>26</v>
      </c>
      <c r="I3041" t="s">
        <v>27</v>
      </c>
      <c r="J3041" s="4">
        <v>6.8</v>
      </c>
      <c r="K3041">
        <v>1</v>
      </c>
      <c r="L3041">
        <v>6.8</v>
      </c>
      <c r="M3041">
        <v>6.8</v>
      </c>
      <c r="N3041" s="5">
        <v>0.34420697412823392</v>
      </c>
      <c r="O3041" t="s">
        <v>101</v>
      </c>
      <c r="P3041" t="s">
        <v>340</v>
      </c>
      <c r="Q3041" s="10" t="s">
        <v>24</v>
      </c>
    </row>
    <row r="3042" spans="1:18" hidden="1" x14ac:dyDescent="0.25">
      <c r="A3042" s="9" t="s">
        <v>1405</v>
      </c>
      <c r="B3042" s="3" t="s">
        <v>1507</v>
      </c>
      <c r="C3042" s="10">
        <v>7</v>
      </c>
      <c r="D3042" s="10">
        <v>11</v>
      </c>
      <c r="E3042" s="10">
        <v>19</v>
      </c>
      <c r="F3042" t="s">
        <v>177</v>
      </c>
      <c r="G3042" t="s">
        <v>889</v>
      </c>
      <c r="H3042" t="s">
        <v>56</v>
      </c>
      <c r="I3042" t="s">
        <v>27</v>
      </c>
      <c r="J3042" s="4">
        <v>20</v>
      </c>
      <c r="K3042">
        <v>1</v>
      </c>
      <c r="L3042">
        <v>20</v>
      </c>
      <c r="M3042">
        <v>20</v>
      </c>
      <c r="N3042" s="5">
        <v>1.0164479763444834</v>
      </c>
      <c r="O3042" t="s">
        <v>39</v>
      </c>
      <c r="P3042" t="s">
        <v>340</v>
      </c>
      <c r="Q3042" s="10" t="s">
        <v>24</v>
      </c>
    </row>
    <row r="3043" spans="1:18" hidden="1" x14ac:dyDescent="0.25">
      <c r="A3043" s="9" t="s">
        <v>1405</v>
      </c>
      <c r="B3043" s="3" t="s">
        <v>1507</v>
      </c>
      <c r="C3043" s="10">
        <v>7</v>
      </c>
      <c r="D3043" s="10">
        <v>11</v>
      </c>
      <c r="E3043" s="10">
        <v>19</v>
      </c>
      <c r="F3043" t="s">
        <v>1506</v>
      </c>
      <c r="G3043" t="s">
        <v>889</v>
      </c>
      <c r="H3043" t="s">
        <v>54</v>
      </c>
      <c r="I3043" t="s">
        <v>27</v>
      </c>
      <c r="J3043" s="4">
        <v>6</v>
      </c>
      <c r="K3043">
        <v>1</v>
      </c>
      <c r="L3043">
        <v>6</v>
      </c>
      <c r="M3043">
        <v>6</v>
      </c>
      <c r="N3043" s="5">
        <v>0.30493439290334501</v>
      </c>
      <c r="O3043" t="s">
        <v>39</v>
      </c>
      <c r="P3043" t="s">
        <v>340</v>
      </c>
      <c r="Q3043" s="10" t="s">
        <v>24</v>
      </c>
    </row>
    <row r="3044" spans="1:18" hidden="1" x14ac:dyDescent="0.25">
      <c r="A3044" s="9" t="s">
        <v>1405</v>
      </c>
      <c r="B3044" s="3" t="s">
        <v>1453</v>
      </c>
      <c r="C3044" s="10">
        <v>8</v>
      </c>
      <c r="D3044" s="10">
        <v>11</v>
      </c>
      <c r="E3044" s="10">
        <v>19</v>
      </c>
      <c r="F3044" t="s">
        <v>848</v>
      </c>
      <c r="G3044" t="s">
        <v>889</v>
      </c>
      <c r="H3044" t="s">
        <v>889</v>
      </c>
      <c r="I3044" t="s">
        <v>431</v>
      </c>
      <c r="J3044" s="4">
        <v>156.75</v>
      </c>
      <c r="K3044">
        <v>1</v>
      </c>
      <c r="L3044">
        <v>156.75</v>
      </c>
      <c r="M3044">
        <v>156.75</v>
      </c>
      <c r="N3044" s="5">
        <v>7.934476940382452</v>
      </c>
      <c r="O3044" t="s">
        <v>849</v>
      </c>
      <c r="P3044" t="s">
        <v>340</v>
      </c>
      <c r="Q3044" s="10" t="s">
        <v>24</v>
      </c>
      <c r="R3044" t="s">
        <v>1556</v>
      </c>
    </row>
    <row r="3045" spans="1:18" hidden="1" x14ac:dyDescent="0.25">
      <c r="A3045" s="9" t="s">
        <v>1405</v>
      </c>
      <c r="B3045" s="3" t="s">
        <v>1453</v>
      </c>
      <c r="C3045" s="10">
        <v>8</v>
      </c>
      <c r="D3045" s="10">
        <v>11</v>
      </c>
      <c r="E3045" s="10">
        <v>19</v>
      </c>
      <c r="F3045" t="s">
        <v>1339</v>
      </c>
      <c r="G3045" t="s">
        <v>889</v>
      </c>
      <c r="H3045" t="s">
        <v>65</v>
      </c>
      <c r="I3045" t="s">
        <v>27</v>
      </c>
      <c r="J3045" s="4">
        <v>5</v>
      </c>
      <c r="K3045">
        <v>2</v>
      </c>
      <c r="L3045">
        <v>5</v>
      </c>
      <c r="M3045">
        <v>10</v>
      </c>
      <c r="N3045" s="5">
        <v>0.50618672665916753</v>
      </c>
      <c r="O3045" t="s">
        <v>90</v>
      </c>
      <c r="P3045" t="s">
        <v>340</v>
      </c>
      <c r="Q3045" s="10" t="s">
        <v>24</v>
      </c>
    </row>
    <row r="3046" spans="1:18" hidden="1" x14ac:dyDescent="0.25">
      <c r="A3046" s="9" t="s">
        <v>1405</v>
      </c>
      <c r="B3046" s="3" t="s">
        <v>1453</v>
      </c>
      <c r="C3046" s="10">
        <v>8</v>
      </c>
      <c r="D3046" s="10">
        <v>11</v>
      </c>
      <c r="E3046" s="10">
        <v>19</v>
      </c>
      <c r="F3046" t="s">
        <v>1463</v>
      </c>
      <c r="G3046" t="s">
        <v>889</v>
      </c>
      <c r="H3046" t="s">
        <v>40</v>
      </c>
      <c r="I3046" t="s">
        <v>27</v>
      </c>
      <c r="J3046" s="4">
        <v>3.9</v>
      </c>
      <c r="K3046">
        <v>2</v>
      </c>
      <c r="L3046">
        <v>3.9</v>
      </c>
      <c r="M3046">
        <v>7.8</v>
      </c>
      <c r="N3046" s="5">
        <v>0.39482564679415072</v>
      </c>
      <c r="O3046" t="s">
        <v>90</v>
      </c>
      <c r="P3046" t="s">
        <v>340</v>
      </c>
      <c r="Q3046" s="10" t="s">
        <v>24</v>
      </c>
    </row>
    <row r="3047" spans="1:18" hidden="1" x14ac:dyDescent="0.25">
      <c r="A3047" s="9" t="s">
        <v>1405</v>
      </c>
      <c r="B3047" s="3" t="s">
        <v>1453</v>
      </c>
      <c r="C3047" s="10">
        <v>8</v>
      </c>
      <c r="D3047" s="10">
        <v>11</v>
      </c>
      <c r="E3047" s="10">
        <v>19</v>
      </c>
      <c r="F3047" t="s">
        <v>40</v>
      </c>
      <c r="G3047" t="s">
        <v>889</v>
      </c>
      <c r="H3047" t="s">
        <v>40</v>
      </c>
      <c r="I3047" t="s">
        <v>27</v>
      </c>
      <c r="J3047" s="4">
        <v>5</v>
      </c>
      <c r="K3047">
        <v>2</v>
      </c>
      <c r="L3047">
        <v>5</v>
      </c>
      <c r="M3047">
        <v>10</v>
      </c>
      <c r="N3047" s="5">
        <v>0.50618672665916753</v>
      </c>
      <c r="O3047" t="s">
        <v>90</v>
      </c>
      <c r="P3047" t="s">
        <v>340</v>
      </c>
      <c r="Q3047" s="10" t="s">
        <v>24</v>
      </c>
    </row>
    <row r="3048" spans="1:18" hidden="1" x14ac:dyDescent="0.25">
      <c r="A3048" s="9" t="s">
        <v>1405</v>
      </c>
      <c r="B3048" s="3" t="s">
        <v>1453</v>
      </c>
      <c r="C3048" s="10">
        <v>8</v>
      </c>
      <c r="D3048" s="10">
        <v>11</v>
      </c>
      <c r="E3048" s="10">
        <v>19</v>
      </c>
      <c r="F3048" t="s">
        <v>1381</v>
      </c>
      <c r="G3048" t="s">
        <v>889</v>
      </c>
      <c r="H3048" t="s">
        <v>53</v>
      </c>
      <c r="I3048" t="s">
        <v>27</v>
      </c>
      <c r="J3048" s="4">
        <v>24</v>
      </c>
      <c r="K3048">
        <v>1</v>
      </c>
      <c r="L3048">
        <v>24</v>
      </c>
      <c r="M3048">
        <v>24</v>
      </c>
      <c r="N3048" s="5">
        <v>1.2148481439820022</v>
      </c>
      <c r="O3048" t="s">
        <v>1472</v>
      </c>
      <c r="P3048" t="s">
        <v>340</v>
      </c>
      <c r="Q3048" s="10" t="s">
        <v>24</v>
      </c>
    </row>
    <row r="3049" spans="1:18" hidden="1" x14ac:dyDescent="0.25">
      <c r="A3049" s="9" t="s">
        <v>1405</v>
      </c>
      <c r="B3049" s="3" t="s">
        <v>1453</v>
      </c>
      <c r="C3049" s="10">
        <v>8</v>
      </c>
      <c r="D3049" s="10">
        <v>11</v>
      </c>
      <c r="E3049" s="10">
        <v>19</v>
      </c>
      <c r="F3049" t="s">
        <v>166</v>
      </c>
      <c r="G3049" t="s">
        <v>77</v>
      </c>
      <c r="H3049" t="s">
        <v>26</v>
      </c>
      <c r="I3049" t="s">
        <v>27</v>
      </c>
      <c r="J3049" s="4">
        <v>18.7</v>
      </c>
      <c r="K3049">
        <v>1</v>
      </c>
      <c r="L3049">
        <v>18.7</v>
      </c>
      <c r="M3049">
        <v>18.7</v>
      </c>
      <c r="N3049" s="5">
        <v>0.94656917885264336</v>
      </c>
      <c r="O3049" t="s">
        <v>1472</v>
      </c>
      <c r="P3049" t="s">
        <v>340</v>
      </c>
      <c r="Q3049" s="10" t="s">
        <v>24</v>
      </c>
    </row>
    <row r="3050" spans="1:18" hidden="1" x14ac:dyDescent="0.25">
      <c r="A3050" s="9" t="s">
        <v>1405</v>
      </c>
      <c r="B3050" s="3" t="s">
        <v>1453</v>
      </c>
      <c r="C3050" s="10">
        <v>8</v>
      </c>
      <c r="D3050" s="10">
        <v>11</v>
      </c>
      <c r="E3050" s="10">
        <v>19</v>
      </c>
      <c r="F3050" t="s">
        <v>2242</v>
      </c>
      <c r="G3050" t="s">
        <v>345</v>
      </c>
      <c r="H3050" t="s">
        <v>26</v>
      </c>
      <c r="I3050" t="s">
        <v>27</v>
      </c>
      <c r="J3050" s="4">
        <v>6.35</v>
      </c>
      <c r="K3050">
        <v>1</v>
      </c>
      <c r="L3050">
        <v>6.35</v>
      </c>
      <c r="M3050">
        <v>6.35</v>
      </c>
      <c r="N3050" s="5">
        <v>0.3214285714285714</v>
      </c>
      <c r="O3050" t="s">
        <v>1472</v>
      </c>
      <c r="P3050" t="s">
        <v>340</v>
      </c>
      <c r="Q3050" s="10" t="s">
        <v>24</v>
      </c>
    </row>
    <row r="3051" spans="1:18" hidden="1" x14ac:dyDescent="0.25">
      <c r="A3051" s="9" t="s">
        <v>1405</v>
      </c>
      <c r="B3051" s="3" t="s">
        <v>1453</v>
      </c>
      <c r="C3051" s="10">
        <v>8</v>
      </c>
      <c r="D3051" s="10">
        <v>11</v>
      </c>
      <c r="E3051" s="10">
        <v>19</v>
      </c>
      <c r="F3051" t="s">
        <v>1379</v>
      </c>
      <c r="G3051" t="s">
        <v>31</v>
      </c>
      <c r="H3051" t="s">
        <v>26</v>
      </c>
      <c r="I3051" t="s">
        <v>27</v>
      </c>
      <c r="J3051" s="4">
        <v>7.7</v>
      </c>
      <c r="K3051">
        <v>1</v>
      </c>
      <c r="L3051">
        <v>7.7</v>
      </c>
      <c r="M3051">
        <v>7.7</v>
      </c>
      <c r="N3051" s="5">
        <v>0.38976377952755903</v>
      </c>
      <c r="O3051" t="s">
        <v>1472</v>
      </c>
      <c r="P3051" t="s">
        <v>340</v>
      </c>
      <c r="Q3051" s="10" t="s">
        <v>24</v>
      </c>
    </row>
    <row r="3052" spans="1:18" hidden="1" x14ac:dyDescent="0.25">
      <c r="A3052" s="9" t="s">
        <v>1405</v>
      </c>
      <c r="B3052" s="3" t="s">
        <v>1453</v>
      </c>
      <c r="C3052" s="10">
        <v>8</v>
      </c>
      <c r="D3052" s="10">
        <v>11</v>
      </c>
      <c r="E3052" s="10">
        <v>19</v>
      </c>
      <c r="F3052" t="s">
        <v>146</v>
      </c>
      <c r="H3052" t="s">
        <v>49</v>
      </c>
      <c r="I3052" t="s">
        <v>50</v>
      </c>
      <c r="J3052" s="4">
        <v>0.5</v>
      </c>
      <c r="K3052">
        <v>1</v>
      </c>
      <c r="L3052">
        <v>0.5</v>
      </c>
      <c r="M3052">
        <v>0.5</v>
      </c>
      <c r="N3052" s="5">
        <v>2.5309336332958378E-2</v>
      </c>
      <c r="O3052" t="s">
        <v>1472</v>
      </c>
      <c r="P3052" t="s">
        <v>340</v>
      </c>
      <c r="Q3052" s="10" t="s">
        <v>24</v>
      </c>
    </row>
    <row r="3053" spans="1:18" hidden="1" x14ac:dyDescent="0.25">
      <c r="A3053" s="9" t="s">
        <v>1405</v>
      </c>
      <c r="B3053" s="3" t="s">
        <v>1453</v>
      </c>
      <c r="C3053" s="10">
        <v>8</v>
      </c>
      <c r="D3053" s="10">
        <v>11</v>
      </c>
      <c r="E3053" s="10">
        <v>19</v>
      </c>
      <c r="F3053" t="s">
        <v>55</v>
      </c>
      <c r="G3053" t="s">
        <v>889</v>
      </c>
      <c r="H3053" t="s">
        <v>56</v>
      </c>
      <c r="I3053" t="s">
        <v>27</v>
      </c>
      <c r="J3053" s="4">
        <v>25.85</v>
      </c>
      <c r="K3053">
        <v>0.98599999999999999</v>
      </c>
      <c r="L3053">
        <v>25.85</v>
      </c>
      <c r="M3053">
        <v>25.488099999999999</v>
      </c>
      <c r="N3053" s="5">
        <v>1.2901737907761528</v>
      </c>
      <c r="O3053" t="s">
        <v>1472</v>
      </c>
      <c r="P3053" t="s">
        <v>340</v>
      </c>
      <c r="Q3053" s="10" t="s">
        <v>24</v>
      </c>
    </row>
    <row r="3054" spans="1:18" hidden="1" x14ac:dyDescent="0.25">
      <c r="A3054" s="9" t="s">
        <v>1405</v>
      </c>
      <c r="B3054" s="3" t="s">
        <v>1455</v>
      </c>
      <c r="C3054" s="10">
        <v>9</v>
      </c>
      <c r="D3054" s="10">
        <v>11</v>
      </c>
      <c r="E3054" s="10">
        <v>19</v>
      </c>
      <c r="F3054" t="s">
        <v>848</v>
      </c>
      <c r="G3054" t="s">
        <v>889</v>
      </c>
      <c r="H3054" t="s">
        <v>889</v>
      </c>
      <c r="I3054" t="s">
        <v>431</v>
      </c>
      <c r="J3054" s="4">
        <v>57</v>
      </c>
      <c r="K3054">
        <v>1</v>
      </c>
      <c r="L3054">
        <v>57</v>
      </c>
      <c r="M3054">
        <v>57</v>
      </c>
      <c r="N3054" s="5">
        <v>2.8852643419572552</v>
      </c>
      <c r="O3054" t="s">
        <v>849</v>
      </c>
      <c r="P3054" t="s">
        <v>340</v>
      </c>
      <c r="Q3054" s="10" t="s">
        <v>24</v>
      </c>
      <c r="R3054" t="s">
        <v>1555</v>
      </c>
    </row>
    <row r="3055" spans="1:18" hidden="1" x14ac:dyDescent="0.25">
      <c r="A3055" s="9" t="s">
        <v>1405</v>
      </c>
      <c r="B3055" s="3" t="s">
        <v>1455</v>
      </c>
      <c r="C3055" s="10">
        <v>9</v>
      </c>
      <c r="D3055" s="10">
        <v>11</v>
      </c>
      <c r="E3055" s="10">
        <v>19</v>
      </c>
      <c r="F3055" t="s">
        <v>1289</v>
      </c>
      <c r="G3055" t="s">
        <v>889</v>
      </c>
      <c r="H3055" t="s">
        <v>54</v>
      </c>
      <c r="I3055" t="s">
        <v>27</v>
      </c>
      <c r="J3055" s="4">
        <v>39.700000000000003</v>
      </c>
      <c r="K3055">
        <v>0.11600000000000001</v>
      </c>
      <c r="L3055">
        <v>39.700000000000003</v>
      </c>
      <c r="M3055">
        <v>4.6052000000000008</v>
      </c>
      <c r="N3055" s="5">
        <v>0.2331091113610799</v>
      </c>
      <c r="O3055" t="s">
        <v>1472</v>
      </c>
      <c r="P3055" t="s">
        <v>340</v>
      </c>
      <c r="Q3055" s="10" t="s">
        <v>24</v>
      </c>
    </row>
    <row r="3056" spans="1:18" hidden="1" x14ac:dyDescent="0.25">
      <c r="A3056" s="9" t="s">
        <v>1405</v>
      </c>
      <c r="B3056" s="3" t="s">
        <v>1455</v>
      </c>
      <c r="C3056" s="10">
        <v>9</v>
      </c>
      <c r="D3056" s="10">
        <v>11</v>
      </c>
      <c r="E3056" s="10">
        <v>19</v>
      </c>
      <c r="F3056" t="s">
        <v>240</v>
      </c>
      <c r="G3056" t="s">
        <v>889</v>
      </c>
      <c r="H3056" t="s">
        <v>54</v>
      </c>
      <c r="I3056" t="s">
        <v>27</v>
      </c>
      <c r="J3056" s="4">
        <v>24.4</v>
      </c>
      <c r="K3056">
        <v>1</v>
      </c>
      <c r="L3056">
        <v>24.4</v>
      </c>
      <c r="M3056">
        <v>24.4</v>
      </c>
      <c r="N3056" s="5">
        <v>1.2350956130483688</v>
      </c>
      <c r="O3056" t="s">
        <v>1472</v>
      </c>
      <c r="P3056" t="s">
        <v>340</v>
      </c>
      <c r="Q3056" s="10" t="s">
        <v>24</v>
      </c>
    </row>
    <row r="3057" spans="1:18" hidden="1" x14ac:dyDescent="0.25">
      <c r="A3057" s="9" t="s">
        <v>1405</v>
      </c>
      <c r="B3057" s="3" t="s">
        <v>1455</v>
      </c>
      <c r="C3057" s="10">
        <v>9</v>
      </c>
      <c r="D3057" s="10">
        <v>11</v>
      </c>
      <c r="E3057" s="10">
        <v>19</v>
      </c>
      <c r="F3057" t="s">
        <v>596</v>
      </c>
      <c r="G3057" t="s">
        <v>889</v>
      </c>
      <c r="H3057" t="s">
        <v>56</v>
      </c>
      <c r="I3057" t="s">
        <v>27</v>
      </c>
      <c r="J3057" s="4">
        <v>24</v>
      </c>
      <c r="K3057">
        <v>1</v>
      </c>
      <c r="L3057">
        <v>24</v>
      </c>
      <c r="M3057">
        <v>24</v>
      </c>
      <c r="N3057" s="5">
        <v>1.21973757161338</v>
      </c>
      <c r="O3057" t="s">
        <v>39</v>
      </c>
      <c r="P3057" t="s">
        <v>340</v>
      </c>
      <c r="Q3057" s="10" t="s">
        <v>24</v>
      </c>
    </row>
    <row r="3058" spans="1:18" hidden="1" x14ac:dyDescent="0.25">
      <c r="A3058" s="9" t="s">
        <v>1405</v>
      </c>
      <c r="B3058" s="3" t="s">
        <v>1455</v>
      </c>
      <c r="C3058" s="10">
        <v>9</v>
      </c>
      <c r="D3058" s="10">
        <v>11</v>
      </c>
      <c r="E3058" s="10">
        <v>19</v>
      </c>
      <c r="F3058" t="s">
        <v>212</v>
      </c>
      <c r="G3058" t="s">
        <v>889</v>
      </c>
      <c r="H3058" t="s">
        <v>54</v>
      </c>
      <c r="I3058" t="s">
        <v>27</v>
      </c>
      <c r="J3058" s="4">
        <v>5</v>
      </c>
      <c r="K3058">
        <v>1</v>
      </c>
      <c r="L3058">
        <v>5</v>
      </c>
      <c r="M3058">
        <v>5</v>
      </c>
      <c r="N3058" s="5">
        <v>0.25411199408612084</v>
      </c>
      <c r="O3058" t="s">
        <v>39</v>
      </c>
      <c r="P3058" t="s">
        <v>340</v>
      </c>
      <c r="Q3058" s="10" t="s">
        <v>24</v>
      </c>
    </row>
    <row r="3059" spans="1:18" hidden="1" x14ac:dyDescent="0.25">
      <c r="A3059" s="9" t="s">
        <v>1405</v>
      </c>
      <c r="B3059" s="3" t="s">
        <v>1455</v>
      </c>
      <c r="C3059" s="10">
        <v>9</v>
      </c>
      <c r="D3059" s="10">
        <v>11</v>
      </c>
      <c r="E3059" s="10">
        <v>19</v>
      </c>
      <c r="F3059" t="s">
        <v>708</v>
      </c>
      <c r="G3059" t="s">
        <v>708</v>
      </c>
      <c r="H3059" t="s">
        <v>131</v>
      </c>
      <c r="I3059" t="s">
        <v>27</v>
      </c>
      <c r="J3059" s="4">
        <v>8</v>
      </c>
      <c r="K3059">
        <v>1</v>
      </c>
      <c r="L3059">
        <v>8</v>
      </c>
      <c r="M3059">
        <v>8</v>
      </c>
      <c r="N3059" s="5">
        <v>0.40657919053779334</v>
      </c>
      <c r="O3059" t="s">
        <v>39</v>
      </c>
      <c r="P3059" t="s">
        <v>340</v>
      </c>
      <c r="Q3059" s="10" t="s">
        <v>24</v>
      </c>
    </row>
    <row r="3060" spans="1:18" hidden="1" x14ac:dyDescent="0.25">
      <c r="A3060" s="9" t="s">
        <v>1636</v>
      </c>
      <c r="B3060" s="3" t="s">
        <v>1635</v>
      </c>
      <c r="C3060" s="10">
        <v>1</v>
      </c>
      <c r="D3060" s="10">
        <v>12</v>
      </c>
      <c r="E3060" s="10">
        <v>19</v>
      </c>
      <c r="F3060" t="s">
        <v>146</v>
      </c>
      <c r="G3060" t="s">
        <v>889</v>
      </c>
      <c r="H3060" t="s">
        <v>49</v>
      </c>
      <c r="I3060" t="s">
        <v>50</v>
      </c>
      <c r="J3060" s="4">
        <v>1</v>
      </c>
      <c r="K3060">
        <v>1</v>
      </c>
      <c r="L3060">
        <v>1</v>
      </c>
      <c r="M3060">
        <v>1</v>
      </c>
      <c r="N3060" s="5">
        <v>5.0822398817224168E-2</v>
      </c>
      <c r="O3060" t="s">
        <v>100</v>
      </c>
      <c r="P3060" t="s">
        <v>340</v>
      </c>
      <c r="Q3060" s="10" t="s">
        <v>24</v>
      </c>
    </row>
    <row r="3061" spans="1:18" hidden="1" x14ac:dyDescent="0.25">
      <c r="A3061" s="9" t="s">
        <v>1636</v>
      </c>
      <c r="B3061" s="3" t="s">
        <v>1635</v>
      </c>
      <c r="C3061" s="10">
        <v>1</v>
      </c>
      <c r="D3061" s="10">
        <v>12</v>
      </c>
      <c r="E3061" s="10">
        <v>19</v>
      </c>
      <c r="F3061" t="s">
        <v>974</v>
      </c>
      <c r="G3061" t="s">
        <v>25</v>
      </c>
      <c r="H3061" t="s">
        <v>26</v>
      </c>
      <c r="I3061" t="s">
        <v>27</v>
      </c>
      <c r="J3061" s="4">
        <v>211.6</v>
      </c>
      <c r="K3061">
        <v>0.52400000000000002</v>
      </c>
      <c r="L3061">
        <v>211.6</v>
      </c>
      <c r="M3061">
        <v>110.8784</v>
      </c>
      <c r="N3061" s="5">
        <v>5.6351062650157075</v>
      </c>
      <c r="O3061" t="s">
        <v>100</v>
      </c>
      <c r="P3061" t="s">
        <v>340</v>
      </c>
      <c r="Q3061" s="10" t="s">
        <v>24</v>
      </c>
    </row>
    <row r="3062" spans="1:18" hidden="1" x14ac:dyDescent="0.25">
      <c r="A3062" s="9" t="s">
        <v>1636</v>
      </c>
      <c r="B3062" s="3" t="s">
        <v>1635</v>
      </c>
      <c r="C3062" s="10">
        <v>1</v>
      </c>
      <c r="D3062" s="10">
        <v>12</v>
      </c>
      <c r="E3062" s="10">
        <v>19</v>
      </c>
      <c r="F3062" t="s">
        <v>1630</v>
      </c>
      <c r="G3062" t="s">
        <v>889</v>
      </c>
      <c r="H3062" t="s">
        <v>53</v>
      </c>
      <c r="I3062" t="s">
        <v>27</v>
      </c>
      <c r="J3062" s="4">
        <v>18.600000000000001</v>
      </c>
      <c r="K3062">
        <v>2</v>
      </c>
      <c r="L3062">
        <v>18.600000000000001</v>
      </c>
      <c r="M3062">
        <v>37.200000000000003</v>
      </c>
      <c r="N3062" s="5">
        <v>1.8905932360007391</v>
      </c>
      <c r="O3062" t="s">
        <v>100</v>
      </c>
      <c r="P3062" t="s">
        <v>340</v>
      </c>
      <c r="Q3062" s="10" t="s">
        <v>24</v>
      </c>
    </row>
    <row r="3063" spans="1:18" hidden="1" x14ac:dyDescent="0.25">
      <c r="A3063" s="9" t="s">
        <v>1636</v>
      </c>
      <c r="B3063" s="3" t="s">
        <v>1635</v>
      </c>
      <c r="C3063" s="10">
        <v>1</v>
      </c>
      <c r="D3063" s="10">
        <v>12</v>
      </c>
      <c r="E3063" s="10">
        <v>19</v>
      </c>
      <c r="F3063" t="s">
        <v>1381</v>
      </c>
      <c r="G3063" t="s">
        <v>889</v>
      </c>
      <c r="H3063" t="s">
        <v>53</v>
      </c>
      <c r="I3063" t="s">
        <v>27</v>
      </c>
      <c r="J3063" s="4">
        <v>23.75</v>
      </c>
      <c r="K3063">
        <v>1</v>
      </c>
      <c r="L3063">
        <v>23.75</v>
      </c>
      <c r="M3063">
        <v>23.75</v>
      </c>
      <c r="N3063" s="5">
        <v>1.2070319719090739</v>
      </c>
      <c r="O3063" t="s">
        <v>100</v>
      </c>
      <c r="P3063" t="s">
        <v>340</v>
      </c>
      <c r="Q3063" s="10" t="s">
        <v>24</v>
      </c>
    </row>
    <row r="3064" spans="1:18" hidden="1" x14ac:dyDescent="0.25">
      <c r="A3064" s="9" t="s">
        <v>1636</v>
      </c>
      <c r="B3064" s="3" t="s">
        <v>1635</v>
      </c>
      <c r="C3064" s="10">
        <v>1</v>
      </c>
      <c r="D3064" s="10">
        <v>12</v>
      </c>
      <c r="E3064" s="10">
        <v>19</v>
      </c>
      <c r="F3064" t="s">
        <v>1466</v>
      </c>
      <c r="G3064" t="s">
        <v>31</v>
      </c>
      <c r="H3064" t="s">
        <v>26</v>
      </c>
      <c r="I3064" t="s">
        <v>27</v>
      </c>
      <c r="J3064" s="4">
        <v>36.6</v>
      </c>
      <c r="K3064">
        <v>1</v>
      </c>
      <c r="L3064">
        <v>36.6</v>
      </c>
      <c r="M3064">
        <v>36.6</v>
      </c>
      <c r="N3064" s="5">
        <v>1.8600997967104045</v>
      </c>
      <c r="O3064" t="s">
        <v>100</v>
      </c>
      <c r="P3064" t="s">
        <v>340</v>
      </c>
      <c r="Q3064" s="10" t="s">
        <v>24</v>
      </c>
      <c r="R3064" t="s">
        <v>1634</v>
      </c>
    </row>
    <row r="3065" spans="1:18" hidden="1" x14ac:dyDescent="0.25">
      <c r="A3065" s="9" t="s">
        <v>1636</v>
      </c>
      <c r="B3065" s="3" t="s">
        <v>1635</v>
      </c>
      <c r="C3065" s="10">
        <v>1</v>
      </c>
      <c r="D3065" s="10">
        <v>12</v>
      </c>
      <c r="E3065" s="10">
        <v>19</v>
      </c>
      <c r="F3065" t="s">
        <v>1466</v>
      </c>
      <c r="G3065" t="s">
        <v>31</v>
      </c>
      <c r="H3065" t="s">
        <v>26</v>
      </c>
      <c r="I3065" t="s">
        <v>27</v>
      </c>
      <c r="J3065" s="4">
        <v>38.6</v>
      </c>
      <c r="K3065">
        <v>1</v>
      </c>
      <c r="L3065">
        <v>38.6</v>
      </c>
      <c r="M3065">
        <v>38.6</v>
      </c>
      <c r="N3065" s="5">
        <v>1.9617445943448528</v>
      </c>
      <c r="O3065" t="s">
        <v>100</v>
      </c>
      <c r="P3065" t="s">
        <v>340</v>
      </c>
      <c r="Q3065" s="10" t="s">
        <v>24</v>
      </c>
      <c r="R3065" t="s">
        <v>1633</v>
      </c>
    </row>
    <row r="3066" spans="1:18" hidden="1" x14ac:dyDescent="0.25">
      <c r="A3066" s="9" t="s">
        <v>1636</v>
      </c>
      <c r="B3066" s="3" t="s">
        <v>1635</v>
      </c>
      <c r="C3066" s="10">
        <v>1</v>
      </c>
      <c r="D3066" s="10">
        <v>12</v>
      </c>
      <c r="E3066" s="10">
        <v>19</v>
      </c>
      <c r="F3066" t="s">
        <v>656</v>
      </c>
      <c r="G3066" t="s">
        <v>33</v>
      </c>
      <c r="H3066" t="s">
        <v>35</v>
      </c>
      <c r="I3066" t="s">
        <v>27</v>
      </c>
      <c r="J3066" s="4">
        <v>111.6</v>
      </c>
      <c r="K3066">
        <v>0.97199999999999998</v>
      </c>
      <c r="L3066">
        <v>111.6</v>
      </c>
      <c r="M3066">
        <v>108.47519999999999</v>
      </c>
      <c r="N3066" s="5">
        <v>5.512969876178154</v>
      </c>
      <c r="O3066" t="s">
        <v>100</v>
      </c>
      <c r="P3066" t="s">
        <v>340</v>
      </c>
      <c r="Q3066" s="10" t="s">
        <v>24</v>
      </c>
    </row>
    <row r="3067" spans="1:18" hidden="1" x14ac:dyDescent="0.25">
      <c r="A3067" s="9" t="s">
        <v>1636</v>
      </c>
      <c r="B3067" s="3" t="s">
        <v>1635</v>
      </c>
      <c r="C3067" s="10">
        <v>1</v>
      </c>
      <c r="D3067" s="10">
        <v>12</v>
      </c>
      <c r="E3067" s="10">
        <v>19</v>
      </c>
      <c r="F3067" t="s">
        <v>1721</v>
      </c>
      <c r="G3067" t="s">
        <v>889</v>
      </c>
      <c r="H3067" t="s">
        <v>39</v>
      </c>
      <c r="I3067" t="s">
        <v>27</v>
      </c>
      <c r="J3067" s="4">
        <v>64</v>
      </c>
      <c r="K3067">
        <v>0.4</v>
      </c>
      <c r="L3067">
        <v>64</v>
      </c>
      <c r="M3067">
        <v>25.6</v>
      </c>
      <c r="N3067" s="5">
        <v>1.3010534097209387</v>
      </c>
      <c r="O3067" t="s">
        <v>100</v>
      </c>
      <c r="P3067" t="s">
        <v>340</v>
      </c>
      <c r="Q3067" s="10" t="s">
        <v>24</v>
      </c>
      <c r="R3067" t="s">
        <v>1723</v>
      </c>
    </row>
    <row r="3068" spans="1:18" hidden="1" x14ac:dyDescent="0.25">
      <c r="A3068" s="9" t="s">
        <v>1636</v>
      </c>
      <c r="B3068" s="3" t="s">
        <v>1635</v>
      </c>
      <c r="C3068" s="10">
        <v>1</v>
      </c>
      <c r="D3068" s="10">
        <v>12</v>
      </c>
      <c r="E3068" s="10">
        <v>19</v>
      </c>
      <c r="F3068" t="s">
        <v>2082</v>
      </c>
      <c r="G3068" t="s">
        <v>155</v>
      </c>
      <c r="H3068" t="s">
        <v>131</v>
      </c>
      <c r="I3068" t="s">
        <v>27</v>
      </c>
      <c r="J3068" s="4">
        <v>67.599999999999994</v>
      </c>
      <c r="K3068">
        <v>1</v>
      </c>
      <c r="L3068">
        <v>67.599999999999994</v>
      </c>
      <c r="M3068">
        <v>67.599999999999994</v>
      </c>
      <c r="N3068" s="5">
        <v>3.4355941600443534</v>
      </c>
      <c r="O3068" t="s">
        <v>100</v>
      </c>
      <c r="P3068" t="s">
        <v>340</v>
      </c>
      <c r="Q3068" s="10" t="s">
        <v>24</v>
      </c>
    </row>
    <row r="3069" spans="1:18" hidden="1" x14ac:dyDescent="0.25">
      <c r="A3069" s="9" t="s">
        <v>1636</v>
      </c>
      <c r="B3069" s="3" t="s">
        <v>1635</v>
      </c>
      <c r="C3069" s="10">
        <v>1</v>
      </c>
      <c r="D3069" s="10">
        <v>12</v>
      </c>
      <c r="E3069" s="10">
        <v>19</v>
      </c>
      <c r="F3069" t="s">
        <v>1358</v>
      </c>
      <c r="G3069" t="s">
        <v>155</v>
      </c>
      <c r="H3069" t="s">
        <v>131</v>
      </c>
      <c r="I3069" t="s">
        <v>27</v>
      </c>
      <c r="J3069" s="4">
        <v>75</v>
      </c>
      <c r="K3069">
        <v>1</v>
      </c>
      <c r="L3069">
        <v>75</v>
      </c>
      <c r="M3069">
        <v>75</v>
      </c>
      <c r="N3069" s="5">
        <v>3.8116799112918125</v>
      </c>
      <c r="O3069" t="s">
        <v>100</v>
      </c>
      <c r="P3069" t="s">
        <v>340</v>
      </c>
      <c r="Q3069" s="10" t="s">
        <v>24</v>
      </c>
    </row>
    <row r="3070" spans="1:18" hidden="1" x14ac:dyDescent="0.25">
      <c r="A3070" s="9" t="s">
        <v>1636</v>
      </c>
      <c r="B3070" s="3" t="s">
        <v>1635</v>
      </c>
      <c r="C3070" s="10">
        <v>1</v>
      </c>
      <c r="D3070" s="10">
        <v>12</v>
      </c>
      <c r="E3070" s="10">
        <v>19</v>
      </c>
      <c r="F3070" t="s">
        <v>99</v>
      </c>
      <c r="G3070" t="s">
        <v>889</v>
      </c>
      <c r="H3070" t="s">
        <v>40</v>
      </c>
      <c r="I3070" t="s">
        <v>27</v>
      </c>
      <c r="J3070" s="4">
        <v>10</v>
      </c>
      <c r="K3070">
        <v>1</v>
      </c>
      <c r="L3070">
        <v>10</v>
      </c>
      <c r="M3070">
        <v>10</v>
      </c>
      <c r="N3070" s="5">
        <v>0.50822398817224168</v>
      </c>
      <c r="O3070" t="s">
        <v>100</v>
      </c>
      <c r="P3070" t="s">
        <v>340</v>
      </c>
      <c r="Q3070" s="10" t="s">
        <v>24</v>
      </c>
    </row>
    <row r="3071" spans="1:18" hidden="1" x14ac:dyDescent="0.25">
      <c r="A3071" s="9" t="s">
        <v>1636</v>
      </c>
      <c r="B3071" s="3" t="s">
        <v>1635</v>
      </c>
      <c r="C3071" s="10">
        <v>1</v>
      </c>
      <c r="D3071" s="10">
        <v>12</v>
      </c>
      <c r="E3071" s="10">
        <v>19</v>
      </c>
      <c r="F3071" t="s">
        <v>1036</v>
      </c>
      <c r="G3071" t="s">
        <v>889</v>
      </c>
      <c r="H3071" t="s">
        <v>38</v>
      </c>
      <c r="I3071" t="s">
        <v>27</v>
      </c>
      <c r="J3071" s="4">
        <v>126</v>
      </c>
      <c r="K3071">
        <v>0.25800000000000001</v>
      </c>
      <c r="L3071">
        <v>126</v>
      </c>
      <c r="M3071">
        <v>32.508000000000003</v>
      </c>
      <c r="N3071" s="5">
        <v>1.6521345407503234</v>
      </c>
      <c r="O3071" t="s">
        <v>100</v>
      </c>
      <c r="P3071" t="s">
        <v>340</v>
      </c>
      <c r="Q3071" s="10" t="s">
        <v>24</v>
      </c>
    </row>
    <row r="3072" spans="1:18" hidden="1" x14ac:dyDescent="0.25">
      <c r="A3072" s="9" t="s">
        <v>1636</v>
      </c>
      <c r="B3072" s="3" t="s">
        <v>1635</v>
      </c>
      <c r="C3072" s="10">
        <v>1</v>
      </c>
      <c r="D3072" s="10">
        <v>12</v>
      </c>
      <c r="E3072" s="10">
        <v>19</v>
      </c>
      <c r="F3072" t="s">
        <v>1631</v>
      </c>
      <c r="G3072" t="s">
        <v>174</v>
      </c>
      <c r="H3072" t="s">
        <v>54</v>
      </c>
      <c r="I3072" t="s">
        <v>27</v>
      </c>
      <c r="J3072" s="4">
        <v>166.1</v>
      </c>
      <c r="K3072">
        <v>0.1</v>
      </c>
      <c r="L3072">
        <v>166.1</v>
      </c>
      <c r="M3072">
        <v>16.61</v>
      </c>
      <c r="N3072" s="5">
        <v>0.84416004435409331</v>
      </c>
      <c r="O3072" t="s">
        <v>100</v>
      </c>
      <c r="P3072" t="s">
        <v>340</v>
      </c>
      <c r="Q3072" s="10" t="s">
        <v>24</v>
      </c>
    </row>
    <row r="3073" spans="1:18" hidden="1" x14ac:dyDescent="0.25">
      <c r="A3073" s="9" t="s">
        <v>1636</v>
      </c>
      <c r="B3073" s="3" t="s">
        <v>1635</v>
      </c>
      <c r="C3073" s="10">
        <v>1</v>
      </c>
      <c r="D3073" s="10">
        <v>12</v>
      </c>
      <c r="E3073" s="10">
        <v>19</v>
      </c>
      <c r="F3073" t="s">
        <v>155</v>
      </c>
      <c r="G3073" t="s">
        <v>155</v>
      </c>
      <c r="H3073" t="s">
        <v>131</v>
      </c>
      <c r="I3073" t="s">
        <v>27</v>
      </c>
      <c r="J3073" s="4">
        <v>16</v>
      </c>
      <c r="K3073">
        <v>2</v>
      </c>
      <c r="L3073">
        <v>16</v>
      </c>
      <c r="M3073">
        <v>32</v>
      </c>
      <c r="N3073" s="5">
        <v>1.6263167621511734</v>
      </c>
      <c r="O3073" t="s">
        <v>100</v>
      </c>
      <c r="P3073" t="s">
        <v>340</v>
      </c>
      <c r="Q3073" s="10" t="s">
        <v>24</v>
      </c>
      <c r="R3073" t="s">
        <v>1632</v>
      </c>
    </row>
    <row r="3074" spans="1:18" hidden="1" x14ac:dyDescent="0.25">
      <c r="A3074" s="9" t="s">
        <v>1636</v>
      </c>
      <c r="B3074" s="3" t="s">
        <v>1635</v>
      </c>
      <c r="C3074" s="10">
        <v>1</v>
      </c>
      <c r="D3074" s="10">
        <v>12</v>
      </c>
      <c r="E3074" s="10">
        <v>19</v>
      </c>
      <c r="F3074" t="s">
        <v>958</v>
      </c>
      <c r="G3074" t="s">
        <v>889</v>
      </c>
      <c r="H3074" t="s">
        <v>53</v>
      </c>
      <c r="I3074" t="s">
        <v>27</v>
      </c>
      <c r="J3074" s="4">
        <v>34</v>
      </c>
      <c r="K3074">
        <v>1</v>
      </c>
      <c r="L3074">
        <v>34</v>
      </c>
      <c r="M3074">
        <v>34</v>
      </c>
      <c r="N3074" s="5">
        <v>1.7279615597856217</v>
      </c>
      <c r="O3074" t="s">
        <v>101</v>
      </c>
      <c r="P3074" t="s">
        <v>340</v>
      </c>
      <c r="Q3074" s="10" t="s">
        <v>24</v>
      </c>
    </row>
    <row r="3075" spans="1:18" hidden="1" x14ac:dyDescent="0.25">
      <c r="A3075" s="9" t="s">
        <v>1636</v>
      </c>
      <c r="B3075" s="3" t="s">
        <v>1635</v>
      </c>
      <c r="C3075" s="10">
        <v>1</v>
      </c>
      <c r="D3075" s="10">
        <v>12</v>
      </c>
      <c r="E3075" s="10">
        <v>19</v>
      </c>
      <c r="F3075" t="s">
        <v>86</v>
      </c>
      <c r="G3075" t="s">
        <v>889</v>
      </c>
      <c r="H3075" t="s">
        <v>102</v>
      </c>
      <c r="I3075" t="s">
        <v>27</v>
      </c>
      <c r="J3075" s="4">
        <v>20</v>
      </c>
      <c r="K3075">
        <v>1</v>
      </c>
      <c r="L3075">
        <v>20</v>
      </c>
      <c r="M3075">
        <v>20</v>
      </c>
      <c r="N3075" s="5">
        <v>1.0164479763444834</v>
      </c>
      <c r="O3075" t="s">
        <v>39</v>
      </c>
      <c r="P3075" t="s">
        <v>340</v>
      </c>
      <c r="Q3075" s="10" t="s">
        <v>24</v>
      </c>
    </row>
    <row r="3076" spans="1:18" hidden="1" x14ac:dyDescent="0.25">
      <c r="A3076" s="9" t="s">
        <v>1636</v>
      </c>
      <c r="B3076" s="3" t="s">
        <v>2065</v>
      </c>
      <c r="C3076" s="10">
        <v>11</v>
      </c>
      <c r="D3076" s="10">
        <v>12</v>
      </c>
      <c r="E3076" s="10">
        <v>19</v>
      </c>
      <c r="F3076" t="s">
        <v>2242</v>
      </c>
      <c r="G3076" t="s">
        <v>345</v>
      </c>
      <c r="H3076" t="s">
        <v>26</v>
      </c>
      <c r="I3076" t="s">
        <v>27</v>
      </c>
      <c r="J3076" s="4">
        <v>6.8</v>
      </c>
      <c r="K3076">
        <v>1</v>
      </c>
      <c r="L3076">
        <v>6.8</v>
      </c>
      <c r="M3076">
        <v>6.8</v>
      </c>
      <c r="N3076" s="5">
        <v>0.34559231195712431</v>
      </c>
      <c r="O3076" t="s">
        <v>101</v>
      </c>
      <c r="P3076" t="s">
        <v>340</v>
      </c>
      <c r="Q3076" s="10" t="s">
        <v>24</v>
      </c>
    </row>
    <row r="3077" spans="1:18" hidden="1" x14ac:dyDescent="0.25">
      <c r="A3077" s="9" t="s">
        <v>1636</v>
      </c>
      <c r="B3077" s="3" t="s">
        <v>2065</v>
      </c>
      <c r="C3077" s="10">
        <v>11</v>
      </c>
      <c r="D3077" s="10">
        <v>12</v>
      </c>
      <c r="E3077" s="10">
        <v>19</v>
      </c>
      <c r="F3077" t="s">
        <v>770</v>
      </c>
      <c r="G3077" t="s">
        <v>31</v>
      </c>
      <c r="H3077" t="s">
        <v>26</v>
      </c>
      <c r="I3077" t="s">
        <v>27</v>
      </c>
      <c r="J3077" s="4">
        <v>8.5</v>
      </c>
      <c r="K3077">
        <v>1</v>
      </c>
      <c r="L3077">
        <v>8.5</v>
      </c>
      <c r="M3077">
        <v>8.5</v>
      </c>
      <c r="N3077" s="5">
        <v>0.43199038994640543</v>
      </c>
      <c r="O3077" t="s">
        <v>101</v>
      </c>
      <c r="P3077" t="s">
        <v>340</v>
      </c>
      <c r="Q3077" s="10" t="s">
        <v>24</v>
      </c>
    </row>
    <row r="3078" spans="1:18" hidden="1" x14ac:dyDescent="0.25">
      <c r="A3078" s="9" t="s">
        <v>1636</v>
      </c>
      <c r="B3078" s="3" t="s">
        <v>2065</v>
      </c>
      <c r="C3078" s="10">
        <v>11</v>
      </c>
      <c r="D3078" s="10">
        <v>12</v>
      </c>
      <c r="E3078" s="10">
        <v>19</v>
      </c>
      <c r="F3078" t="s">
        <v>41</v>
      </c>
      <c r="G3078" t="s">
        <v>889</v>
      </c>
      <c r="H3078" t="s">
        <v>39</v>
      </c>
      <c r="I3078" t="s">
        <v>27</v>
      </c>
      <c r="J3078" s="4">
        <v>12</v>
      </c>
      <c r="K3078">
        <v>2</v>
      </c>
      <c r="L3078">
        <v>12</v>
      </c>
      <c r="M3078">
        <v>24</v>
      </c>
      <c r="N3078" s="5">
        <v>1.21973757161338</v>
      </c>
      <c r="O3078" t="s">
        <v>1423</v>
      </c>
      <c r="P3078" t="s">
        <v>340</v>
      </c>
      <c r="Q3078" s="10" t="s">
        <v>24</v>
      </c>
    </row>
    <row r="3079" spans="1:18" hidden="1" x14ac:dyDescent="0.25">
      <c r="A3079" s="9" t="s">
        <v>1636</v>
      </c>
      <c r="B3079" s="3" t="s">
        <v>2065</v>
      </c>
      <c r="C3079" s="10">
        <v>11</v>
      </c>
      <c r="D3079" s="10">
        <v>12</v>
      </c>
      <c r="E3079" s="10">
        <v>19</v>
      </c>
      <c r="F3079" t="s">
        <v>776</v>
      </c>
      <c r="H3079" t="s">
        <v>56</v>
      </c>
      <c r="I3079" t="s">
        <v>27</v>
      </c>
      <c r="J3079" s="4">
        <v>40</v>
      </c>
      <c r="K3079">
        <v>0.63</v>
      </c>
      <c r="L3079">
        <v>40</v>
      </c>
      <c r="M3079">
        <v>25.2</v>
      </c>
      <c r="N3079" s="5">
        <v>1.2807244501940489</v>
      </c>
      <c r="O3079" t="s">
        <v>39</v>
      </c>
      <c r="P3079" t="s">
        <v>340</v>
      </c>
      <c r="Q3079" s="10" t="s">
        <v>24</v>
      </c>
      <c r="R3079" t="s">
        <v>2066</v>
      </c>
    </row>
    <row r="3080" spans="1:18" hidden="1" x14ac:dyDescent="0.25">
      <c r="A3080" s="9" t="s">
        <v>1636</v>
      </c>
      <c r="B3080" s="3" t="s">
        <v>2065</v>
      </c>
      <c r="C3080" s="10">
        <v>11</v>
      </c>
      <c r="D3080" s="10">
        <v>12</v>
      </c>
      <c r="E3080" s="10">
        <v>19</v>
      </c>
      <c r="F3080" t="s">
        <v>708</v>
      </c>
      <c r="G3080" t="s">
        <v>708</v>
      </c>
      <c r="H3080" t="s">
        <v>131</v>
      </c>
      <c r="I3080" t="s">
        <v>27</v>
      </c>
      <c r="J3080" s="4">
        <v>80</v>
      </c>
      <c r="K3080">
        <v>0.1</v>
      </c>
      <c r="L3080">
        <v>80</v>
      </c>
      <c r="M3080">
        <v>8</v>
      </c>
      <c r="N3080" s="5">
        <v>0.40657919053779334</v>
      </c>
      <c r="O3080" t="s">
        <v>39</v>
      </c>
      <c r="P3080" t="s">
        <v>340</v>
      </c>
      <c r="Q3080" s="10" t="s">
        <v>24</v>
      </c>
      <c r="R3080" t="s">
        <v>2067</v>
      </c>
    </row>
    <row r="3081" spans="1:18" hidden="1" x14ac:dyDescent="0.25">
      <c r="A3081" s="9" t="s">
        <v>1636</v>
      </c>
      <c r="B3081" s="3" t="s">
        <v>2065</v>
      </c>
      <c r="C3081" s="10">
        <v>11</v>
      </c>
      <c r="D3081" s="10">
        <v>12</v>
      </c>
      <c r="E3081" s="10">
        <v>19</v>
      </c>
      <c r="F3081" t="s">
        <v>2068</v>
      </c>
      <c r="G3081" t="s">
        <v>889</v>
      </c>
      <c r="H3081" t="s">
        <v>889</v>
      </c>
      <c r="I3081" t="s">
        <v>82</v>
      </c>
      <c r="J3081" s="4">
        <v>200</v>
      </c>
      <c r="K3081">
        <v>1</v>
      </c>
      <c r="L3081">
        <v>200</v>
      </c>
      <c r="M3081">
        <v>200</v>
      </c>
      <c r="N3081" s="5">
        <v>10.164479763444833</v>
      </c>
      <c r="O3081" t="s">
        <v>39</v>
      </c>
      <c r="P3081" t="s">
        <v>340</v>
      </c>
      <c r="Q3081" s="10" t="s">
        <v>24</v>
      </c>
      <c r="R3081" t="s">
        <v>2070</v>
      </c>
    </row>
    <row r="3082" spans="1:18" hidden="1" x14ac:dyDescent="0.25">
      <c r="A3082" s="9" t="s">
        <v>1636</v>
      </c>
      <c r="B3082" s="3" t="s">
        <v>2065</v>
      </c>
      <c r="C3082" s="10">
        <v>11</v>
      </c>
      <c r="D3082" s="10">
        <v>12</v>
      </c>
      <c r="E3082" s="10">
        <v>19</v>
      </c>
      <c r="F3082" t="s">
        <v>2069</v>
      </c>
      <c r="G3082" t="s">
        <v>889</v>
      </c>
      <c r="H3082" t="s">
        <v>889</v>
      </c>
      <c r="I3082" t="s">
        <v>431</v>
      </c>
      <c r="J3082" s="4">
        <v>400</v>
      </c>
      <c r="K3082">
        <v>1</v>
      </c>
      <c r="L3082">
        <v>400</v>
      </c>
      <c r="M3082">
        <v>400</v>
      </c>
      <c r="N3082" s="5">
        <v>20.328959526889665</v>
      </c>
      <c r="O3082" t="s">
        <v>39</v>
      </c>
      <c r="P3082" t="s">
        <v>340</v>
      </c>
      <c r="Q3082" s="10" t="s">
        <v>24</v>
      </c>
      <c r="R3082" t="s">
        <v>2070</v>
      </c>
    </row>
    <row r="3083" spans="1:18" hidden="1" x14ac:dyDescent="0.25">
      <c r="A3083" s="9" t="s">
        <v>1636</v>
      </c>
      <c r="B3083" s="3" t="s">
        <v>2065</v>
      </c>
      <c r="C3083" s="10">
        <v>11</v>
      </c>
      <c r="D3083" s="10">
        <v>12</v>
      </c>
      <c r="E3083" s="10">
        <v>19</v>
      </c>
      <c r="F3083" t="s">
        <v>389</v>
      </c>
      <c r="G3083" t="s">
        <v>889</v>
      </c>
      <c r="H3083" t="s">
        <v>21</v>
      </c>
      <c r="I3083" t="s">
        <v>22</v>
      </c>
      <c r="J3083" s="4">
        <v>300</v>
      </c>
      <c r="K3083">
        <v>1</v>
      </c>
      <c r="L3083">
        <v>300</v>
      </c>
      <c r="M3083">
        <v>300</v>
      </c>
      <c r="N3083" s="5">
        <v>15.24671964516725</v>
      </c>
      <c r="O3083" t="s">
        <v>39</v>
      </c>
      <c r="P3083" t="s">
        <v>340</v>
      </c>
      <c r="Q3083" s="10" t="s">
        <v>24</v>
      </c>
      <c r="R3083" t="s">
        <v>2070</v>
      </c>
    </row>
    <row r="3084" spans="1:18" hidden="1" x14ac:dyDescent="0.25">
      <c r="A3084" s="9" t="s">
        <v>1636</v>
      </c>
      <c r="B3084" s="3" t="s">
        <v>2063</v>
      </c>
      <c r="C3084" s="10">
        <v>12</v>
      </c>
      <c r="D3084" s="10">
        <v>12</v>
      </c>
      <c r="E3084" s="10">
        <v>19</v>
      </c>
      <c r="F3084" t="s">
        <v>74</v>
      </c>
      <c r="G3084" t="s">
        <v>889</v>
      </c>
      <c r="H3084" t="s">
        <v>56</v>
      </c>
      <c r="I3084" t="s">
        <v>27</v>
      </c>
      <c r="J3084" s="4">
        <v>22.4</v>
      </c>
      <c r="K3084">
        <v>1.0820000000000001</v>
      </c>
      <c r="L3084">
        <v>22.4</v>
      </c>
      <c r="M3084">
        <v>24.236799999999999</v>
      </c>
      <c r="N3084" s="5">
        <v>1.2317723156532985</v>
      </c>
      <c r="O3084" t="s">
        <v>181</v>
      </c>
      <c r="P3084" t="s">
        <v>340</v>
      </c>
      <c r="Q3084" s="10" t="s">
        <v>24</v>
      </c>
    </row>
    <row r="3085" spans="1:18" hidden="1" x14ac:dyDescent="0.25">
      <c r="A3085" s="9" t="s">
        <v>1636</v>
      </c>
      <c r="B3085" s="3" t="s">
        <v>2063</v>
      </c>
      <c r="C3085" s="10">
        <v>12</v>
      </c>
      <c r="D3085" s="10">
        <v>12</v>
      </c>
      <c r="E3085" s="10">
        <v>19</v>
      </c>
      <c r="F3085" t="s">
        <v>112</v>
      </c>
      <c r="G3085" t="s">
        <v>889</v>
      </c>
      <c r="H3085" t="s">
        <v>56</v>
      </c>
      <c r="I3085" t="s">
        <v>27</v>
      </c>
      <c r="J3085" s="4">
        <v>19.600000000000001</v>
      </c>
      <c r="K3085">
        <v>0.32200000000000001</v>
      </c>
      <c r="L3085">
        <v>19.600000000000001</v>
      </c>
      <c r="M3085">
        <v>6.3112000000000004</v>
      </c>
      <c r="N3085" s="5">
        <v>0.32075032341526516</v>
      </c>
      <c r="O3085" t="s">
        <v>181</v>
      </c>
      <c r="P3085" t="s">
        <v>340</v>
      </c>
      <c r="Q3085" s="10" t="s">
        <v>24</v>
      </c>
    </row>
    <row r="3086" spans="1:18" hidden="1" x14ac:dyDescent="0.25">
      <c r="A3086" s="9" t="s">
        <v>1636</v>
      </c>
      <c r="B3086" s="3" t="s">
        <v>2063</v>
      </c>
      <c r="C3086" s="10">
        <v>12</v>
      </c>
      <c r="D3086" s="10">
        <v>12</v>
      </c>
      <c r="E3086" s="10">
        <v>19</v>
      </c>
      <c r="F3086" t="s">
        <v>1687</v>
      </c>
      <c r="G3086" t="s">
        <v>889</v>
      </c>
      <c r="H3086" t="s">
        <v>53</v>
      </c>
      <c r="I3086" t="s">
        <v>27</v>
      </c>
      <c r="J3086" s="4">
        <v>12.35</v>
      </c>
      <c r="K3086">
        <v>1</v>
      </c>
      <c r="L3086">
        <v>12.35</v>
      </c>
      <c r="M3086">
        <v>12.35</v>
      </c>
      <c r="N3086" s="5">
        <v>0.62765662539271838</v>
      </c>
      <c r="O3086" t="s">
        <v>181</v>
      </c>
      <c r="P3086" t="s">
        <v>340</v>
      </c>
      <c r="Q3086" s="10" t="s">
        <v>24</v>
      </c>
    </row>
    <row r="3087" spans="1:18" hidden="1" x14ac:dyDescent="0.25">
      <c r="A3087" s="9" t="s">
        <v>1636</v>
      </c>
      <c r="B3087" s="3" t="s">
        <v>2063</v>
      </c>
      <c r="C3087" s="10">
        <v>12</v>
      </c>
      <c r="D3087" s="10">
        <v>12</v>
      </c>
      <c r="E3087" s="10">
        <v>19</v>
      </c>
      <c r="F3087" t="s">
        <v>401</v>
      </c>
      <c r="G3087" t="s">
        <v>889</v>
      </c>
      <c r="H3087" t="s">
        <v>62</v>
      </c>
      <c r="I3087" t="s">
        <v>27</v>
      </c>
      <c r="J3087" s="4">
        <v>68.59</v>
      </c>
      <c r="K3087">
        <v>1</v>
      </c>
      <c r="L3087">
        <v>68.59</v>
      </c>
      <c r="M3087">
        <v>68.59</v>
      </c>
      <c r="N3087" s="5">
        <v>3.4859083348734057</v>
      </c>
      <c r="O3087" t="s">
        <v>181</v>
      </c>
      <c r="P3087" t="s">
        <v>340</v>
      </c>
      <c r="Q3087" s="10" t="s">
        <v>24</v>
      </c>
    </row>
    <row r="3088" spans="1:18" hidden="1" x14ac:dyDescent="0.25">
      <c r="A3088" s="9" t="s">
        <v>1636</v>
      </c>
      <c r="B3088" s="3" t="s">
        <v>2063</v>
      </c>
      <c r="C3088" s="10">
        <v>12</v>
      </c>
      <c r="D3088" s="10">
        <v>12</v>
      </c>
      <c r="E3088" s="10">
        <v>19</v>
      </c>
      <c r="F3088" t="s">
        <v>1465</v>
      </c>
      <c r="G3088" t="s">
        <v>889</v>
      </c>
      <c r="H3088" t="s">
        <v>131</v>
      </c>
      <c r="I3088" t="s">
        <v>27</v>
      </c>
      <c r="J3088" s="4">
        <v>6.36</v>
      </c>
      <c r="K3088">
        <v>4</v>
      </c>
      <c r="L3088">
        <v>6.36</v>
      </c>
      <c r="M3088">
        <v>25.44</v>
      </c>
      <c r="N3088" s="5">
        <v>1.2929218259101829</v>
      </c>
      <c r="O3088" t="s">
        <v>181</v>
      </c>
      <c r="P3088" t="s">
        <v>340</v>
      </c>
      <c r="Q3088" s="10" t="s">
        <v>24</v>
      </c>
    </row>
    <row r="3089" spans="1:18" hidden="1" x14ac:dyDescent="0.25">
      <c r="A3089" s="9" t="s">
        <v>1636</v>
      </c>
      <c r="B3089" s="3" t="s">
        <v>2063</v>
      </c>
      <c r="C3089" s="10">
        <v>12</v>
      </c>
      <c r="D3089" s="10">
        <v>12</v>
      </c>
      <c r="E3089" s="10">
        <v>19</v>
      </c>
      <c r="F3089" t="s">
        <v>2242</v>
      </c>
      <c r="G3089" t="s">
        <v>345</v>
      </c>
      <c r="H3089" t="s">
        <v>26</v>
      </c>
      <c r="I3089" t="s">
        <v>27</v>
      </c>
      <c r="J3089" s="4">
        <v>5.89</v>
      </c>
      <c r="K3089">
        <v>1</v>
      </c>
      <c r="L3089">
        <v>5.89</v>
      </c>
      <c r="M3089">
        <v>5.89</v>
      </c>
      <c r="N3089" s="5">
        <v>0.29934392903345031</v>
      </c>
      <c r="O3089" t="s">
        <v>181</v>
      </c>
      <c r="P3089" t="s">
        <v>340</v>
      </c>
      <c r="Q3089" s="10" t="s">
        <v>24</v>
      </c>
    </row>
    <row r="3090" spans="1:18" hidden="1" x14ac:dyDescent="0.25">
      <c r="A3090" s="9" t="s">
        <v>1636</v>
      </c>
      <c r="B3090" s="3" t="s">
        <v>2063</v>
      </c>
      <c r="C3090" s="10">
        <v>12</v>
      </c>
      <c r="D3090" s="10">
        <v>12</v>
      </c>
      <c r="E3090" s="10">
        <v>19</v>
      </c>
      <c r="F3090" t="s">
        <v>2371</v>
      </c>
      <c r="G3090" t="s">
        <v>889</v>
      </c>
      <c r="H3090" t="s">
        <v>44</v>
      </c>
      <c r="I3090" t="s">
        <v>27</v>
      </c>
      <c r="J3090" s="4">
        <v>34.200000000000003</v>
      </c>
      <c r="K3090">
        <v>1</v>
      </c>
      <c r="L3090">
        <v>34.200000000000003</v>
      </c>
      <c r="M3090">
        <v>34.200000000000003</v>
      </c>
      <c r="N3090" s="5">
        <v>1.7381260395490665</v>
      </c>
      <c r="O3090" t="s">
        <v>181</v>
      </c>
      <c r="P3090" t="s">
        <v>340</v>
      </c>
      <c r="Q3090" s="10" t="s">
        <v>24</v>
      </c>
    </row>
    <row r="3091" spans="1:18" hidden="1" x14ac:dyDescent="0.25">
      <c r="A3091" s="9" t="s">
        <v>1636</v>
      </c>
      <c r="B3091" s="3" t="s">
        <v>2063</v>
      </c>
      <c r="C3091" s="10">
        <v>12</v>
      </c>
      <c r="D3091" s="10">
        <v>12</v>
      </c>
      <c r="E3091" s="10">
        <v>19</v>
      </c>
      <c r="F3091" t="s">
        <v>124</v>
      </c>
      <c r="G3091" t="s">
        <v>404</v>
      </c>
      <c r="H3091" t="s">
        <v>54</v>
      </c>
      <c r="I3091" t="s">
        <v>27</v>
      </c>
      <c r="J3091" s="4">
        <v>27.6</v>
      </c>
      <c r="K3091">
        <v>0.73799999999999999</v>
      </c>
      <c r="L3091">
        <v>27.6</v>
      </c>
      <c r="M3091">
        <v>20.3688</v>
      </c>
      <c r="N3091" s="5">
        <v>1.0351912770282756</v>
      </c>
      <c r="O3091" t="s">
        <v>181</v>
      </c>
      <c r="P3091" t="s">
        <v>340</v>
      </c>
      <c r="Q3091" s="10" t="s">
        <v>24</v>
      </c>
    </row>
    <row r="3092" spans="1:18" hidden="1" x14ac:dyDescent="0.25">
      <c r="A3092" s="9" t="s">
        <v>1636</v>
      </c>
      <c r="B3092" s="3" t="s">
        <v>2063</v>
      </c>
      <c r="C3092" s="10">
        <v>12</v>
      </c>
      <c r="D3092" s="10">
        <v>12</v>
      </c>
      <c r="E3092" s="10">
        <v>19</v>
      </c>
      <c r="F3092" t="s">
        <v>770</v>
      </c>
      <c r="G3092" t="s">
        <v>31</v>
      </c>
      <c r="H3092" t="s">
        <v>26</v>
      </c>
      <c r="I3092" t="s">
        <v>27</v>
      </c>
      <c r="J3092" s="4">
        <v>7.12</v>
      </c>
      <c r="K3092">
        <v>1</v>
      </c>
      <c r="L3092">
        <v>7.12</v>
      </c>
      <c r="M3092">
        <v>7.12</v>
      </c>
      <c r="N3092" s="5">
        <v>0.36185547957863606</v>
      </c>
      <c r="O3092" t="s">
        <v>181</v>
      </c>
      <c r="P3092" t="s">
        <v>340</v>
      </c>
      <c r="Q3092" s="10" t="s">
        <v>24</v>
      </c>
    </row>
    <row r="3093" spans="1:18" hidden="1" x14ac:dyDescent="0.25">
      <c r="A3093" s="9" t="s">
        <v>1636</v>
      </c>
      <c r="B3093" s="3" t="s">
        <v>2063</v>
      </c>
      <c r="C3093" s="10">
        <v>12</v>
      </c>
      <c r="D3093" s="10">
        <v>12</v>
      </c>
      <c r="E3093" s="10">
        <v>19</v>
      </c>
      <c r="F3093" t="s">
        <v>974</v>
      </c>
      <c r="G3093" t="s">
        <v>25</v>
      </c>
      <c r="H3093" t="s">
        <v>26</v>
      </c>
      <c r="I3093" t="s">
        <v>27</v>
      </c>
      <c r="J3093" s="4">
        <v>125.69</v>
      </c>
      <c r="K3093">
        <v>0.16600000000000001</v>
      </c>
      <c r="L3093">
        <v>125.69</v>
      </c>
      <c r="M3093">
        <v>20.864540000000002</v>
      </c>
      <c r="N3093" s="5">
        <v>1.0603859730179264</v>
      </c>
      <c r="O3093" t="s">
        <v>181</v>
      </c>
      <c r="P3093" t="s">
        <v>340</v>
      </c>
      <c r="Q3093" s="10" t="s">
        <v>24</v>
      </c>
    </row>
    <row r="3094" spans="1:18" hidden="1" x14ac:dyDescent="0.25">
      <c r="A3094" s="9" t="s">
        <v>1636</v>
      </c>
      <c r="B3094" s="3" t="s">
        <v>2063</v>
      </c>
      <c r="C3094" s="10">
        <v>12</v>
      </c>
      <c r="D3094" s="10">
        <v>12</v>
      </c>
      <c r="E3094" s="10">
        <v>19</v>
      </c>
      <c r="F3094" t="s">
        <v>203</v>
      </c>
      <c r="G3094" t="s">
        <v>889</v>
      </c>
      <c r="H3094" t="s">
        <v>54</v>
      </c>
      <c r="I3094" t="s">
        <v>27</v>
      </c>
      <c r="J3094" s="4">
        <v>25.3</v>
      </c>
      <c r="K3094">
        <v>1</v>
      </c>
      <c r="L3094">
        <v>25.3</v>
      </c>
      <c r="M3094">
        <v>25.3</v>
      </c>
      <c r="N3094" s="5">
        <v>1.2858066900757714</v>
      </c>
      <c r="O3094" t="s">
        <v>181</v>
      </c>
      <c r="P3094" t="s">
        <v>340</v>
      </c>
      <c r="Q3094" s="10" t="s">
        <v>24</v>
      </c>
    </row>
    <row r="3095" spans="1:18" hidden="1" x14ac:dyDescent="0.25">
      <c r="A3095" s="9" t="s">
        <v>1636</v>
      </c>
      <c r="B3095" s="3" t="s">
        <v>2063</v>
      </c>
      <c r="C3095" s="10">
        <v>12</v>
      </c>
      <c r="D3095" s="10">
        <v>12</v>
      </c>
      <c r="E3095" s="10">
        <v>19</v>
      </c>
      <c r="F3095" t="s">
        <v>1078</v>
      </c>
      <c r="G3095" t="s">
        <v>889</v>
      </c>
      <c r="H3095" t="s">
        <v>65</v>
      </c>
      <c r="I3095" t="s">
        <v>27</v>
      </c>
      <c r="J3095" s="4">
        <v>83.88</v>
      </c>
      <c r="K3095">
        <v>1</v>
      </c>
      <c r="L3095">
        <v>83.88</v>
      </c>
      <c r="M3095">
        <v>83.88</v>
      </c>
      <c r="N3095" s="5">
        <v>4.2629828127887626</v>
      </c>
      <c r="O3095" t="s">
        <v>181</v>
      </c>
      <c r="P3095" t="s">
        <v>340</v>
      </c>
      <c r="Q3095" s="10" t="s">
        <v>24</v>
      </c>
    </row>
    <row r="3096" spans="1:18" hidden="1" x14ac:dyDescent="0.25">
      <c r="A3096" s="9" t="s">
        <v>1636</v>
      </c>
      <c r="B3096" s="3" t="s">
        <v>2063</v>
      </c>
      <c r="C3096" s="10">
        <v>12</v>
      </c>
      <c r="D3096" s="10">
        <v>12</v>
      </c>
      <c r="E3096" s="10">
        <v>19</v>
      </c>
      <c r="F3096" t="s">
        <v>1721</v>
      </c>
      <c r="G3096" t="s">
        <v>889</v>
      </c>
      <c r="H3096" t="s">
        <v>39</v>
      </c>
      <c r="I3096" t="s">
        <v>27</v>
      </c>
      <c r="J3096" s="4">
        <v>60.08</v>
      </c>
      <c r="K3096">
        <v>0.4</v>
      </c>
      <c r="L3096">
        <v>60.08</v>
      </c>
      <c r="M3096">
        <v>24.032</v>
      </c>
      <c r="N3096" s="5">
        <v>1.2213638883755311</v>
      </c>
      <c r="O3096" t="s">
        <v>181</v>
      </c>
      <c r="P3096" t="s">
        <v>340</v>
      </c>
      <c r="Q3096" s="10" t="s">
        <v>24</v>
      </c>
    </row>
    <row r="3097" spans="1:18" hidden="1" x14ac:dyDescent="0.25">
      <c r="A3097" s="9" t="s">
        <v>1636</v>
      </c>
      <c r="B3097" s="3" t="s">
        <v>2063</v>
      </c>
      <c r="C3097" s="10">
        <v>12</v>
      </c>
      <c r="D3097" s="10">
        <v>12</v>
      </c>
      <c r="E3097" s="10">
        <v>19</v>
      </c>
      <c r="F3097" t="s">
        <v>2046</v>
      </c>
      <c r="H3097" t="s">
        <v>131</v>
      </c>
      <c r="I3097" t="s">
        <v>27</v>
      </c>
      <c r="J3097" s="4">
        <v>59</v>
      </c>
      <c r="K3097">
        <v>1</v>
      </c>
      <c r="L3097">
        <v>59</v>
      </c>
      <c r="M3097">
        <v>59</v>
      </c>
      <c r="N3097" s="5">
        <v>2.9985215302162258</v>
      </c>
      <c r="O3097" t="s">
        <v>181</v>
      </c>
      <c r="P3097" t="s">
        <v>340</v>
      </c>
      <c r="Q3097" s="10" t="s">
        <v>24</v>
      </c>
    </row>
    <row r="3098" spans="1:18" hidden="1" x14ac:dyDescent="0.25">
      <c r="A3098" s="9" t="s">
        <v>1636</v>
      </c>
      <c r="B3098" s="3" t="s">
        <v>2063</v>
      </c>
      <c r="C3098" s="10">
        <v>12</v>
      </c>
      <c r="D3098" s="10">
        <v>12</v>
      </c>
      <c r="E3098" s="10">
        <v>19</v>
      </c>
      <c r="F3098" t="s">
        <v>1466</v>
      </c>
      <c r="G3098" t="s">
        <v>31</v>
      </c>
      <c r="H3098" t="s">
        <v>26</v>
      </c>
      <c r="I3098" t="s">
        <v>27</v>
      </c>
      <c r="J3098" s="4">
        <v>32.869999999999997</v>
      </c>
      <c r="K3098">
        <v>3</v>
      </c>
      <c r="L3098">
        <v>32.869999999999997</v>
      </c>
      <c r="M3098">
        <v>98.609999999999985</v>
      </c>
      <c r="N3098" s="5">
        <v>5.0115967473664744</v>
      </c>
      <c r="O3098" t="s">
        <v>181</v>
      </c>
      <c r="P3098" t="s">
        <v>340</v>
      </c>
      <c r="Q3098" s="10" t="s">
        <v>24</v>
      </c>
    </row>
    <row r="3099" spans="1:18" hidden="1" x14ac:dyDescent="0.25">
      <c r="A3099" s="9" t="s">
        <v>1636</v>
      </c>
      <c r="B3099" s="3" t="s">
        <v>2063</v>
      </c>
      <c r="C3099" s="10">
        <v>12</v>
      </c>
      <c r="D3099" s="10">
        <v>12</v>
      </c>
      <c r="E3099" s="10">
        <v>19</v>
      </c>
      <c r="F3099" t="s">
        <v>744</v>
      </c>
      <c r="G3099" t="s">
        <v>889</v>
      </c>
      <c r="H3099" t="s">
        <v>54</v>
      </c>
      <c r="I3099" t="s">
        <v>27</v>
      </c>
      <c r="J3099" s="4">
        <v>7.5</v>
      </c>
      <c r="K3099">
        <v>0.82799999999999996</v>
      </c>
      <c r="L3099">
        <v>7.5</v>
      </c>
      <c r="M3099">
        <v>6.21</v>
      </c>
      <c r="N3099" s="5">
        <v>0.31560709665496206</v>
      </c>
      <c r="O3099" t="s">
        <v>181</v>
      </c>
      <c r="P3099" t="s">
        <v>340</v>
      </c>
      <c r="Q3099" s="10" t="s">
        <v>24</v>
      </c>
    </row>
    <row r="3100" spans="1:18" hidden="1" x14ac:dyDescent="0.25">
      <c r="A3100" s="9" t="s">
        <v>1636</v>
      </c>
      <c r="B3100" s="3" t="s">
        <v>2063</v>
      </c>
      <c r="C3100" s="10">
        <v>12</v>
      </c>
      <c r="D3100" s="10">
        <v>12</v>
      </c>
      <c r="E3100" s="10">
        <v>19</v>
      </c>
      <c r="F3100" t="s">
        <v>177</v>
      </c>
      <c r="G3100" t="s">
        <v>889</v>
      </c>
      <c r="H3100" t="s">
        <v>56</v>
      </c>
      <c r="I3100" t="s">
        <v>27</v>
      </c>
      <c r="J3100" s="4">
        <v>14.9</v>
      </c>
      <c r="K3100">
        <v>0.48199999999999998</v>
      </c>
      <c r="L3100">
        <v>14.9</v>
      </c>
      <c r="M3100">
        <v>7.1818</v>
      </c>
      <c r="N3100" s="5">
        <v>0.36499630382554049</v>
      </c>
      <c r="O3100" t="s">
        <v>181</v>
      </c>
      <c r="P3100" t="s">
        <v>340</v>
      </c>
      <c r="Q3100" s="10" t="s">
        <v>24</v>
      </c>
    </row>
    <row r="3101" spans="1:18" hidden="1" x14ac:dyDescent="0.25">
      <c r="A3101" s="9" t="s">
        <v>1636</v>
      </c>
      <c r="B3101" s="3" t="s">
        <v>2063</v>
      </c>
      <c r="C3101" s="10">
        <v>12</v>
      </c>
      <c r="D3101" s="10">
        <v>12</v>
      </c>
      <c r="E3101" s="10">
        <v>19</v>
      </c>
      <c r="F3101" t="s">
        <v>2047</v>
      </c>
      <c r="G3101" t="s">
        <v>889</v>
      </c>
      <c r="H3101" t="s">
        <v>40</v>
      </c>
      <c r="I3101" t="s">
        <v>27</v>
      </c>
      <c r="J3101" s="4">
        <v>14.44</v>
      </c>
      <c r="K3101">
        <v>1</v>
      </c>
      <c r="L3101">
        <v>14.44</v>
      </c>
      <c r="M3101">
        <v>14.44</v>
      </c>
      <c r="N3101" s="5">
        <v>0.73387543892071694</v>
      </c>
      <c r="O3101" t="s">
        <v>181</v>
      </c>
      <c r="P3101" t="s">
        <v>340</v>
      </c>
      <c r="Q3101" s="10" t="s">
        <v>24</v>
      </c>
    </row>
    <row r="3102" spans="1:18" hidden="1" x14ac:dyDescent="0.25">
      <c r="A3102" s="9" t="s">
        <v>1636</v>
      </c>
      <c r="B3102" s="3" t="s">
        <v>2063</v>
      </c>
      <c r="C3102" s="10">
        <v>12</v>
      </c>
      <c r="D3102" s="10">
        <v>12</v>
      </c>
      <c r="E3102" s="10">
        <v>19</v>
      </c>
      <c r="F3102" t="s">
        <v>155</v>
      </c>
      <c r="G3102" t="s">
        <v>155</v>
      </c>
      <c r="H3102" t="s">
        <v>131</v>
      </c>
      <c r="I3102" t="s">
        <v>27</v>
      </c>
      <c r="J3102" s="4">
        <v>13.58</v>
      </c>
      <c r="K3102">
        <v>2</v>
      </c>
      <c r="L3102">
        <v>13.58</v>
      </c>
      <c r="M3102">
        <v>27.16</v>
      </c>
      <c r="N3102" s="5">
        <v>1.3803363518758083</v>
      </c>
      <c r="O3102" t="s">
        <v>181</v>
      </c>
      <c r="P3102" t="s">
        <v>340</v>
      </c>
      <c r="Q3102" s="10" t="s">
        <v>24</v>
      </c>
      <c r="R3102" t="s">
        <v>2050</v>
      </c>
    </row>
    <row r="3103" spans="1:18" hidden="1" x14ac:dyDescent="0.25">
      <c r="A3103" s="9" t="s">
        <v>1636</v>
      </c>
      <c r="B3103" s="3" t="s">
        <v>2063</v>
      </c>
      <c r="C3103" s="10">
        <v>12</v>
      </c>
      <c r="D3103" s="10">
        <v>12</v>
      </c>
      <c r="E3103" s="10">
        <v>19</v>
      </c>
      <c r="F3103" t="s">
        <v>110</v>
      </c>
      <c r="G3103" t="s">
        <v>889</v>
      </c>
      <c r="H3103" t="s">
        <v>56</v>
      </c>
      <c r="I3103" t="s">
        <v>27</v>
      </c>
      <c r="J3103" s="4">
        <v>28.2</v>
      </c>
      <c r="K3103">
        <v>0.49399999999999999</v>
      </c>
      <c r="L3103">
        <v>28.2</v>
      </c>
      <c r="M3103">
        <v>13.9308</v>
      </c>
      <c r="N3103" s="5">
        <v>0.70799667344298634</v>
      </c>
      <c r="O3103" t="s">
        <v>181</v>
      </c>
      <c r="P3103" t="s">
        <v>340</v>
      </c>
      <c r="Q3103" s="10" t="s">
        <v>24</v>
      </c>
    </row>
    <row r="3104" spans="1:18" hidden="1" x14ac:dyDescent="0.25">
      <c r="A3104" s="9" t="s">
        <v>1636</v>
      </c>
      <c r="B3104" s="3" t="s">
        <v>2063</v>
      </c>
      <c r="C3104" s="10">
        <v>12</v>
      </c>
      <c r="D3104" s="10">
        <v>12</v>
      </c>
      <c r="E3104" s="10">
        <v>19</v>
      </c>
      <c r="F3104" t="s">
        <v>217</v>
      </c>
      <c r="G3104" t="s">
        <v>25</v>
      </c>
      <c r="H3104" t="s">
        <v>26</v>
      </c>
      <c r="I3104" t="s">
        <v>27</v>
      </c>
      <c r="J3104" s="4">
        <v>26.31</v>
      </c>
      <c r="K3104">
        <v>1</v>
      </c>
      <c r="L3104">
        <v>26.31</v>
      </c>
      <c r="M3104">
        <v>26.31</v>
      </c>
      <c r="N3104" s="5">
        <v>1.3371373128811677</v>
      </c>
      <c r="O3104" t="s">
        <v>181</v>
      </c>
      <c r="P3104" t="s">
        <v>340</v>
      </c>
      <c r="Q3104" s="10" t="s">
        <v>24</v>
      </c>
    </row>
    <row r="3105" spans="1:18" hidden="1" x14ac:dyDescent="0.25">
      <c r="A3105" s="9" t="s">
        <v>1636</v>
      </c>
      <c r="B3105" s="3" t="s">
        <v>2063</v>
      </c>
      <c r="C3105" s="10">
        <v>12</v>
      </c>
      <c r="D3105" s="10">
        <v>12</v>
      </c>
      <c r="E3105" s="10">
        <v>19</v>
      </c>
      <c r="F3105" t="s">
        <v>2048</v>
      </c>
      <c r="G3105" t="s">
        <v>708</v>
      </c>
      <c r="H3105" t="s">
        <v>131</v>
      </c>
      <c r="I3105" t="s">
        <v>27</v>
      </c>
      <c r="J3105" s="4">
        <v>44.08</v>
      </c>
      <c r="K3105">
        <v>1</v>
      </c>
      <c r="L3105">
        <v>44.08</v>
      </c>
      <c r="M3105">
        <v>44.08</v>
      </c>
      <c r="N3105" s="5">
        <v>2.2402513398632413</v>
      </c>
      <c r="O3105" t="s">
        <v>181</v>
      </c>
      <c r="P3105" t="s">
        <v>340</v>
      </c>
      <c r="Q3105" s="10" t="s">
        <v>24</v>
      </c>
    </row>
    <row r="3106" spans="1:18" hidden="1" x14ac:dyDescent="0.25">
      <c r="A3106" s="9" t="s">
        <v>1636</v>
      </c>
      <c r="B3106" s="3" t="s">
        <v>2063</v>
      </c>
      <c r="C3106" s="10">
        <v>12</v>
      </c>
      <c r="D3106" s="10">
        <v>12</v>
      </c>
      <c r="E3106" s="10">
        <v>19</v>
      </c>
      <c r="F3106" t="s">
        <v>2049</v>
      </c>
      <c r="G3106" t="s">
        <v>708</v>
      </c>
      <c r="H3106" t="s">
        <v>131</v>
      </c>
      <c r="I3106" t="s">
        <v>27</v>
      </c>
      <c r="J3106" s="4">
        <v>45.03</v>
      </c>
      <c r="K3106">
        <v>1</v>
      </c>
      <c r="L3106">
        <v>45.03</v>
      </c>
      <c r="M3106">
        <v>45.03</v>
      </c>
      <c r="N3106" s="5">
        <v>2.288532618739604</v>
      </c>
      <c r="O3106" t="s">
        <v>181</v>
      </c>
      <c r="P3106" t="s">
        <v>340</v>
      </c>
      <c r="Q3106" s="10" t="s">
        <v>24</v>
      </c>
    </row>
    <row r="3107" spans="1:18" hidden="1" x14ac:dyDescent="0.25">
      <c r="A3107" s="9" t="s">
        <v>1636</v>
      </c>
      <c r="B3107" s="3" t="s">
        <v>2063</v>
      </c>
      <c r="C3107" s="10">
        <v>12</v>
      </c>
      <c r="D3107" s="10">
        <v>12</v>
      </c>
      <c r="E3107" s="10">
        <v>19</v>
      </c>
      <c r="F3107" t="s">
        <v>1185</v>
      </c>
      <c r="G3107" t="s">
        <v>889</v>
      </c>
      <c r="H3107" t="s">
        <v>73</v>
      </c>
      <c r="I3107" t="s">
        <v>27</v>
      </c>
      <c r="J3107" s="4">
        <v>24.23</v>
      </c>
      <c r="K3107">
        <v>1</v>
      </c>
      <c r="L3107">
        <v>24.23</v>
      </c>
      <c r="M3107">
        <v>24.23</v>
      </c>
      <c r="N3107" s="5">
        <v>1.2314267233413416</v>
      </c>
      <c r="O3107" t="s">
        <v>181</v>
      </c>
      <c r="P3107" t="s">
        <v>340</v>
      </c>
      <c r="Q3107" s="10" t="s">
        <v>24</v>
      </c>
    </row>
    <row r="3108" spans="1:18" hidden="1" x14ac:dyDescent="0.25">
      <c r="A3108" s="9" t="s">
        <v>1636</v>
      </c>
      <c r="B3108" s="3" t="s">
        <v>2056</v>
      </c>
      <c r="C3108" s="10">
        <v>13</v>
      </c>
      <c r="D3108" s="10">
        <v>12</v>
      </c>
      <c r="E3108" s="10">
        <v>19</v>
      </c>
      <c r="F3108" t="s">
        <v>166</v>
      </c>
      <c r="G3108" t="s">
        <v>77</v>
      </c>
      <c r="H3108" t="s">
        <v>26</v>
      </c>
      <c r="I3108" t="s">
        <v>27</v>
      </c>
      <c r="J3108" s="4">
        <v>20</v>
      </c>
      <c r="K3108">
        <v>1</v>
      </c>
      <c r="L3108">
        <v>20</v>
      </c>
      <c r="M3108">
        <v>20</v>
      </c>
      <c r="N3108" s="5">
        <v>1.0164479763444834</v>
      </c>
      <c r="O3108" t="s">
        <v>101</v>
      </c>
      <c r="P3108" t="s">
        <v>340</v>
      </c>
      <c r="Q3108" s="10" t="s">
        <v>24</v>
      </c>
    </row>
    <row r="3109" spans="1:18" hidden="1" x14ac:dyDescent="0.25">
      <c r="A3109" s="9" t="s">
        <v>1636</v>
      </c>
      <c r="B3109" s="3" t="s">
        <v>2057</v>
      </c>
      <c r="C3109" s="10">
        <v>14</v>
      </c>
      <c r="D3109" s="10">
        <v>12</v>
      </c>
      <c r="E3109" s="10">
        <v>19</v>
      </c>
      <c r="F3109" t="s">
        <v>1325</v>
      </c>
      <c r="G3109" t="s">
        <v>304</v>
      </c>
      <c r="H3109" t="s">
        <v>49</v>
      </c>
      <c r="I3109" t="s">
        <v>79</v>
      </c>
      <c r="J3109" s="4">
        <v>108</v>
      </c>
      <c r="K3109">
        <v>1</v>
      </c>
      <c r="L3109">
        <v>108</v>
      </c>
      <c r="M3109">
        <v>108</v>
      </c>
      <c r="N3109" s="5">
        <v>5.4888190722602097</v>
      </c>
      <c r="O3109" t="s">
        <v>2020</v>
      </c>
      <c r="P3109" t="s">
        <v>340</v>
      </c>
      <c r="Q3109" s="10" t="s">
        <v>24</v>
      </c>
    </row>
    <row r="3110" spans="1:18" hidden="1" x14ac:dyDescent="0.25">
      <c r="A3110" s="9" t="s">
        <v>1636</v>
      </c>
      <c r="B3110" s="3" t="s">
        <v>2057</v>
      </c>
      <c r="C3110" s="10">
        <v>14</v>
      </c>
      <c r="D3110" s="10">
        <v>12</v>
      </c>
      <c r="E3110" s="10">
        <v>19</v>
      </c>
      <c r="F3110" t="s">
        <v>1036</v>
      </c>
      <c r="G3110" t="s">
        <v>889</v>
      </c>
      <c r="H3110" t="s">
        <v>38</v>
      </c>
      <c r="I3110" t="s">
        <v>27</v>
      </c>
      <c r="J3110" s="4">
        <v>126</v>
      </c>
      <c r="K3110">
        <v>0.21199999999999999</v>
      </c>
      <c r="L3110">
        <v>126</v>
      </c>
      <c r="M3110">
        <v>26.712</v>
      </c>
      <c r="N3110" s="5">
        <v>1.3575679172056918</v>
      </c>
      <c r="O3110" t="s">
        <v>100</v>
      </c>
      <c r="P3110" t="s">
        <v>340</v>
      </c>
      <c r="Q3110" s="10" t="s">
        <v>24</v>
      </c>
    </row>
    <row r="3111" spans="1:18" hidden="1" x14ac:dyDescent="0.25">
      <c r="A3111" s="9" t="s">
        <v>1636</v>
      </c>
      <c r="B3111" s="3" t="s">
        <v>2055</v>
      </c>
      <c r="C3111" s="10">
        <v>15</v>
      </c>
      <c r="D3111" s="10">
        <v>12</v>
      </c>
      <c r="E3111" s="10">
        <v>19</v>
      </c>
      <c r="F3111" t="s">
        <v>141</v>
      </c>
      <c r="G3111" t="s">
        <v>889</v>
      </c>
      <c r="H3111" t="s">
        <v>172</v>
      </c>
      <c r="I3111" t="s">
        <v>39</v>
      </c>
      <c r="J3111" s="4">
        <v>2</v>
      </c>
      <c r="K3111">
        <v>4</v>
      </c>
      <c r="L3111">
        <v>2</v>
      </c>
      <c r="M3111">
        <v>8</v>
      </c>
      <c r="N3111" s="5">
        <v>0.40657919053779334</v>
      </c>
      <c r="O3111" t="s">
        <v>39</v>
      </c>
      <c r="P3111" t="s">
        <v>340</v>
      </c>
      <c r="Q3111" s="10" t="s">
        <v>24</v>
      </c>
    </row>
    <row r="3112" spans="1:18" hidden="1" x14ac:dyDescent="0.25">
      <c r="A3112" s="9" t="s">
        <v>1636</v>
      </c>
      <c r="B3112" s="3" t="s">
        <v>2055</v>
      </c>
      <c r="C3112" s="10">
        <v>15</v>
      </c>
      <c r="D3112" s="10">
        <v>12</v>
      </c>
      <c r="E3112" s="10">
        <v>19</v>
      </c>
      <c r="F3112" t="s">
        <v>141</v>
      </c>
      <c r="G3112" t="s">
        <v>889</v>
      </c>
      <c r="H3112" t="s">
        <v>172</v>
      </c>
      <c r="I3112" t="s">
        <v>39</v>
      </c>
      <c r="J3112" s="4">
        <v>3</v>
      </c>
      <c r="K3112">
        <v>3</v>
      </c>
      <c r="L3112">
        <v>3</v>
      </c>
      <c r="M3112">
        <v>9</v>
      </c>
      <c r="N3112" s="5">
        <v>0.45740158935501751</v>
      </c>
      <c r="O3112" t="s">
        <v>39</v>
      </c>
      <c r="P3112" t="s">
        <v>340</v>
      </c>
      <c r="Q3112" s="10" t="s">
        <v>24</v>
      </c>
    </row>
    <row r="3113" spans="1:18" hidden="1" x14ac:dyDescent="0.25">
      <c r="A3113" s="9" t="s">
        <v>1636</v>
      </c>
      <c r="B3113" s="3" t="s">
        <v>2055</v>
      </c>
      <c r="C3113" s="10">
        <v>15</v>
      </c>
      <c r="D3113" s="10">
        <v>12</v>
      </c>
      <c r="E3113" s="10">
        <v>19</v>
      </c>
      <c r="F3113" t="s">
        <v>200</v>
      </c>
      <c r="G3113" t="s">
        <v>77</v>
      </c>
      <c r="H3113" t="s">
        <v>26</v>
      </c>
      <c r="I3113" t="s">
        <v>27</v>
      </c>
      <c r="J3113" s="4">
        <v>14.6</v>
      </c>
      <c r="K3113">
        <v>1</v>
      </c>
      <c r="L3113">
        <v>14.6</v>
      </c>
      <c r="M3113">
        <v>14.6</v>
      </c>
      <c r="N3113" s="5">
        <v>0.74200702273147279</v>
      </c>
      <c r="O3113" t="s">
        <v>101</v>
      </c>
      <c r="P3113" t="s">
        <v>340</v>
      </c>
      <c r="Q3113" s="10" t="s">
        <v>24</v>
      </c>
    </row>
    <row r="3114" spans="1:18" hidden="1" x14ac:dyDescent="0.25">
      <c r="A3114" s="9" t="s">
        <v>1636</v>
      </c>
      <c r="B3114" s="3" t="s">
        <v>2055</v>
      </c>
      <c r="C3114" s="10">
        <v>15</v>
      </c>
      <c r="D3114" s="10">
        <v>12</v>
      </c>
      <c r="E3114" s="10">
        <v>19</v>
      </c>
      <c r="F3114" t="s">
        <v>2038</v>
      </c>
      <c r="G3114" t="s">
        <v>33</v>
      </c>
      <c r="H3114" t="s">
        <v>35</v>
      </c>
      <c r="I3114" t="s">
        <v>27</v>
      </c>
      <c r="J3114" s="4">
        <v>120.6</v>
      </c>
      <c r="K3114">
        <v>0.59599999999999997</v>
      </c>
      <c r="L3114">
        <v>120.6</v>
      </c>
      <c r="M3114">
        <v>71.877599999999987</v>
      </c>
      <c r="N3114" s="5">
        <v>3.6529920532249109</v>
      </c>
      <c r="O3114" t="s">
        <v>100</v>
      </c>
      <c r="P3114" t="s">
        <v>340</v>
      </c>
      <c r="Q3114" s="10" t="s">
        <v>24</v>
      </c>
    </row>
    <row r="3115" spans="1:18" hidden="1" x14ac:dyDescent="0.25">
      <c r="A3115" s="9" t="s">
        <v>1636</v>
      </c>
      <c r="B3115" s="3" t="s">
        <v>2055</v>
      </c>
      <c r="C3115" s="10">
        <v>15</v>
      </c>
      <c r="D3115" s="10">
        <v>12</v>
      </c>
      <c r="E3115" s="10">
        <v>19</v>
      </c>
      <c r="F3115" t="s">
        <v>104</v>
      </c>
      <c r="G3115" t="s">
        <v>889</v>
      </c>
      <c r="H3115" t="s">
        <v>1748</v>
      </c>
      <c r="I3115" t="s">
        <v>72</v>
      </c>
      <c r="J3115" s="4">
        <v>23.45</v>
      </c>
      <c r="K3115">
        <v>1</v>
      </c>
      <c r="L3115">
        <v>23.45</v>
      </c>
      <c r="M3115">
        <v>23.45</v>
      </c>
      <c r="N3115" s="5">
        <v>1.1917852522639067</v>
      </c>
      <c r="O3115" t="s">
        <v>283</v>
      </c>
      <c r="P3115" t="s">
        <v>340</v>
      </c>
      <c r="Q3115" s="10" t="s">
        <v>24</v>
      </c>
      <c r="R3115" t="s">
        <v>2051</v>
      </c>
    </row>
    <row r="3116" spans="1:18" hidden="1" x14ac:dyDescent="0.25">
      <c r="A3116" s="9" t="s">
        <v>1636</v>
      </c>
      <c r="B3116" s="3" t="s">
        <v>2055</v>
      </c>
      <c r="C3116" s="10">
        <v>15</v>
      </c>
      <c r="D3116" s="10">
        <v>12</v>
      </c>
      <c r="E3116" s="10">
        <v>19</v>
      </c>
      <c r="F3116" t="s">
        <v>997</v>
      </c>
      <c r="G3116" t="s">
        <v>889</v>
      </c>
      <c r="H3116" t="s">
        <v>54</v>
      </c>
      <c r="I3116" t="s">
        <v>27</v>
      </c>
      <c r="J3116" s="4">
        <v>10</v>
      </c>
      <c r="K3116">
        <v>1</v>
      </c>
      <c r="L3116">
        <v>10</v>
      </c>
      <c r="M3116">
        <v>10</v>
      </c>
      <c r="N3116" s="5">
        <v>0.50822398817224168</v>
      </c>
      <c r="O3116" t="s">
        <v>593</v>
      </c>
      <c r="P3116" t="s">
        <v>340</v>
      </c>
      <c r="Q3116" s="10" t="s">
        <v>24</v>
      </c>
    </row>
    <row r="3117" spans="1:18" hidden="1" x14ac:dyDescent="0.25">
      <c r="A3117" s="9" t="s">
        <v>1636</v>
      </c>
      <c r="B3117" s="3" t="s">
        <v>2055</v>
      </c>
      <c r="C3117" s="10">
        <v>15</v>
      </c>
      <c r="D3117" s="10">
        <v>12</v>
      </c>
      <c r="E3117" s="10">
        <v>19</v>
      </c>
      <c r="F3117" t="s">
        <v>174</v>
      </c>
      <c r="G3117" t="s">
        <v>889</v>
      </c>
      <c r="H3117" t="s">
        <v>54</v>
      </c>
      <c r="I3117" t="s">
        <v>27</v>
      </c>
      <c r="J3117" s="4">
        <v>8</v>
      </c>
      <c r="K3117">
        <v>1</v>
      </c>
      <c r="L3117">
        <v>8</v>
      </c>
      <c r="M3117">
        <v>8</v>
      </c>
      <c r="N3117" s="5">
        <v>0.40657919053779334</v>
      </c>
      <c r="O3117" t="s">
        <v>593</v>
      </c>
      <c r="P3117" t="s">
        <v>340</v>
      </c>
      <c r="Q3117" s="10" t="s">
        <v>24</v>
      </c>
    </row>
    <row r="3118" spans="1:18" hidden="1" x14ac:dyDescent="0.25">
      <c r="A3118" s="9" t="s">
        <v>1636</v>
      </c>
      <c r="B3118" s="3" t="s">
        <v>2055</v>
      </c>
      <c r="C3118" s="10">
        <v>15</v>
      </c>
      <c r="D3118" s="10">
        <v>12</v>
      </c>
      <c r="E3118" s="10">
        <v>19</v>
      </c>
      <c r="F3118" t="s">
        <v>203</v>
      </c>
      <c r="G3118" t="s">
        <v>889</v>
      </c>
      <c r="H3118" t="s">
        <v>54</v>
      </c>
      <c r="I3118" t="s">
        <v>27</v>
      </c>
      <c r="J3118" s="4">
        <v>20</v>
      </c>
      <c r="K3118">
        <v>1</v>
      </c>
      <c r="L3118">
        <v>20</v>
      </c>
      <c r="M3118">
        <v>20</v>
      </c>
      <c r="N3118" s="5">
        <v>1.0164479763444834</v>
      </c>
      <c r="O3118" t="s">
        <v>593</v>
      </c>
      <c r="P3118" t="s">
        <v>340</v>
      </c>
      <c r="Q3118" s="10" t="s">
        <v>24</v>
      </c>
    </row>
    <row r="3119" spans="1:18" hidden="1" x14ac:dyDescent="0.25">
      <c r="A3119" s="9" t="s">
        <v>1636</v>
      </c>
      <c r="B3119" s="3" t="s">
        <v>2055</v>
      </c>
      <c r="C3119" s="10">
        <v>15</v>
      </c>
      <c r="D3119" s="10">
        <v>12</v>
      </c>
      <c r="E3119" s="10">
        <v>19</v>
      </c>
      <c r="F3119" t="s">
        <v>177</v>
      </c>
      <c r="G3119" t="s">
        <v>889</v>
      </c>
      <c r="H3119" t="s">
        <v>56</v>
      </c>
      <c r="I3119" t="s">
        <v>27</v>
      </c>
      <c r="J3119" s="4">
        <v>21</v>
      </c>
      <c r="K3119">
        <v>1</v>
      </c>
      <c r="L3119">
        <v>21</v>
      </c>
      <c r="M3119">
        <v>21</v>
      </c>
      <c r="N3119" s="5">
        <v>1.0672703751617074</v>
      </c>
      <c r="O3119" t="s">
        <v>593</v>
      </c>
      <c r="P3119" t="s">
        <v>340</v>
      </c>
      <c r="Q3119" s="10" t="s">
        <v>24</v>
      </c>
    </row>
    <row r="3120" spans="1:18" hidden="1" x14ac:dyDescent="0.25">
      <c r="A3120" s="9" t="s">
        <v>1636</v>
      </c>
      <c r="B3120" s="3" t="s">
        <v>2055</v>
      </c>
      <c r="C3120" s="10">
        <v>15</v>
      </c>
      <c r="D3120" s="10">
        <v>12</v>
      </c>
      <c r="E3120" s="10">
        <v>19</v>
      </c>
      <c r="F3120" t="s">
        <v>2242</v>
      </c>
      <c r="G3120" t="s">
        <v>345</v>
      </c>
      <c r="H3120" t="s">
        <v>26</v>
      </c>
      <c r="I3120" t="s">
        <v>27</v>
      </c>
      <c r="J3120" s="4">
        <v>6.75</v>
      </c>
      <c r="K3120">
        <v>1</v>
      </c>
      <c r="L3120">
        <v>6.75</v>
      </c>
      <c r="M3120">
        <v>6.75</v>
      </c>
      <c r="N3120" s="5">
        <v>0.34305119201626311</v>
      </c>
      <c r="O3120" t="s">
        <v>1472</v>
      </c>
      <c r="P3120" t="s">
        <v>340</v>
      </c>
      <c r="Q3120" s="10" t="s">
        <v>24</v>
      </c>
    </row>
    <row r="3121" spans="1:18" hidden="1" x14ac:dyDescent="0.25">
      <c r="A3121" s="9" t="s">
        <v>1636</v>
      </c>
      <c r="B3121" s="3" t="s">
        <v>2055</v>
      </c>
      <c r="C3121" s="10">
        <v>15</v>
      </c>
      <c r="D3121" s="10">
        <v>12</v>
      </c>
      <c r="E3121" s="10">
        <v>19</v>
      </c>
      <c r="F3121" t="s">
        <v>55</v>
      </c>
      <c r="G3121" t="s">
        <v>889</v>
      </c>
      <c r="H3121" t="s">
        <v>56</v>
      </c>
      <c r="I3121" t="s">
        <v>27</v>
      </c>
      <c r="J3121" s="4">
        <v>19.46</v>
      </c>
      <c r="K3121">
        <v>1.0720000000000001</v>
      </c>
      <c r="L3121">
        <v>19.46</v>
      </c>
      <c r="M3121">
        <v>20.861120000000003</v>
      </c>
      <c r="N3121" s="5">
        <v>1.0602121604139716</v>
      </c>
      <c r="O3121" t="s">
        <v>1472</v>
      </c>
      <c r="P3121" t="s">
        <v>340</v>
      </c>
      <c r="Q3121" s="10" t="s">
        <v>24</v>
      </c>
    </row>
    <row r="3122" spans="1:18" hidden="1" x14ac:dyDescent="0.25">
      <c r="A3122" s="9" t="s">
        <v>1636</v>
      </c>
      <c r="B3122" s="3" t="s">
        <v>2055</v>
      </c>
      <c r="C3122" s="10">
        <v>15</v>
      </c>
      <c r="D3122" s="10">
        <v>12</v>
      </c>
      <c r="E3122" s="10">
        <v>19</v>
      </c>
      <c r="F3122" t="s">
        <v>1123</v>
      </c>
      <c r="G3122" t="s">
        <v>77</v>
      </c>
      <c r="H3122" t="s">
        <v>26</v>
      </c>
      <c r="I3122" t="s">
        <v>27</v>
      </c>
      <c r="J3122" s="4">
        <v>38.1</v>
      </c>
      <c r="K3122">
        <v>1</v>
      </c>
      <c r="L3122">
        <v>38.1</v>
      </c>
      <c r="M3122">
        <v>38.1</v>
      </c>
      <c r="N3122" s="5">
        <v>1.9363333949362407</v>
      </c>
      <c r="O3122" t="s">
        <v>1472</v>
      </c>
      <c r="P3122" t="s">
        <v>340</v>
      </c>
      <c r="Q3122" s="10" t="s">
        <v>24</v>
      </c>
    </row>
    <row r="3123" spans="1:18" hidden="1" x14ac:dyDescent="0.25">
      <c r="A3123" s="9" t="s">
        <v>1636</v>
      </c>
      <c r="B3123" s="3" t="s">
        <v>2055</v>
      </c>
      <c r="C3123" s="10">
        <v>15</v>
      </c>
      <c r="D3123" s="10">
        <v>12</v>
      </c>
      <c r="E3123" s="10">
        <v>19</v>
      </c>
      <c r="F3123" t="s">
        <v>1376</v>
      </c>
      <c r="G3123" t="s">
        <v>889</v>
      </c>
      <c r="H3123" t="s">
        <v>131</v>
      </c>
      <c r="I3123" t="s">
        <v>27</v>
      </c>
      <c r="J3123" s="4">
        <v>274.35000000000002</v>
      </c>
      <c r="K3123">
        <v>0.2</v>
      </c>
      <c r="L3123">
        <v>274.35000000000002</v>
      </c>
      <c r="M3123">
        <v>54.870000000000005</v>
      </c>
      <c r="N3123" s="5">
        <v>2.7886250231010901</v>
      </c>
      <c r="O3123" t="s">
        <v>88</v>
      </c>
      <c r="P3123" t="s">
        <v>340</v>
      </c>
      <c r="Q3123" s="10" t="s">
        <v>24</v>
      </c>
    </row>
    <row r="3124" spans="1:18" hidden="1" x14ac:dyDescent="0.25">
      <c r="A3124" s="9" t="s">
        <v>1636</v>
      </c>
      <c r="B3124" s="3" t="s">
        <v>2055</v>
      </c>
      <c r="C3124" s="10">
        <v>15</v>
      </c>
      <c r="D3124" s="10">
        <v>12</v>
      </c>
      <c r="E3124" s="10">
        <v>19</v>
      </c>
      <c r="F3124" t="s">
        <v>131</v>
      </c>
      <c r="G3124" t="s">
        <v>889</v>
      </c>
      <c r="H3124" t="s">
        <v>131</v>
      </c>
      <c r="I3124" t="s">
        <v>27</v>
      </c>
      <c r="J3124" s="4">
        <v>200.5</v>
      </c>
      <c r="K3124">
        <v>0.13200000000000001</v>
      </c>
      <c r="L3124">
        <v>200.5</v>
      </c>
      <c r="M3124">
        <v>26.466000000000001</v>
      </c>
      <c r="N3124" s="5">
        <v>1.3450656070966549</v>
      </c>
      <c r="O3124" t="s">
        <v>88</v>
      </c>
      <c r="P3124" t="s">
        <v>340</v>
      </c>
      <c r="Q3124" s="10" t="s">
        <v>84</v>
      </c>
    </row>
    <row r="3125" spans="1:18" hidden="1" x14ac:dyDescent="0.25">
      <c r="A3125" s="9" t="s">
        <v>1636</v>
      </c>
      <c r="B3125" s="3" t="s">
        <v>2055</v>
      </c>
      <c r="C3125" s="10">
        <v>15</v>
      </c>
      <c r="D3125" s="10">
        <v>12</v>
      </c>
      <c r="E3125" s="10">
        <v>19</v>
      </c>
      <c r="F3125" t="s">
        <v>131</v>
      </c>
      <c r="G3125" t="s">
        <v>889</v>
      </c>
      <c r="H3125" t="s">
        <v>131</v>
      </c>
      <c r="I3125" t="s">
        <v>27</v>
      </c>
      <c r="J3125" s="4">
        <v>174.7</v>
      </c>
      <c r="K3125">
        <v>9.1999999999999998E-2</v>
      </c>
      <c r="L3125">
        <v>174.7</v>
      </c>
      <c r="M3125">
        <v>16.072399999999998</v>
      </c>
      <c r="N3125" s="5">
        <v>0.81683792274995359</v>
      </c>
      <c r="O3125" t="s">
        <v>88</v>
      </c>
      <c r="P3125" t="s">
        <v>340</v>
      </c>
      <c r="Q3125" s="10" t="s">
        <v>84</v>
      </c>
    </row>
    <row r="3126" spans="1:18" hidden="1" x14ac:dyDescent="0.25">
      <c r="A3126" s="9" t="s">
        <v>1636</v>
      </c>
      <c r="B3126" s="3" t="s">
        <v>2058</v>
      </c>
      <c r="C3126" s="10">
        <v>16</v>
      </c>
      <c r="D3126" s="10">
        <v>12</v>
      </c>
      <c r="E3126" s="10">
        <v>19</v>
      </c>
      <c r="F3126" t="s">
        <v>2039</v>
      </c>
      <c r="G3126" t="s">
        <v>889</v>
      </c>
      <c r="H3126" t="s">
        <v>54</v>
      </c>
      <c r="I3126" t="s">
        <v>27</v>
      </c>
      <c r="J3126" s="4">
        <v>16.600000000000001</v>
      </c>
      <c r="K3126">
        <v>0.61599999999999999</v>
      </c>
      <c r="L3126">
        <v>16.600000000000001</v>
      </c>
      <c r="M3126">
        <v>10.2256</v>
      </c>
      <c r="N3126" s="5">
        <v>0.51968952134540747</v>
      </c>
      <c r="O3126" t="s">
        <v>100</v>
      </c>
      <c r="P3126" t="s">
        <v>340</v>
      </c>
      <c r="Q3126" s="10" t="s">
        <v>24</v>
      </c>
    </row>
    <row r="3127" spans="1:18" hidden="1" x14ac:dyDescent="0.25">
      <c r="A3127" s="9" t="s">
        <v>1636</v>
      </c>
      <c r="B3127" s="3" t="s">
        <v>2058</v>
      </c>
      <c r="C3127" s="10">
        <v>16</v>
      </c>
      <c r="D3127" s="10">
        <v>12</v>
      </c>
      <c r="E3127" s="10">
        <v>19</v>
      </c>
      <c r="F3127" t="s">
        <v>2094</v>
      </c>
      <c r="G3127" t="s">
        <v>889</v>
      </c>
      <c r="H3127" t="s">
        <v>889</v>
      </c>
      <c r="I3127" t="s">
        <v>431</v>
      </c>
      <c r="J3127" s="4">
        <v>115</v>
      </c>
      <c r="K3127">
        <v>1</v>
      </c>
      <c r="L3127">
        <v>115</v>
      </c>
      <c r="M3127">
        <v>115</v>
      </c>
      <c r="N3127" s="5">
        <v>5.8445758639807792</v>
      </c>
      <c r="O3127" t="s">
        <v>376</v>
      </c>
      <c r="P3127" t="s">
        <v>340</v>
      </c>
      <c r="Q3127" s="10" t="s">
        <v>2093</v>
      </c>
    </row>
    <row r="3128" spans="1:18" hidden="1" x14ac:dyDescent="0.25">
      <c r="A3128" s="9" t="s">
        <v>1636</v>
      </c>
      <c r="B3128" s="3" t="s">
        <v>2058</v>
      </c>
      <c r="C3128" s="10">
        <v>16</v>
      </c>
      <c r="D3128" s="10">
        <v>12</v>
      </c>
      <c r="E3128" s="10">
        <v>19</v>
      </c>
      <c r="F3128" t="s">
        <v>2094</v>
      </c>
      <c r="G3128" t="s">
        <v>889</v>
      </c>
      <c r="H3128" t="s">
        <v>889</v>
      </c>
      <c r="I3128" t="s">
        <v>431</v>
      </c>
      <c r="J3128" s="4">
        <v>95</v>
      </c>
      <c r="K3128">
        <v>2</v>
      </c>
      <c r="L3128">
        <v>95</v>
      </c>
      <c r="M3128">
        <v>190</v>
      </c>
      <c r="N3128" s="5">
        <v>9.6562557752725908</v>
      </c>
      <c r="O3128" t="s">
        <v>376</v>
      </c>
      <c r="P3128" t="s">
        <v>340</v>
      </c>
      <c r="Q3128" s="10" t="s">
        <v>2093</v>
      </c>
    </row>
    <row r="3129" spans="1:18" hidden="1" x14ac:dyDescent="0.25">
      <c r="A3129" s="9" t="s">
        <v>1636</v>
      </c>
      <c r="B3129" s="3" t="s">
        <v>2058</v>
      </c>
      <c r="C3129" s="10">
        <v>16</v>
      </c>
      <c r="D3129" s="10">
        <v>12</v>
      </c>
      <c r="E3129" s="10">
        <v>19</v>
      </c>
      <c r="F3129" t="s">
        <v>2095</v>
      </c>
      <c r="G3129" t="s">
        <v>889</v>
      </c>
      <c r="H3129" t="s">
        <v>889</v>
      </c>
      <c r="I3129" t="s">
        <v>431</v>
      </c>
      <c r="J3129" s="4">
        <v>65</v>
      </c>
      <c r="K3129">
        <v>1</v>
      </c>
      <c r="L3129">
        <v>65</v>
      </c>
      <c r="M3129">
        <v>65</v>
      </c>
      <c r="N3129" s="5">
        <v>3.3034559231195706</v>
      </c>
      <c r="O3129" t="s">
        <v>376</v>
      </c>
      <c r="P3129" t="s">
        <v>340</v>
      </c>
      <c r="Q3129" s="10" t="s">
        <v>2093</v>
      </c>
    </row>
    <row r="3130" spans="1:18" hidden="1" x14ac:dyDescent="0.25">
      <c r="A3130" s="9" t="s">
        <v>1636</v>
      </c>
      <c r="B3130" s="3" t="s">
        <v>2058</v>
      </c>
      <c r="C3130" s="10">
        <v>16</v>
      </c>
      <c r="D3130" s="10">
        <v>12</v>
      </c>
      <c r="E3130" s="10">
        <v>19</v>
      </c>
      <c r="F3130" t="s">
        <v>2095</v>
      </c>
      <c r="G3130" t="s">
        <v>889</v>
      </c>
      <c r="H3130" t="s">
        <v>889</v>
      </c>
      <c r="I3130" t="s">
        <v>431</v>
      </c>
      <c r="J3130" s="4">
        <v>75</v>
      </c>
      <c r="K3130">
        <v>1</v>
      </c>
      <c r="L3130">
        <v>75</v>
      </c>
      <c r="M3130">
        <v>75</v>
      </c>
      <c r="N3130" s="5">
        <v>3.8116799112918125</v>
      </c>
      <c r="O3130" t="s">
        <v>376</v>
      </c>
      <c r="P3130" t="s">
        <v>340</v>
      </c>
      <c r="Q3130" s="10" t="s">
        <v>2093</v>
      </c>
    </row>
    <row r="3131" spans="1:18" hidden="1" x14ac:dyDescent="0.25">
      <c r="A3131" s="9" t="s">
        <v>1636</v>
      </c>
      <c r="B3131" s="3" t="s">
        <v>2058</v>
      </c>
      <c r="C3131" s="10">
        <v>16</v>
      </c>
      <c r="D3131" s="10">
        <v>12</v>
      </c>
      <c r="E3131" s="10">
        <v>19</v>
      </c>
      <c r="F3131" t="s">
        <v>2096</v>
      </c>
      <c r="G3131" t="s">
        <v>889</v>
      </c>
      <c r="H3131" t="s">
        <v>889</v>
      </c>
      <c r="I3131" t="s">
        <v>431</v>
      </c>
      <c r="J3131" s="4">
        <v>25</v>
      </c>
      <c r="K3131">
        <v>2</v>
      </c>
      <c r="L3131">
        <v>25</v>
      </c>
      <c r="M3131">
        <v>50</v>
      </c>
      <c r="N3131" s="5">
        <v>2.5411199408612082</v>
      </c>
      <c r="O3131" t="s">
        <v>376</v>
      </c>
      <c r="P3131" t="s">
        <v>340</v>
      </c>
      <c r="Q3131" s="10" t="s">
        <v>2093</v>
      </c>
    </row>
    <row r="3132" spans="1:18" hidden="1" x14ac:dyDescent="0.25">
      <c r="A3132" s="9" t="s">
        <v>1636</v>
      </c>
      <c r="B3132" s="3" t="s">
        <v>2059</v>
      </c>
      <c r="C3132" s="10">
        <v>17</v>
      </c>
      <c r="D3132" s="10">
        <v>12</v>
      </c>
      <c r="E3132" s="10">
        <v>19</v>
      </c>
      <c r="F3132" t="s">
        <v>2040</v>
      </c>
      <c r="G3132" t="s">
        <v>465</v>
      </c>
      <c r="H3132" t="s">
        <v>35</v>
      </c>
      <c r="I3132" t="s">
        <v>27</v>
      </c>
      <c r="J3132" s="4">
        <v>95.6</v>
      </c>
      <c r="K3132">
        <v>0.222</v>
      </c>
      <c r="L3132">
        <v>95.6</v>
      </c>
      <c r="M3132">
        <v>21.223199999999999</v>
      </c>
      <c r="N3132" s="5">
        <v>1.0786139345777119</v>
      </c>
      <c r="O3132" t="s">
        <v>100</v>
      </c>
      <c r="P3132" t="s">
        <v>340</v>
      </c>
      <c r="Q3132" s="10" t="s">
        <v>24</v>
      </c>
    </row>
    <row r="3133" spans="1:18" hidden="1" x14ac:dyDescent="0.25">
      <c r="A3133" s="9" t="s">
        <v>1636</v>
      </c>
      <c r="B3133" s="3" t="s">
        <v>2059</v>
      </c>
      <c r="C3133" s="10">
        <v>17</v>
      </c>
      <c r="D3133" s="10">
        <v>12</v>
      </c>
      <c r="E3133" s="10">
        <v>19</v>
      </c>
      <c r="F3133" t="s">
        <v>141</v>
      </c>
      <c r="G3133" t="s">
        <v>889</v>
      </c>
      <c r="H3133" t="s">
        <v>172</v>
      </c>
      <c r="I3133" t="s">
        <v>39</v>
      </c>
      <c r="J3133" s="4">
        <v>2</v>
      </c>
      <c r="K3133">
        <v>4</v>
      </c>
      <c r="L3133">
        <v>2</v>
      </c>
      <c r="M3133">
        <v>8</v>
      </c>
      <c r="N3133" s="5">
        <v>0.40657919053779334</v>
      </c>
      <c r="O3133" t="s">
        <v>39</v>
      </c>
      <c r="P3133" t="s">
        <v>340</v>
      </c>
      <c r="Q3133" s="10" t="s">
        <v>24</v>
      </c>
    </row>
    <row r="3134" spans="1:18" hidden="1" x14ac:dyDescent="0.25">
      <c r="A3134" s="9" t="s">
        <v>1636</v>
      </c>
      <c r="B3134" s="3" t="s">
        <v>2059</v>
      </c>
      <c r="C3134" s="10">
        <v>17</v>
      </c>
      <c r="D3134" s="10">
        <v>12</v>
      </c>
      <c r="E3134" s="10">
        <v>19</v>
      </c>
      <c r="F3134" t="s">
        <v>2098</v>
      </c>
      <c r="G3134" t="s">
        <v>889</v>
      </c>
      <c r="H3134" t="s">
        <v>63</v>
      </c>
      <c r="I3134" t="s">
        <v>50</v>
      </c>
      <c r="J3134" s="4">
        <v>120</v>
      </c>
      <c r="K3134">
        <v>1</v>
      </c>
      <c r="L3134">
        <v>120</v>
      </c>
      <c r="M3134">
        <v>120</v>
      </c>
      <c r="N3134" s="5">
        <v>6.0986878580669002</v>
      </c>
      <c r="O3134" t="s">
        <v>688</v>
      </c>
      <c r="P3134" t="s">
        <v>340</v>
      </c>
      <c r="Q3134" s="10" t="s">
        <v>24</v>
      </c>
    </row>
    <row r="3135" spans="1:18" hidden="1" x14ac:dyDescent="0.25">
      <c r="A3135" s="9" t="s">
        <v>1636</v>
      </c>
      <c r="B3135" s="3" t="s">
        <v>2059</v>
      </c>
      <c r="C3135" s="10">
        <v>17</v>
      </c>
      <c r="D3135" s="10">
        <v>12</v>
      </c>
      <c r="E3135" s="10">
        <v>19</v>
      </c>
      <c r="F3135" t="s">
        <v>81</v>
      </c>
      <c r="G3135" t="s">
        <v>889</v>
      </c>
      <c r="H3135" t="s">
        <v>889</v>
      </c>
      <c r="I3135" t="s">
        <v>39</v>
      </c>
      <c r="J3135" s="4">
        <v>240</v>
      </c>
      <c r="K3135">
        <v>1</v>
      </c>
      <c r="L3135">
        <v>240</v>
      </c>
      <c r="M3135">
        <v>240</v>
      </c>
      <c r="N3135" s="5">
        <v>12.1973757161338</v>
      </c>
      <c r="O3135" t="s">
        <v>688</v>
      </c>
      <c r="P3135" t="s">
        <v>340</v>
      </c>
      <c r="Q3135" s="10" t="s">
        <v>24</v>
      </c>
      <c r="R3135" t="s">
        <v>2099</v>
      </c>
    </row>
    <row r="3136" spans="1:18" hidden="1" x14ac:dyDescent="0.25">
      <c r="A3136" s="9" t="s">
        <v>1636</v>
      </c>
      <c r="B3136" s="3" t="s">
        <v>2059</v>
      </c>
      <c r="C3136" s="10">
        <v>17</v>
      </c>
      <c r="D3136" s="10">
        <v>12</v>
      </c>
      <c r="E3136" s="10">
        <v>19</v>
      </c>
      <c r="F3136" t="s">
        <v>212</v>
      </c>
      <c r="G3136" t="s">
        <v>889</v>
      </c>
      <c r="H3136" t="s">
        <v>54</v>
      </c>
      <c r="I3136" t="s">
        <v>27</v>
      </c>
      <c r="J3136" s="4">
        <v>19.399999999999999</v>
      </c>
      <c r="K3136">
        <v>1</v>
      </c>
      <c r="L3136">
        <v>19.399999999999999</v>
      </c>
      <c r="M3136">
        <v>19.399999999999999</v>
      </c>
      <c r="N3136" s="5">
        <v>0.98595453705414871</v>
      </c>
      <c r="O3136" t="s">
        <v>181</v>
      </c>
      <c r="P3136" t="s">
        <v>340</v>
      </c>
      <c r="Q3136" s="10" t="s">
        <v>24</v>
      </c>
    </row>
    <row r="3137" spans="1:18" hidden="1" x14ac:dyDescent="0.25">
      <c r="A3137" s="9" t="s">
        <v>1636</v>
      </c>
      <c r="B3137" s="3" t="s">
        <v>2059</v>
      </c>
      <c r="C3137" s="10">
        <v>17</v>
      </c>
      <c r="D3137" s="10">
        <v>12</v>
      </c>
      <c r="E3137" s="10">
        <v>19</v>
      </c>
      <c r="F3137" t="s">
        <v>2102</v>
      </c>
      <c r="G3137" t="s">
        <v>889</v>
      </c>
      <c r="H3137" t="s">
        <v>40</v>
      </c>
      <c r="I3137" t="s">
        <v>27</v>
      </c>
      <c r="J3137" s="4">
        <v>7.52</v>
      </c>
      <c r="K3137">
        <v>1</v>
      </c>
      <c r="L3137">
        <v>7.52</v>
      </c>
      <c r="M3137">
        <v>7.52</v>
      </c>
      <c r="N3137" s="5">
        <v>0.38218443910552569</v>
      </c>
      <c r="O3137" t="s">
        <v>181</v>
      </c>
      <c r="P3137" t="s">
        <v>340</v>
      </c>
      <c r="Q3137" s="10" t="s">
        <v>24</v>
      </c>
    </row>
    <row r="3138" spans="1:18" hidden="1" x14ac:dyDescent="0.25">
      <c r="A3138" s="9" t="s">
        <v>1636</v>
      </c>
      <c r="B3138" s="3" t="s">
        <v>2059</v>
      </c>
      <c r="C3138" s="10">
        <v>17</v>
      </c>
      <c r="D3138" s="10">
        <v>12</v>
      </c>
      <c r="E3138" s="10">
        <v>19</v>
      </c>
      <c r="F3138" t="s">
        <v>112</v>
      </c>
      <c r="G3138" t="s">
        <v>889</v>
      </c>
      <c r="H3138" t="s">
        <v>56</v>
      </c>
      <c r="I3138" t="s">
        <v>27</v>
      </c>
      <c r="J3138" s="4">
        <v>19.600000000000001</v>
      </c>
      <c r="K3138">
        <v>0.49</v>
      </c>
      <c r="L3138">
        <v>19.600000000000001</v>
      </c>
      <c r="M3138">
        <v>9.604000000000001</v>
      </c>
      <c r="N3138" s="5">
        <v>0.48809831824062094</v>
      </c>
      <c r="O3138" t="s">
        <v>181</v>
      </c>
      <c r="P3138" t="s">
        <v>340</v>
      </c>
      <c r="Q3138" s="10" t="s">
        <v>24</v>
      </c>
    </row>
    <row r="3139" spans="1:18" hidden="1" x14ac:dyDescent="0.25">
      <c r="A3139" s="9" t="s">
        <v>1636</v>
      </c>
      <c r="B3139" s="3" t="s">
        <v>2059</v>
      </c>
      <c r="C3139" s="10">
        <v>17</v>
      </c>
      <c r="D3139" s="10">
        <v>12</v>
      </c>
      <c r="E3139" s="10">
        <v>19</v>
      </c>
      <c r="F3139" t="s">
        <v>2103</v>
      </c>
      <c r="G3139" t="s">
        <v>98</v>
      </c>
      <c r="H3139" t="s">
        <v>26</v>
      </c>
      <c r="I3139" t="s">
        <v>27</v>
      </c>
      <c r="J3139" s="4">
        <v>28.91</v>
      </c>
      <c r="K3139">
        <v>1</v>
      </c>
      <c r="L3139">
        <v>28.91</v>
      </c>
      <c r="M3139">
        <v>28.91</v>
      </c>
      <c r="N3139" s="5">
        <v>1.4692755498059507</v>
      </c>
      <c r="O3139" t="s">
        <v>181</v>
      </c>
      <c r="P3139" t="s">
        <v>340</v>
      </c>
      <c r="Q3139" s="10" t="s">
        <v>24</v>
      </c>
    </row>
    <row r="3140" spans="1:18" hidden="1" x14ac:dyDescent="0.25">
      <c r="A3140" s="9" t="s">
        <v>1636</v>
      </c>
      <c r="B3140" s="3" t="s">
        <v>2059</v>
      </c>
      <c r="C3140" s="10">
        <v>17</v>
      </c>
      <c r="D3140" s="10">
        <v>12</v>
      </c>
      <c r="E3140" s="10">
        <v>19</v>
      </c>
      <c r="F3140" t="s">
        <v>155</v>
      </c>
      <c r="G3140" t="s">
        <v>155</v>
      </c>
      <c r="H3140" t="s">
        <v>131</v>
      </c>
      <c r="I3140" t="s">
        <v>27</v>
      </c>
      <c r="J3140" s="4">
        <v>16.600000000000001</v>
      </c>
      <c r="K3140">
        <v>1</v>
      </c>
      <c r="L3140">
        <v>16.600000000000001</v>
      </c>
      <c r="M3140">
        <v>16.600000000000001</v>
      </c>
      <c r="N3140" s="5">
        <v>0.84365182036592123</v>
      </c>
      <c r="O3140" t="s">
        <v>100</v>
      </c>
      <c r="P3140" t="s">
        <v>340</v>
      </c>
      <c r="Q3140" s="10" t="s">
        <v>24</v>
      </c>
      <c r="R3140" t="s">
        <v>2104</v>
      </c>
    </row>
    <row r="3141" spans="1:18" hidden="1" x14ac:dyDescent="0.25">
      <c r="A3141" s="9" t="s">
        <v>1636</v>
      </c>
      <c r="B3141" s="3" t="s">
        <v>2059</v>
      </c>
      <c r="C3141" s="10">
        <v>17</v>
      </c>
      <c r="D3141" s="10">
        <v>12</v>
      </c>
      <c r="E3141" s="10">
        <v>19</v>
      </c>
      <c r="F3141" t="s">
        <v>118</v>
      </c>
      <c r="G3141" t="s">
        <v>889</v>
      </c>
      <c r="H3141" t="s">
        <v>40</v>
      </c>
      <c r="I3141" t="s">
        <v>27</v>
      </c>
      <c r="J3141" s="4">
        <v>10</v>
      </c>
      <c r="K3141">
        <v>1</v>
      </c>
      <c r="L3141">
        <v>10</v>
      </c>
      <c r="M3141">
        <v>10</v>
      </c>
      <c r="N3141" s="5">
        <v>0.50822398817224168</v>
      </c>
      <c r="O3141" t="s">
        <v>100</v>
      </c>
      <c r="P3141" t="s">
        <v>340</v>
      </c>
      <c r="Q3141" s="10" t="s">
        <v>24</v>
      </c>
    </row>
    <row r="3142" spans="1:18" hidden="1" x14ac:dyDescent="0.25">
      <c r="A3142" s="9" t="s">
        <v>1636</v>
      </c>
      <c r="B3142" s="3" t="s">
        <v>2059</v>
      </c>
      <c r="C3142" s="10">
        <v>17</v>
      </c>
      <c r="D3142" s="10">
        <v>12</v>
      </c>
      <c r="E3142" s="10">
        <v>19</v>
      </c>
      <c r="F3142" t="s">
        <v>2125</v>
      </c>
      <c r="G3142" t="s">
        <v>304</v>
      </c>
      <c r="H3142" t="s">
        <v>2126</v>
      </c>
      <c r="I3142" t="s">
        <v>79</v>
      </c>
      <c r="J3142" s="4">
        <v>11</v>
      </c>
      <c r="K3142">
        <v>1</v>
      </c>
      <c r="L3142">
        <v>11</v>
      </c>
      <c r="M3142">
        <v>11</v>
      </c>
      <c r="N3142" s="5">
        <v>0.55904638698946585</v>
      </c>
      <c r="O3142" t="s">
        <v>39</v>
      </c>
      <c r="P3142" t="s">
        <v>340</v>
      </c>
      <c r="Q3142" s="10" t="s">
        <v>24</v>
      </c>
    </row>
    <row r="3143" spans="1:18" hidden="1" x14ac:dyDescent="0.25">
      <c r="A3143" s="9" t="s">
        <v>1636</v>
      </c>
      <c r="B3143" s="3" t="s">
        <v>2060</v>
      </c>
      <c r="C3143" s="10">
        <v>18</v>
      </c>
      <c r="D3143" s="10">
        <v>12</v>
      </c>
      <c r="E3143" s="10">
        <v>19</v>
      </c>
      <c r="F3143" t="s">
        <v>2041</v>
      </c>
      <c r="G3143" t="s">
        <v>889</v>
      </c>
      <c r="H3143" t="s">
        <v>35</v>
      </c>
      <c r="I3143" t="s">
        <v>27</v>
      </c>
      <c r="J3143" s="4">
        <v>148.6</v>
      </c>
      <c r="K3143">
        <v>0.27600000000000002</v>
      </c>
      <c r="L3143">
        <v>148.6</v>
      </c>
      <c r="M3143">
        <v>41.013600000000004</v>
      </c>
      <c r="N3143" s="5">
        <v>2.0844095361301052</v>
      </c>
      <c r="O3143" t="s">
        <v>100</v>
      </c>
      <c r="P3143" t="s">
        <v>340</v>
      </c>
      <c r="Q3143" s="10" t="s">
        <v>24</v>
      </c>
    </row>
    <row r="3144" spans="1:18" hidden="1" x14ac:dyDescent="0.25">
      <c r="A3144" s="9" t="s">
        <v>1636</v>
      </c>
      <c r="B3144" s="3" t="s">
        <v>2060</v>
      </c>
      <c r="C3144" s="10">
        <v>18</v>
      </c>
      <c r="D3144" s="10">
        <v>12</v>
      </c>
      <c r="E3144" s="10">
        <v>19</v>
      </c>
      <c r="F3144" t="s">
        <v>189</v>
      </c>
      <c r="G3144" t="s">
        <v>889</v>
      </c>
      <c r="H3144" t="s">
        <v>172</v>
      </c>
      <c r="I3144" t="s">
        <v>39</v>
      </c>
      <c r="J3144" s="4">
        <v>80</v>
      </c>
      <c r="K3144">
        <v>4</v>
      </c>
      <c r="L3144">
        <v>80</v>
      </c>
      <c r="M3144">
        <v>320</v>
      </c>
      <c r="N3144" s="5">
        <v>16.263167621511734</v>
      </c>
      <c r="O3144" t="s">
        <v>39</v>
      </c>
      <c r="P3144" t="s">
        <v>340</v>
      </c>
      <c r="Q3144" s="10" t="s">
        <v>24</v>
      </c>
      <c r="R3144" t="s">
        <v>2092</v>
      </c>
    </row>
    <row r="3145" spans="1:18" hidden="1" x14ac:dyDescent="0.25">
      <c r="A3145" s="9" t="s">
        <v>1636</v>
      </c>
      <c r="B3145" s="3" t="s">
        <v>2060</v>
      </c>
      <c r="C3145" s="10">
        <v>18</v>
      </c>
      <c r="D3145" s="10">
        <v>12</v>
      </c>
      <c r="E3145" s="10">
        <v>19</v>
      </c>
      <c r="F3145" t="s">
        <v>2105</v>
      </c>
      <c r="G3145" t="s">
        <v>345</v>
      </c>
      <c r="H3145" t="s">
        <v>26</v>
      </c>
      <c r="I3145" t="s">
        <v>27</v>
      </c>
      <c r="J3145" s="4">
        <v>10.199999999999999</v>
      </c>
      <c r="K3145">
        <v>1</v>
      </c>
      <c r="L3145">
        <v>10.199999999999999</v>
      </c>
      <c r="M3145">
        <v>10.199999999999999</v>
      </c>
      <c r="N3145" s="5">
        <v>0.51838846793568649</v>
      </c>
      <c r="O3145" t="s">
        <v>101</v>
      </c>
      <c r="P3145" t="s">
        <v>340</v>
      </c>
      <c r="Q3145" s="10" t="s">
        <v>24</v>
      </c>
    </row>
    <row r="3146" spans="1:18" hidden="1" x14ac:dyDescent="0.25">
      <c r="A3146" s="9" t="s">
        <v>1636</v>
      </c>
      <c r="B3146" s="3" t="s">
        <v>2060</v>
      </c>
      <c r="C3146" s="10">
        <v>18</v>
      </c>
      <c r="D3146" s="10">
        <v>12</v>
      </c>
      <c r="E3146" s="10">
        <v>19</v>
      </c>
      <c r="F3146" t="s">
        <v>770</v>
      </c>
      <c r="G3146" t="s">
        <v>31</v>
      </c>
      <c r="H3146" t="s">
        <v>26</v>
      </c>
      <c r="I3146" t="s">
        <v>27</v>
      </c>
      <c r="J3146" s="4">
        <v>8.1999999999999993</v>
      </c>
      <c r="K3146">
        <v>1</v>
      </c>
      <c r="L3146">
        <v>8.1999999999999993</v>
      </c>
      <c r="M3146">
        <v>8.1999999999999993</v>
      </c>
      <c r="N3146" s="5">
        <v>0.4167436703012381</v>
      </c>
      <c r="O3146" t="s">
        <v>101</v>
      </c>
      <c r="P3146" t="s">
        <v>340</v>
      </c>
      <c r="Q3146" s="10" t="s">
        <v>24</v>
      </c>
    </row>
    <row r="3147" spans="1:18" hidden="1" x14ac:dyDescent="0.25">
      <c r="A3147" s="9" t="s">
        <v>1636</v>
      </c>
      <c r="B3147" s="3" t="s">
        <v>1665</v>
      </c>
      <c r="C3147" s="10">
        <v>19</v>
      </c>
      <c r="D3147" s="10">
        <v>12</v>
      </c>
      <c r="E3147" s="10">
        <v>19</v>
      </c>
      <c r="F3147" t="s">
        <v>159</v>
      </c>
      <c r="G3147" t="s">
        <v>889</v>
      </c>
      <c r="H3147" t="s">
        <v>1748</v>
      </c>
      <c r="I3147" t="s">
        <v>72</v>
      </c>
      <c r="J3147" s="4">
        <v>261.22000000000003</v>
      </c>
      <c r="K3147">
        <v>1</v>
      </c>
      <c r="L3147">
        <v>261.22000000000003</v>
      </c>
      <c r="M3147">
        <v>261.22000000000003</v>
      </c>
      <c r="N3147" s="5">
        <v>13.275827019035297</v>
      </c>
      <c r="O3147" t="s">
        <v>629</v>
      </c>
      <c r="P3147" t="s">
        <v>340</v>
      </c>
      <c r="Q3147" s="10" t="s">
        <v>24</v>
      </c>
      <c r="R3147" t="s">
        <v>1661</v>
      </c>
    </row>
    <row r="3148" spans="1:18" hidden="1" x14ac:dyDescent="0.25">
      <c r="A3148" s="9" t="s">
        <v>1636</v>
      </c>
      <c r="B3148" s="3" t="s">
        <v>1665</v>
      </c>
      <c r="C3148" s="10">
        <v>19</v>
      </c>
      <c r="D3148" s="10">
        <v>12</v>
      </c>
      <c r="E3148" s="10">
        <v>19</v>
      </c>
      <c r="F3148" t="s">
        <v>708</v>
      </c>
      <c r="G3148" t="s">
        <v>708</v>
      </c>
      <c r="H3148" t="s">
        <v>131</v>
      </c>
      <c r="I3148" t="s">
        <v>27</v>
      </c>
      <c r="J3148" s="4">
        <v>33.6</v>
      </c>
      <c r="K3148">
        <v>1</v>
      </c>
      <c r="L3148">
        <v>33.6</v>
      </c>
      <c r="M3148">
        <v>33.6</v>
      </c>
      <c r="N3148" s="5">
        <v>1.7076326002587321</v>
      </c>
      <c r="O3148" t="s">
        <v>100</v>
      </c>
      <c r="P3148" t="s">
        <v>340</v>
      </c>
      <c r="Q3148" s="10" t="s">
        <v>24</v>
      </c>
    </row>
    <row r="3149" spans="1:18" hidden="1" x14ac:dyDescent="0.25">
      <c r="A3149" s="9" t="s">
        <v>1636</v>
      </c>
      <c r="B3149" s="3" t="s">
        <v>1665</v>
      </c>
      <c r="C3149" s="10">
        <v>19</v>
      </c>
      <c r="D3149" s="10">
        <v>12</v>
      </c>
      <c r="E3149" s="10">
        <v>19</v>
      </c>
      <c r="F3149" t="s">
        <v>159</v>
      </c>
      <c r="G3149" t="s">
        <v>889</v>
      </c>
      <c r="H3149" t="s">
        <v>1748</v>
      </c>
      <c r="I3149" t="s">
        <v>72</v>
      </c>
      <c r="J3149" s="4">
        <v>255.21</v>
      </c>
      <c r="K3149">
        <v>1</v>
      </c>
      <c r="L3149">
        <v>255.21</v>
      </c>
      <c r="M3149">
        <v>255.21</v>
      </c>
      <c r="N3149" s="5">
        <v>12.970384402143779</v>
      </c>
      <c r="O3149" t="s">
        <v>1659</v>
      </c>
      <c r="P3149" t="s">
        <v>340</v>
      </c>
      <c r="Q3149" s="10" t="s">
        <v>24</v>
      </c>
      <c r="R3149" t="s">
        <v>2097</v>
      </c>
    </row>
    <row r="3150" spans="1:18" hidden="1" x14ac:dyDescent="0.25">
      <c r="A3150" s="9" t="s">
        <v>1636</v>
      </c>
      <c r="B3150" s="3" t="s">
        <v>1665</v>
      </c>
      <c r="C3150" s="10">
        <v>19</v>
      </c>
      <c r="D3150" s="10">
        <v>12</v>
      </c>
      <c r="E3150" s="10">
        <v>19</v>
      </c>
      <c r="F3150" t="s">
        <v>104</v>
      </c>
      <c r="G3150" t="s">
        <v>889</v>
      </c>
      <c r="H3150" t="s">
        <v>1748</v>
      </c>
      <c r="I3150" t="s">
        <v>72</v>
      </c>
      <c r="J3150" s="4">
        <v>23.92</v>
      </c>
      <c r="K3150">
        <v>1</v>
      </c>
      <c r="L3150">
        <v>23.92</v>
      </c>
      <c r="M3150">
        <v>23.92</v>
      </c>
      <c r="N3150" s="5">
        <v>1.2156717797080021</v>
      </c>
      <c r="O3150" t="s">
        <v>1659</v>
      </c>
      <c r="P3150" t="s">
        <v>340</v>
      </c>
      <c r="Q3150" s="10" t="s">
        <v>24</v>
      </c>
      <c r="R3150" t="s">
        <v>2051</v>
      </c>
    </row>
    <row r="3151" spans="1:18" hidden="1" x14ac:dyDescent="0.25">
      <c r="A3151" s="9" t="s">
        <v>1636</v>
      </c>
      <c r="B3151" s="3" t="s">
        <v>1665</v>
      </c>
      <c r="C3151" s="10">
        <v>19</v>
      </c>
      <c r="D3151" s="10">
        <v>12</v>
      </c>
      <c r="E3151" s="10">
        <v>19</v>
      </c>
      <c r="F3151" t="s">
        <v>1376</v>
      </c>
      <c r="G3151" t="s">
        <v>889</v>
      </c>
      <c r="H3151" t="s">
        <v>131</v>
      </c>
      <c r="I3151" t="s">
        <v>27</v>
      </c>
      <c r="J3151" s="4">
        <v>274.35000000000002</v>
      </c>
      <c r="K3151">
        <v>0.214</v>
      </c>
      <c r="L3151">
        <v>274.35000000000002</v>
      </c>
      <c r="M3151">
        <v>58.710900000000002</v>
      </c>
      <c r="N3151" s="5">
        <v>2.9838287747181664</v>
      </c>
      <c r="O3151" t="s">
        <v>88</v>
      </c>
      <c r="P3151" t="s">
        <v>340</v>
      </c>
      <c r="Q3151" s="10" t="s">
        <v>24</v>
      </c>
    </row>
    <row r="3152" spans="1:18" hidden="1" x14ac:dyDescent="0.25">
      <c r="A3152" s="9" t="s">
        <v>1636</v>
      </c>
      <c r="B3152" s="3" t="s">
        <v>1665</v>
      </c>
      <c r="C3152" s="10">
        <v>19</v>
      </c>
      <c r="D3152" s="10">
        <v>12</v>
      </c>
      <c r="E3152" s="10">
        <v>19</v>
      </c>
      <c r="F3152" t="s">
        <v>802</v>
      </c>
      <c r="G3152" t="s">
        <v>708</v>
      </c>
      <c r="H3152" t="s">
        <v>131</v>
      </c>
      <c r="I3152" t="s">
        <v>27</v>
      </c>
      <c r="J3152" s="4">
        <v>129.05000000000001</v>
      </c>
      <c r="K3152">
        <v>0.14399999999999999</v>
      </c>
      <c r="L3152">
        <v>129.05000000000001</v>
      </c>
      <c r="M3152">
        <v>18.583200000000001</v>
      </c>
      <c r="N3152" s="5">
        <v>0.9444428017002402</v>
      </c>
      <c r="O3152" t="s">
        <v>88</v>
      </c>
      <c r="P3152" t="s">
        <v>340</v>
      </c>
      <c r="Q3152" s="10" t="s">
        <v>24</v>
      </c>
    </row>
    <row r="3153" spans="1:18" hidden="1" x14ac:dyDescent="0.25">
      <c r="A3153" s="9" t="s">
        <v>1636</v>
      </c>
      <c r="B3153" s="3" t="s">
        <v>1665</v>
      </c>
      <c r="C3153" s="10">
        <v>19</v>
      </c>
      <c r="D3153" s="10">
        <v>12</v>
      </c>
      <c r="E3153" s="10">
        <v>19</v>
      </c>
      <c r="F3153" t="s">
        <v>81</v>
      </c>
      <c r="G3153" t="s">
        <v>889</v>
      </c>
      <c r="H3153" t="s">
        <v>889</v>
      </c>
      <c r="I3153" t="s">
        <v>39</v>
      </c>
      <c r="J3153" s="4">
        <v>290</v>
      </c>
      <c r="K3153">
        <v>1</v>
      </c>
      <c r="L3153">
        <v>290</v>
      </c>
      <c r="M3153">
        <v>290</v>
      </c>
      <c r="N3153" s="5">
        <v>14.738495656995008</v>
      </c>
      <c r="O3153" t="s">
        <v>2100</v>
      </c>
      <c r="P3153" t="s">
        <v>340</v>
      </c>
      <c r="Q3153" s="10" t="s">
        <v>84</v>
      </c>
      <c r="R3153" t="s">
        <v>2101</v>
      </c>
    </row>
    <row r="3154" spans="1:18" hidden="1" x14ac:dyDescent="0.25">
      <c r="A3154" s="9" t="s">
        <v>1636</v>
      </c>
      <c r="B3154" s="3" t="s">
        <v>1684</v>
      </c>
      <c r="C3154" s="10">
        <v>2</v>
      </c>
      <c r="D3154" s="10">
        <v>12</v>
      </c>
      <c r="E3154" s="10">
        <v>19</v>
      </c>
      <c r="F3154" t="s">
        <v>71</v>
      </c>
      <c r="G3154" t="s">
        <v>889</v>
      </c>
      <c r="H3154" t="s">
        <v>1748</v>
      </c>
      <c r="I3154" t="s">
        <v>72</v>
      </c>
      <c r="J3154" s="4">
        <v>450</v>
      </c>
      <c r="K3154">
        <v>1</v>
      </c>
      <c r="L3154">
        <v>450</v>
      </c>
      <c r="M3154">
        <v>450</v>
      </c>
      <c r="N3154" s="5">
        <v>22.870079467750873</v>
      </c>
      <c r="O3154" t="s">
        <v>1679</v>
      </c>
      <c r="P3154" t="s">
        <v>340</v>
      </c>
      <c r="Q3154" s="10" t="s">
        <v>24</v>
      </c>
      <c r="R3154" t="s">
        <v>1678</v>
      </c>
    </row>
    <row r="3155" spans="1:18" hidden="1" x14ac:dyDescent="0.25">
      <c r="A3155" s="9" t="s">
        <v>1636</v>
      </c>
      <c r="B3155" s="3" t="s">
        <v>1684</v>
      </c>
      <c r="C3155" s="10">
        <v>2</v>
      </c>
      <c r="D3155" s="10">
        <v>12</v>
      </c>
      <c r="E3155" s="10">
        <v>19</v>
      </c>
      <c r="F3155" t="s">
        <v>1701</v>
      </c>
      <c r="G3155" t="s">
        <v>889</v>
      </c>
      <c r="H3155" t="s">
        <v>1697</v>
      </c>
      <c r="I3155" t="s">
        <v>79</v>
      </c>
      <c r="J3155" s="4">
        <v>350</v>
      </c>
      <c r="K3155">
        <v>2</v>
      </c>
      <c r="L3155">
        <v>350</v>
      </c>
      <c r="M3155">
        <v>700</v>
      </c>
      <c r="N3155" s="5">
        <v>35.575679172056915</v>
      </c>
      <c r="O3155" t="s">
        <v>498</v>
      </c>
      <c r="P3155" t="s">
        <v>340</v>
      </c>
      <c r="Q3155" s="10" t="s">
        <v>24</v>
      </c>
      <c r="R3155" t="s">
        <v>1703</v>
      </c>
    </row>
    <row r="3156" spans="1:18" hidden="1" x14ac:dyDescent="0.25">
      <c r="A3156" s="9" t="s">
        <v>1636</v>
      </c>
      <c r="B3156" s="3" t="s">
        <v>1684</v>
      </c>
      <c r="C3156" s="10">
        <v>2</v>
      </c>
      <c r="D3156" s="10">
        <v>12</v>
      </c>
      <c r="E3156" s="10">
        <v>19</v>
      </c>
      <c r="F3156" t="s">
        <v>1702</v>
      </c>
      <c r="G3156" t="s">
        <v>889</v>
      </c>
      <c r="H3156" t="s">
        <v>1697</v>
      </c>
      <c r="I3156" t="s">
        <v>79</v>
      </c>
      <c r="J3156" s="4">
        <v>250</v>
      </c>
      <c r="K3156">
        <v>1</v>
      </c>
      <c r="L3156">
        <v>250</v>
      </c>
      <c r="M3156">
        <v>250</v>
      </c>
      <c r="N3156" s="5">
        <v>12.70559970430604</v>
      </c>
      <c r="O3156" t="s">
        <v>498</v>
      </c>
      <c r="P3156" t="s">
        <v>340</v>
      </c>
      <c r="Q3156" s="10" t="s">
        <v>24</v>
      </c>
      <c r="R3156" t="s">
        <v>498</v>
      </c>
    </row>
    <row r="3157" spans="1:18" hidden="1" x14ac:dyDescent="0.25">
      <c r="A3157" s="9" t="s">
        <v>1636</v>
      </c>
      <c r="B3157" s="3" t="s">
        <v>2061</v>
      </c>
      <c r="C3157" s="10">
        <v>20</v>
      </c>
      <c r="D3157" s="10">
        <v>12</v>
      </c>
      <c r="E3157" s="10">
        <v>19</v>
      </c>
      <c r="F3157" t="s">
        <v>708</v>
      </c>
      <c r="G3157" t="s">
        <v>708</v>
      </c>
      <c r="H3157" t="s">
        <v>131</v>
      </c>
      <c r="I3157" t="s">
        <v>27</v>
      </c>
      <c r="J3157" s="4">
        <v>36.6</v>
      </c>
      <c r="K3157">
        <v>1</v>
      </c>
      <c r="L3157">
        <v>36.6</v>
      </c>
      <c r="M3157">
        <v>36.6</v>
      </c>
      <c r="N3157" s="5">
        <v>1.8600997967104045</v>
      </c>
      <c r="O3157" t="s">
        <v>100</v>
      </c>
      <c r="P3157" t="s">
        <v>340</v>
      </c>
      <c r="Q3157" s="10" t="s">
        <v>24</v>
      </c>
    </row>
    <row r="3158" spans="1:18" hidden="1" x14ac:dyDescent="0.25">
      <c r="A3158" s="9" t="s">
        <v>1636</v>
      </c>
      <c r="B3158" s="3" t="s">
        <v>2061</v>
      </c>
      <c r="C3158" s="10">
        <v>20</v>
      </c>
      <c r="D3158" s="10">
        <v>12</v>
      </c>
      <c r="E3158" s="10">
        <v>19</v>
      </c>
      <c r="F3158" t="s">
        <v>141</v>
      </c>
      <c r="G3158" t="s">
        <v>889</v>
      </c>
      <c r="H3158" t="s">
        <v>172</v>
      </c>
      <c r="I3158" t="s">
        <v>39</v>
      </c>
      <c r="J3158" s="4">
        <v>3</v>
      </c>
      <c r="K3158">
        <v>1</v>
      </c>
      <c r="L3158">
        <v>59.029090909090918</v>
      </c>
      <c r="M3158">
        <v>59.029090909090918</v>
      </c>
      <c r="N3158" s="5">
        <v>3</v>
      </c>
      <c r="O3158" t="s">
        <v>39</v>
      </c>
      <c r="P3158" t="s">
        <v>340</v>
      </c>
      <c r="Q3158" s="10" t="s">
        <v>24</v>
      </c>
    </row>
    <row r="3159" spans="1:18" hidden="1" x14ac:dyDescent="0.25">
      <c r="A3159" s="9" t="s">
        <v>1636</v>
      </c>
      <c r="B3159" s="3" t="s">
        <v>2061</v>
      </c>
      <c r="C3159" s="10">
        <v>20</v>
      </c>
      <c r="D3159" s="10">
        <v>12</v>
      </c>
      <c r="E3159" s="10">
        <v>19</v>
      </c>
      <c r="F3159" t="s">
        <v>2114</v>
      </c>
      <c r="G3159" t="s">
        <v>889</v>
      </c>
      <c r="H3159" t="s">
        <v>65</v>
      </c>
      <c r="I3159" t="s">
        <v>27</v>
      </c>
      <c r="J3159" s="4">
        <v>75</v>
      </c>
      <c r="K3159">
        <v>1</v>
      </c>
      <c r="L3159">
        <v>75</v>
      </c>
      <c r="M3159">
        <v>75</v>
      </c>
      <c r="N3159" s="5">
        <v>3.8116799112918125</v>
      </c>
      <c r="O3159" t="s">
        <v>51</v>
      </c>
      <c r="P3159" t="s">
        <v>340</v>
      </c>
      <c r="Q3159" s="10" t="s">
        <v>24</v>
      </c>
    </row>
    <row r="3160" spans="1:18" hidden="1" x14ac:dyDescent="0.25">
      <c r="A3160" s="9" t="s">
        <v>1636</v>
      </c>
      <c r="B3160" s="3" t="s">
        <v>2061</v>
      </c>
      <c r="C3160" s="10">
        <v>20</v>
      </c>
      <c r="D3160" s="10">
        <v>12</v>
      </c>
      <c r="E3160" s="10">
        <v>19</v>
      </c>
      <c r="F3160" t="s">
        <v>108</v>
      </c>
      <c r="G3160" t="s">
        <v>889</v>
      </c>
      <c r="H3160" t="s">
        <v>54</v>
      </c>
      <c r="I3160" t="s">
        <v>27</v>
      </c>
      <c r="J3160" s="4">
        <v>34.89</v>
      </c>
      <c r="K3160">
        <v>0.56999999999999995</v>
      </c>
      <c r="L3160">
        <v>34.89</v>
      </c>
      <c r="M3160">
        <v>19.8873</v>
      </c>
      <c r="N3160" s="5">
        <v>1.0107202919977822</v>
      </c>
      <c r="O3160" t="s">
        <v>51</v>
      </c>
      <c r="P3160" t="s">
        <v>340</v>
      </c>
      <c r="Q3160" s="10" t="s">
        <v>24</v>
      </c>
    </row>
    <row r="3161" spans="1:18" hidden="1" x14ac:dyDescent="0.25">
      <c r="A3161" s="9" t="s">
        <v>1636</v>
      </c>
      <c r="B3161" s="3" t="s">
        <v>2061</v>
      </c>
      <c r="C3161" s="10">
        <v>20</v>
      </c>
      <c r="D3161" s="10">
        <v>12</v>
      </c>
      <c r="E3161" s="10">
        <v>19</v>
      </c>
      <c r="F3161" t="s">
        <v>2115</v>
      </c>
      <c r="G3161" t="s">
        <v>889</v>
      </c>
      <c r="H3161" t="s">
        <v>65</v>
      </c>
      <c r="I3161" t="s">
        <v>27</v>
      </c>
      <c r="J3161" s="4">
        <v>65.900000000000006</v>
      </c>
      <c r="K3161">
        <v>1</v>
      </c>
      <c r="L3161">
        <v>65.900000000000006</v>
      </c>
      <c r="M3161">
        <v>65.900000000000006</v>
      </c>
      <c r="N3161" s="5">
        <v>3.3491960820550726</v>
      </c>
      <c r="O3161" t="s">
        <v>51</v>
      </c>
      <c r="P3161" t="s">
        <v>340</v>
      </c>
      <c r="Q3161" s="10" t="s">
        <v>24</v>
      </c>
    </row>
    <row r="3162" spans="1:18" hidden="1" x14ac:dyDescent="0.25">
      <c r="A3162" s="9" t="s">
        <v>1636</v>
      </c>
      <c r="B3162" s="3" t="s">
        <v>2061</v>
      </c>
      <c r="C3162" s="10">
        <v>20</v>
      </c>
      <c r="D3162" s="10">
        <v>12</v>
      </c>
      <c r="E3162" s="10">
        <v>19</v>
      </c>
      <c r="F3162" t="s">
        <v>1387</v>
      </c>
      <c r="G3162" t="s">
        <v>889</v>
      </c>
      <c r="H3162" t="s">
        <v>59</v>
      </c>
      <c r="I3162" t="s">
        <v>27</v>
      </c>
      <c r="J3162" s="4">
        <v>219</v>
      </c>
      <c r="K3162">
        <v>1</v>
      </c>
      <c r="L3162">
        <v>219</v>
      </c>
      <c r="M3162">
        <v>219</v>
      </c>
      <c r="N3162" s="5">
        <v>11.130105340972092</v>
      </c>
      <c r="O3162" t="s">
        <v>51</v>
      </c>
      <c r="P3162" t="s">
        <v>340</v>
      </c>
      <c r="Q3162" s="10" t="s">
        <v>24</v>
      </c>
    </row>
    <row r="3163" spans="1:18" hidden="1" x14ac:dyDescent="0.25">
      <c r="A3163" s="9" t="s">
        <v>1636</v>
      </c>
      <c r="B3163" s="3" t="s">
        <v>2061</v>
      </c>
      <c r="C3163" s="10">
        <v>20</v>
      </c>
      <c r="D3163" s="10">
        <v>12</v>
      </c>
      <c r="E3163" s="10">
        <v>19</v>
      </c>
      <c r="F3163" t="s">
        <v>1387</v>
      </c>
      <c r="G3163" t="s">
        <v>889</v>
      </c>
      <c r="H3163" t="s">
        <v>59</v>
      </c>
      <c r="I3163" t="s">
        <v>27</v>
      </c>
      <c r="J3163" s="4">
        <v>219</v>
      </c>
      <c r="K3163">
        <v>1</v>
      </c>
      <c r="L3163">
        <v>219</v>
      </c>
      <c r="M3163">
        <v>219</v>
      </c>
      <c r="N3163" s="5">
        <v>11.130105340972092</v>
      </c>
      <c r="O3163" t="s">
        <v>51</v>
      </c>
      <c r="P3163" t="s">
        <v>340</v>
      </c>
      <c r="Q3163" s="10" t="s">
        <v>84</v>
      </c>
    </row>
    <row r="3164" spans="1:18" hidden="1" x14ac:dyDescent="0.25">
      <c r="A3164" s="9" t="s">
        <v>1636</v>
      </c>
      <c r="B3164" s="3" t="s">
        <v>2061</v>
      </c>
      <c r="C3164" s="10">
        <v>20</v>
      </c>
      <c r="D3164" s="10">
        <v>12</v>
      </c>
      <c r="E3164" s="10">
        <v>19</v>
      </c>
      <c r="F3164" t="s">
        <v>1383</v>
      </c>
      <c r="G3164" t="s">
        <v>889</v>
      </c>
      <c r="H3164" t="s">
        <v>53</v>
      </c>
      <c r="I3164" t="s">
        <v>27</v>
      </c>
      <c r="J3164" s="4">
        <v>18.989999999999998</v>
      </c>
      <c r="K3164">
        <v>12</v>
      </c>
      <c r="L3164">
        <v>18.989999999999998</v>
      </c>
      <c r="M3164">
        <v>227.88</v>
      </c>
      <c r="N3164" s="5">
        <v>11.581408242469042</v>
      </c>
      <c r="O3164" t="s">
        <v>51</v>
      </c>
      <c r="P3164" t="s">
        <v>340</v>
      </c>
      <c r="Q3164" s="10" t="s">
        <v>24</v>
      </c>
    </row>
    <row r="3165" spans="1:18" hidden="1" x14ac:dyDescent="0.25">
      <c r="A3165" s="9" t="s">
        <v>1636</v>
      </c>
      <c r="B3165" s="3" t="s">
        <v>2061</v>
      </c>
      <c r="C3165" s="10">
        <v>20</v>
      </c>
      <c r="D3165" s="10">
        <v>12</v>
      </c>
      <c r="E3165" s="10">
        <v>19</v>
      </c>
      <c r="F3165" t="s">
        <v>1214</v>
      </c>
      <c r="G3165" t="s">
        <v>889</v>
      </c>
      <c r="H3165" t="s">
        <v>53</v>
      </c>
      <c r="I3165" t="s">
        <v>27</v>
      </c>
      <c r="J3165" s="4">
        <v>10.488333333333333</v>
      </c>
      <c r="K3165">
        <v>12</v>
      </c>
      <c r="L3165">
        <v>10.488333333333333</v>
      </c>
      <c r="M3165">
        <v>125.86</v>
      </c>
      <c r="N3165" s="5">
        <v>6.396507115135833</v>
      </c>
      <c r="O3165" t="s">
        <v>51</v>
      </c>
      <c r="P3165" t="s">
        <v>340</v>
      </c>
      <c r="Q3165" s="10" t="s">
        <v>24</v>
      </c>
    </row>
    <row r="3166" spans="1:18" hidden="1" x14ac:dyDescent="0.25">
      <c r="A3166" s="9" t="s">
        <v>1636</v>
      </c>
      <c r="B3166" s="3" t="s">
        <v>2061</v>
      </c>
      <c r="C3166" s="10">
        <v>20</v>
      </c>
      <c r="D3166" s="10">
        <v>12</v>
      </c>
      <c r="E3166" s="10">
        <v>19</v>
      </c>
      <c r="F3166" t="s">
        <v>1381</v>
      </c>
      <c r="G3166" t="s">
        <v>889</v>
      </c>
      <c r="H3166" t="s">
        <v>53</v>
      </c>
      <c r="I3166" t="s">
        <v>27</v>
      </c>
      <c r="J3166" s="4">
        <v>18.899999999999999</v>
      </c>
      <c r="K3166">
        <v>12</v>
      </c>
      <c r="L3166">
        <v>18.899999999999999</v>
      </c>
      <c r="M3166">
        <v>226.79999999999998</v>
      </c>
      <c r="N3166" s="5">
        <v>11.52652005174644</v>
      </c>
      <c r="O3166" t="s">
        <v>51</v>
      </c>
      <c r="P3166" t="s">
        <v>340</v>
      </c>
      <c r="Q3166" s="10" t="s">
        <v>24</v>
      </c>
    </row>
    <row r="3167" spans="1:18" hidden="1" x14ac:dyDescent="0.25">
      <c r="A3167" s="9" t="s">
        <v>1636</v>
      </c>
      <c r="B3167" s="3" t="s">
        <v>2061</v>
      </c>
      <c r="C3167" s="10">
        <v>20</v>
      </c>
      <c r="D3167" s="10">
        <v>12</v>
      </c>
      <c r="E3167" s="10">
        <v>19</v>
      </c>
      <c r="F3167" t="s">
        <v>1466</v>
      </c>
      <c r="G3167" t="s">
        <v>31</v>
      </c>
      <c r="H3167" t="s">
        <v>26</v>
      </c>
      <c r="I3167" t="s">
        <v>27</v>
      </c>
      <c r="J3167" s="4">
        <v>34.5</v>
      </c>
      <c r="K3167">
        <v>2</v>
      </c>
      <c r="L3167">
        <v>34.5</v>
      </c>
      <c r="M3167">
        <v>69</v>
      </c>
      <c r="N3167" s="5">
        <v>3.5067455183884673</v>
      </c>
      <c r="O3167" t="s">
        <v>51</v>
      </c>
      <c r="P3167" t="s">
        <v>340</v>
      </c>
      <c r="Q3167" s="10" t="s">
        <v>24</v>
      </c>
    </row>
    <row r="3168" spans="1:18" hidden="1" x14ac:dyDescent="0.25">
      <c r="A3168" s="9" t="s">
        <v>1636</v>
      </c>
      <c r="B3168" s="3" t="s">
        <v>2061</v>
      </c>
      <c r="C3168" s="10">
        <v>20</v>
      </c>
      <c r="D3168" s="10">
        <v>12</v>
      </c>
      <c r="E3168" s="10">
        <v>19</v>
      </c>
      <c r="F3168" t="s">
        <v>1465</v>
      </c>
      <c r="G3168" t="s">
        <v>889</v>
      </c>
      <c r="H3168" t="s">
        <v>131</v>
      </c>
      <c r="I3168" t="s">
        <v>27</v>
      </c>
      <c r="J3168" s="4">
        <v>6.65</v>
      </c>
      <c r="K3168">
        <v>24</v>
      </c>
      <c r="L3168">
        <v>6.65</v>
      </c>
      <c r="M3168">
        <v>159.60000000000002</v>
      </c>
      <c r="N3168" s="5">
        <v>8.1112548512289777</v>
      </c>
      <c r="O3168" t="s">
        <v>51</v>
      </c>
      <c r="P3168" t="s">
        <v>340</v>
      </c>
      <c r="Q3168" s="10" t="s">
        <v>24</v>
      </c>
    </row>
    <row r="3169" spans="1:17" hidden="1" x14ac:dyDescent="0.25">
      <c r="A3169" s="9" t="s">
        <v>1636</v>
      </c>
      <c r="B3169" s="3" t="s">
        <v>2061</v>
      </c>
      <c r="C3169" s="10">
        <v>20</v>
      </c>
      <c r="D3169" s="10">
        <v>12</v>
      </c>
      <c r="E3169" s="10">
        <v>19</v>
      </c>
      <c r="F3169" t="s">
        <v>2116</v>
      </c>
      <c r="G3169" t="s">
        <v>889</v>
      </c>
      <c r="H3169" t="s">
        <v>49</v>
      </c>
      <c r="I3169" t="s">
        <v>50</v>
      </c>
      <c r="J3169" s="4">
        <v>27.9</v>
      </c>
      <c r="K3169">
        <v>1</v>
      </c>
      <c r="L3169">
        <v>27.9</v>
      </c>
      <c r="M3169">
        <v>27.9</v>
      </c>
      <c r="N3169" s="5">
        <v>1.4179449270005542</v>
      </c>
      <c r="O3169" t="s">
        <v>51</v>
      </c>
      <c r="P3169" t="s">
        <v>340</v>
      </c>
      <c r="Q3169" s="10" t="s">
        <v>24</v>
      </c>
    </row>
    <row r="3170" spans="1:17" hidden="1" x14ac:dyDescent="0.25">
      <c r="A3170" s="9" t="s">
        <v>1636</v>
      </c>
      <c r="B3170" s="3" t="s">
        <v>2061</v>
      </c>
      <c r="C3170" s="10">
        <v>20</v>
      </c>
      <c r="D3170" s="10">
        <v>12</v>
      </c>
      <c r="E3170" s="10">
        <v>19</v>
      </c>
      <c r="F3170" t="s">
        <v>1358</v>
      </c>
      <c r="G3170" t="s">
        <v>155</v>
      </c>
      <c r="H3170" t="s">
        <v>131</v>
      </c>
      <c r="I3170" t="s">
        <v>27</v>
      </c>
      <c r="J3170" s="4">
        <v>51.9</v>
      </c>
      <c r="K3170">
        <v>1</v>
      </c>
      <c r="L3170">
        <v>51.9</v>
      </c>
      <c r="M3170">
        <v>51.9</v>
      </c>
      <c r="N3170" s="5">
        <v>2.637682498613934</v>
      </c>
      <c r="O3170" t="s">
        <v>51</v>
      </c>
      <c r="P3170" t="s">
        <v>340</v>
      </c>
      <c r="Q3170" s="10" t="s">
        <v>24</v>
      </c>
    </row>
    <row r="3171" spans="1:17" hidden="1" x14ac:dyDescent="0.25">
      <c r="A3171" s="9" t="s">
        <v>1636</v>
      </c>
      <c r="B3171" s="3" t="s">
        <v>2061</v>
      </c>
      <c r="C3171" s="10">
        <v>20</v>
      </c>
      <c r="D3171" s="10">
        <v>12</v>
      </c>
      <c r="E3171" s="10">
        <v>19</v>
      </c>
      <c r="F3171" t="s">
        <v>2341</v>
      </c>
      <c r="G3171" t="s">
        <v>58</v>
      </c>
      <c r="H3171" t="s">
        <v>59</v>
      </c>
      <c r="I3171" t="s">
        <v>27</v>
      </c>
      <c r="J3171" s="4">
        <v>89.9</v>
      </c>
      <c r="K3171">
        <v>1</v>
      </c>
      <c r="L3171">
        <v>89.9</v>
      </c>
      <c r="M3171">
        <v>89.9</v>
      </c>
      <c r="N3171" s="5">
        <v>4.5689336536684531</v>
      </c>
      <c r="O3171" t="s">
        <v>51</v>
      </c>
      <c r="P3171" t="s">
        <v>340</v>
      </c>
      <c r="Q3171" s="10" t="s">
        <v>24</v>
      </c>
    </row>
    <row r="3172" spans="1:17" hidden="1" x14ac:dyDescent="0.25">
      <c r="A3172" s="9" t="s">
        <v>1636</v>
      </c>
      <c r="B3172" s="3" t="s">
        <v>2061</v>
      </c>
      <c r="C3172" s="10">
        <v>20</v>
      </c>
      <c r="D3172" s="10">
        <v>12</v>
      </c>
      <c r="E3172" s="10">
        <v>19</v>
      </c>
      <c r="F3172" t="s">
        <v>48</v>
      </c>
      <c r="G3172" t="s">
        <v>889</v>
      </c>
      <c r="H3172" t="s">
        <v>49</v>
      </c>
      <c r="I3172" t="s">
        <v>50</v>
      </c>
      <c r="J3172" s="4">
        <v>45.9</v>
      </c>
      <c r="K3172">
        <v>1</v>
      </c>
      <c r="L3172">
        <v>45.9</v>
      </c>
      <c r="M3172">
        <v>45.9</v>
      </c>
      <c r="N3172" s="5">
        <v>2.3327481057105892</v>
      </c>
      <c r="O3172" t="s">
        <v>51</v>
      </c>
      <c r="P3172" t="s">
        <v>340</v>
      </c>
      <c r="Q3172" s="10" t="s">
        <v>24</v>
      </c>
    </row>
    <row r="3173" spans="1:17" hidden="1" x14ac:dyDescent="0.25">
      <c r="A3173" s="9" t="s">
        <v>1636</v>
      </c>
      <c r="B3173" s="3" t="s">
        <v>2061</v>
      </c>
      <c r="C3173" s="10">
        <v>20</v>
      </c>
      <c r="D3173" s="10">
        <v>12</v>
      </c>
      <c r="E3173" s="10">
        <v>19</v>
      </c>
      <c r="F3173" t="s">
        <v>2117</v>
      </c>
      <c r="G3173" t="s">
        <v>155</v>
      </c>
      <c r="H3173" t="s">
        <v>131</v>
      </c>
      <c r="I3173" t="s">
        <v>27</v>
      </c>
      <c r="J3173" s="4">
        <v>30.9</v>
      </c>
      <c r="K3173">
        <v>1</v>
      </c>
      <c r="L3173">
        <v>30.9</v>
      </c>
      <c r="M3173">
        <v>30.9</v>
      </c>
      <c r="N3173" s="5">
        <v>1.5704121234522266</v>
      </c>
      <c r="O3173" t="s">
        <v>51</v>
      </c>
      <c r="P3173" t="s">
        <v>340</v>
      </c>
      <c r="Q3173" s="10" t="s">
        <v>24</v>
      </c>
    </row>
    <row r="3174" spans="1:17" hidden="1" x14ac:dyDescent="0.25">
      <c r="A3174" s="9" t="s">
        <v>1636</v>
      </c>
      <c r="B3174" s="3" t="s">
        <v>2061</v>
      </c>
      <c r="C3174" s="10">
        <v>20</v>
      </c>
      <c r="D3174" s="10">
        <v>12</v>
      </c>
      <c r="E3174" s="10">
        <v>19</v>
      </c>
      <c r="F3174" t="s">
        <v>1386</v>
      </c>
      <c r="G3174" t="s">
        <v>889</v>
      </c>
      <c r="H3174" t="s">
        <v>59</v>
      </c>
      <c r="I3174" t="s">
        <v>27</v>
      </c>
      <c r="J3174" s="4">
        <v>74.900000000000006</v>
      </c>
      <c r="K3174">
        <v>1</v>
      </c>
      <c r="L3174">
        <v>74.900000000000006</v>
      </c>
      <c r="M3174">
        <v>74.900000000000006</v>
      </c>
      <c r="N3174" s="5">
        <v>3.8065976714100902</v>
      </c>
      <c r="O3174" t="s">
        <v>51</v>
      </c>
      <c r="P3174" t="s">
        <v>340</v>
      </c>
      <c r="Q3174" s="10" t="s">
        <v>24</v>
      </c>
    </row>
    <row r="3175" spans="1:17" hidden="1" x14ac:dyDescent="0.25">
      <c r="A3175" s="9" t="s">
        <v>1636</v>
      </c>
      <c r="B3175" s="3" t="s">
        <v>2061</v>
      </c>
      <c r="C3175" s="10">
        <v>20</v>
      </c>
      <c r="D3175" s="10">
        <v>12</v>
      </c>
      <c r="E3175" s="10">
        <v>19</v>
      </c>
      <c r="F3175" t="s">
        <v>2339</v>
      </c>
      <c r="G3175" t="s">
        <v>889</v>
      </c>
      <c r="H3175" t="s">
        <v>65</v>
      </c>
      <c r="I3175" t="s">
        <v>27</v>
      </c>
      <c r="J3175" s="4">
        <v>34.666666666666671</v>
      </c>
      <c r="K3175">
        <v>3</v>
      </c>
      <c r="L3175">
        <v>34.666666666666671</v>
      </c>
      <c r="M3175">
        <v>104.00000000000001</v>
      </c>
      <c r="N3175" s="5">
        <v>5.2855294769913135</v>
      </c>
      <c r="O3175" t="s">
        <v>51</v>
      </c>
      <c r="P3175" t="s">
        <v>340</v>
      </c>
      <c r="Q3175" s="10" t="s">
        <v>24</v>
      </c>
    </row>
    <row r="3176" spans="1:17" hidden="1" x14ac:dyDescent="0.25">
      <c r="A3176" s="9" t="s">
        <v>1636</v>
      </c>
      <c r="B3176" s="3" t="s">
        <v>2061</v>
      </c>
      <c r="C3176" s="10">
        <v>20</v>
      </c>
      <c r="D3176" s="10">
        <v>12</v>
      </c>
      <c r="E3176" s="10">
        <v>19</v>
      </c>
      <c r="F3176" t="s">
        <v>1875</v>
      </c>
      <c r="G3176" t="s">
        <v>889</v>
      </c>
      <c r="H3176" t="s">
        <v>39</v>
      </c>
      <c r="I3176" t="s">
        <v>27</v>
      </c>
      <c r="J3176" s="4">
        <v>13.9</v>
      </c>
      <c r="K3176">
        <v>1</v>
      </c>
      <c r="L3176">
        <v>13.9</v>
      </c>
      <c r="M3176">
        <v>13.9</v>
      </c>
      <c r="N3176" s="5">
        <v>0.70643134355941595</v>
      </c>
      <c r="O3176" t="s">
        <v>51</v>
      </c>
      <c r="P3176" t="s">
        <v>340</v>
      </c>
      <c r="Q3176" s="10" t="s">
        <v>24</v>
      </c>
    </row>
    <row r="3177" spans="1:17" hidden="1" x14ac:dyDescent="0.25">
      <c r="A3177" s="9" t="s">
        <v>1636</v>
      </c>
      <c r="B3177" s="3" t="s">
        <v>2061</v>
      </c>
      <c r="C3177" s="10">
        <v>20</v>
      </c>
      <c r="D3177" s="10">
        <v>12</v>
      </c>
      <c r="E3177" s="10">
        <v>19</v>
      </c>
      <c r="F3177" t="s">
        <v>577</v>
      </c>
      <c r="G3177" t="s">
        <v>889</v>
      </c>
      <c r="H3177" t="s">
        <v>49</v>
      </c>
      <c r="I3177" t="s">
        <v>50</v>
      </c>
      <c r="J3177" s="4">
        <v>129</v>
      </c>
      <c r="K3177">
        <v>1</v>
      </c>
      <c r="L3177">
        <v>129</v>
      </c>
      <c r="M3177">
        <v>129</v>
      </c>
      <c r="N3177" s="5">
        <v>6.5560894474219173</v>
      </c>
      <c r="O3177" t="s">
        <v>51</v>
      </c>
      <c r="P3177" t="s">
        <v>340</v>
      </c>
      <c r="Q3177" s="10" t="s">
        <v>24</v>
      </c>
    </row>
    <row r="3178" spans="1:17" hidden="1" x14ac:dyDescent="0.25">
      <c r="A3178" s="9" t="s">
        <v>1636</v>
      </c>
      <c r="B3178" s="3" t="s">
        <v>2061</v>
      </c>
      <c r="C3178" s="10">
        <v>20</v>
      </c>
      <c r="D3178" s="10">
        <v>12</v>
      </c>
      <c r="E3178" s="10">
        <v>19</v>
      </c>
      <c r="F3178" t="s">
        <v>55</v>
      </c>
      <c r="G3178" t="s">
        <v>889</v>
      </c>
      <c r="H3178" t="s">
        <v>56</v>
      </c>
      <c r="I3178" t="s">
        <v>27</v>
      </c>
      <c r="J3178" s="4">
        <v>22.9</v>
      </c>
      <c r="K3178">
        <v>1.262</v>
      </c>
      <c r="L3178">
        <v>22.9</v>
      </c>
      <c r="M3178">
        <v>28.899799999999999</v>
      </c>
      <c r="N3178" s="5">
        <v>1.4687571613380148</v>
      </c>
      <c r="O3178" t="s">
        <v>51</v>
      </c>
      <c r="P3178" t="s">
        <v>340</v>
      </c>
      <c r="Q3178" s="10" t="s">
        <v>24</v>
      </c>
    </row>
    <row r="3179" spans="1:17" hidden="1" x14ac:dyDescent="0.25">
      <c r="A3179" s="9" t="s">
        <v>1636</v>
      </c>
      <c r="B3179" s="3" t="s">
        <v>2061</v>
      </c>
      <c r="C3179" s="10">
        <v>20</v>
      </c>
      <c r="D3179" s="10">
        <v>12</v>
      </c>
      <c r="E3179" s="10">
        <v>19</v>
      </c>
      <c r="F3179" t="s">
        <v>1996</v>
      </c>
      <c r="G3179" t="s">
        <v>889</v>
      </c>
      <c r="H3179" t="s">
        <v>69</v>
      </c>
      <c r="I3179" t="s">
        <v>27</v>
      </c>
      <c r="J3179" s="4">
        <v>319</v>
      </c>
      <c r="K3179">
        <v>0.38</v>
      </c>
      <c r="L3179">
        <v>319</v>
      </c>
      <c r="M3179">
        <v>121.22</v>
      </c>
      <c r="N3179" s="5">
        <v>6.1606911846239134</v>
      </c>
      <c r="O3179" t="s">
        <v>51</v>
      </c>
      <c r="P3179" t="s">
        <v>340</v>
      </c>
      <c r="Q3179" s="10" t="s">
        <v>24</v>
      </c>
    </row>
    <row r="3180" spans="1:17" hidden="1" x14ac:dyDescent="0.25">
      <c r="A3180" s="9" t="s">
        <v>1636</v>
      </c>
      <c r="B3180" s="3" t="s">
        <v>2061</v>
      </c>
      <c r="C3180" s="10">
        <v>20</v>
      </c>
      <c r="D3180" s="10">
        <v>12</v>
      </c>
      <c r="E3180" s="10">
        <v>19</v>
      </c>
      <c r="F3180" t="s">
        <v>2105</v>
      </c>
      <c r="G3180" t="s">
        <v>345</v>
      </c>
      <c r="H3180" t="s">
        <v>26</v>
      </c>
      <c r="I3180" t="s">
        <v>27</v>
      </c>
      <c r="J3180" s="4">
        <v>9.39</v>
      </c>
      <c r="K3180">
        <v>1</v>
      </c>
      <c r="L3180">
        <v>9.39</v>
      </c>
      <c r="M3180">
        <v>9.39</v>
      </c>
      <c r="N3180" s="5">
        <v>0.47722232489373495</v>
      </c>
      <c r="O3180" t="s">
        <v>51</v>
      </c>
      <c r="P3180" t="s">
        <v>340</v>
      </c>
      <c r="Q3180" s="10" t="s">
        <v>24</v>
      </c>
    </row>
    <row r="3181" spans="1:17" hidden="1" x14ac:dyDescent="0.25">
      <c r="A3181" s="9" t="s">
        <v>1636</v>
      </c>
      <c r="B3181" s="3" t="s">
        <v>2061</v>
      </c>
      <c r="C3181" s="10">
        <v>20</v>
      </c>
      <c r="D3181" s="10">
        <v>12</v>
      </c>
      <c r="E3181" s="10">
        <v>19</v>
      </c>
      <c r="F3181" t="s">
        <v>1265</v>
      </c>
      <c r="G3181" t="s">
        <v>31</v>
      </c>
      <c r="H3181" t="s">
        <v>26</v>
      </c>
      <c r="I3181" t="s">
        <v>27</v>
      </c>
      <c r="J3181" s="4">
        <v>10.29</v>
      </c>
      <c r="K3181">
        <v>2</v>
      </c>
      <c r="L3181">
        <v>10.29</v>
      </c>
      <c r="M3181">
        <v>20.58</v>
      </c>
      <c r="N3181" s="5">
        <v>1.0459249676584732</v>
      </c>
      <c r="O3181" t="s">
        <v>51</v>
      </c>
      <c r="P3181" t="s">
        <v>340</v>
      </c>
      <c r="Q3181" s="10" t="s">
        <v>24</v>
      </c>
    </row>
    <row r="3182" spans="1:17" hidden="1" x14ac:dyDescent="0.25">
      <c r="A3182" s="9" t="s">
        <v>1636</v>
      </c>
      <c r="B3182" s="3" t="s">
        <v>2061</v>
      </c>
      <c r="C3182" s="10">
        <v>20</v>
      </c>
      <c r="D3182" s="10">
        <v>12</v>
      </c>
      <c r="E3182" s="10">
        <v>19</v>
      </c>
      <c r="F3182" t="s">
        <v>2072</v>
      </c>
      <c r="G3182" t="s">
        <v>328</v>
      </c>
      <c r="H3182" t="s">
        <v>49</v>
      </c>
      <c r="I3182" t="s">
        <v>50</v>
      </c>
      <c r="J3182" s="4">
        <v>13.9</v>
      </c>
      <c r="K3182">
        <v>2</v>
      </c>
      <c r="L3182">
        <v>13.9</v>
      </c>
      <c r="M3182">
        <v>27.8</v>
      </c>
      <c r="N3182" s="5">
        <v>1.4128626871188319</v>
      </c>
      <c r="O3182" t="s">
        <v>51</v>
      </c>
      <c r="P3182" t="s">
        <v>340</v>
      </c>
      <c r="Q3182" s="10" t="s">
        <v>24</v>
      </c>
    </row>
    <row r="3183" spans="1:17" hidden="1" x14ac:dyDescent="0.25">
      <c r="A3183" s="9" t="s">
        <v>1636</v>
      </c>
      <c r="B3183" s="3" t="s">
        <v>2061</v>
      </c>
      <c r="C3183" s="10">
        <v>20</v>
      </c>
      <c r="D3183" s="10">
        <v>12</v>
      </c>
      <c r="E3183" s="10">
        <v>19</v>
      </c>
      <c r="F3183" t="s">
        <v>2118</v>
      </c>
      <c r="G3183" t="s">
        <v>889</v>
      </c>
      <c r="H3183" t="s">
        <v>65</v>
      </c>
      <c r="I3183" t="s">
        <v>27</v>
      </c>
      <c r="J3183" s="4">
        <v>20.7</v>
      </c>
      <c r="K3183">
        <v>2</v>
      </c>
      <c r="L3183">
        <v>20.7</v>
      </c>
      <c r="M3183">
        <v>41.4</v>
      </c>
      <c r="N3183" s="5">
        <v>2.1040473110330802</v>
      </c>
      <c r="O3183" t="s">
        <v>51</v>
      </c>
      <c r="P3183" t="s">
        <v>340</v>
      </c>
      <c r="Q3183" s="10" t="s">
        <v>24</v>
      </c>
    </row>
    <row r="3184" spans="1:17" hidden="1" x14ac:dyDescent="0.25">
      <c r="A3184" s="9" t="s">
        <v>1636</v>
      </c>
      <c r="B3184" s="3" t="s">
        <v>2061</v>
      </c>
      <c r="C3184" s="10">
        <v>20</v>
      </c>
      <c r="D3184" s="10">
        <v>12</v>
      </c>
      <c r="E3184" s="10">
        <v>19</v>
      </c>
      <c r="F3184" t="s">
        <v>2120</v>
      </c>
      <c r="G3184" t="s">
        <v>889</v>
      </c>
      <c r="H3184" t="s">
        <v>1938</v>
      </c>
      <c r="I3184" t="s">
        <v>27</v>
      </c>
      <c r="J3184" s="4">
        <v>12.9</v>
      </c>
      <c r="K3184">
        <v>2</v>
      </c>
      <c r="L3184">
        <v>12.9</v>
      </c>
      <c r="M3184">
        <v>25.8</v>
      </c>
      <c r="N3184" s="5">
        <v>1.3112178894843836</v>
      </c>
      <c r="O3184" t="s">
        <v>51</v>
      </c>
      <c r="P3184" t="s">
        <v>340</v>
      </c>
      <c r="Q3184" s="10" t="s">
        <v>24</v>
      </c>
    </row>
    <row r="3185" spans="1:17" hidden="1" x14ac:dyDescent="0.25">
      <c r="A3185" s="9" t="s">
        <v>1636</v>
      </c>
      <c r="B3185" s="3" t="s">
        <v>2061</v>
      </c>
      <c r="C3185" s="10">
        <v>20</v>
      </c>
      <c r="D3185" s="10">
        <v>12</v>
      </c>
      <c r="E3185" s="10">
        <v>19</v>
      </c>
      <c r="F3185" t="s">
        <v>2119</v>
      </c>
      <c r="G3185" t="s">
        <v>67</v>
      </c>
      <c r="H3185" t="s">
        <v>59</v>
      </c>
      <c r="I3185" t="s">
        <v>27</v>
      </c>
      <c r="J3185" s="4">
        <v>269.89999999999998</v>
      </c>
      <c r="K3185">
        <v>1</v>
      </c>
      <c r="L3185">
        <v>269.89999999999998</v>
      </c>
      <c r="M3185">
        <v>269.89999999999998</v>
      </c>
      <c r="N3185" s="5">
        <v>13.716965440768801</v>
      </c>
      <c r="O3185" t="s">
        <v>51</v>
      </c>
      <c r="P3185" t="s">
        <v>340</v>
      </c>
      <c r="Q3185" s="10" t="s">
        <v>24</v>
      </c>
    </row>
    <row r="3186" spans="1:17" hidden="1" x14ac:dyDescent="0.25">
      <c r="A3186" s="9" t="s">
        <v>1636</v>
      </c>
      <c r="B3186" s="3" t="s">
        <v>2061</v>
      </c>
      <c r="C3186" s="10">
        <v>20</v>
      </c>
      <c r="D3186" s="10">
        <v>12</v>
      </c>
      <c r="E3186" s="10">
        <v>19</v>
      </c>
      <c r="F3186" t="s">
        <v>1793</v>
      </c>
      <c r="G3186" t="s">
        <v>889</v>
      </c>
      <c r="H3186" t="s">
        <v>65</v>
      </c>
      <c r="I3186" t="s">
        <v>27</v>
      </c>
      <c r="J3186" s="4">
        <v>8.69</v>
      </c>
      <c r="K3186">
        <v>2</v>
      </c>
      <c r="L3186">
        <v>8.69</v>
      </c>
      <c r="M3186">
        <v>17.38</v>
      </c>
      <c r="N3186" s="5">
        <v>0.88329329144335589</v>
      </c>
      <c r="O3186" t="s">
        <v>51</v>
      </c>
      <c r="P3186" t="s">
        <v>340</v>
      </c>
      <c r="Q3186" s="10" t="s">
        <v>24</v>
      </c>
    </row>
    <row r="3187" spans="1:17" hidden="1" x14ac:dyDescent="0.25">
      <c r="A3187" s="9" t="s">
        <v>1636</v>
      </c>
      <c r="B3187" s="3" t="s">
        <v>2061</v>
      </c>
      <c r="C3187" s="10">
        <v>20</v>
      </c>
      <c r="D3187" s="10">
        <v>12</v>
      </c>
      <c r="E3187" s="10">
        <v>19</v>
      </c>
      <c r="F3187" t="s">
        <v>2121</v>
      </c>
      <c r="G3187" t="s">
        <v>889</v>
      </c>
      <c r="H3187" t="s">
        <v>62</v>
      </c>
      <c r="I3187" t="s">
        <v>27</v>
      </c>
      <c r="J3187" s="4">
        <v>45.9</v>
      </c>
      <c r="K3187">
        <v>1</v>
      </c>
      <c r="L3187">
        <v>45.9</v>
      </c>
      <c r="M3187">
        <v>45.9</v>
      </c>
      <c r="N3187" s="5">
        <v>2.3327481057105892</v>
      </c>
      <c r="O3187" t="s">
        <v>51</v>
      </c>
      <c r="P3187" t="s">
        <v>340</v>
      </c>
      <c r="Q3187" s="10" t="s">
        <v>24</v>
      </c>
    </row>
    <row r="3188" spans="1:17" hidden="1" x14ac:dyDescent="0.25">
      <c r="A3188" s="9" t="s">
        <v>1636</v>
      </c>
      <c r="B3188" s="3" t="s">
        <v>2061</v>
      </c>
      <c r="C3188" s="10">
        <v>20</v>
      </c>
      <c r="D3188" s="10">
        <v>12</v>
      </c>
      <c r="E3188" s="10">
        <v>19</v>
      </c>
      <c r="F3188" t="s">
        <v>2122</v>
      </c>
      <c r="G3188" t="s">
        <v>889</v>
      </c>
      <c r="H3188" t="s">
        <v>63</v>
      </c>
      <c r="I3188" t="s">
        <v>50</v>
      </c>
      <c r="J3188" s="4">
        <v>189</v>
      </c>
      <c r="K3188">
        <v>1</v>
      </c>
      <c r="L3188">
        <v>189</v>
      </c>
      <c r="M3188">
        <v>189</v>
      </c>
      <c r="N3188" s="5">
        <v>9.6054333764553679</v>
      </c>
      <c r="O3188" t="s">
        <v>51</v>
      </c>
      <c r="P3188" t="s">
        <v>340</v>
      </c>
      <c r="Q3188" s="10" t="s">
        <v>24</v>
      </c>
    </row>
    <row r="3189" spans="1:17" hidden="1" x14ac:dyDescent="0.25">
      <c r="A3189" s="9" t="s">
        <v>1636</v>
      </c>
      <c r="B3189" s="3" t="s">
        <v>2061</v>
      </c>
      <c r="C3189" s="10">
        <v>20</v>
      </c>
      <c r="D3189" s="10">
        <v>12</v>
      </c>
      <c r="E3189" s="10">
        <v>19</v>
      </c>
      <c r="F3189" t="s">
        <v>1077</v>
      </c>
      <c r="G3189" t="s">
        <v>889</v>
      </c>
      <c r="H3189" t="s">
        <v>131</v>
      </c>
      <c r="I3189" t="s">
        <v>27</v>
      </c>
      <c r="J3189" s="4">
        <v>113.58</v>
      </c>
      <c r="K3189">
        <v>1</v>
      </c>
      <c r="L3189">
        <v>113.58</v>
      </c>
      <c r="M3189">
        <v>113.58</v>
      </c>
      <c r="N3189" s="5">
        <v>5.7724080576603205</v>
      </c>
      <c r="O3189" t="s">
        <v>88</v>
      </c>
      <c r="P3189" t="s">
        <v>340</v>
      </c>
      <c r="Q3189" s="10" t="s">
        <v>24</v>
      </c>
    </row>
    <row r="3190" spans="1:17" hidden="1" x14ac:dyDescent="0.25">
      <c r="A3190" s="9" t="s">
        <v>1636</v>
      </c>
      <c r="B3190" s="3" t="s">
        <v>2061</v>
      </c>
      <c r="C3190" s="10">
        <v>20</v>
      </c>
      <c r="D3190" s="10">
        <v>12</v>
      </c>
      <c r="E3190" s="10">
        <v>19</v>
      </c>
      <c r="F3190" t="s">
        <v>86</v>
      </c>
      <c r="G3190" t="s">
        <v>889</v>
      </c>
      <c r="H3190" t="s">
        <v>102</v>
      </c>
      <c r="I3190" t="s">
        <v>27</v>
      </c>
      <c r="J3190" s="4">
        <v>20</v>
      </c>
      <c r="K3190">
        <v>1</v>
      </c>
      <c r="L3190">
        <v>20</v>
      </c>
      <c r="M3190">
        <v>20</v>
      </c>
      <c r="N3190" s="5">
        <v>1.0164479763444834</v>
      </c>
      <c r="O3190" t="s">
        <v>39</v>
      </c>
      <c r="P3190" t="s">
        <v>340</v>
      </c>
      <c r="Q3190" s="10" t="s">
        <v>24</v>
      </c>
    </row>
    <row r="3191" spans="1:17" hidden="1" x14ac:dyDescent="0.25">
      <c r="A3191" s="9" t="s">
        <v>1636</v>
      </c>
      <c r="B3191" s="3" t="s">
        <v>2061</v>
      </c>
      <c r="C3191" s="10">
        <v>20</v>
      </c>
      <c r="D3191" s="10">
        <v>12</v>
      </c>
      <c r="E3191" s="10">
        <v>19</v>
      </c>
      <c r="F3191" t="s">
        <v>2131</v>
      </c>
      <c r="G3191" t="s">
        <v>889</v>
      </c>
      <c r="H3191" t="s">
        <v>1748</v>
      </c>
      <c r="I3191" t="s">
        <v>72</v>
      </c>
      <c r="J3191" s="4">
        <v>25000</v>
      </c>
      <c r="K3191">
        <v>1</v>
      </c>
      <c r="L3191">
        <v>25000</v>
      </c>
      <c r="M3191">
        <v>25000</v>
      </c>
      <c r="N3191" s="5">
        <v>1270.5599704306042</v>
      </c>
      <c r="O3191" t="s">
        <v>39</v>
      </c>
      <c r="P3191" t="s">
        <v>340</v>
      </c>
      <c r="Q3191" s="10" t="s">
        <v>24</v>
      </c>
    </row>
    <row r="3192" spans="1:17" hidden="1" x14ac:dyDescent="0.25">
      <c r="A3192" s="9" t="s">
        <v>1636</v>
      </c>
      <c r="B3192" s="3" t="s">
        <v>2062</v>
      </c>
      <c r="C3192" s="10">
        <v>21</v>
      </c>
      <c r="D3192" s="10">
        <v>12</v>
      </c>
      <c r="E3192" s="10">
        <v>19</v>
      </c>
      <c r="F3192" t="s">
        <v>657</v>
      </c>
      <c r="G3192" t="s">
        <v>889</v>
      </c>
      <c r="H3192" t="s">
        <v>40</v>
      </c>
      <c r="I3192" t="s">
        <v>27</v>
      </c>
      <c r="J3192" s="4">
        <v>14</v>
      </c>
      <c r="K3192">
        <v>1</v>
      </c>
      <c r="L3192">
        <v>14</v>
      </c>
      <c r="M3192">
        <v>14</v>
      </c>
      <c r="N3192" s="5">
        <v>0.71151358344113835</v>
      </c>
      <c r="O3192" t="s">
        <v>100</v>
      </c>
      <c r="P3192" t="s">
        <v>340</v>
      </c>
      <c r="Q3192" s="10" t="s">
        <v>24</v>
      </c>
    </row>
    <row r="3193" spans="1:17" hidden="1" x14ac:dyDescent="0.25">
      <c r="A3193" s="9" t="s">
        <v>1636</v>
      </c>
      <c r="B3193" s="3" t="s">
        <v>2062</v>
      </c>
      <c r="C3193" s="10">
        <v>21</v>
      </c>
      <c r="D3193" s="10">
        <v>12</v>
      </c>
      <c r="E3193" s="10">
        <v>19</v>
      </c>
      <c r="F3193" t="s">
        <v>1399</v>
      </c>
      <c r="G3193" t="s">
        <v>889</v>
      </c>
      <c r="H3193" t="s">
        <v>35</v>
      </c>
      <c r="I3193" t="s">
        <v>27</v>
      </c>
      <c r="J3193" s="4">
        <v>41.6</v>
      </c>
      <c r="K3193">
        <v>1</v>
      </c>
      <c r="L3193">
        <v>41.6</v>
      </c>
      <c r="M3193">
        <v>41.6</v>
      </c>
      <c r="N3193" s="5">
        <v>2.1142117907965252</v>
      </c>
      <c r="O3193" t="s">
        <v>100</v>
      </c>
      <c r="P3193" t="s">
        <v>340</v>
      </c>
      <c r="Q3193" s="10" t="s">
        <v>24</v>
      </c>
    </row>
    <row r="3194" spans="1:17" hidden="1" x14ac:dyDescent="0.25">
      <c r="A3194" s="9" t="s">
        <v>1636</v>
      </c>
      <c r="B3194" s="3" t="s">
        <v>2062</v>
      </c>
      <c r="C3194" s="10">
        <v>21</v>
      </c>
      <c r="D3194" s="10">
        <v>12</v>
      </c>
      <c r="E3194" s="10">
        <v>19</v>
      </c>
      <c r="F3194" t="s">
        <v>974</v>
      </c>
      <c r="G3194" t="s">
        <v>25</v>
      </c>
      <c r="H3194" t="s">
        <v>26</v>
      </c>
      <c r="I3194" t="s">
        <v>27</v>
      </c>
      <c r="J3194" s="4">
        <v>211.6</v>
      </c>
      <c r="K3194">
        <v>0.40600000000000003</v>
      </c>
      <c r="L3194">
        <v>211.6</v>
      </c>
      <c r="M3194">
        <v>85.909599999999998</v>
      </c>
      <c r="N3194" s="5">
        <v>4.3661319534282006</v>
      </c>
      <c r="O3194" t="s">
        <v>100</v>
      </c>
      <c r="P3194" t="s">
        <v>340</v>
      </c>
      <c r="Q3194" s="10" t="s">
        <v>24</v>
      </c>
    </row>
    <row r="3195" spans="1:17" hidden="1" x14ac:dyDescent="0.25">
      <c r="A3195" s="9" t="s">
        <v>1636</v>
      </c>
      <c r="B3195" s="3" t="s">
        <v>2062</v>
      </c>
      <c r="C3195" s="10">
        <v>21</v>
      </c>
      <c r="D3195" s="10">
        <v>12</v>
      </c>
      <c r="E3195" s="10">
        <v>19</v>
      </c>
      <c r="F3195" t="s">
        <v>99</v>
      </c>
      <c r="G3195" t="s">
        <v>889</v>
      </c>
      <c r="H3195" t="s">
        <v>40</v>
      </c>
      <c r="I3195" t="s">
        <v>27</v>
      </c>
      <c r="J3195" s="4">
        <v>10</v>
      </c>
      <c r="K3195">
        <v>1</v>
      </c>
      <c r="L3195">
        <v>10</v>
      </c>
      <c r="M3195">
        <v>10</v>
      </c>
      <c r="N3195" s="5">
        <v>0.50822398817224168</v>
      </c>
      <c r="O3195" t="s">
        <v>100</v>
      </c>
      <c r="P3195" t="s">
        <v>340</v>
      </c>
      <c r="Q3195" s="10" t="s">
        <v>24</v>
      </c>
    </row>
    <row r="3196" spans="1:17" hidden="1" x14ac:dyDescent="0.25">
      <c r="A3196" s="9" t="s">
        <v>1636</v>
      </c>
      <c r="B3196" s="3" t="s">
        <v>2062</v>
      </c>
      <c r="C3196" s="10">
        <v>21</v>
      </c>
      <c r="D3196" s="10">
        <v>12</v>
      </c>
      <c r="E3196" s="10">
        <v>19</v>
      </c>
      <c r="F3196" t="s">
        <v>398</v>
      </c>
      <c r="G3196" t="s">
        <v>889</v>
      </c>
      <c r="H3196" t="s">
        <v>40</v>
      </c>
      <c r="I3196" t="s">
        <v>27</v>
      </c>
      <c r="J3196" s="4">
        <v>14.6</v>
      </c>
      <c r="K3196">
        <v>1</v>
      </c>
      <c r="L3196">
        <v>14.6</v>
      </c>
      <c r="M3196">
        <v>14.6</v>
      </c>
      <c r="N3196" s="5">
        <v>0.74200702273147279</v>
      </c>
      <c r="O3196" t="s">
        <v>100</v>
      </c>
      <c r="P3196" t="s">
        <v>340</v>
      </c>
      <c r="Q3196" s="10" t="s">
        <v>24</v>
      </c>
    </row>
    <row r="3197" spans="1:17" hidden="1" x14ac:dyDescent="0.25">
      <c r="A3197" s="9" t="s">
        <v>1636</v>
      </c>
      <c r="B3197" s="3" t="s">
        <v>2062</v>
      </c>
      <c r="C3197" s="10">
        <v>21</v>
      </c>
      <c r="D3197" s="10">
        <v>12</v>
      </c>
      <c r="E3197" s="10">
        <v>19</v>
      </c>
      <c r="F3197" t="s">
        <v>2041</v>
      </c>
      <c r="G3197" t="s">
        <v>889</v>
      </c>
      <c r="H3197" t="s">
        <v>35</v>
      </c>
      <c r="I3197" t="s">
        <v>27</v>
      </c>
      <c r="J3197" s="4">
        <v>148.6</v>
      </c>
      <c r="K3197">
        <v>0.22600000000000001</v>
      </c>
      <c r="L3197">
        <v>148.6</v>
      </c>
      <c r="M3197">
        <v>33.583599999999997</v>
      </c>
      <c r="N3197" s="5">
        <v>1.7067991129181292</v>
      </c>
      <c r="O3197" t="s">
        <v>100</v>
      </c>
      <c r="P3197" t="s">
        <v>340</v>
      </c>
      <c r="Q3197" s="10" t="s">
        <v>24</v>
      </c>
    </row>
    <row r="3198" spans="1:17" hidden="1" x14ac:dyDescent="0.25">
      <c r="A3198" s="9" t="s">
        <v>1636</v>
      </c>
      <c r="B3198" s="3" t="s">
        <v>2062</v>
      </c>
      <c r="C3198" s="10">
        <v>21</v>
      </c>
      <c r="D3198" s="10">
        <v>12</v>
      </c>
      <c r="E3198" s="10">
        <v>19</v>
      </c>
      <c r="F3198" t="s">
        <v>2123</v>
      </c>
      <c r="G3198" t="s">
        <v>98</v>
      </c>
      <c r="H3198" t="s">
        <v>26</v>
      </c>
      <c r="I3198" t="s">
        <v>27</v>
      </c>
      <c r="J3198" s="4">
        <v>49.75</v>
      </c>
      <c r="K3198">
        <v>1</v>
      </c>
      <c r="L3198">
        <v>49.75</v>
      </c>
      <c r="M3198">
        <v>49.75</v>
      </c>
      <c r="N3198" s="5">
        <v>2.528414341156902</v>
      </c>
      <c r="O3198" t="s">
        <v>100</v>
      </c>
      <c r="P3198" t="s">
        <v>340</v>
      </c>
      <c r="Q3198" s="10" t="s">
        <v>24</v>
      </c>
    </row>
    <row r="3199" spans="1:17" hidden="1" x14ac:dyDescent="0.25">
      <c r="A3199" s="9" t="s">
        <v>1636</v>
      </c>
      <c r="B3199" s="3" t="s">
        <v>2062</v>
      </c>
      <c r="C3199" s="10">
        <v>21</v>
      </c>
      <c r="D3199" s="10">
        <v>12</v>
      </c>
      <c r="E3199" s="10">
        <v>19</v>
      </c>
      <c r="F3199" t="s">
        <v>2124</v>
      </c>
      <c r="G3199" t="s">
        <v>155</v>
      </c>
      <c r="H3199" t="s">
        <v>131</v>
      </c>
      <c r="I3199" t="s">
        <v>27</v>
      </c>
      <c r="J3199" s="4">
        <v>28.6</v>
      </c>
      <c r="K3199">
        <v>3</v>
      </c>
      <c r="L3199">
        <v>28.6</v>
      </c>
      <c r="M3199">
        <v>85.800000000000011</v>
      </c>
      <c r="N3199" s="5">
        <v>4.3605618185178336</v>
      </c>
      <c r="O3199" t="s">
        <v>100</v>
      </c>
      <c r="P3199" t="s">
        <v>340</v>
      </c>
      <c r="Q3199" s="10" t="s">
        <v>24</v>
      </c>
    </row>
    <row r="3200" spans="1:17" hidden="1" x14ac:dyDescent="0.25">
      <c r="A3200" s="9" t="s">
        <v>1636</v>
      </c>
      <c r="B3200" s="3" t="s">
        <v>2062</v>
      </c>
      <c r="C3200" s="10">
        <v>21</v>
      </c>
      <c r="D3200" s="10">
        <v>12</v>
      </c>
      <c r="E3200" s="10">
        <v>19</v>
      </c>
      <c r="F3200" t="s">
        <v>1036</v>
      </c>
      <c r="G3200" t="s">
        <v>889</v>
      </c>
      <c r="H3200" t="s">
        <v>38</v>
      </c>
      <c r="I3200" t="s">
        <v>27</v>
      </c>
      <c r="J3200" s="4">
        <v>126</v>
      </c>
      <c r="K3200">
        <v>0.17199999999999999</v>
      </c>
      <c r="L3200">
        <v>126</v>
      </c>
      <c r="M3200">
        <v>21.671999999999997</v>
      </c>
      <c r="N3200" s="5">
        <v>1.1014230271668819</v>
      </c>
      <c r="O3200" t="s">
        <v>100</v>
      </c>
      <c r="P3200" t="s">
        <v>340</v>
      </c>
      <c r="Q3200" s="10" t="s">
        <v>24</v>
      </c>
    </row>
    <row r="3201" spans="1:18" hidden="1" x14ac:dyDescent="0.25">
      <c r="A3201" s="9" t="s">
        <v>1636</v>
      </c>
      <c r="B3201" s="3" t="s">
        <v>2062</v>
      </c>
      <c r="C3201" s="10">
        <v>21</v>
      </c>
      <c r="D3201" s="10">
        <v>12</v>
      </c>
      <c r="E3201" s="10">
        <v>19</v>
      </c>
      <c r="F3201" t="s">
        <v>1726</v>
      </c>
      <c r="G3201" t="s">
        <v>889</v>
      </c>
      <c r="H3201" t="s">
        <v>65</v>
      </c>
      <c r="I3201" t="s">
        <v>27</v>
      </c>
      <c r="J3201" s="4">
        <v>7</v>
      </c>
      <c r="K3201">
        <v>3</v>
      </c>
      <c r="L3201">
        <v>7</v>
      </c>
      <c r="M3201">
        <v>21</v>
      </c>
      <c r="N3201" s="5">
        <v>1.0672703751617074</v>
      </c>
      <c r="O3201" t="s">
        <v>39</v>
      </c>
      <c r="P3201" t="s">
        <v>340</v>
      </c>
      <c r="Q3201" s="10" t="s">
        <v>24</v>
      </c>
    </row>
    <row r="3202" spans="1:18" hidden="1" x14ac:dyDescent="0.25">
      <c r="A3202" s="9" t="s">
        <v>1636</v>
      </c>
      <c r="B3202" s="3" t="s">
        <v>2062</v>
      </c>
      <c r="C3202" s="10">
        <v>21</v>
      </c>
      <c r="D3202" s="10">
        <v>12</v>
      </c>
      <c r="E3202" s="10">
        <v>19</v>
      </c>
      <c r="F3202" t="s">
        <v>86</v>
      </c>
      <c r="G3202" t="s">
        <v>889</v>
      </c>
      <c r="H3202" t="s">
        <v>102</v>
      </c>
      <c r="I3202" t="s">
        <v>27</v>
      </c>
      <c r="J3202" s="4">
        <v>16</v>
      </c>
      <c r="K3202">
        <v>1</v>
      </c>
      <c r="L3202">
        <v>16</v>
      </c>
      <c r="M3202">
        <v>16</v>
      </c>
      <c r="N3202" s="5">
        <v>0.81315838107558669</v>
      </c>
      <c r="O3202" t="s">
        <v>39</v>
      </c>
      <c r="P3202" t="s">
        <v>340</v>
      </c>
      <c r="Q3202" s="10" t="s">
        <v>24</v>
      </c>
    </row>
    <row r="3203" spans="1:18" hidden="1" x14ac:dyDescent="0.25">
      <c r="A3203" s="9" t="s">
        <v>1636</v>
      </c>
      <c r="B3203" s="3" t="s">
        <v>2062</v>
      </c>
      <c r="C3203" s="10">
        <v>21</v>
      </c>
      <c r="D3203" s="10">
        <v>12</v>
      </c>
      <c r="E3203" s="10">
        <v>19</v>
      </c>
      <c r="F3203" t="s">
        <v>81</v>
      </c>
      <c r="G3203" t="s">
        <v>889</v>
      </c>
      <c r="H3203" t="s">
        <v>889</v>
      </c>
      <c r="I3203" t="s">
        <v>39</v>
      </c>
      <c r="J3203" s="4">
        <v>182.28</v>
      </c>
      <c r="K3203">
        <v>1</v>
      </c>
      <c r="L3203">
        <v>182.28</v>
      </c>
      <c r="M3203">
        <v>182.28</v>
      </c>
      <c r="N3203" s="5">
        <v>9.2639068564036204</v>
      </c>
      <c r="O3203" t="s">
        <v>2141</v>
      </c>
      <c r="P3203" t="s">
        <v>340</v>
      </c>
      <c r="Q3203" s="10" t="s">
        <v>84</v>
      </c>
      <c r="R3203" t="s">
        <v>2446</v>
      </c>
    </row>
    <row r="3204" spans="1:18" hidden="1" x14ac:dyDescent="0.25">
      <c r="A3204" s="9" t="s">
        <v>1636</v>
      </c>
      <c r="B3204" s="3" t="s">
        <v>2062</v>
      </c>
      <c r="C3204" s="10">
        <v>21</v>
      </c>
      <c r="D3204" s="10">
        <v>12</v>
      </c>
      <c r="E3204" s="10">
        <v>19</v>
      </c>
      <c r="F3204" t="s">
        <v>1565</v>
      </c>
      <c r="G3204" t="s">
        <v>889</v>
      </c>
      <c r="H3204" t="s">
        <v>889</v>
      </c>
      <c r="I3204" t="s">
        <v>96</v>
      </c>
      <c r="J3204" s="4">
        <v>179</v>
      </c>
      <c r="K3204">
        <v>1</v>
      </c>
      <c r="L3204">
        <v>179</v>
      </c>
      <c r="M3204">
        <v>179</v>
      </c>
      <c r="N3204" s="5">
        <v>9.097209388283126</v>
      </c>
      <c r="O3204" t="s">
        <v>2142</v>
      </c>
      <c r="P3204" t="s">
        <v>340</v>
      </c>
      <c r="Q3204" s="10" t="s">
        <v>84</v>
      </c>
      <c r="R3204" t="s">
        <v>2143</v>
      </c>
    </row>
    <row r="3205" spans="1:18" hidden="1" x14ac:dyDescent="0.25">
      <c r="A3205" s="9" t="s">
        <v>1636</v>
      </c>
      <c r="B3205" s="3" t="s">
        <v>2062</v>
      </c>
      <c r="C3205" s="10">
        <v>21</v>
      </c>
      <c r="D3205" s="10">
        <v>12</v>
      </c>
      <c r="E3205" s="10">
        <v>19</v>
      </c>
      <c r="F3205" t="s">
        <v>2144</v>
      </c>
      <c r="G3205" t="s">
        <v>889</v>
      </c>
      <c r="H3205" t="s">
        <v>2093</v>
      </c>
      <c r="I3205" t="s">
        <v>431</v>
      </c>
      <c r="J3205" s="4">
        <v>250</v>
      </c>
      <c r="K3205">
        <v>1</v>
      </c>
      <c r="L3205">
        <v>250</v>
      </c>
      <c r="M3205">
        <v>250</v>
      </c>
      <c r="N3205" s="5">
        <v>12.70559970430604</v>
      </c>
      <c r="O3205" t="s">
        <v>1167</v>
      </c>
      <c r="P3205" t="s">
        <v>340</v>
      </c>
      <c r="Q3205" s="10" t="s">
        <v>24</v>
      </c>
    </row>
    <row r="3206" spans="1:18" hidden="1" x14ac:dyDescent="0.25">
      <c r="A3206" s="9" t="s">
        <v>1636</v>
      </c>
      <c r="B3206" s="3" t="s">
        <v>2062</v>
      </c>
      <c r="C3206" s="10">
        <v>21</v>
      </c>
      <c r="D3206" s="10">
        <v>12</v>
      </c>
      <c r="E3206" s="10">
        <v>19</v>
      </c>
      <c r="F3206" t="s">
        <v>1075</v>
      </c>
      <c r="G3206" t="s">
        <v>889</v>
      </c>
      <c r="H3206" t="s">
        <v>56</v>
      </c>
      <c r="I3206" t="s">
        <v>27</v>
      </c>
      <c r="J3206" s="4">
        <v>25</v>
      </c>
      <c r="K3206">
        <v>1</v>
      </c>
      <c r="L3206">
        <v>25</v>
      </c>
      <c r="M3206">
        <v>25</v>
      </c>
      <c r="N3206" s="5">
        <v>1.2671059300557526</v>
      </c>
      <c r="O3206" t="s">
        <v>593</v>
      </c>
      <c r="P3206" t="s">
        <v>340</v>
      </c>
      <c r="Q3206" s="10" t="s">
        <v>24</v>
      </c>
    </row>
    <row r="3207" spans="1:18" hidden="1" x14ac:dyDescent="0.25">
      <c r="A3207" s="9" t="s">
        <v>1636</v>
      </c>
      <c r="B3207" s="3" t="s">
        <v>2062</v>
      </c>
      <c r="C3207" s="10">
        <v>21</v>
      </c>
      <c r="D3207" s="10">
        <v>12</v>
      </c>
      <c r="E3207" s="10">
        <v>19</v>
      </c>
      <c r="F3207" t="s">
        <v>891</v>
      </c>
      <c r="G3207" t="s">
        <v>889</v>
      </c>
      <c r="H3207" t="s">
        <v>54</v>
      </c>
      <c r="I3207" t="s">
        <v>27</v>
      </c>
      <c r="J3207" s="4">
        <v>5</v>
      </c>
      <c r="K3207">
        <v>1</v>
      </c>
      <c r="L3207">
        <v>5</v>
      </c>
      <c r="M3207">
        <v>5</v>
      </c>
      <c r="N3207" s="5">
        <v>0.25342118601115055</v>
      </c>
      <c r="O3207" t="s">
        <v>593</v>
      </c>
      <c r="P3207" t="s">
        <v>340</v>
      </c>
      <c r="Q3207" s="10" t="s">
        <v>24</v>
      </c>
    </row>
    <row r="3208" spans="1:18" hidden="1" x14ac:dyDescent="0.25">
      <c r="A3208" s="9" t="s">
        <v>1636</v>
      </c>
      <c r="B3208" s="3" t="s">
        <v>2062</v>
      </c>
      <c r="C3208" s="10">
        <v>21</v>
      </c>
      <c r="D3208" s="10">
        <v>12</v>
      </c>
      <c r="E3208" s="10">
        <v>19</v>
      </c>
      <c r="F3208" t="s">
        <v>997</v>
      </c>
      <c r="G3208" t="s">
        <v>889</v>
      </c>
      <c r="H3208" t="s">
        <v>54</v>
      </c>
      <c r="I3208" t="s">
        <v>27</v>
      </c>
      <c r="J3208" s="4">
        <v>10</v>
      </c>
      <c r="K3208">
        <v>1</v>
      </c>
      <c r="L3208">
        <v>10</v>
      </c>
      <c r="M3208">
        <v>10</v>
      </c>
      <c r="N3208" s="5">
        <v>0.50684237202230109</v>
      </c>
      <c r="O3208" t="s">
        <v>593</v>
      </c>
      <c r="P3208" t="s">
        <v>340</v>
      </c>
      <c r="Q3208" s="10" t="s">
        <v>24</v>
      </c>
    </row>
    <row r="3209" spans="1:18" hidden="1" x14ac:dyDescent="0.25">
      <c r="A3209" s="9" t="s">
        <v>1636</v>
      </c>
      <c r="B3209" s="3" t="s">
        <v>2062</v>
      </c>
      <c r="C3209" s="10">
        <v>21</v>
      </c>
      <c r="D3209" s="10">
        <v>12</v>
      </c>
      <c r="E3209" s="10">
        <v>19</v>
      </c>
      <c r="F3209" t="s">
        <v>744</v>
      </c>
      <c r="G3209" t="s">
        <v>889</v>
      </c>
      <c r="H3209" t="s">
        <v>54</v>
      </c>
      <c r="I3209" t="s">
        <v>27</v>
      </c>
      <c r="J3209" s="4">
        <v>8</v>
      </c>
      <c r="K3209">
        <v>1</v>
      </c>
      <c r="L3209">
        <v>8</v>
      </c>
      <c r="M3209">
        <v>8</v>
      </c>
      <c r="N3209" s="5">
        <v>0.40547389761784086</v>
      </c>
      <c r="O3209" t="s">
        <v>593</v>
      </c>
      <c r="P3209" t="s">
        <v>340</v>
      </c>
      <c r="Q3209" s="10" t="s">
        <v>24</v>
      </c>
    </row>
    <row r="3210" spans="1:18" hidden="1" x14ac:dyDescent="0.25">
      <c r="A3210" s="9" t="s">
        <v>1636</v>
      </c>
      <c r="B3210" s="3" t="s">
        <v>2062</v>
      </c>
      <c r="C3210" s="10">
        <v>21</v>
      </c>
      <c r="D3210" s="10">
        <v>12</v>
      </c>
      <c r="E3210" s="10">
        <v>19</v>
      </c>
      <c r="F3210" t="s">
        <v>426</v>
      </c>
      <c r="G3210" t="s">
        <v>889</v>
      </c>
      <c r="H3210" t="s">
        <v>54</v>
      </c>
      <c r="I3210" t="s">
        <v>27</v>
      </c>
      <c r="J3210" s="4">
        <v>9</v>
      </c>
      <c r="K3210">
        <v>1</v>
      </c>
      <c r="L3210">
        <v>9</v>
      </c>
      <c r="M3210">
        <v>9</v>
      </c>
      <c r="N3210" s="5">
        <v>0.45615813482007095</v>
      </c>
      <c r="O3210" t="s">
        <v>593</v>
      </c>
      <c r="P3210" t="s">
        <v>340</v>
      </c>
      <c r="Q3210" s="10" t="s">
        <v>24</v>
      </c>
    </row>
    <row r="3211" spans="1:18" hidden="1" x14ac:dyDescent="0.25">
      <c r="A3211" s="9" t="s">
        <v>1636</v>
      </c>
      <c r="B3211" s="3" t="s">
        <v>2062</v>
      </c>
      <c r="C3211" s="10">
        <v>21</v>
      </c>
      <c r="D3211" s="10">
        <v>12</v>
      </c>
      <c r="E3211" s="10">
        <v>19</v>
      </c>
      <c r="F3211" t="s">
        <v>1589</v>
      </c>
      <c r="G3211" t="s">
        <v>889</v>
      </c>
      <c r="H3211" t="s">
        <v>49</v>
      </c>
      <c r="I3211" t="s">
        <v>79</v>
      </c>
      <c r="J3211" s="4">
        <v>384</v>
      </c>
      <c r="K3211">
        <v>1</v>
      </c>
      <c r="L3211">
        <v>384</v>
      </c>
      <c r="M3211">
        <v>384</v>
      </c>
      <c r="N3211" s="5">
        <v>19.46274708565636</v>
      </c>
      <c r="O3211" t="s">
        <v>1361</v>
      </c>
      <c r="P3211" t="s">
        <v>340</v>
      </c>
      <c r="Q3211" s="10" t="s">
        <v>24</v>
      </c>
    </row>
    <row r="3212" spans="1:18" hidden="1" x14ac:dyDescent="0.25">
      <c r="A3212" s="9" t="s">
        <v>1636</v>
      </c>
      <c r="B3212" s="3" t="s">
        <v>2150</v>
      </c>
      <c r="C3212" s="10">
        <v>23</v>
      </c>
      <c r="D3212" s="10">
        <v>12</v>
      </c>
      <c r="E3212" s="10">
        <v>19</v>
      </c>
      <c r="F3212" t="s">
        <v>2138</v>
      </c>
      <c r="G3212" t="s">
        <v>889</v>
      </c>
      <c r="H3212" t="s">
        <v>2093</v>
      </c>
      <c r="I3212" t="s">
        <v>431</v>
      </c>
      <c r="J3212" s="4">
        <v>145</v>
      </c>
      <c r="K3212">
        <v>1</v>
      </c>
      <c r="L3212">
        <v>145</v>
      </c>
      <c r="M3212">
        <v>145</v>
      </c>
      <c r="N3212" s="5">
        <v>7.369247828497504</v>
      </c>
      <c r="O3212" t="s">
        <v>376</v>
      </c>
      <c r="P3212" t="s">
        <v>340</v>
      </c>
      <c r="Q3212" s="10" t="s">
        <v>24</v>
      </c>
    </row>
    <row r="3213" spans="1:18" hidden="1" x14ac:dyDescent="0.25">
      <c r="A3213" s="9" t="s">
        <v>1636</v>
      </c>
      <c r="B3213" s="3" t="s">
        <v>2150</v>
      </c>
      <c r="C3213" s="10">
        <v>23</v>
      </c>
      <c r="D3213" s="10">
        <v>12</v>
      </c>
      <c r="E3213" s="10">
        <v>19</v>
      </c>
      <c r="F3213" t="s">
        <v>2139</v>
      </c>
      <c r="G3213" t="s">
        <v>889</v>
      </c>
      <c r="H3213" t="s">
        <v>2093</v>
      </c>
      <c r="I3213" t="s">
        <v>431</v>
      </c>
      <c r="J3213" s="4">
        <v>55</v>
      </c>
      <c r="K3213">
        <v>1</v>
      </c>
      <c r="L3213">
        <v>55</v>
      </c>
      <c r="M3213">
        <v>55</v>
      </c>
      <c r="N3213" s="5">
        <v>2.7952319349473291</v>
      </c>
      <c r="O3213" t="s">
        <v>376</v>
      </c>
      <c r="P3213" t="s">
        <v>340</v>
      </c>
      <c r="Q3213" s="10" t="s">
        <v>24</v>
      </c>
    </row>
    <row r="3214" spans="1:18" hidden="1" x14ac:dyDescent="0.25">
      <c r="A3214" s="9" t="s">
        <v>1636</v>
      </c>
      <c r="B3214" s="3" t="s">
        <v>2150</v>
      </c>
      <c r="C3214" s="10">
        <v>23</v>
      </c>
      <c r="D3214" s="10">
        <v>12</v>
      </c>
      <c r="E3214" s="10">
        <v>19</v>
      </c>
      <c r="F3214" t="s">
        <v>81</v>
      </c>
      <c r="G3214" t="s">
        <v>889</v>
      </c>
      <c r="H3214" t="s">
        <v>889</v>
      </c>
      <c r="I3214" t="s">
        <v>39</v>
      </c>
      <c r="J3214" s="4">
        <v>1349</v>
      </c>
      <c r="K3214">
        <v>1</v>
      </c>
      <c r="L3214">
        <v>1349</v>
      </c>
      <c r="M3214">
        <v>1349</v>
      </c>
      <c r="N3214" s="5">
        <v>68.559416004435406</v>
      </c>
      <c r="O3214" t="s">
        <v>2100</v>
      </c>
      <c r="P3214" t="s">
        <v>340</v>
      </c>
      <c r="Q3214" s="10" t="s">
        <v>84</v>
      </c>
      <c r="R3214" t="s">
        <v>646</v>
      </c>
    </row>
    <row r="3215" spans="1:18" hidden="1" x14ac:dyDescent="0.25">
      <c r="A3215" s="9" t="s">
        <v>1636</v>
      </c>
      <c r="B3215" s="3" t="s">
        <v>2146</v>
      </c>
      <c r="C3215" s="10">
        <v>24</v>
      </c>
      <c r="D3215" s="10">
        <v>12</v>
      </c>
      <c r="E3215" s="10">
        <v>19</v>
      </c>
      <c r="F3215" t="s">
        <v>146</v>
      </c>
      <c r="G3215" t="s">
        <v>889</v>
      </c>
      <c r="H3215" t="s">
        <v>49</v>
      </c>
      <c r="I3215" t="s">
        <v>50</v>
      </c>
      <c r="J3215" s="4">
        <v>1.5</v>
      </c>
      <c r="K3215">
        <v>1</v>
      </c>
      <c r="L3215">
        <v>1.5</v>
      </c>
      <c r="M3215">
        <v>1.5</v>
      </c>
      <c r="N3215" s="5">
        <v>7.6233598225836252E-2</v>
      </c>
      <c r="O3215" t="s">
        <v>88</v>
      </c>
      <c r="P3215" t="s">
        <v>340</v>
      </c>
      <c r="Q3215" s="10" t="s">
        <v>24</v>
      </c>
    </row>
    <row r="3216" spans="1:18" hidden="1" x14ac:dyDescent="0.25">
      <c r="A3216" s="9" t="s">
        <v>1636</v>
      </c>
      <c r="B3216" s="3" t="s">
        <v>2146</v>
      </c>
      <c r="C3216" s="10">
        <v>24</v>
      </c>
      <c r="D3216" s="10">
        <v>12</v>
      </c>
      <c r="E3216" s="10">
        <v>19</v>
      </c>
      <c r="F3216" t="s">
        <v>2105</v>
      </c>
      <c r="G3216" t="s">
        <v>345</v>
      </c>
      <c r="H3216" t="s">
        <v>26</v>
      </c>
      <c r="I3216" t="s">
        <v>27</v>
      </c>
      <c r="J3216" s="4">
        <v>10.199999999999999</v>
      </c>
      <c r="K3216">
        <v>1</v>
      </c>
      <c r="L3216">
        <v>10.199999999999999</v>
      </c>
      <c r="M3216">
        <v>10.199999999999999</v>
      </c>
      <c r="N3216" s="5">
        <v>0.51838846793568649</v>
      </c>
      <c r="O3216" t="s">
        <v>101</v>
      </c>
      <c r="P3216" t="s">
        <v>340</v>
      </c>
      <c r="Q3216" s="10" t="s">
        <v>24</v>
      </c>
    </row>
    <row r="3217" spans="1:18" hidden="1" x14ac:dyDescent="0.25">
      <c r="A3217" s="9" t="s">
        <v>1636</v>
      </c>
      <c r="B3217" s="3" t="s">
        <v>2146</v>
      </c>
      <c r="C3217" s="10">
        <v>24</v>
      </c>
      <c r="D3217" s="10">
        <v>12</v>
      </c>
      <c r="E3217" s="10">
        <v>19</v>
      </c>
      <c r="F3217" t="s">
        <v>770</v>
      </c>
      <c r="G3217" t="s">
        <v>31</v>
      </c>
      <c r="H3217" t="s">
        <v>26</v>
      </c>
      <c r="I3217" t="s">
        <v>27</v>
      </c>
      <c r="J3217" s="4">
        <v>8.5</v>
      </c>
      <c r="K3217">
        <v>1</v>
      </c>
      <c r="L3217">
        <v>8.5</v>
      </c>
      <c r="M3217">
        <v>8.5</v>
      </c>
      <c r="N3217" s="5">
        <v>0.43199038994640543</v>
      </c>
      <c r="O3217" t="s">
        <v>101</v>
      </c>
      <c r="P3217" t="s">
        <v>340</v>
      </c>
      <c r="Q3217" s="10" t="s">
        <v>24</v>
      </c>
    </row>
    <row r="3218" spans="1:18" hidden="1" x14ac:dyDescent="0.25">
      <c r="A3218" s="9" t="s">
        <v>1636</v>
      </c>
      <c r="B3218" s="3" t="s">
        <v>2146</v>
      </c>
      <c r="C3218" s="10">
        <v>24</v>
      </c>
      <c r="D3218" s="10">
        <v>12</v>
      </c>
      <c r="E3218" s="10">
        <v>19</v>
      </c>
      <c r="F3218" t="s">
        <v>432</v>
      </c>
      <c r="G3218" t="s">
        <v>889</v>
      </c>
      <c r="H3218" t="s">
        <v>889</v>
      </c>
      <c r="I3218" t="s">
        <v>431</v>
      </c>
      <c r="J3218" s="4">
        <v>23.75</v>
      </c>
      <c r="K3218">
        <v>2</v>
      </c>
      <c r="L3218">
        <v>23.75</v>
      </c>
      <c r="M3218">
        <v>47.5</v>
      </c>
      <c r="N3218" s="5">
        <v>2.4140639438181477</v>
      </c>
      <c r="O3218" t="s">
        <v>849</v>
      </c>
      <c r="P3218" t="s">
        <v>340</v>
      </c>
      <c r="Q3218" s="10" t="s">
        <v>24</v>
      </c>
    </row>
    <row r="3219" spans="1:18" hidden="1" x14ac:dyDescent="0.25">
      <c r="A3219" s="9" t="s">
        <v>1636</v>
      </c>
      <c r="B3219" s="3" t="s">
        <v>2146</v>
      </c>
      <c r="C3219" s="10">
        <v>24</v>
      </c>
      <c r="D3219" s="10">
        <v>12</v>
      </c>
      <c r="E3219" s="10">
        <v>19</v>
      </c>
      <c r="F3219" t="s">
        <v>432</v>
      </c>
      <c r="G3219" t="s">
        <v>889</v>
      </c>
      <c r="H3219" t="s">
        <v>889</v>
      </c>
      <c r="I3219" t="s">
        <v>431</v>
      </c>
      <c r="J3219" s="4">
        <v>23.75</v>
      </c>
      <c r="K3219">
        <v>1</v>
      </c>
      <c r="L3219">
        <v>23.75</v>
      </c>
      <c r="M3219">
        <v>23.75</v>
      </c>
      <c r="N3219" s="5">
        <v>1.2070319719090739</v>
      </c>
      <c r="O3219" t="s">
        <v>849</v>
      </c>
      <c r="P3219" t="s">
        <v>340</v>
      </c>
      <c r="Q3219" s="10" t="s">
        <v>84</v>
      </c>
    </row>
    <row r="3220" spans="1:18" hidden="1" x14ac:dyDescent="0.25">
      <c r="A3220" s="9" t="s">
        <v>1636</v>
      </c>
      <c r="B3220" s="3" t="s">
        <v>2146</v>
      </c>
      <c r="C3220" s="10">
        <v>24</v>
      </c>
      <c r="D3220" s="10">
        <v>12</v>
      </c>
      <c r="E3220" s="10">
        <v>19</v>
      </c>
      <c r="F3220" t="s">
        <v>432</v>
      </c>
      <c r="G3220" t="s">
        <v>889</v>
      </c>
      <c r="H3220" t="s">
        <v>889</v>
      </c>
      <c r="I3220" t="s">
        <v>431</v>
      </c>
      <c r="J3220" s="4">
        <v>27.55</v>
      </c>
      <c r="K3220">
        <v>1</v>
      </c>
      <c r="L3220">
        <v>27.55</v>
      </c>
      <c r="M3220">
        <v>27.55</v>
      </c>
      <c r="N3220" s="5">
        <v>1.4001570874145257</v>
      </c>
      <c r="O3220" t="s">
        <v>849</v>
      </c>
      <c r="P3220" t="s">
        <v>340</v>
      </c>
      <c r="Q3220" s="10" t="s">
        <v>84</v>
      </c>
    </row>
    <row r="3221" spans="1:18" hidden="1" x14ac:dyDescent="0.25">
      <c r="A3221" s="9" t="s">
        <v>1636</v>
      </c>
      <c r="B3221" s="3" t="s">
        <v>2146</v>
      </c>
      <c r="C3221" s="10">
        <v>24</v>
      </c>
      <c r="D3221" s="10">
        <v>12</v>
      </c>
      <c r="E3221" s="10">
        <v>19</v>
      </c>
      <c r="F3221" t="s">
        <v>432</v>
      </c>
      <c r="G3221" t="s">
        <v>889</v>
      </c>
      <c r="H3221" t="s">
        <v>889</v>
      </c>
      <c r="I3221" t="s">
        <v>431</v>
      </c>
      <c r="J3221" s="4">
        <v>21.75</v>
      </c>
      <c r="K3221">
        <v>2</v>
      </c>
      <c r="L3221">
        <v>21.85</v>
      </c>
      <c r="M3221">
        <v>43.7</v>
      </c>
      <c r="N3221" s="5">
        <v>2.2209388283126961</v>
      </c>
      <c r="O3221" t="s">
        <v>849</v>
      </c>
      <c r="P3221" t="s">
        <v>340</v>
      </c>
      <c r="Q3221" s="10" t="s">
        <v>84</v>
      </c>
    </row>
    <row r="3222" spans="1:18" hidden="1" x14ac:dyDescent="0.25">
      <c r="A3222" s="9" t="s">
        <v>1636</v>
      </c>
      <c r="B3222" s="3" t="s">
        <v>2146</v>
      </c>
      <c r="C3222" s="10">
        <v>24</v>
      </c>
      <c r="D3222" s="10">
        <v>12</v>
      </c>
      <c r="E3222" s="10">
        <v>19</v>
      </c>
      <c r="F3222" t="s">
        <v>432</v>
      </c>
      <c r="G3222" t="s">
        <v>889</v>
      </c>
      <c r="H3222" t="s">
        <v>889</v>
      </c>
      <c r="I3222" t="s">
        <v>431</v>
      </c>
      <c r="J3222" s="4">
        <v>21.75</v>
      </c>
      <c r="K3222">
        <v>2</v>
      </c>
      <c r="L3222">
        <v>21.85</v>
      </c>
      <c r="M3222">
        <v>43.7</v>
      </c>
      <c r="N3222" s="5">
        <v>2.2209388283126961</v>
      </c>
      <c r="O3222" t="s">
        <v>849</v>
      </c>
      <c r="P3222" t="s">
        <v>340</v>
      </c>
      <c r="Q3222" s="10" t="s">
        <v>24</v>
      </c>
    </row>
    <row r="3223" spans="1:18" hidden="1" x14ac:dyDescent="0.25">
      <c r="A3223" s="9" t="s">
        <v>1636</v>
      </c>
      <c r="B3223" s="3" t="s">
        <v>2146</v>
      </c>
      <c r="C3223" s="10">
        <v>24</v>
      </c>
      <c r="D3223" s="10">
        <v>12</v>
      </c>
      <c r="E3223" s="10">
        <v>19</v>
      </c>
      <c r="F3223" t="s">
        <v>2132</v>
      </c>
      <c r="G3223" t="s">
        <v>889</v>
      </c>
      <c r="H3223" t="s">
        <v>53</v>
      </c>
      <c r="I3223" t="s">
        <v>27</v>
      </c>
      <c r="J3223" s="4">
        <v>10</v>
      </c>
      <c r="K3223">
        <v>1</v>
      </c>
      <c r="L3223">
        <v>10</v>
      </c>
      <c r="M3223">
        <v>10</v>
      </c>
      <c r="N3223" s="5">
        <v>0.50822398817224168</v>
      </c>
      <c r="O3223" t="s">
        <v>39</v>
      </c>
      <c r="P3223" t="s">
        <v>340</v>
      </c>
      <c r="Q3223" s="10" t="s">
        <v>24</v>
      </c>
    </row>
    <row r="3224" spans="1:18" hidden="1" x14ac:dyDescent="0.25">
      <c r="A3224" s="9" t="s">
        <v>1636</v>
      </c>
      <c r="B3224" s="3" t="s">
        <v>2146</v>
      </c>
      <c r="C3224" s="10">
        <v>24</v>
      </c>
      <c r="D3224" s="10">
        <v>12</v>
      </c>
      <c r="E3224" s="10">
        <v>19</v>
      </c>
      <c r="F3224" t="s">
        <v>81</v>
      </c>
      <c r="G3224" t="s">
        <v>889</v>
      </c>
      <c r="H3224" t="s">
        <v>889</v>
      </c>
      <c r="I3224" t="s">
        <v>39</v>
      </c>
      <c r="J3224" s="4">
        <v>299.95</v>
      </c>
      <c r="K3224">
        <v>1</v>
      </c>
      <c r="L3224">
        <v>299.95</v>
      </c>
      <c r="M3224">
        <v>299.95</v>
      </c>
      <c r="N3224" s="5">
        <v>15.244178525226388</v>
      </c>
      <c r="O3224" t="s">
        <v>2135</v>
      </c>
      <c r="P3224" t="s">
        <v>340</v>
      </c>
      <c r="Q3224" s="10" t="s">
        <v>84</v>
      </c>
      <c r="R3224" t="s">
        <v>2134</v>
      </c>
    </row>
    <row r="3225" spans="1:18" hidden="1" x14ac:dyDescent="0.25">
      <c r="A3225" s="9" t="s">
        <v>1636</v>
      </c>
      <c r="B3225" s="3" t="s">
        <v>2146</v>
      </c>
      <c r="C3225" s="10">
        <v>24</v>
      </c>
      <c r="D3225" s="10">
        <v>12</v>
      </c>
      <c r="E3225" s="10">
        <v>19</v>
      </c>
      <c r="F3225" t="s">
        <v>81</v>
      </c>
      <c r="G3225" t="s">
        <v>889</v>
      </c>
      <c r="H3225" t="s">
        <v>889</v>
      </c>
      <c r="I3225" t="s">
        <v>39</v>
      </c>
      <c r="J3225" s="4">
        <v>329.95</v>
      </c>
      <c r="K3225">
        <v>1</v>
      </c>
      <c r="L3225">
        <v>329.95</v>
      </c>
      <c r="M3225">
        <v>329.95</v>
      </c>
      <c r="N3225" s="5">
        <v>16.768850489743112</v>
      </c>
      <c r="O3225" t="s">
        <v>2135</v>
      </c>
      <c r="P3225" t="s">
        <v>340</v>
      </c>
      <c r="Q3225" s="10" t="s">
        <v>24</v>
      </c>
      <c r="R3225" t="s">
        <v>2443</v>
      </c>
    </row>
    <row r="3226" spans="1:18" hidden="1" x14ac:dyDescent="0.25">
      <c r="A3226" s="9" t="s">
        <v>1636</v>
      </c>
      <c r="B3226" s="3" t="s">
        <v>2146</v>
      </c>
      <c r="C3226" s="10">
        <v>24</v>
      </c>
      <c r="D3226" s="10">
        <v>12</v>
      </c>
      <c r="E3226" s="10">
        <v>19</v>
      </c>
      <c r="F3226" t="s">
        <v>81</v>
      </c>
      <c r="G3226" t="s">
        <v>889</v>
      </c>
      <c r="H3226" t="s">
        <v>889</v>
      </c>
      <c r="I3226" t="s">
        <v>39</v>
      </c>
      <c r="J3226" s="4">
        <v>58.75</v>
      </c>
      <c r="K3226">
        <v>1</v>
      </c>
      <c r="L3226">
        <v>58.75</v>
      </c>
      <c r="M3226">
        <v>58.75</v>
      </c>
      <c r="N3226" s="5">
        <v>2.9858159305119196</v>
      </c>
      <c r="O3226" t="s">
        <v>2135</v>
      </c>
      <c r="P3226" t="s">
        <v>340</v>
      </c>
      <c r="Q3226" s="10" t="s">
        <v>24</v>
      </c>
      <c r="R3226" t="s">
        <v>2133</v>
      </c>
    </row>
    <row r="3227" spans="1:18" hidden="1" x14ac:dyDescent="0.25">
      <c r="A3227" s="9" t="s">
        <v>1636</v>
      </c>
      <c r="B3227" s="3" t="s">
        <v>2146</v>
      </c>
      <c r="C3227" s="10">
        <v>24</v>
      </c>
      <c r="D3227" s="10">
        <v>12</v>
      </c>
      <c r="E3227" s="10">
        <v>19</v>
      </c>
      <c r="F3227" t="s">
        <v>753</v>
      </c>
      <c r="G3227" t="s">
        <v>39</v>
      </c>
      <c r="H3227" t="s">
        <v>63</v>
      </c>
      <c r="I3227" t="s">
        <v>50</v>
      </c>
      <c r="J3227" s="4">
        <v>7</v>
      </c>
      <c r="K3227">
        <v>7</v>
      </c>
      <c r="L3227">
        <v>7</v>
      </c>
      <c r="M3227">
        <v>49</v>
      </c>
      <c r="N3227" s="5">
        <v>2.4902975420439839</v>
      </c>
      <c r="O3227" t="s">
        <v>754</v>
      </c>
      <c r="P3227" t="s">
        <v>340</v>
      </c>
      <c r="Q3227" s="10" t="s">
        <v>84</v>
      </c>
      <c r="R3227" t="s">
        <v>2140</v>
      </c>
    </row>
    <row r="3228" spans="1:18" hidden="1" x14ac:dyDescent="0.25">
      <c r="A3228" s="9" t="s">
        <v>1636</v>
      </c>
      <c r="B3228" s="3" t="s">
        <v>2146</v>
      </c>
      <c r="C3228" s="10">
        <v>24</v>
      </c>
      <c r="D3228" s="10">
        <v>12</v>
      </c>
      <c r="E3228" s="10">
        <v>19</v>
      </c>
      <c r="F3228" t="s">
        <v>2136</v>
      </c>
      <c r="G3228" t="s">
        <v>889</v>
      </c>
      <c r="H3228" t="s">
        <v>63</v>
      </c>
      <c r="I3228" t="s">
        <v>50</v>
      </c>
      <c r="J3228" s="4">
        <v>70</v>
      </c>
      <c r="K3228">
        <v>1</v>
      </c>
      <c r="L3228">
        <v>70</v>
      </c>
      <c r="M3228">
        <v>70</v>
      </c>
      <c r="N3228" s="5">
        <v>3.5575679172056915</v>
      </c>
      <c r="O3228" t="s">
        <v>754</v>
      </c>
      <c r="P3228" t="s">
        <v>340</v>
      </c>
      <c r="Q3228" s="10" t="s">
        <v>84</v>
      </c>
      <c r="R3228" t="s">
        <v>2137</v>
      </c>
    </row>
    <row r="3229" spans="1:18" hidden="1" x14ac:dyDescent="0.25">
      <c r="A3229" s="9" t="s">
        <v>1636</v>
      </c>
      <c r="B3229" s="3" t="s">
        <v>2145</v>
      </c>
      <c r="C3229" s="10">
        <v>25</v>
      </c>
      <c r="D3229" s="10">
        <v>12</v>
      </c>
      <c r="E3229" s="10">
        <v>19</v>
      </c>
      <c r="F3229" t="s">
        <v>2127</v>
      </c>
      <c r="G3229" t="s">
        <v>889</v>
      </c>
      <c r="H3229" t="s">
        <v>889</v>
      </c>
      <c r="I3229" t="s">
        <v>72</v>
      </c>
      <c r="J3229" s="4">
        <v>500</v>
      </c>
      <c r="K3229">
        <v>4</v>
      </c>
      <c r="L3229">
        <v>500</v>
      </c>
      <c r="M3229">
        <v>2000</v>
      </c>
      <c r="N3229" s="5">
        <v>101.64479763444832</v>
      </c>
      <c r="O3229" t="s">
        <v>39</v>
      </c>
      <c r="P3229" t="s">
        <v>340</v>
      </c>
      <c r="Q3229" s="10" t="s">
        <v>24</v>
      </c>
    </row>
    <row r="3230" spans="1:18" hidden="1" x14ac:dyDescent="0.25">
      <c r="A3230" s="9" t="s">
        <v>1636</v>
      </c>
      <c r="B3230" s="3" t="s">
        <v>2145</v>
      </c>
      <c r="C3230" s="10">
        <v>25</v>
      </c>
      <c r="D3230" s="10">
        <v>12</v>
      </c>
      <c r="E3230" s="10">
        <v>19</v>
      </c>
      <c r="F3230" t="s">
        <v>802</v>
      </c>
      <c r="G3230" t="s">
        <v>708</v>
      </c>
      <c r="H3230" t="s">
        <v>131</v>
      </c>
      <c r="I3230" t="s">
        <v>27</v>
      </c>
      <c r="J3230" s="4">
        <v>129.05000000000001</v>
      </c>
      <c r="K3230">
        <v>0.124</v>
      </c>
      <c r="L3230">
        <v>129.05000000000001</v>
      </c>
      <c r="M3230">
        <v>16.002200000000002</v>
      </c>
      <c r="N3230" s="5">
        <v>0.81327019035298465</v>
      </c>
      <c r="O3230" t="s">
        <v>88</v>
      </c>
      <c r="P3230" t="s">
        <v>340</v>
      </c>
      <c r="Q3230" s="10" t="s">
        <v>24</v>
      </c>
    </row>
    <row r="3231" spans="1:18" hidden="1" x14ac:dyDescent="0.25">
      <c r="A3231" s="9" t="s">
        <v>1636</v>
      </c>
      <c r="B3231" s="3" t="s">
        <v>2147</v>
      </c>
      <c r="C3231" s="10">
        <v>26</v>
      </c>
      <c r="D3231" s="10">
        <v>12</v>
      </c>
      <c r="E3231" s="10">
        <v>19</v>
      </c>
      <c r="F3231" t="s">
        <v>2128</v>
      </c>
      <c r="G3231" t="s">
        <v>889</v>
      </c>
      <c r="H3231" t="s">
        <v>131</v>
      </c>
      <c r="I3231" t="s">
        <v>27</v>
      </c>
      <c r="J3231" s="4">
        <v>35</v>
      </c>
      <c r="K3231">
        <v>3</v>
      </c>
      <c r="L3231">
        <v>35</v>
      </c>
      <c r="M3231">
        <v>105</v>
      </c>
      <c r="N3231" s="5">
        <v>5.3363518758085373</v>
      </c>
      <c r="O3231" t="s">
        <v>88</v>
      </c>
      <c r="P3231" t="s">
        <v>340</v>
      </c>
      <c r="Q3231" s="10" t="s">
        <v>84</v>
      </c>
    </row>
    <row r="3232" spans="1:18" hidden="1" x14ac:dyDescent="0.25">
      <c r="A3232" s="9" t="s">
        <v>1636</v>
      </c>
      <c r="B3232" s="3" t="s">
        <v>2147</v>
      </c>
      <c r="C3232" s="10">
        <v>26</v>
      </c>
      <c r="D3232" s="10">
        <v>12</v>
      </c>
      <c r="E3232" s="10">
        <v>19</v>
      </c>
      <c r="F3232" t="s">
        <v>2158</v>
      </c>
      <c r="G3232" t="s">
        <v>889</v>
      </c>
      <c r="H3232" t="s">
        <v>889</v>
      </c>
      <c r="I3232" t="s">
        <v>72</v>
      </c>
      <c r="J3232" s="4">
        <v>342.95</v>
      </c>
      <c r="K3232">
        <v>1</v>
      </c>
      <c r="L3232">
        <v>342.95</v>
      </c>
      <c r="M3232">
        <v>342.95</v>
      </c>
      <c r="N3232" s="5">
        <v>17.460330929147219</v>
      </c>
      <c r="O3232" t="s">
        <v>629</v>
      </c>
      <c r="P3232" t="s">
        <v>340</v>
      </c>
      <c r="Q3232" s="10" t="s">
        <v>24</v>
      </c>
    </row>
    <row r="3233" spans="1:18" hidden="1" x14ac:dyDescent="0.25">
      <c r="A3233" s="9" t="s">
        <v>1636</v>
      </c>
      <c r="B3233" s="3" t="s">
        <v>2147</v>
      </c>
      <c r="C3233" s="10">
        <v>26</v>
      </c>
      <c r="D3233" s="10">
        <v>12</v>
      </c>
      <c r="E3233" s="10">
        <v>19</v>
      </c>
      <c r="F3233" t="s">
        <v>99</v>
      </c>
      <c r="G3233" t="s">
        <v>889</v>
      </c>
      <c r="H3233" t="s">
        <v>40</v>
      </c>
      <c r="I3233" t="s">
        <v>27</v>
      </c>
      <c r="J3233" s="4">
        <v>10</v>
      </c>
      <c r="K3233">
        <v>1</v>
      </c>
      <c r="L3233">
        <v>10</v>
      </c>
      <c r="M3233">
        <v>10</v>
      </c>
      <c r="N3233" s="5">
        <v>0.50684237202230109</v>
      </c>
      <c r="O3233" t="s">
        <v>100</v>
      </c>
      <c r="P3233" t="s">
        <v>340</v>
      </c>
      <c r="Q3233" s="10" t="s">
        <v>24</v>
      </c>
      <c r="R3233" t="s">
        <v>2202</v>
      </c>
    </row>
    <row r="3234" spans="1:18" hidden="1" x14ac:dyDescent="0.25">
      <c r="A3234" s="9" t="s">
        <v>1636</v>
      </c>
      <c r="B3234" s="3" t="s">
        <v>2148</v>
      </c>
      <c r="C3234" s="10">
        <v>27</v>
      </c>
      <c r="D3234" s="10">
        <v>12</v>
      </c>
      <c r="E3234" s="10">
        <v>19</v>
      </c>
      <c r="F3234" t="s">
        <v>2129</v>
      </c>
      <c r="G3234" t="s">
        <v>889</v>
      </c>
      <c r="H3234" t="s">
        <v>131</v>
      </c>
      <c r="I3234" t="s">
        <v>27</v>
      </c>
      <c r="J3234" s="4">
        <v>5.85</v>
      </c>
      <c r="K3234">
        <v>2</v>
      </c>
      <c r="L3234">
        <v>5.85</v>
      </c>
      <c r="M3234">
        <v>11.7</v>
      </c>
      <c r="N3234" s="5">
        <v>0.59462206616152269</v>
      </c>
      <c r="O3234" t="s">
        <v>88</v>
      </c>
      <c r="P3234" t="s">
        <v>340</v>
      </c>
      <c r="Q3234" s="10" t="s">
        <v>24</v>
      </c>
    </row>
    <row r="3235" spans="1:18" hidden="1" x14ac:dyDescent="0.25">
      <c r="A3235" s="9" t="s">
        <v>1636</v>
      </c>
      <c r="B3235" s="3" t="s">
        <v>2149</v>
      </c>
      <c r="C3235" s="10">
        <v>28</v>
      </c>
      <c r="D3235" s="10">
        <v>12</v>
      </c>
      <c r="E3235" s="10">
        <v>19</v>
      </c>
      <c r="F3235" t="s">
        <v>2130</v>
      </c>
      <c r="G3235" t="s">
        <v>889</v>
      </c>
      <c r="H3235" t="s">
        <v>131</v>
      </c>
      <c r="I3235" t="s">
        <v>27</v>
      </c>
      <c r="J3235" s="4">
        <v>126.7</v>
      </c>
      <c r="K3235">
        <v>0.108</v>
      </c>
      <c r="L3235">
        <v>126.7</v>
      </c>
      <c r="M3235">
        <v>13.6836</v>
      </c>
      <c r="N3235" s="5">
        <v>0.69543337645536862</v>
      </c>
      <c r="O3235" t="s">
        <v>88</v>
      </c>
      <c r="P3235" t="s">
        <v>340</v>
      </c>
      <c r="Q3235" s="10" t="s">
        <v>24</v>
      </c>
    </row>
    <row r="3236" spans="1:18" hidden="1" x14ac:dyDescent="0.25">
      <c r="A3236" s="9" t="s">
        <v>1636</v>
      </c>
      <c r="B3236" s="3" t="s">
        <v>2149</v>
      </c>
      <c r="C3236" s="10">
        <v>28</v>
      </c>
      <c r="D3236" s="10">
        <v>12</v>
      </c>
      <c r="E3236" s="10">
        <v>19</v>
      </c>
      <c r="F3236" t="s">
        <v>78</v>
      </c>
      <c r="G3236" t="s">
        <v>889</v>
      </c>
      <c r="H3236" t="s">
        <v>78</v>
      </c>
      <c r="I3236" t="s">
        <v>79</v>
      </c>
      <c r="J3236" s="4">
        <v>18.600000000000001</v>
      </c>
      <c r="K3236">
        <v>48.38</v>
      </c>
      <c r="L3236">
        <v>18.600000000000001</v>
      </c>
      <c r="M3236">
        <v>899.86800000000017</v>
      </c>
      <c r="N3236" s="5">
        <v>45.814238438693259</v>
      </c>
      <c r="O3236" t="s">
        <v>103</v>
      </c>
      <c r="P3236" t="s">
        <v>340</v>
      </c>
      <c r="Q3236" s="10" t="s">
        <v>24</v>
      </c>
    </row>
    <row r="3237" spans="1:18" hidden="1" x14ac:dyDescent="0.25">
      <c r="A3237" s="9" t="s">
        <v>1636</v>
      </c>
      <c r="B3237" s="3" t="s">
        <v>2149</v>
      </c>
      <c r="C3237" s="10">
        <v>28</v>
      </c>
      <c r="D3237" s="10">
        <v>12</v>
      </c>
      <c r="E3237" s="10">
        <v>19</v>
      </c>
      <c r="F3237" t="s">
        <v>99</v>
      </c>
      <c r="G3237" t="s">
        <v>889</v>
      </c>
      <c r="H3237" t="s">
        <v>40</v>
      </c>
      <c r="I3237" t="s">
        <v>27</v>
      </c>
      <c r="J3237" s="4">
        <v>10</v>
      </c>
      <c r="K3237">
        <v>1</v>
      </c>
      <c r="L3237">
        <v>10</v>
      </c>
      <c r="M3237">
        <v>10</v>
      </c>
      <c r="N3237" s="5">
        <v>0.50912176495545181</v>
      </c>
      <c r="O3237" t="s">
        <v>100</v>
      </c>
      <c r="P3237" t="s">
        <v>340</v>
      </c>
      <c r="Q3237" s="10" t="s">
        <v>24</v>
      </c>
    </row>
    <row r="3238" spans="1:18" hidden="1" x14ac:dyDescent="0.25">
      <c r="A3238" s="9" t="s">
        <v>1636</v>
      </c>
      <c r="B3238" s="3" t="s">
        <v>2162</v>
      </c>
      <c r="C3238" s="10">
        <v>29</v>
      </c>
      <c r="D3238" s="10">
        <v>12</v>
      </c>
      <c r="E3238" s="10">
        <v>19</v>
      </c>
      <c r="F3238" t="s">
        <v>166</v>
      </c>
      <c r="G3238" t="s">
        <v>77</v>
      </c>
      <c r="H3238" t="s">
        <v>26</v>
      </c>
      <c r="I3238" t="s">
        <v>27</v>
      </c>
      <c r="J3238" s="4">
        <v>19.350000000000001</v>
      </c>
      <c r="K3238">
        <v>1</v>
      </c>
      <c r="L3238">
        <v>19.350000000000001</v>
      </c>
      <c r="M3238">
        <v>19.350000000000001</v>
      </c>
      <c r="N3238" s="5">
        <v>0.98515061518879932</v>
      </c>
      <c r="O3238" t="s">
        <v>1472</v>
      </c>
      <c r="P3238" t="s">
        <v>340</v>
      </c>
      <c r="Q3238" s="10" t="s">
        <v>24</v>
      </c>
    </row>
    <row r="3239" spans="1:18" hidden="1" x14ac:dyDescent="0.25">
      <c r="A3239" s="9" t="s">
        <v>1636</v>
      </c>
      <c r="B3239" s="3" t="s">
        <v>2162</v>
      </c>
      <c r="C3239" s="10">
        <v>29</v>
      </c>
      <c r="D3239" s="10">
        <v>12</v>
      </c>
      <c r="E3239" s="10">
        <v>19</v>
      </c>
      <c r="F3239" t="s">
        <v>2242</v>
      </c>
      <c r="G3239" t="s">
        <v>345</v>
      </c>
      <c r="H3239" t="s">
        <v>26</v>
      </c>
      <c r="I3239" t="s">
        <v>27</v>
      </c>
      <c r="J3239" s="4">
        <v>6.75</v>
      </c>
      <c r="K3239">
        <v>1</v>
      </c>
      <c r="L3239">
        <v>6.75</v>
      </c>
      <c r="M3239">
        <v>6.75</v>
      </c>
      <c r="N3239" s="5">
        <v>0.34365719134492995</v>
      </c>
      <c r="O3239" t="s">
        <v>1472</v>
      </c>
      <c r="P3239" t="s">
        <v>340</v>
      </c>
      <c r="Q3239" s="10" t="s">
        <v>24</v>
      </c>
    </row>
    <row r="3240" spans="1:18" hidden="1" x14ac:dyDescent="0.25">
      <c r="A3240" s="9" t="s">
        <v>1636</v>
      </c>
      <c r="B3240" s="3" t="s">
        <v>2162</v>
      </c>
      <c r="C3240" s="10">
        <v>29</v>
      </c>
      <c r="D3240" s="10">
        <v>12</v>
      </c>
      <c r="E3240" s="10">
        <v>19</v>
      </c>
      <c r="F3240" t="s">
        <v>1466</v>
      </c>
      <c r="G3240" t="s">
        <v>31</v>
      </c>
      <c r="H3240" t="s">
        <v>26</v>
      </c>
      <c r="I3240" t="s">
        <v>27</v>
      </c>
      <c r="J3240" s="4">
        <v>37.1</v>
      </c>
      <c r="K3240">
        <v>2</v>
      </c>
      <c r="L3240">
        <v>37.1</v>
      </c>
      <c r="M3240">
        <v>74.2</v>
      </c>
      <c r="N3240" s="5">
        <v>3.7776834959694523</v>
      </c>
      <c r="O3240" t="s">
        <v>1472</v>
      </c>
      <c r="P3240" t="s">
        <v>340</v>
      </c>
      <c r="Q3240" s="10" t="s">
        <v>24</v>
      </c>
    </row>
    <row r="3241" spans="1:18" hidden="1" x14ac:dyDescent="0.25">
      <c r="A3241" s="9" t="s">
        <v>1636</v>
      </c>
      <c r="B3241" s="3" t="s">
        <v>2162</v>
      </c>
      <c r="C3241" s="10">
        <v>29</v>
      </c>
      <c r="D3241" s="10">
        <v>12</v>
      </c>
      <c r="E3241" s="10">
        <v>19</v>
      </c>
      <c r="F3241" t="s">
        <v>55</v>
      </c>
      <c r="G3241" t="s">
        <v>889</v>
      </c>
      <c r="H3241" t="s">
        <v>56</v>
      </c>
      <c r="I3241" t="s">
        <v>27</v>
      </c>
      <c r="J3241" s="4">
        <v>26.9</v>
      </c>
      <c r="K3241">
        <v>1.03</v>
      </c>
      <c r="L3241">
        <v>26.9</v>
      </c>
      <c r="M3241">
        <v>27.707000000000001</v>
      </c>
      <c r="N3241" s="5">
        <v>1.4106236741620704</v>
      </c>
      <c r="O3241" t="s">
        <v>1472</v>
      </c>
      <c r="P3241" t="s">
        <v>340</v>
      </c>
      <c r="Q3241" s="10" t="s">
        <v>24</v>
      </c>
    </row>
    <row r="3242" spans="1:18" hidden="1" x14ac:dyDescent="0.25">
      <c r="A3242" s="9" t="s">
        <v>1636</v>
      </c>
      <c r="B3242" s="3" t="s">
        <v>2162</v>
      </c>
      <c r="C3242" s="10">
        <v>29</v>
      </c>
      <c r="D3242" s="10">
        <v>12</v>
      </c>
      <c r="E3242" s="10">
        <v>19</v>
      </c>
      <c r="F3242" t="s">
        <v>202</v>
      </c>
      <c r="G3242" t="s">
        <v>889</v>
      </c>
      <c r="H3242" t="s">
        <v>54</v>
      </c>
      <c r="I3242" t="s">
        <v>27</v>
      </c>
      <c r="J3242" s="4">
        <v>117.55</v>
      </c>
      <c r="K3242">
        <v>0.16600000000000001</v>
      </c>
      <c r="L3242">
        <v>117.55</v>
      </c>
      <c r="M3242">
        <v>19.513300000000001</v>
      </c>
      <c r="N3242" s="5">
        <v>0.99346457361052176</v>
      </c>
      <c r="O3242" t="s">
        <v>1472</v>
      </c>
      <c r="P3242" t="s">
        <v>340</v>
      </c>
      <c r="Q3242" s="10" t="s">
        <v>24</v>
      </c>
    </row>
    <row r="3243" spans="1:18" hidden="1" x14ac:dyDescent="0.25">
      <c r="A3243" s="9" t="s">
        <v>1636</v>
      </c>
      <c r="B3243" s="3" t="s">
        <v>2162</v>
      </c>
      <c r="C3243" s="10">
        <v>29</v>
      </c>
      <c r="D3243" s="10">
        <v>12</v>
      </c>
      <c r="E3243" s="10">
        <v>19</v>
      </c>
      <c r="F3243" t="s">
        <v>41</v>
      </c>
      <c r="G3243" t="s">
        <v>889</v>
      </c>
      <c r="H3243" t="s">
        <v>39</v>
      </c>
      <c r="I3243" t="s">
        <v>27</v>
      </c>
      <c r="J3243" s="4">
        <v>70</v>
      </c>
      <c r="K3243">
        <v>0.29799999999999999</v>
      </c>
      <c r="L3243">
        <v>70</v>
      </c>
      <c r="M3243">
        <v>20.86</v>
      </c>
      <c r="N3243" s="5">
        <v>1.0620280016970725</v>
      </c>
      <c r="O3243" t="s">
        <v>88</v>
      </c>
      <c r="P3243" t="s">
        <v>340</v>
      </c>
      <c r="Q3243" s="10" t="s">
        <v>24</v>
      </c>
    </row>
    <row r="3244" spans="1:18" hidden="1" x14ac:dyDescent="0.25">
      <c r="A3244" s="9" t="s">
        <v>1636</v>
      </c>
      <c r="B3244" s="3" t="s">
        <v>2162</v>
      </c>
      <c r="C3244" s="10">
        <v>29</v>
      </c>
      <c r="D3244" s="10">
        <v>12</v>
      </c>
      <c r="E3244" s="10">
        <v>19</v>
      </c>
      <c r="F3244" t="s">
        <v>41</v>
      </c>
      <c r="G3244" t="s">
        <v>889</v>
      </c>
      <c r="H3244" t="s">
        <v>39</v>
      </c>
      <c r="I3244" t="s">
        <v>27</v>
      </c>
      <c r="J3244" s="4">
        <v>112.2</v>
      </c>
      <c r="K3244">
        <v>0.39800000000000002</v>
      </c>
      <c r="L3244">
        <v>112.2</v>
      </c>
      <c r="M3244">
        <v>44.655600000000007</v>
      </c>
      <c r="N3244" s="5">
        <v>2.2735137887144674</v>
      </c>
      <c r="O3244" t="s">
        <v>88</v>
      </c>
      <c r="P3244" t="s">
        <v>340</v>
      </c>
      <c r="Q3244" s="10" t="s">
        <v>24</v>
      </c>
    </row>
    <row r="3245" spans="1:18" hidden="1" x14ac:dyDescent="0.25">
      <c r="A3245" s="9" t="s">
        <v>1636</v>
      </c>
      <c r="B3245" s="3" t="s">
        <v>2162</v>
      </c>
      <c r="C3245" s="10">
        <v>29</v>
      </c>
      <c r="D3245" s="10">
        <v>12</v>
      </c>
      <c r="E3245" s="10">
        <v>19</v>
      </c>
      <c r="F3245" t="s">
        <v>802</v>
      </c>
      <c r="G3245" t="s">
        <v>708</v>
      </c>
      <c r="H3245" t="s">
        <v>1612</v>
      </c>
      <c r="I3245" t="s">
        <v>27</v>
      </c>
      <c r="J3245" s="4">
        <v>129.05000000000001</v>
      </c>
      <c r="K3245">
        <v>0.14599999999999999</v>
      </c>
      <c r="L3245">
        <v>129.05000000000001</v>
      </c>
      <c r="M3245">
        <v>18.8413</v>
      </c>
      <c r="N3245" s="5">
        <v>0.95925159100551538</v>
      </c>
      <c r="O3245" t="s">
        <v>88</v>
      </c>
      <c r="P3245" t="s">
        <v>340</v>
      </c>
      <c r="Q3245" s="10" t="s">
        <v>24</v>
      </c>
    </row>
    <row r="3246" spans="1:18" hidden="1" x14ac:dyDescent="0.25">
      <c r="A3246" s="9" t="s">
        <v>1636</v>
      </c>
      <c r="B3246" s="3" t="s">
        <v>2162</v>
      </c>
      <c r="C3246" s="10">
        <v>29</v>
      </c>
      <c r="D3246" s="10">
        <v>12</v>
      </c>
      <c r="E3246" s="10">
        <v>19</v>
      </c>
      <c r="F3246" t="s">
        <v>1376</v>
      </c>
      <c r="G3246" t="s">
        <v>889</v>
      </c>
      <c r="H3246" t="s">
        <v>131</v>
      </c>
      <c r="I3246" t="s">
        <v>27</v>
      </c>
      <c r="J3246" s="4">
        <v>274.35000000000002</v>
      </c>
      <c r="K3246">
        <v>0.20200000000000001</v>
      </c>
      <c r="L3246">
        <v>274.35000000000002</v>
      </c>
      <c r="M3246">
        <v>55.418700000000008</v>
      </c>
      <c r="N3246" s="5">
        <v>2.8214866355536699</v>
      </c>
      <c r="O3246" t="s">
        <v>88</v>
      </c>
      <c r="P3246" t="s">
        <v>340</v>
      </c>
      <c r="Q3246" s="10" t="s">
        <v>24</v>
      </c>
    </row>
    <row r="3247" spans="1:18" hidden="1" x14ac:dyDescent="0.25">
      <c r="A3247" s="9" t="s">
        <v>1636</v>
      </c>
      <c r="B3247" s="3" t="s">
        <v>1685</v>
      </c>
      <c r="C3247" s="10">
        <v>3</v>
      </c>
      <c r="D3247" s="10">
        <v>12</v>
      </c>
      <c r="E3247" s="10">
        <v>19</v>
      </c>
      <c r="F3247" t="s">
        <v>55</v>
      </c>
      <c r="G3247" t="s">
        <v>889</v>
      </c>
      <c r="H3247" t="s">
        <v>56</v>
      </c>
      <c r="I3247" t="s">
        <v>27</v>
      </c>
      <c r="J3247" s="4">
        <v>17.899999999999999</v>
      </c>
      <c r="K3247">
        <v>0.42</v>
      </c>
      <c r="L3247">
        <v>17.899999999999999</v>
      </c>
      <c r="M3247">
        <v>7.5179999999999989</v>
      </c>
      <c r="N3247" s="5">
        <v>0.38208279430789122</v>
      </c>
      <c r="O3247" t="s">
        <v>181</v>
      </c>
      <c r="P3247" t="s">
        <v>340</v>
      </c>
      <c r="Q3247" s="10" t="s">
        <v>24</v>
      </c>
    </row>
    <row r="3248" spans="1:18" hidden="1" x14ac:dyDescent="0.25">
      <c r="A3248" s="9" t="s">
        <v>1636</v>
      </c>
      <c r="B3248" s="3" t="s">
        <v>1685</v>
      </c>
      <c r="C3248" s="10">
        <v>3</v>
      </c>
      <c r="D3248" s="10">
        <v>12</v>
      </c>
      <c r="E3248" s="10">
        <v>19</v>
      </c>
      <c r="F3248" t="s">
        <v>177</v>
      </c>
      <c r="G3248" t="s">
        <v>889</v>
      </c>
      <c r="H3248" t="s">
        <v>56</v>
      </c>
      <c r="I3248" t="s">
        <v>27</v>
      </c>
      <c r="J3248" s="4">
        <v>14</v>
      </c>
      <c r="K3248">
        <v>0.61799999999999999</v>
      </c>
      <c r="L3248">
        <v>14</v>
      </c>
      <c r="M3248">
        <v>8.6519999999999992</v>
      </c>
      <c r="N3248" s="5">
        <v>0.43971539456662345</v>
      </c>
      <c r="O3248" t="s">
        <v>181</v>
      </c>
      <c r="P3248" t="s">
        <v>340</v>
      </c>
      <c r="Q3248" s="10" t="s">
        <v>24</v>
      </c>
    </row>
    <row r="3249" spans="1:18" hidden="1" x14ac:dyDescent="0.25">
      <c r="A3249" s="9" t="s">
        <v>1636</v>
      </c>
      <c r="B3249" s="3" t="s">
        <v>1685</v>
      </c>
      <c r="C3249" s="10">
        <v>3</v>
      </c>
      <c r="D3249" s="10">
        <v>12</v>
      </c>
      <c r="E3249" s="10">
        <v>19</v>
      </c>
      <c r="F3249" t="s">
        <v>2242</v>
      </c>
      <c r="G3249" t="s">
        <v>345</v>
      </c>
      <c r="H3249" t="s">
        <v>26</v>
      </c>
      <c r="I3249" t="s">
        <v>27</v>
      </c>
      <c r="J3249" s="4">
        <v>5.65</v>
      </c>
      <c r="K3249">
        <v>1</v>
      </c>
      <c r="L3249">
        <v>5.65</v>
      </c>
      <c r="M3249">
        <v>5.65</v>
      </c>
      <c r="N3249" s="5">
        <v>0.28714655331731653</v>
      </c>
      <c r="O3249" t="s">
        <v>181</v>
      </c>
      <c r="P3249" t="s">
        <v>340</v>
      </c>
      <c r="Q3249" s="10" t="s">
        <v>24</v>
      </c>
    </row>
    <row r="3250" spans="1:18" hidden="1" x14ac:dyDescent="0.25">
      <c r="A3250" s="9" t="s">
        <v>1636</v>
      </c>
      <c r="B3250" s="3" t="s">
        <v>1685</v>
      </c>
      <c r="C3250" s="10">
        <v>3</v>
      </c>
      <c r="D3250" s="10">
        <v>12</v>
      </c>
      <c r="E3250" s="10">
        <v>19</v>
      </c>
      <c r="F3250" t="s">
        <v>110</v>
      </c>
      <c r="G3250" t="s">
        <v>889</v>
      </c>
      <c r="H3250" t="s">
        <v>56</v>
      </c>
      <c r="I3250" t="s">
        <v>27</v>
      </c>
      <c r="J3250" s="4">
        <v>29.9</v>
      </c>
      <c r="K3250">
        <v>0.35</v>
      </c>
      <c r="L3250">
        <v>29.9</v>
      </c>
      <c r="M3250">
        <v>10.464999999999998</v>
      </c>
      <c r="N3250" s="5">
        <v>0.53185640362225084</v>
      </c>
      <c r="O3250" t="s">
        <v>181</v>
      </c>
      <c r="P3250" t="s">
        <v>340</v>
      </c>
      <c r="Q3250" s="10" t="s">
        <v>24</v>
      </c>
    </row>
    <row r="3251" spans="1:18" hidden="1" x14ac:dyDescent="0.25">
      <c r="A3251" s="9" t="s">
        <v>1636</v>
      </c>
      <c r="B3251" s="3" t="s">
        <v>1685</v>
      </c>
      <c r="C3251" s="10">
        <v>3</v>
      </c>
      <c r="D3251" s="10">
        <v>12</v>
      </c>
      <c r="E3251" s="10">
        <v>19</v>
      </c>
      <c r="F3251" t="s">
        <v>2339</v>
      </c>
      <c r="G3251" t="s">
        <v>889</v>
      </c>
      <c r="H3251" t="s">
        <v>65</v>
      </c>
      <c r="I3251" t="s">
        <v>27</v>
      </c>
      <c r="J3251" s="4">
        <v>37.24</v>
      </c>
      <c r="K3251">
        <v>1</v>
      </c>
      <c r="L3251">
        <v>37.24</v>
      </c>
      <c r="M3251">
        <v>37.24</v>
      </c>
      <c r="N3251" s="5">
        <v>1.8926261319534281</v>
      </c>
      <c r="O3251" t="s">
        <v>181</v>
      </c>
      <c r="P3251" t="s">
        <v>340</v>
      </c>
      <c r="Q3251" s="10" t="s">
        <v>24</v>
      </c>
    </row>
    <row r="3252" spans="1:18" hidden="1" x14ac:dyDescent="0.25">
      <c r="A3252" s="9" t="s">
        <v>1636</v>
      </c>
      <c r="B3252" s="3" t="s">
        <v>1685</v>
      </c>
      <c r="C3252" s="10">
        <v>3</v>
      </c>
      <c r="D3252" s="10">
        <v>12</v>
      </c>
      <c r="E3252" s="10">
        <v>19</v>
      </c>
      <c r="F3252" t="s">
        <v>1466</v>
      </c>
      <c r="G3252" t="s">
        <v>31</v>
      </c>
      <c r="H3252" t="s">
        <v>26</v>
      </c>
      <c r="I3252" t="s">
        <v>27</v>
      </c>
      <c r="J3252" s="4">
        <v>33.909999999999997</v>
      </c>
      <c r="K3252">
        <v>1</v>
      </c>
      <c r="L3252">
        <v>33.909999999999997</v>
      </c>
      <c r="M3252">
        <v>33.909999999999997</v>
      </c>
      <c r="N3252" s="5">
        <v>1.7233875438920712</v>
      </c>
      <c r="O3252" t="s">
        <v>181</v>
      </c>
      <c r="P3252" t="s">
        <v>340</v>
      </c>
      <c r="Q3252" s="10" t="s">
        <v>24</v>
      </c>
    </row>
    <row r="3253" spans="1:18" hidden="1" x14ac:dyDescent="0.25">
      <c r="A3253" s="9" t="s">
        <v>1636</v>
      </c>
      <c r="B3253" s="3" t="s">
        <v>1685</v>
      </c>
      <c r="C3253" s="10">
        <v>3</v>
      </c>
      <c r="D3253" s="10">
        <v>12</v>
      </c>
      <c r="E3253" s="10">
        <v>19</v>
      </c>
      <c r="F3253" t="s">
        <v>1680</v>
      </c>
      <c r="G3253" t="s">
        <v>889</v>
      </c>
      <c r="H3253" t="s">
        <v>40</v>
      </c>
      <c r="I3253" t="s">
        <v>27</v>
      </c>
      <c r="J3253" s="4">
        <v>4.21</v>
      </c>
      <c r="K3253">
        <v>1</v>
      </c>
      <c r="L3253">
        <v>4.21</v>
      </c>
      <c r="M3253">
        <v>4.21</v>
      </c>
      <c r="N3253" s="5">
        <v>0.21396229902051372</v>
      </c>
      <c r="O3253" t="s">
        <v>181</v>
      </c>
      <c r="P3253" t="s">
        <v>340</v>
      </c>
      <c r="Q3253" s="10" t="s">
        <v>24</v>
      </c>
    </row>
    <row r="3254" spans="1:18" hidden="1" x14ac:dyDescent="0.25">
      <c r="A3254" s="9" t="s">
        <v>1636</v>
      </c>
      <c r="B3254" s="3" t="s">
        <v>1685</v>
      </c>
      <c r="C3254" s="10">
        <v>3</v>
      </c>
      <c r="D3254" s="10">
        <v>12</v>
      </c>
      <c r="E3254" s="10">
        <v>19</v>
      </c>
      <c r="F3254" t="s">
        <v>401</v>
      </c>
      <c r="G3254" t="s">
        <v>889</v>
      </c>
      <c r="H3254" t="s">
        <v>62</v>
      </c>
      <c r="I3254" t="s">
        <v>27</v>
      </c>
      <c r="J3254" s="4">
        <v>25.77</v>
      </c>
      <c r="K3254">
        <v>1</v>
      </c>
      <c r="L3254">
        <v>25.77</v>
      </c>
      <c r="M3254">
        <v>25.77</v>
      </c>
      <c r="N3254" s="5">
        <v>1.3096932175198668</v>
      </c>
      <c r="O3254" t="s">
        <v>181</v>
      </c>
      <c r="P3254" t="s">
        <v>340</v>
      </c>
      <c r="Q3254" s="10" t="s">
        <v>24</v>
      </c>
      <c r="R3254" t="s">
        <v>1681</v>
      </c>
    </row>
    <row r="3255" spans="1:18" hidden="1" x14ac:dyDescent="0.25">
      <c r="A3255" s="9" t="s">
        <v>1636</v>
      </c>
      <c r="B3255" s="3" t="s">
        <v>1685</v>
      </c>
      <c r="C3255" s="10">
        <v>3</v>
      </c>
      <c r="D3255" s="10">
        <v>12</v>
      </c>
      <c r="E3255" s="10">
        <v>19</v>
      </c>
      <c r="F3255" t="s">
        <v>1492</v>
      </c>
      <c r="G3255" t="s">
        <v>889</v>
      </c>
      <c r="H3255" t="s">
        <v>21</v>
      </c>
      <c r="I3255" t="s">
        <v>22</v>
      </c>
      <c r="J3255" s="4">
        <v>430</v>
      </c>
      <c r="K3255">
        <v>1</v>
      </c>
      <c r="L3255">
        <v>430</v>
      </c>
      <c r="M3255">
        <v>430</v>
      </c>
      <c r="N3255" s="5">
        <v>21.853631491406389</v>
      </c>
      <c r="O3255" t="s">
        <v>1683</v>
      </c>
      <c r="P3255" t="s">
        <v>340</v>
      </c>
      <c r="Q3255" s="10" t="s">
        <v>24</v>
      </c>
      <c r="R3255" t="s">
        <v>1682</v>
      </c>
    </row>
    <row r="3256" spans="1:18" hidden="1" x14ac:dyDescent="0.25">
      <c r="A3256" s="9" t="s">
        <v>1636</v>
      </c>
      <c r="B3256" s="3" t="s">
        <v>1685</v>
      </c>
      <c r="C3256" s="10">
        <v>3</v>
      </c>
      <c r="D3256" s="10">
        <v>12</v>
      </c>
      <c r="E3256" s="10">
        <v>19</v>
      </c>
      <c r="F3256" t="s">
        <v>39</v>
      </c>
      <c r="G3256" t="s">
        <v>889</v>
      </c>
      <c r="H3256" t="s">
        <v>1748</v>
      </c>
      <c r="I3256" t="s">
        <v>72</v>
      </c>
      <c r="J3256" s="4">
        <v>3.62</v>
      </c>
      <c r="K3256">
        <v>1</v>
      </c>
      <c r="L3256">
        <v>3.62</v>
      </c>
      <c r="M3256">
        <v>3.62</v>
      </c>
      <c r="N3256" s="5">
        <v>0.18397708371835148</v>
      </c>
      <c r="O3256" t="s">
        <v>39</v>
      </c>
      <c r="P3256" t="s">
        <v>340</v>
      </c>
      <c r="Q3256" s="10" t="s">
        <v>24</v>
      </c>
      <c r="R3256" t="s">
        <v>1428</v>
      </c>
    </row>
    <row r="3257" spans="1:18" hidden="1" x14ac:dyDescent="0.25">
      <c r="A3257" s="9" t="s">
        <v>1636</v>
      </c>
      <c r="B3257" s="3" t="s">
        <v>1685</v>
      </c>
      <c r="C3257" s="10">
        <v>3</v>
      </c>
      <c r="D3257" s="10">
        <v>12</v>
      </c>
      <c r="E3257" s="10">
        <v>19</v>
      </c>
      <c r="F3257" t="s">
        <v>958</v>
      </c>
      <c r="G3257" t="s">
        <v>889</v>
      </c>
      <c r="H3257" t="s">
        <v>53</v>
      </c>
      <c r="I3257" t="s">
        <v>27</v>
      </c>
      <c r="J3257" s="4">
        <v>34</v>
      </c>
      <c r="K3257">
        <v>2</v>
      </c>
      <c r="L3257">
        <v>34</v>
      </c>
      <c r="M3257">
        <v>68</v>
      </c>
      <c r="N3257" s="5">
        <v>3.4559231195712434</v>
      </c>
      <c r="O3257" t="s">
        <v>101</v>
      </c>
      <c r="P3257" t="s">
        <v>340</v>
      </c>
      <c r="Q3257" s="10" t="s">
        <v>24</v>
      </c>
    </row>
    <row r="3258" spans="1:18" hidden="1" x14ac:dyDescent="0.25">
      <c r="A3258" s="9" t="s">
        <v>1636</v>
      </c>
      <c r="B3258" s="3" t="s">
        <v>1685</v>
      </c>
      <c r="C3258" s="10">
        <v>3</v>
      </c>
      <c r="D3258" s="10">
        <v>12</v>
      </c>
      <c r="E3258" s="10">
        <v>19</v>
      </c>
      <c r="F3258" t="s">
        <v>55</v>
      </c>
      <c r="G3258" t="s">
        <v>889</v>
      </c>
      <c r="H3258" t="s">
        <v>56</v>
      </c>
      <c r="I3258" t="s">
        <v>27</v>
      </c>
      <c r="J3258" s="4">
        <v>28</v>
      </c>
      <c r="K3258">
        <v>1.3340000000000001</v>
      </c>
      <c r="L3258">
        <v>28</v>
      </c>
      <c r="M3258">
        <v>37.352000000000004</v>
      </c>
      <c r="N3258" s="5">
        <v>1.8983182406209571</v>
      </c>
      <c r="O3258" t="s">
        <v>101</v>
      </c>
      <c r="P3258" t="s">
        <v>340</v>
      </c>
      <c r="Q3258" s="10" t="s">
        <v>24</v>
      </c>
    </row>
    <row r="3259" spans="1:18" hidden="1" x14ac:dyDescent="0.25">
      <c r="A3259" s="9" t="s">
        <v>1636</v>
      </c>
      <c r="B3259" s="3" t="s">
        <v>2163</v>
      </c>
      <c r="C3259" s="10">
        <v>30</v>
      </c>
      <c r="D3259" s="10">
        <v>12</v>
      </c>
      <c r="E3259" s="10">
        <v>19</v>
      </c>
      <c r="F3259" t="s">
        <v>2159</v>
      </c>
      <c r="G3259" t="s">
        <v>889</v>
      </c>
      <c r="H3259" t="s">
        <v>21</v>
      </c>
      <c r="I3259" t="s">
        <v>22</v>
      </c>
      <c r="J3259" s="4">
        <v>12294</v>
      </c>
      <c r="K3259">
        <v>1</v>
      </c>
      <c r="L3259">
        <v>12294</v>
      </c>
      <c r="M3259">
        <v>12294</v>
      </c>
      <c r="N3259" s="5">
        <v>625.91429783623244</v>
      </c>
      <c r="O3259" t="s">
        <v>23</v>
      </c>
      <c r="P3259" t="s">
        <v>340</v>
      </c>
      <c r="Q3259" s="10" t="s">
        <v>24</v>
      </c>
      <c r="R3259" t="s">
        <v>2160</v>
      </c>
    </row>
    <row r="3260" spans="1:18" hidden="1" x14ac:dyDescent="0.25">
      <c r="A3260" s="9" t="s">
        <v>1636</v>
      </c>
      <c r="B3260" s="3" t="s">
        <v>2161</v>
      </c>
      <c r="C3260" s="10">
        <v>31</v>
      </c>
      <c r="D3260" s="10">
        <v>12</v>
      </c>
      <c r="E3260" s="10">
        <v>19</v>
      </c>
      <c r="F3260" t="s">
        <v>2127</v>
      </c>
      <c r="G3260" t="s">
        <v>889</v>
      </c>
      <c r="H3260" t="s">
        <v>889</v>
      </c>
      <c r="I3260" t="s">
        <v>72</v>
      </c>
      <c r="J3260" s="4">
        <v>500</v>
      </c>
      <c r="K3260">
        <v>2</v>
      </c>
      <c r="L3260">
        <v>500</v>
      </c>
      <c r="M3260">
        <v>1000</v>
      </c>
      <c r="N3260" s="5">
        <v>50.912176495545175</v>
      </c>
      <c r="O3260" t="s">
        <v>1140</v>
      </c>
      <c r="P3260" t="s">
        <v>340</v>
      </c>
      <c r="Q3260" s="10" t="s">
        <v>24</v>
      </c>
    </row>
    <row r="3261" spans="1:18" hidden="1" x14ac:dyDescent="0.25">
      <c r="A3261" s="9" t="s">
        <v>1636</v>
      </c>
      <c r="B3261" s="3" t="s">
        <v>2161</v>
      </c>
      <c r="C3261" s="10">
        <v>31</v>
      </c>
      <c r="D3261" s="10">
        <v>12</v>
      </c>
      <c r="E3261" s="10">
        <v>19</v>
      </c>
      <c r="F3261" t="s">
        <v>188</v>
      </c>
      <c r="G3261" t="s">
        <v>77</v>
      </c>
      <c r="H3261" t="s">
        <v>26</v>
      </c>
      <c r="I3261" t="s">
        <v>27</v>
      </c>
      <c r="J3261" s="4">
        <v>26.5</v>
      </c>
      <c r="K3261">
        <v>1</v>
      </c>
      <c r="L3261">
        <v>26.5</v>
      </c>
      <c r="M3261">
        <v>26.5</v>
      </c>
      <c r="N3261" s="5">
        <v>1.3431322858590977</v>
      </c>
      <c r="O3261" t="s">
        <v>101</v>
      </c>
      <c r="P3261" t="s">
        <v>340</v>
      </c>
      <c r="Q3261" s="10" t="s">
        <v>24</v>
      </c>
      <c r="R3261" t="s">
        <v>2202</v>
      </c>
    </row>
    <row r="3262" spans="1:18" hidden="1" x14ac:dyDescent="0.25">
      <c r="A3262" s="9" t="s">
        <v>1636</v>
      </c>
      <c r="B3262" s="3" t="s">
        <v>2161</v>
      </c>
      <c r="C3262" s="10">
        <v>31</v>
      </c>
      <c r="D3262" s="10">
        <v>12</v>
      </c>
      <c r="E3262" s="10">
        <v>19</v>
      </c>
      <c r="F3262" t="s">
        <v>708</v>
      </c>
      <c r="G3262" t="s">
        <v>708</v>
      </c>
      <c r="H3262" t="s">
        <v>131</v>
      </c>
      <c r="I3262" t="s">
        <v>27</v>
      </c>
      <c r="J3262" s="4">
        <v>35</v>
      </c>
      <c r="K3262">
        <v>1</v>
      </c>
      <c r="L3262">
        <v>35</v>
      </c>
      <c r="M3262">
        <v>35</v>
      </c>
      <c r="N3262" s="5">
        <v>1.7739483020780538</v>
      </c>
      <c r="O3262" t="s">
        <v>1472</v>
      </c>
      <c r="P3262" t="s">
        <v>340</v>
      </c>
      <c r="Q3262" s="10" t="s">
        <v>24</v>
      </c>
      <c r="R3262">
        <v>0</v>
      </c>
    </row>
    <row r="3263" spans="1:18" hidden="1" x14ac:dyDescent="0.25">
      <c r="A3263" s="9" t="s">
        <v>1636</v>
      </c>
      <c r="B3263" s="3" t="s">
        <v>2161</v>
      </c>
      <c r="C3263" s="10">
        <v>31</v>
      </c>
      <c r="D3263" s="10">
        <v>12</v>
      </c>
      <c r="E3263" s="10">
        <v>19</v>
      </c>
      <c r="F3263" t="s">
        <v>708</v>
      </c>
      <c r="G3263" t="s">
        <v>708</v>
      </c>
      <c r="H3263" t="s">
        <v>131</v>
      </c>
      <c r="I3263" t="s">
        <v>27</v>
      </c>
      <c r="J3263" s="4">
        <v>95</v>
      </c>
      <c r="K3263">
        <v>1</v>
      </c>
      <c r="L3263">
        <v>95</v>
      </c>
      <c r="M3263">
        <v>95</v>
      </c>
      <c r="N3263" s="5">
        <v>4.8150025342118603</v>
      </c>
      <c r="O3263" t="s">
        <v>1472</v>
      </c>
      <c r="P3263" t="s">
        <v>340</v>
      </c>
      <c r="Q3263" s="10" t="s">
        <v>84</v>
      </c>
      <c r="R3263">
        <v>0</v>
      </c>
    </row>
    <row r="3264" spans="1:18" hidden="1" x14ac:dyDescent="0.25">
      <c r="A3264" s="9" t="s">
        <v>1636</v>
      </c>
      <c r="B3264" s="3" t="s">
        <v>2161</v>
      </c>
      <c r="C3264" s="10">
        <v>31</v>
      </c>
      <c r="D3264" s="10">
        <v>12</v>
      </c>
      <c r="E3264" s="10">
        <v>19</v>
      </c>
      <c r="F3264" t="s">
        <v>1826</v>
      </c>
      <c r="G3264" t="s">
        <v>889</v>
      </c>
      <c r="H3264" t="s">
        <v>131</v>
      </c>
      <c r="I3264" t="s">
        <v>27</v>
      </c>
      <c r="J3264" s="4">
        <v>90</v>
      </c>
      <c r="K3264">
        <v>1</v>
      </c>
      <c r="L3264">
        <v>90</v>
      </c>
      <c r="M3264">
        <v>90</v>
      </c>
      <c r="N3264" s="5">
        <v>4.5615813482007095</v>
      </c>
      <c r="O3264" t="s">
        <v>1472</v>
      </c>
      <c r="P3264" t="s">
        <v>340</v>
      </c>
      <c r="Q3264" s="10" t="s">
        <v>84</v>
      </c>
      <c r="R3264">
        <v>0</v>
      </c>
    </row>
    <row r="3265" spans="1:18" hidden="1" x14ac:dyDescent="0.25">
      <c r="A3265" s="9" t="s">
        <v>1636</v>
      </c>
      <c r="B3265" s="3" t="s">
        <v>2161</v>
      </c>
      <c r="C3265" s="10">
        <v>31</v>
      </c>
      <c r="D3265" s="10">
        <v>12</v>
      </c>
      <c r="E3265" s="10">
        <v>19</v>
      </c>
      <c r="F3265" t="s">
        <v>1826</v>
      </c>
      <c r="G3265" t="s">
        <v>889</v>
      </c>
      <c r="H3265" t="s">
        <v>131</v>
      </c>
      <c r="I3265" t="s">
        <v>27</v>
      </c>
      <c r="J3265" s="4">
        <v>129.94999999999999</v>
      </c>
      <c r="K3265">
        <v>1</v>
      </c>
      <c r="L3265">
        <v>129.94999999999999</v>
      </c>
      <c r="M3265">
        <v>129.94999999999999</v>
      </c>
      <c r="N3265" s="5">
        <v>6.5864166244298019</v>
      </c>
      <c r="O3265" t="s">
        <v>1472</v>
      </c>
      <c r="P3265" t="s">
        <v>340</v>
      </c>
      <c r="Q3265" s="10" t="s">
        <v>84</v>
      </c>
      <c r="R3265">
        <v>0</v>
      </c>
    </row>
    <row r="3266" spans="1:18" hidden="1" x14ac:dyDescent="0.25">
      <c r="A3266" s="9" t="s">
        <v>1636</v>
      </c>
      <c r="B3266" s="3" t="s">
        <v>1668</v>
      </c>
      <c r="C3266" s="10">
        <v>4</v>
      </c>
      <c r="D3266" s="10">
        <v>12</v>
      </c>
      <c r="E3266" s="10">
        <v>19</v>
      </c>
      <c r="F3266" t="s">
        <v>141</v>
      </c>
      <c r="G3266" t="s">
        <v>889</v>
      </c>
      <c r="H3266" t="s">
        <v>172</v>
      </c>
      <c r="I3266" t="s">
        <v>39</v>
      </c>
      <c r="J3266" s="4">
        <v>2</v>
      </c>
      <c r="K3266">
        <v>3</v>
      </c>
      <c r="L3266">
        <v>2</v>
      </c>
      <c r="M3266">
        <v>6</v>
      </c>
      <c r="N3266" s="5">
        <v>0.30493439290334501</v>
      </c>
      <c r="O3266" t="s">
        <v>39</v>
      </c>
      <c r="P3266" t="s">
        <v>340</v>
      </c>
      <c r="Q3266" s="10" t="s">
        <v>24</v>
      </c>
    </row>
    <row r="3267" spans="1:18" hidden="1" x14ac:dyDescent="0.25">
      <c r="A3267" s="9" t="s">
        <v>1636</v>
      </c>
      <c r="B3267" s="3" t="s">
        <v>1668</v>
      </c>
      <c r="C3267" s="10">
        <v>4</v>
      </c>
      <c r="D3267" s="10">
        <v>12</v>
      </c>
      <c r="E3267" s="10">
        <v>19</v>
      </c>
      <c r="F3267" t="s">
        <v>141</v>
      </c>
      <c r="G3267" t="s">
        <v>889</v>
      </c>
      <c r="H3267" t="s">
        <v>172</v>
      </c>
      <c r="I3267" t="s">
        <v>39</v>
      </c>
      <c r="J3267" s="4">
        <v>3</v>
      </c>
      <c r="K3267">
        <v>2</v>
      </c>
      <c r="L3267">
        <v>3</v>
      </c>
      <c r="M3267">
        <v>6</v>
      </c>
      <c r="N3267" s="5">
        <v>0.30493439290334501</v>
      </c>
      <c r="O3267" t="s">
        <v>39</v>
      </c>
      <c r="P3267" t="s">
        <v>340</v>
      </c>
      <c r="Q3267" s="10" t="s">
        <v>24</v>
      </c>
    </row>
    <row r="3268" spans="1:18" hidden="1" x14ac:dyDescent="0.25">
      <c r="A3268" s="9" t="s">
        <v>1636</v>
      </c>
      <c r="B3268" s="3" t="s">
        <v>1668</v>
      </c>
      <c r="C3268" s="10">
        <v>4</v>
      </c>
      <c r="D3268" s="10">
        <v>12</v>
      </c>
      <c r="E3268" s="10">
        <v>19</v>
      </c>
      <c r="F3268" t="s">
        <v>2075</v>
      </c>
      <c r="G3268" t="s">
        <v>889</v>
      </c>
      <c r="H3268" t="s">
        <v>65</v>
      </c>
      <c r="I3268" t="s">
        <v>27</v>
      </c>
      <c r="J3268" s="4">
        <v>83.88</v>
      </c>
      <c r="K3268">
        <v>1</v>
      </c>
      <c r="L3268">
        <v>83.88</v>
      </c>
      <c r="M3268">
        <v>83.88</v>
      </c>
      <c r="N3268" s="5">
        <v>4.2629828127887626</v>
      </c>
      <c r="O3268" t="s">
        <v>181</v>
      </c>
      <c r="P3268" t="s">
        <v>340</v>
      </c>
      <c r="Q3268" s="10" t="s">
        <v>24</v>
      </c>
    </row>
    <row r="3269" spans="1:18" hidden="1" x14ac:dyDescent="0.25">
      <c r="A3269" s="9" t="s">
        <v>1636</v>
      </c>
      <c r="B3269" s="3" t="s">
        <v>1668</v>
      </c>
      <c r="C3269" s="10">
        <v>4</v>
      </c>
      <c r="D3269" s="10">
        <v>12</v>
      </c>
      <c r="E3269" s="10">
        <v>19</v>
      </c>
      <c r="F3269" t="s">
        <v>1465</v>
      </c>
      <c r="G3269" t="s">
        <v>889</v>
      </c>
      <c r="H3269" t="s">
        <v>131</v>
      </c>
      <c r="I3269" t="s">
        <v>27</v>
      </c>
      <c r="J3269" s="4">
        <v>6.36</v>
      </c>
      <c r="K3269">
        <v>4</v>
      </c>
      <c r="L3269">
        <v>6.36</v>
      </c>
      <c r="M3269">
        <v>25.44</v>
      </c>
      <c r="N3269" s="5">
        <v>1.2929218259101829</v>
      </c>
      <c r="O3269" t="s">
        <v>181</v>
      </c>
      <c r="P3269" t="s">
        <v>340</v>
      </c>
      <c r="Q3269" s="10" t="s">
        <v>24</v>
      </c>
    </row>
    <row r="3270" spans="1:18" hidden="1" x14ac:dyDescent="0.25">
      <c r="A3270" s="9" t="s">
        <v>1636</v>
      </c>
      <c r="B3270" s="3" t="s">
        <v>1668</v>
      </c>
      <c r="C3270" s="10">
        <v>4</v>
      </c>
      <c r="D3270" s="10">
        <v>12</v>
      </c>
      <c r="E3270" s="10">
        <v>19</v>
      </c>
      <c r="F3270" t="s">
        <v>74</v>
      </c>
      <c r="G3270" t="s">
        <v>889</v>
      </c>
      <c r="H3270" t="s">
        <v>56</v>
      </c>
      <c r="I3270" t="s">
        <v>27</v>
      </c>
      <c r="J3270" s="4">
        <v>21.9</v>
      </c>
      <c r="K3270">
        <v>1.61</v>
      </c>
      <c r="L3270">
        <v>21.9</v>
      </c>
      <c r="M3270">
        <v>35.259</v>
      </c>
      <c r="N3270" s="5">
        <v>1.7919469598965068</v>
      </c>
      <c r="O3270" t="s">
        <v>181</v>
      </c>
      <c r="P3270" t="s">
        <v>340</v>
      </c>
      <c r="Q3270" s="10" t="s">
        <v>24</v>
      </c>
    </row>
    <row r="3271" spans="1:18" hidden="1" x14ac:dyDescent="0.25">
      <c r="A3271" s="9" t="s">
        <v>1636</v>
      </c>
      <c r="B3271" s="3" t="s">
        <v>1668</v>
      </c>
      <c r="C3271" s="10">
        <v>4</v>
      </c>
      <c r="D3271" s="10">
        <v>12</v>
      </c>
      <c r="E3271" s="10">
        <v>19</v>
      </c>
      <c r="F3271" t="s">
        <v>177</v>
      </c>
      <c r="G3271" t="s">
        <v>889</v>
      </c>
      <c r="H3271" t="s">
        <v>56</v>
      </c>
      <c r="I3271" t="s">
        <v>27</v>
      </c>
      <c r="J3271" s="4">
        <v>14</v>
      </c>
      <c r="K3271">
        <v>0.89400000000000002</v>
      </c>
      <c r="L3271">
        <v>14</v>
      </c>
      <c r="M3271">
        <v>12.516</v>
      </c>
      <c r="N3271" s="5">
        <v>0.6360931435963777</v>
      </c>
      <c r="O3271" t="s">
        <v>181</v>
      </c>
      <c r="P3271" t="s">
        <v>340</v>
      </c>
      <c r="Q3271" s="10" t="s">
        <v>24</v>
      </c>
    </row>
    <row r="3272" spans="1:18" hidden="1" x14ac:dyDescent="0.25">
      <c r="A3272" s="9" t="s">
        <v>1636</v>
      </c>
      <c r="B3272" s="3" t="s">
        <v>1668</v>
      </c>
      <c r="C3272" s="10">
        <v>4</v>
      </c>
      <c r="D3272" s="10">
        <v>12</v>
      </c>
      <c r="E3272" s="10">
        <v>19</v>
      </c>
      <c r="F3272" t="s">
        <v>203</v>
      </c>
      <c r="G3272" t="s">
        <v>889</v>
      </c>
      <c r="H3272" t="s">
        <v>54</v>
      </c>
      <c r="I3272" t="s">
        <v>27</v>
      </c>
      <c r="J3272" s="4">
        <v>19.5</v>
      </c>
      <c r="K3272">
        <v>1</v>
      </c>
      <c r="L3272">
        <v>19.5</v>
      </c>
      <c r="M3272">
        <v>19.5</v>
      </c>
      <c r="N3272" s="5">
        <v>0.99103677693587122</v>
      </c>
      <c r="O3272" t="s">
        <v>181</v>
      </c>
      <c r="P3272" t="s">
        <v>340</v>
      </c>
      <c r="Q3272" s="10" t="s">
        <v>24</v>
      </c>
    </row>
    <row r="3273" spans="1:18" hidden="1" x14ac:dyDescent="0.25">
      <c r="A3273" s="9" t="s">
        <v>1636</v>
      </c>
      <c r="B3273" s="3" t="s">
        <v>1668</v>
      </c>
      <c r="C3273" s="10">
        <v>4</v>
      </c>
      <c r="D3273" s="10">
        <v>12</v>
      </c>
      <c r="E3273" s="10">
        <v>19</v>
      </c>
      <c r="F3273" t="s">
        <v>1645</v>
      </c>
      <c r="G3273" t="s">
        <v>889</v>
      </c>
      <c r="H3273" t="s">
        <v>425</v>
      </c>
      <c r="I3273" t="s">
        <v>27</v>
      </c>
      <c r="J3273" s="4">
        <v>20.52</v>
      </c>
      <c r="K3273">
        <v>1</v>
      </c>
      <c r="L3273">
        <v>20.52</v>
      </c>
      <c r="M3273">
        <v>20.52</v>
      </c>
      <c r="N3273" s="5">
        <v>1.0428756237294399</v>
      </c>
      <c r="O3273" t="s">
        <v>181</v>
      </c>
      <c r="P3273" t="s">
        <v>340</v>
      </c>
      <c r="Q3273" s="10" t="s">
        <v>24</v>
      </c>
    </row>
    <row r="3274" spans="1:18" hidden="1" x14ac:dyDescent="0.25">
      <c r="A3274" s="9" t="s">
        <v>1636</v>
      </c>
      <c r="B3274" s="3" t="s">
        <v>1668</v>
      </c>
      <c r="C3274" s="10">
        <v>4</v>
      </c>
      <c r="D3274" s="10">
        <v>12</v>
      </c>
      <c r="E3274" s="10">
        <v>19</v>
      </c>
      <c r="F3274" t="s">
        <v>1466</v>
      </c>
      <c r="G3274" t="s">
        <v>31</v>
      </c>
      <c r="H3274" t="s">
        <v>26</v>
      </c>
      <c r="I3274" t="s">
        <v>27</v>
      </c>
      <c r="J3274" s="4">
        <v>32.869999999999997</v>
      </c>
      <c r="K3274">
        <v>3</v>
      </c>
      <c r="L3274">
        <v>32.869999999999997</v>
      </c>
      <c r="M3274">
        <v>98.609999999999985</v>
      </c>
      <c r="N3274" s="5">
        <v>5.0115967473664744</v>
      </c>
      <c r="O3274" t="s">
        <v>181</v>
      </c>
      <c r="P3274" t="s">
        <v>340</v>
      </c>
      <c r="Q3274" s="10" t="s">
        <v>24</v>
      </c>
    </row>
    <row r="3275" spans="1:18" hidden="1" x14ac:dyDescent="0.25">
      <c r="A3275" s="9" t="s">
        <v>1636</v>
      </c>
      <c r="B3275" s="3" t="s">
        <v>1668</v>
      </c>
      <c r="C3275" s="10">
        <v>4</v>
      </c>
      <c r="D3275" s="10">
        <v>12</v>
      </c>
      <c r="E3275" s="10">
        <v>19</v>
      </c>
      <c r="F3275" t="s">
        <v>155</v>
      </c>
      <c r="G3275" t="s">
        <v>155</v>
      </c>
      <c r="H3275" t="s">
        <v>131</v>
      </c>
      <c r="I3275" t="s">
        <v>27</v>
      </c>
      <c r="J3275" s="4">
        <v>13.58</v>
      </c>
      <c r="K3275">
        <v>6</v>
      </c>
      <c r="L3275">
        <v>13.58</v>
      </c>
      <c r="M3275">
        <v>81.48</v>
      </c>
      <c r="N3275" s="5">
        <v>4.1410090556274248</v>
      </c>
      <c r="O3275" t="s">
        <v>181</v>
      </c>
      <c r="P3275" t="s">
        <v>340</v>
      </c>
      <c r="Q3275" s="10" t="s">
        <v>24</v>
      </c>
      <c r="R3275" t="s">
        <v>1677</v>
      </c>
    </row>
    <row r="3276" spans="1:18" hidden="1" x14ac:dyDescent="0.25">
      <c r="A3276" s="9" t="s">
        <v>1636</v>
      </c>
      <c r="B3276" s="3" t="s">
        <v>1668</v>
      </c>
      <c r="C3276" s="10">
        <v>4</v>
      </c>
      <c r="D3276" s="10">
        <v>12</v>
      </c>
      <c r="E3276" s="10">
        <v>19</v>
      </c>
      <c r="F3276" t="s">
        <v>2114</v>
      </c>
      <c r="G3276" t="s">
        <v>889</v>
      </c>
      <c r="H3276" t="s">
        <v>65</v>
      </c>
      <c r="I3276" t="s">
        <v>27</v>
      </c>
      <c r="J3276" s="4">
        <v>50.78</v>
      </c>
      <c r="K3276">
        <v>1</v>
      </c>
      <c r="L3276">
        <v>50.78</v>
      </c>
      <c r="M3276">
        <v>50.78</v>
      </c>
      <c r="N3276" s="5">
        <v>2.5807614119386431</v>
      </c>
      <c r="O3276" t="s">
        <v>181</v>
      </c>
      <c r="P3276" t="s">
        <v>340</v>
      </c>
      <c r="Q3276" s="10" t="s">
        <v>24</v>
      </c>
    </row>
    <row r="3277" spans="1:18" hidden="1" x14ac:dyDescent="0.25">
      <c r="A3277" s="9" t="s">
        <v>1636</v>
      </c>
      <c r="B3277" s="3" t="s">
        <v>1668</v>
      </c>
      <c r="C3277" s="10">
        <v>4</v>
      </c>
      <c r="D3277" s="10">
        <v>12</v>
      </c>
      <c r="E3277" s="10">
        <v>19</v>
      </c>
      <c r="F3277" t="s">
        <v>708</v>
      </c>
      <c r="G3277" t="s">
        <v>708</v>
      </c>
      <c r="H3277" t="s">
        <v>131</v>
      </c>
      <c r="I3277" t="s">
        <v>27</v>
      </c>
      <c r="J3277" s="4">
        <v>41.8</v>
      </c>
      <c r="K3277">
        <v>1</v>
      </c>
      <c r="L3277">
        <v>41.8</v>
      </c>
      <c r="M3277">
        <v>41.8</v>
      </c>
      <c r="N3277" s="5">
        <v>2.1243762705599698</v>
      </c>
      <c r="O3277" t="s">
        <v>181</v>
      </c>
      <c r="P3277" t="s">
        <v>340</v>
      </c>
      <c r="Q3277" s="10" t="s">
        <v>24</v>
      </c>
      <c r="R3277" t="s">
        <v>1669</v>
      </c>
    </row>
    <row r="3278" spans="1:18" hidden="1" x14ac:dyDescent="0.25">
      <c r="A3278" s="9" t="s">
        <v>1636</v>
      </c>
      <c r="B3278" s="3" t="s">
        <v>1668</v>
      </c>
      <c r="C3278" s="10">
        <v>4</v>
      </c>
      <c r="D3278" s="10">
        <v>12</v>
      </c>
      <c r="E3278" s="10">
        <v>19</v>
      </c>
      <c r="F3278" t="s">
        <v>204</v>
      </c>
      <c r="G3278" t="s">
        <v>889</v>
      </c>
      <c r="H3278" t="s">
        <v>54</v>
      </c>
      <c r="I3278" t="s">
        <v>27</v>
      </c>
      <c r="J3278" s="4">
        <v>57.5</v>
      </c>
      <c r="K3278">
        <v>9.1999999999999998E-2</v>
      </c>
      <c r="L3278">
        <v>57.5</v>
      </c>
      <c r="M3278">
        <v>5.29</v>
      </c>
      <c r="N3278" s="5">
        <v>0.26885048974311582</v>
      </c>
      <c r="O3278" t="s">
        <v>181</v>
      </c>
      <c r="P3278" t="s">
        <v>340</v>
      </c>
      <c r="Q3278" s="10" t="s">
        <v>24</v>
      </c>
    </row>
    <row r="3279" spans="1:18" hidden="1" x14ac:dyDescent="0.25">
      <c r="A3279" s="9" t="s">
        <v>1636</v>
      </c>
      <c r="B3279" s="3" t="s">
        <v>1668</v>
      </c>
      <c r="C3279" s="10">
        <v>4</v>
      </c>
      <c r="D3279" s="10">
        <v>12</v>
      </c>
      <c r="E3279" s="10">
        <v>19</v>
      </c>
      <c r="F3279" t="s">
        <v>415</v>
      </c>
      <c r="G3279" t="s">
        <v>889</v>
      </c>
      <c r="H3279" t="s">
        <v>49</v>
      </c>
      <c r="I3279" t="s">
        <v>50</v>
      </c>
      <c r="J3279" s="4">
        <v>13.11</v>
      </c>
      <c r="K3279">
        <v>1</v>
      </c>
      <c r="L3279">
        <v>13.11</v>
      </c>
      <c r="M3279">
        <v>13.11</v>
      </c>
      <c r="N3279" s="5">
        <v>0.66628164849380878</v>
      </c>
      <c r="O3279" t="s">
        <v>181</v>
      </c>
      <c r="P3279" t="s">
        <v>340</v>
      </c>
      <c r="Q3279" s="10" t="s">
        <v>24</v>
      </c>
    </row>
    <row r="3280" spans="1:18" hidden="1" x14ac:dyDescent="0.25">
      <c r="A3280" s="9" t="s">
        <v>1636</v>
      </c>
      <c r="B3280" s="3" t="s">
        <v>1668</v>
      </c>
      <c r="C3280" s="10">
        <v>4</v>
      </c>
      <c r="D3280" s="10">
        <v>12</v>
      </c>
      <c r="E3280" s="10">
        <v>19</v>
      </c>
      <c r="F3280" t="s">
        <v>155</v>
      </c>
      <c r="G3280" t="s">
        <v>155</v>
      </c>
      <c r="H3280" t="s">
        <v>131</v>
      </c>
      <c r="I3280" t="s">
        <v>27</v>
      </c>
      <c r="J3280" s="4">
        <v>24.23</v>
      </c>
      <c r="K3280">
        <v>3</v>
      </c>
      <c r="L3280">
        <v>24.23</v>
      </c>
      <c r="M3280">
        <v>72.69</v>
      </c>
      <c r="N3280" s="5">
        <v>3.6942801700240246</v>
      </c>
      <c r="O3280" t="s">
        <v>181</v>
      </c>
      <c r="P3280" t="s">
        <v>340</v>
      </c>
      <c r="Q3280" s="10" t="s">
        <v>24</v>
      </c>
      <c r="R3280" t="s">
        <v>1670</v>
      </c>
    </row>
    <row r="3281" spans="1:18" hidden="1" x14ac:dyDescent="0.25">
      <c r="A3281" s="9" t="s">
        <v>1636</v>
      </c>
      <c r="B3281" s="3" t="s">
        <v>1668</v>
      </c>
      <c r="C3281" s="10">
        <v>4</v>
      </c>
      <c r="D3281" s="10">
        <v>12</v>
      </c>
      <c r="E3281" s="10">
        <v>19</v>
      </c>
      <c r="F3281" t="s">
        <v>2339</v>
      </c>
      <c r="G3281" t="s">
        <v>889</v>
      </c>
      <c r="H3281" t="s">
        <v>65</v>
      </c>
      <c r="I3281" t="s">
        <v>27</v>
      </c>
      <c r="J3281" s="4">
        <v>36.1</v>
      </c>
      <c r="K3281">
        <v>1</v>
      </c>
      <c r="L3281">
        <v>36.1</v>
      </c>
      <c r="M3281">
        <v>36.1</v>
      </c>
      <c r="N3281" s="5">
        <v>1.8346885973017923</v>
      </c>
      <c r="O3281" t="s">
        <v>181</v>
      </c>
      <c r="P3281" t="s">
        <v>340</v>
      </c>
      <c r="Q3281" s="10" t="s">
        <v>24</v>
      </c>
    </row>
    <row r="3282" spans="1:18" hidden="1" x14ac:dyDescent="0.25">
      <c r="A3282" s="9" t="s">
        <v>1636</v>
      </c>
      <c r="B3282" s="3" t="s">
        <v>1668</v>
      </c>
      <c r="C3282" s="10">
        <v>4</v>
      </c>
      <c r="D3282" s="10">
        <v>12</v>
      </c>
      <c r="E3282" s="10">
        <v>19</v>
      </c>
      <c r="F3282" t="s">
        <v>1381</v>
      </c>
      <c r="G3282" t="s">
        <v>889</v>
      </c>
      <c r="H3282" t="s">
        <v>53</v>
      </c>
      <c r="I3282" t="s">
        <v>27</v>
      </c>
      <c r="J3282" s="4">
        <v>21.28</v>
      </c>
      <c r="K3282">
        <v>1</v>
      </c>
      <c r="L3282">
        <v>21.28</v>
      </c>
      <c r="M3282">
        <v>21.28</v>
      </c>
      <c r="N3282" s="5">
        <v>1.0815006468305304</v>
      </c>
      <c r="O3282" t="s">
        <v>181</v>
      </c>
      <c r="P3282" t="s">
        <v>340</v>
      </c>
      <c r="Q3282" s="10" t="s">
        <v>24</v>
      </c>
    </row>
    <row r="3283" spans="1:18" hidden="1" x14ac:dyDescent="0.25">
      <c r="A3283" s="9" t="s">
        <v>1636</v>
      </c>
      <c r="B3283" s="3" t="s">
        <v>1668</v>
      </c>
      <c r="C3283" s="10">
        <v>4</v>
      </c>
      <c r="D3283" s="10">
        <v>12</v>
      </c>
      <c r="E3283" s="10">
        <v>19</v>
      </c>
      <c r="F3283" t="s">
        <v>1630</v>
      </c>
      <c r="G3283" t="s">
        <v>889</v>
      </c>
      <c r="H3283" t="s">
        <v>53</v>
      </c>
      <c r="I3283" t="s">
        <v>27</v>
      </c>
      <c r="J3283" s="4">
        <v>14.54</v>
      </c>
      <c r="K3283">
        <v>1</v>
      </c>
      <c r="L3283">
        <v>14.54</v>
      </c>
      <c r="M3283">
        <v>14.54</v>
      </c>
      <c r="N3283" s="5">
        <v>0.73895767880243934</v>
      </c>
      <c r="O3283" t="s">
        <v>181</v>
      </c>
      <c r="P3283" t="s">
        <v>340</v>
      </c>
      <c r="Q3283" s="10" t="s">
        <v>24</v>
      </c>
    </row>
    <row r="3284" spans="1:18" hidden="1" x14ac:dyDescent="0.25">
      <c r="A3284" s="9" t="s">
        <v>1636</v>
      </c>
      <c r="B3284" s="3" t="s">
        <v>1668</v>
      </c>
      <c r="C3284" s="10">
        <v>4</v>
      </c>
      <c r="D3284" s="10">
        <v>12</v>
      </c>
      <c r="E3284" s="10">
        <v>19</v>
      </c>
      <c r="F3284" t="s">
        <v>2242</v>
      </c>
      <c r="G3284" t="s">
        <v>345</v>
      </c>
      <c r="H3284" t="s">
        <v>26</v>
      </c>
      <c r="I3284" t="s">
        <v>27</v>
      </c>
      <c r="J3284" s="4">
        <v>5.89</v>
      </c>
      <c r="K3284">
        <v>1</v>
      </c>
      <c r="L3284">
        <v>5.89</v>
      </c>
      <c r="M3284">
        <v>5.89</v>
      </c>
      <c r="N3284" s="5">
        <v>0.29934392903345031</v>
      </c>
      <c r="O3284" t="s">
        <v>181</v>
      </c>
      <c r="P3284" t="s">
        <v>340</v>
      </c>
      <c r="Q3284" s="10" t="s">
        <v>24</v>
      </c>
    </row>
    <row r="3285" spans="1:18" hidden="1" x14ac:dyDescent="0.25">
      <c r="A3285" s="9" t="s">
        <v>1636</v>
      </c>
      <c r="B3285" s="3" t="s">
        <v>1668</v>
      </c>
      <c r="C3285" s="10">
        <v>4</v>
      </c>
      <c r="D3285" s="10">
        <v>12</v>
      </c>
      <c r="E3285" s="10">
        <v>19</v>
      </c>
      <c r="F3285" t="s">
        <v>1671</v>
      </c>
      <c r="G3285" t="s">
        <v>31</v>
      </c>
      <c r="H3285" t="s">
        <v>26</v>
      </c>
      <c r="I3285" t="s">
        <v>27</v>
      </c>
      <c r="J3285" s="4">
        <v>8.74</v>
      </c>
      <c r="K3285">
        <v>2</v>
      </c>
      <c r="L3285">
        <v>8.74</v>
      </c>
      <c r="M3285">
        <v>17.48</v>
      </c>
      <c r="N3285" s="5">
        <v>0.8883755313250784</v>
      </c>
      <c r="O3285" t="s">
        <v>181</v>
      </c>
      <c r="P3285" t="s">
        <v>340</v>
      </c>
      <c r="Q3285" s="10" t="s">
        <v>24</v>
      </c>
    </row>
    <row r="3286" spans="1:18" hidden="1" x14ac:dyDescent="0.25">
      <c r="A3286" s="9" t="s">
        <v>1636</v>
      </c>
      <c r="B3286" s="3" t="s">
        <v>1668</v>
      </c>
      <c r="C3286" s="10">
        <v>4</v>
      </c>
      <c r="D3286" s="10">
        <v>12</v>
      </c>
      <c r="E3286" s="10">
        <v>19</v>
      </c>
      <c r="F3286" t="s">
        <v>1379</v>
      </c>
      <c r="G3286" t="s">
        <v>31</v>
      </c>
      <c r="H3286" t="s">
        <v>26</v>
      </c>
      <c r="I3286" t="s">
        <v>27</v>
      </c>
      <c r="J3286" s="4">
        <v>7.22</v>
      </c>
      <c r="K3286">
        <v>1</v>
      </c>
      <c r="L3286">
        <v>7.22</v>
      </c>
      <c r="M3286">
        <v>7.22</v>
      </c>
      <c r="N3286" s="5">
        <v>0.36693771946035847</v>
      </c>
      <c r="O3286" t="s">
        <v>181</v>
      </c>
      <c r="P3286" t="s">
        <v>340</v>
      </c>
      <c r="Q3286" s="10" t="s">
        <v>24</v>
      </c>
    </row>
    <row r="3287" spans="1:18" hidden="1" x14ac:dyDescent="0.25">
      <c r="A3287" s="9" t="s">
        <v>1636</v>
      </c>
      <c r="B3287" s="3" t="s">
        <v>1668</v>
      </c>
      <c r="C3287" s="10">
        <v>4</v>
      </c>
      <c r="D3287" s="10">
        <v>12</v>
      </c>
      <c r="E3287" s="10">
        <v>19</v>
      </c>
      <c r="F3287" t="s">
        <v>110</v>
      </c>
      <c r="G3287" t="s">
        <v>889</v>
      </c>
      <c r="H3287" t="s">
        <v>56</v>
      </c>
      <c r="I3287" t="s">
        <v>27</v>
      </c>
      <c r="J3287" s="4">
        <v>29.9</v>
      </c>
      <c r="K3287">
        <v>0.65400000000000003</v>
      </c>
      <c r="L3287">
        <v>29.9</v>
      </c>
      <c r="M3287">
        <v>19.554600000000001</v>
      </c>
      <c r="N3287" s="5">
        <v>0.99381167991129171</v>
      </c>
      <c r="O3287" t="s">
        <v>181</v>
      </c>
      <c r="P3287" t="s">
        <v>340</v>
      </c>
      <c r="Q3287" s="10" t="s">
        <v>24</v>
      </c>
    </row>
    <row r="3288" spans="1:18" hidden="1" x14ac:dyDescent="0.25">
      <c r="A3288" s="9" t="s">
        <v>1636</v>
      </c>
      <c r="B3288" s="3" t="s">
        <v>1668</v>
      </c>
      <c r="C3288" s="10">
        <v>4</v>
      </c>
      <c r="D3288" s="10">
        <v>12</v>
      </c>
      <c r="E3288" s="10">
        <v>19</v>
      </c>
      <c r="F3288" t="s">
        <v>202</v>
      </c>
      <c r="G3288" t="s">
        <v>889</v>
      </c>
      <c r="H3288" t="s">
        <v>54</v>
      </c>
      <c r="I3288" t="s">
        <v>27</v>
      </c>
      <c r="J3288" s="4">
        <v>75</v>
      </c>
      <c r="K3288">
        <v>0.53800000000000003</v>
      </c>
      <c r="L3288">
        <v>75</v>
      </c>
      <c r="M3288">
        <v>40.35</v>
      </c>
      <c r="N3288" s="5">
        <v>2.0506837922749952</v>
      </c>
      <c r="O3288" t="s">
        <v>181</v>
      </c>
      <c r="P3288" t="s">
        <v>340</v>
      </c>
      <c r="Q3288" s="10" t="s">
        <v>24</v>
      </c>
    </row>
    <row r="3289" spans="1:18" hidden="1" x14ac:dyDescent="0.25">
      <c r="A3289" s="9" t="s">
        <v>1636</v>
      </c>
      <c r="B3289" s="3" t="s">
        <v>1668</v>
      </c>
      <c r="C3289" s="10">
        <v>4</v>
      </c>
      <c r="D3289" s="10">
        <v>12</v>
      </c>
      <c r="E3289" s="10">
        <v>19</v>
      </c>
      <c r="F3289" t="s">
        <v>98</v>
      </c>
      <c r="G3289" t="s">
        <v>889</v>
      </c>
      <c r="H3289" t="s">
        <v>26</v>
      </c>
      <c r="I3289" t="s">
        <v>27</v>
      </c>
      <c r="J3289" s="4">
        <v>66.209999999999994</v>
      </c>
      <c r="K3289">
        <v>1</v>
      </c>
      <c r="L3289">
        <v>66.209999999999994</v>
      </c>
      <c r="M3289">
        <v>66.209999999999994</v>
      </c>
      <c r="N3289" s="5">
        <v>3.3649510256884119</v>
      </c>
      <c r="O3289" t="s">
        <v>181</v>
      </c>
      <c r="P3289" t="s">
        <v>340</v>
      </c>
      <c r="Q3289" s="10" t="s">
        <v>24</v>
      </c>
      <c r="R3289" t="s">
        <v>1672</v>
      </c>
    </row>
    <row r="3290" spans="1:18" hidden="1" x14ac:dyDescent="0.25">
      <c r="A3290" s="9" t="s">
        <v>1636</v>
      </c>
      <c r="B3290" s="3" t="s">
        <v>1668</v>
      </c>
      <c r="C3290" s="10">
        <v>4</v>
      </c>
      <c r="D3290" s="10">
        <v>12</v>
      </c>
      <c r="E3290" s="10">
        <v>19</v>
      </c>
      <c r="F3290" t="s">
        <v>1673</v>
      </c>
      <c r="G3290" t="s">
        <v>889</v>
      </c>
      <c r="H3290" t="s">
        <v>40</v>
      </c>
      <c r="I3290" t="s">
        <v>27</v>
      </c>
      <c r="J3290" s="4">
        <v>7.22</v>
      </c>
      <c r="K3290">
        <v>1</v>
      </c>
      <c r="L3290">
        <v>7.22</v>
      </c>
      <c r="M3290">
        <v>7.22</v>
      </c>
      <c r="N3290" s="5">
        <v>0.36693771946035847</v>
      </c>
      <c r="O3290" t="s">
        <v>181</v>
      </c>
      <c r="P3290" t="s">
        <v>340</v>
      </c>
      <c r="Q3290" s="10" t="s">
        <v>24</v>
      </c>
    </row>
    <row r="3291" spans="1:18" hidden="1" x14ac:dyDescent="0.25">
      <c r="A3291" s="9" t="s">
        <v>1636</v>
      </c>
      <c r="B3291" s="3" t="s">
        <v>1668</v>
      </c>
      <c r="C3291" s="10">
        <v>4</v>
      </c>
      <c r="D3291" s="10">
        <v>12</v>
      </c>
      <c r="E3291" s="10">
        <v>19</v>
      </c>
      <c r="F3291" t="s">
        <v>39</v>
      </c>
      <c r="G3291" t="s">
        <v>889</v>
      </c>
      <c r="H3291" t="s">
        <v>1748</v>
      </c>
      <c r="I3291" t="s">
        <v>72</v>
      </c>
      <c r="J3291" s="4">
        <v>60.56</v>
      </c>
      <c r="K3291">
        <v>0.13</v>
      </c>
      <c r="L3291">
        <v>60.56</v>
      </c>
      <c r="M3291">
        <v>7.8728000000000007</v>
      </c>
      <c r="N3291" s="5">
        <v>0.40011458140824246</v>
      </c>
      <c r="O3291" t="s">
        <v>629</v>
      </c>
      <c r="P3291" t="s">
        <v>340</v>
      </c>
      <c r="Q3291" s="10" t="s">
        <v>24</v>
      </c>
      <c r="R3291" t="s">
        <v>1230</v>
      </c>
    </row>
    <row r="3292" spans="1:18" hidden="1" x14ac:dyDescent="0.25">
      <c r="A3292" s="9" t="s">
        <v>1636</v>
      </c>
      <c r="B3292" s="3" t="s">
        <v>1668</v>
      </c>
      <c r="C3292" s="10">
        <v>4</v>
      </c>
      <c r="D3292" s="10">
        <v>12</v>
      </c>
      <c r="E3292" s="10">
        <v>19</v>
      </c>
      <c r="F3292" t="s">
        <v>141</v>
      </c>
      <c r="G3292" t="s">
        <v>889</v>
      </c>
      <c r="H3292" t="s">
        <v>172</v>
      </c>
      <c r="I3292" t="s">
        <v>39</v>
      </c>
      <c r="J3292" s="4">
        <v>2</v>
      </c>
      <c r="K3292">
        <v>1</v>
      </c>
      <c r="L3292">
        <v>2</v>
      </c>
      <c r="M3292">
        <v>2</v>
      </c>
      <c r="N3292" s="5">
        <v>0.10164479763444834</v>
      </c>
      <c r="O3292" t="s">
        <v>39</v>
      </c>
      <c r="P3292" t="s">
        <v>340</v>
      </c>
      <c r="Q3292" s="10" t="s">
        <v>24</v>
      </c>
    </row>
    <row r="3293" spans="1:18" hidden="1" x14ac:dyDescent="0.25">
      <c r="A3293" s="9" t="s">
        <v>1636</v>
      </c>
      <c r="B3293" s="3" t="s">
        <v>1730</v>
      </c>
      <c r="C3293" s="10">
        <v>5</v>
      </c>
      <c r="D3293" s="10">
        <v>12</v>
      </c>
      <c r="E3293" s="10">
        <v>19</v>
      </c>
      <c r="F3293" t="s">
        <v>1727</v>
      </c>
      <c r="G3293" t="s">
        <v>889</v>
      </c>
      <c r="H3293" t="s">
        <v>889</v>
      </c>
      <c r="I3293" t="s">
        <v>72</v>
      </c>
      <c r="J3293" s="4">
        <v>14.97</v>
      </c>
      <c r="K3293">
        <v>1</v>
      </c>
      <c r="L3293">
        <v>14.97</v>
      </c>
      <c r="M3293">
        <v>14.97</v>
      </c>
      <c r="N3293" s="5">
        <v>0.76081131029384574</v>
      </c>
      <c r="O3293" t="s">
        <v>629</v>
      </c>
      <c r="P3293" t="s">
        <v>340</v>
      </c>
      <c r="Q3293" s="10" t="s">
        <v>24</v>
      </c>
    </row>
    <row r="3294" spans="1:18" hidden="1" x14ac:dyDescent="0.25">
      <c r="A3294" s="9" t="s">
        <v>1636</v>
      </c>
      <c r="B3294" s="3" t="s">
        <v>1730</v>
      </c>
      <c r="C3294" s="10">
        <v>5</v>
      </c>
      <c r="D3294" s="10">
        <v>12</v>
      </c>
      <c r="E3294" s="10">
        <v>19</v>
      </c>
      <c r="F3294" t="s">
        <v>674</v>
      </c>
      <c r="G3294" t="s">
        <v>889</v>
      </c>
      <c r="H3294" t="s">
        <v>889</v>
      </c>
      <c r="I3294" t="s">
        <v>72</v>
      </c>
      <c r="J3294" s="4">
        <v>1.79</v>
      </c>
      <c r="K3294">
        <v>2</v>
      </c>
      <c r="L3294">
        <v>1.79</v>
      </c>
      <c r="M3294">
        <v>3.58</v>
      </c>
      <c r="N3294" s="5">
        <v>0.18194418776566251</v>
      </c>
      <c r="O3294" t="s">
        <v>629</v>
      </c>
      <c r="P3294" t="s">
        <v>340</v>
      </c>
      <c r="Q3294" s="10" t="s">
        <v>24</v>
      </c>
    </row>
    <row r="3295" spans="1:18" hidden="1" x14ac:dyDescent="0.25">
      <c r="A3295" s="9" t="s">
        <v>1636</v>
      </c>
      <c r="B3295" s="3" t="s">
        <v>1730</v>
      </c>
      <c r="C3295" s="10">
        <v>5</v>
      </c>
      <c r="D3295" s="10">
        <v>12</v>
      </c>
      <c r="E3295" s="10">
        <v>19</v>
      </c>
      <c r="F3295" t="s">
        <v>146</v>
      </c>
      <c r="G3295" t="s">
        <v>889</v>
      </c>
      <c r="H3295" t="s">
        <v>49</v>
      </c>
      <c r="I3295" t="s">
        <v>50</v>
      </c>
      <c r="J3295" s="4">
        <v>0.21</v>
      </c>
      <c r="K3295">
        <v>1</v>
      </c>
      <c r="L3295">
        <v>0.21</v>
      </c>
      <c r="M3295">
        <v>0.21</v>
      </c>
      <c r="N3295" s="5">
        <v>1.0672703751617075E-2</v>
      </c>
      <c r="O3295" t="s">
        <v>629</v>
      </c>
      <c r="P3295" t="s">
        <v>340</v>
      </c>
      <c r="Q3295" s="10" t="s">
        <v>24</v>
      </c>
    </row>
    <row r="3296" spans="1:18" hidden="1" x14ac:dyDescent="0.25">
      <c r="A3296" s="9" t="s">
        <v>1636</v>
      </c>
      <c r="B3296" s="3" t="s">
        <v>1722</v>
      </c>
      <c r="C3296" s="10">
        <v>6</v>
      </c>
      <c r="D3296" s="10">
        <v>12</v>
      </c>
      <c r="E3296" s="10">
        <v>19</v>
      </c>
      <c r="F3296" t="s">
        <v>1214</v>
      </c>
      <c r="G3296" t="s">
        <v>889</v>
      </c>
      <c r="H3296" t="s">
        <v>53</v>
      </c>
      <c r="I3296" t="s">
        <v>27</v>
      </c>
      <c r="J3296" s="4">
        <v>62.93</v>
      </c>
      <c r="K3296">
        <v>2</v>
      </c>
      <c r="L3296">
        <v>62.93</v>
      </c>
      <c r="M3296">
        <v>125.86</v>
      </c>
      <c r="N3296" s="5">
        <v>6.396507115135833</v>
      </c>
      <c r="O3296" t="s">
        <v>51</v>
      </c>
      <c r="P3296" t="s">
        <v>340</v>
      </c>
      <c r="Q3296" s="10" t="s">
        <v>24</v>
      </c>
    </row>
    <row r="3297" spans="1:18" hidden="1" x14ac:dyDescent="0.25">
      <c r="A3297" s="9" t="s">
        <v>1636</v>
      </c>
      <c r="B3297" s="3" t="s">
        <v>1722</v>
      </c>
      <c r="C3297" s="10">
        <v>6</v>
      </c>
      <c r="D3297" s="10">
        <v>12</v>
      </c>
      <c r="E3297" s="10">
        <v>19</v>
      </c>
      <c r="F3297" t="s">
        <v>962</v>
      </c>
      <c r="G3297" t="s">
        <v>889</v>
      </c>
      <c r="H3297" t="s">
        <v>49</v>
      </c>
      <c r="I3297" t="s">
        <v>50</v>
      </c>
      <c r="J3297" s="4">
        <v>84.89</v>
      </c>
      <c r="K3297">
        <v>2</v>
      </c>
      <c r="L3297">
        <v>84.89</v>
      </c>
      <c r="M3297">
        <v>169.78</v>
      </c>
      <c r="N3297" s="5">
        <v>8.6286268711883185</v>
      </c>
      <c r="O3297" t="s">
        <v>51</v>
      </c>
      <c r="P3297" t="s">
        <v>340</v>
      </c>
      <c r="Q3297" s="10" t="s">
        <v>24</v>
      </c>
      <c r="R3297" t="s">
        <v>1716</v>
      </c>
    </row>
    <row r="3298" spans="1:18" hidden="1" x14ac:dyDescent="0.25">
      <c r="A3298" s="9" t="s">
        <v>1636</v>
      </c>
      <c r="B3298" s="3" t="s">
        <v>1722</v>
      </c>
      <c r="C3298" s="10">
        <v>6</v>
      </c>
      <c r="D3298" s="10">
        <v>12</v>
      </c>
      <c r="E3298" s="10">
        <v>19</v>
      </c>
      <c r="F3298" t="s">
        <v>1383</v>
      </c>
      <c r="G3298" t="s">
        <v>889</v>
      </c>
      <c r="H3298" t="s">
        <v>53</v>
      </c>
      <c r="I3298" t="s">
        <v>27</v>
      </c>
      <c r="J3298" s="4">
        <v>18.989999999999998</v>
      </c>
      <c r="K3298">
        <v>12</v>
      </c>
      <c r="L3298">
        <v>18.989999999999998</v>
      </c>
      <c r="M3298">
        <v>227.88</v>
      </c>
      <c r="N3298" s="5">
        <v>11.581408242469042</v>
      </c>
      <c r="O3298" t="s">
        <v>51</v>
      </c>
      <c r="P3298" t="s">
        <v>340</v>
      </c>
      <c r="Q3298" s="10" t="s">
        <v>24</v>
      </c>
    </row>
    <row r="3299" spans="1:18" hidden="1" x14ac:dyDescent="0.25">
      <c r="A3299" s="9" t="s">
        <v>1636</v>
      </c>
      <c r="B3299" s="3" t="s">
        <v>1722</v>
      </c>
      <c r="C3299" s="10">
        <v>6</v>
      </c>
      <c r="D3299" s="10">
        <v>12</v>
      </c>
      <c r="E3299" s="10">
        <v>19</v>
      </c>
      <c r="F3299" t="s">
        <v>316</v>
      </c>
      <c r="G3299" t="s">
        <v>889</v>
      </c>
      <c r="H3299" t="s">
        <v>49</v>
      </c>
      <c r="I3299" t="s">
        <v>79</v>
      </c>
      <c r="J3299" s="4">
        <v>46.41</v>
      </c>
      <c r="K3299">
        <v>2</v>
      </c>
      <c r="L3299">
        <v>46.41</v>
      </c>
      <c r="M3299">
        <v>92.82</v>
      </c>
      <c r="N3299" s="5">
        <v>4.7173350582147471</v>
      </c>
      <c r="O3299" t="s">
        <v>51</v>
      </c>
      <c r="P3299" t="s">
        <v>340</v>
      </c>
      <c r="Q3299" s="10" t="s">
        <v>24</v>
      </c>
      <c r="R3299" t="s">
        <v>1717</v>
      </c>
    </row>
    <row r="3300" spans="1:18" hidden="1" x14ac:dyDescent="0.25">
      <c r="A3300" s="9" t="s">
        <v>1636</v>
      </c>
      <c r="B3300" s="3" t="s">
        <v>1722</v>
      </c>
      <c r="C3300" s="10">
        <v>6</v>
      </c>
      <c r="D3300" s="10">
        <v>12</v>
      </c>
      <c r="E3300" s="10">
        <v>19</v>
      </c>
      <c r="F3300" t="s">
        <v>1381</v>
      </c>
      <c r="G3300" t="s">
        <v>889</v>
      </c>
      <c r="H3300" t="s">
        <v>53</v>
      </c>
      <c r="I3300" t="s">
        <v>27</v>
      </c>
      <c r="J3300" s="4">
        <v>18.899999999999999</v>
      </c>
      <c r="K3300">
        <v>12</v>
      </c>
      <c r="L3300">
        <v>18.899999999999999</v>
      </c>
      <c r="M3300">
        <v>226.79999999999998</v>
      </c>
      <c r="N3300" s="5">
        <v>11.52652005174644</v>
      </c>
      <c r="O3300" t="s">
        <v>51</v>
      </c>
      <c r="P3300" t="s">
        <v>340</v>
      </c>
      <c r="Q3300" s="10" t="s">
        <v>24</v>
      </c>
    </row>
    <row r="3301" spans="1:18" hidden="1" x14ac:dyDescent="0.25">
      <c r="A3301" s="9" t="s">
        <v>1636</v>
      </c>
      <c r="B3301" s="3" t="s">
        <v>1722</v>
      </c>
      <c r="C3301" s="10">
        <v>6</v>
      </c>
      <c r="D3301" s="10">
        <v>12</v>
      </c>
      <c r="E3301" s="10">
        <v>19</v>
      </c>
      <c r="F3301" t="s">
        <v>404</v>
      </c>
      <c r="G3301" t="s">
        <v>889</v>
      </c>
      <c r="H3301" t="s">
        <v>54</v>
      </c>
      <c r="I3301" t="s">
        <v>27</v>
      </c>
      <c r="J3301" s="4">
        <v>110</v>
      </c>
      <c r="K3301">
        <v>0.5</v>
      </c>
      <c r="L3301">
        <v>110</v>
      </c>
      <c r="M3301">
        <v>55</v>
      </c>
      <c r="N3301" s="5">
        <v>2.7952319349473291</v>
      </c>
      <c r="O3301" t="s">
        <v>51</v>
      </c>
      <c r="P3301" t="s">
        <v>340</v>
      </c>
      <c r="Q3301" s="10" t="s">
        <v>24</v>
      </c>
    </row>
    <row r="3302" spans="1:18" hidden="1" x14ac:dyDescent="0.25">
      <c r="A3302" s="9" t="s">
        <v>1636</v>
      </c>
      <c r="B3302" s="3" t="s">
        <v>1722</v>
      </c>
      <c r="C3302" s="10">
        <v>6</v>
      </c>
      <c r="D3302" s="10">
        <v>12</v>
      </c>
      <c r="E3302" s="10">
        <v>19</v>
      </c>
      <c r="F3302" t="s">
        <v>93</v>
      </c>
      <c r="G3302" t="s">
        <v>889</v>
      </c>
      <c r="H3302" t="s">
        <v>69</v>
      </c>
      <c r="I3302" t="s">
        <v>27</v>
      </c>
      <c r="J3302" s="4">
        <v>309</v>
      </c>
      <c r="K3302">
        <v>0.79</v>
      </c>
      <c r="L3302">
        <v>309</v>
      </c>
      <c r="M3302">
        <v>244.11</v>
      </c>
      <c r="N3302" s="5">
        <v>12.406255775272591</v>
      </c>
      <c r="O3302" t="s">
        <v>51</v>
      </c>
      <c r="P3302" t="s">
        <v>340</v>
      </c>
      <c r="Q3302" s="10" t="s">
        <v>24</v>
      </c>
      <c r="R3302" t="s">
        <v>1718</v>
      </c>
    </row>
    <row r="3303" spans="1:18" hidden="1" x14ac:dyDescent="0.25">
      <c r="A3303" s="9" t="s">
        <v>1636</v>
      </c>
      <c r="B3303" s="3" t="s">
        <v>1722</v>
      </c>
      <c r="C3303" s="10">
        <v>6</v>
      </c>
      <c r="D3303" s="10">
        <v>12</v>
      </c>
      <c r="E3303" s="10">
        <v>19</v>
      </c>
      <c r="F3303" t="s">
        <v>776</v>
      </c>
      <c r="H3303" t="s">
        <v>56</v>
      </c>
      <c r="I3303" t="s">
        <v>27</v>
      </c>
      <c r="J3303" s="4">
        <v>26.9</v>
      </c>
      <c r="K3303">
        <v>0.53200000000000003</v>
      </c>
      <c r="L3303">
        <v>26.9</v>
      </c>
      <c r="M3303">
        <v>14.3108</v>
      </c>
      <c r="N3303" s="5">
        <v>0.72730918499353159</v>
      </c>
      <c r="O3303" t="s">
        <v>51</v>
      </c>
      <c r="P3303" t="s">
        <v>340</v>
      </c>
      <c r="Q3303" s="10" t="s">
        <v>24</v>
      </c>
    </row>
    <row r="3304" spans="1:18" hidden="1" x14ac:dyDescent="0.25">
      <c r="A3304" s="9" t="s">
        <v>1636</v>
      </c>
      <c r="B3304" s="3" t="s">
        <v>1722</v>
      </c>
      <c r="C3304" s="10">
        <v>6</v>
      </c>
      <c r="D3304" s="10">
        <v>12</v>
      </c>
      <c r="E3304" s="10">
        <v>19</v>
      </c>
      <c r="F3304" t="s">
        <v>2117</v>
      </c>
      <c r="G3304" t="s">
        <v>155</v>
      </c>
      <c r="H3304" t="s">
        <v>131</v>
      </c>
      <c r="I3304" t="s">
        <v>27</v>
      </c>
      <c r="J3304" s="4">
        <v>30.9</v>
      </c>
      <c r="K3304">
        <v>1</v>
      </c>
      <c r="L3304">
        <v>30.9</v>
      </c>
      <c r="M3304">
        <v>30.9</v>
      </c>
      <c r="N3304" s="5">
        <v>1.5704121234522266</v>
      </c>
      <c r="O3304" t="s">
        <v>51</v>
      </c>
      <c r="P3304" t="s">
        <v>340</v>
      </c>
      <c r="Q3304" s="10" t="s">
        <v>24</v>
      </c>
      <c r="R3304" t="s">
        <v>1719</v>
      </c>
    </row>
    <row r="3305" spans="1:18" hidden="1" x14ac:dyDescent="0.25">
      <c r="A3305" s="9" t="s">
        <v>1636</v>
      </c>
      <c r="B3305" s="3" t="s">
        <v>1722</v>
      </c>
      <c r="C3305" s="10">
        <v>6</v>
      </c>
      <c r="D3305" s="10">
        <v>12</v>
      </c>
      <c r="E3305" s="10">
        <v>19</v>
      </c>
      <c r="F3305" t="s">
        <v>208</v>
      </c>
      <c r="G3305" t="s">
        <v>889</v>
      </c>
      <c r="H3305" t="s">
        <v>56</v>
      </c>
      <c r="I3305" t="s">
        <v>27</v>
      </c>
      <c r="J3305" s="4">
        <v>125</v>
      </c>
      <c r="K3305">
        <v>0.14399999999999999</v>
      </c>
      <c r="L3305">
        <v>125</v>
      </c>
      <c r="M3305">
        <v>18</v>
      </c>
      <c r="N3305" s="5">
        <v>0.91480317871003503</v>
      </c>
      <c r="O3305" t="s">
        <v>51</v>
      </c>
      <c r="P3305" t="s">
        <v>340</v>
      </c>
      <c r="Q3305" s="10" t="s">
        <v>24</v>
      </c>
    </row>
    <row r="3306" spans="1:18" hidden="1" x14ac:dyDescent="0.25">
      <c r="A3306" s="9" t="s">
        <v>1636</v>
      </c>
      <c r="B3306" s="3" t="s">
        <v>1722</v>
      </c>
      <c r="C3306" s="10">
        <v>6</v>
      </c>
      <c r="D3306" s="10">
        <v>12</v>
      </c>
      <c r="E3306" s="10">
        <v>19</v>
      </c>
      <c r="F3306" t="s">
        <v>177</v>
      </c>
      <c r="G3306" t="s">
        <v>889</v>
      </c>
      <c r="H3306" t="s">
        <v>56</v>
      </c>
      <c r="I3306" t="s">
        <v>27</v>
      </c>
      <c r="J3306" s="4">
        <v>14.9</v>
      </c>
      <c r="K3306">
        <v>0.85599999999999998</v>
      </c>
      <c r="L3306">
        <v>14.9</v>
      </c>
      <c r="M3306">
        <v>12.7544</v>
      </c>
      <c r="N3306" s="5">
        <v>0.64820920347440392</v>
      </c>
      <c r="O3306" t="s">
        <v>51</v>
      </c>
      <c r="P3306" t="s">
        <v>340</v>
      </c>
      <c r="Q3306" s="10" t="s">
        <v>24</v>
      </c>
    </row>
    <row r="3307" spans="1:18" hidden="1" x14ac:dyDescent="0.25">
      <c r="A3307" s="9" t="s">
        <v>1636</v>
      </c>
      <c r="B3307" s="3" t="s">
        <v>1722</v>
      </c>
      <c r="C3307" s="10">
        <v>6</v>
      </c>
      <c r="D3307" s="10">
        <v>12</v>
      </c>
      <c r="E3307" s="10">
        <v>19</v>
      </c>
      <c r="F3307" t="s">
        <v>2072</v>
      </c>
      <c r="G3307" t="s">
        <v>328</v>
      </c>
      <c r="H3307" t="s">
        <v>49</v>
      </c>
      <c r="I3307" t="s">
        <v>50</v>
      </c>
      <c r="J3307" s="4">
        <v>13.9</v>
      </c>
      <c r="K3307">
        <v>2</v>
      </c>
      <c r="L3307">
        <v>13.9</v>
      </c>
      <c r="M3307">
        <v>27.8</v>
      </c>
      <c r="N3307" s="5">
        <v>1.4128626871188319</v>
      </c>
      <c r="O3307" t="s">
        <v>51</v>
      </c>
      <c r="P3307" t="s">
        <v>340</v>
      </c>
      <c r="Q3307" s="10" t="s">
        <v>24</v>
      </c>
    </row>
    <row r="3308" spans="1:18" hidden="1" x14ac:dyDescent="0.25">
      <c r="A3308" s="9" t="s">
        <v>1636</v>
      </c>
      <c r="B3308" s="3" t="s">
        <v>1722</v>
      </c>
      <c r="C3308" s="10">
        <v>6</v>
      </c>
      <c r="D3308" s="10">
        <v>12</v>
      </c>
      <c r="E3308" s="10">
        <v>19</v>
      </c>
      <c r="F3308" t="s">
        <v>1078</v>
      </c>
      <c r="G3308" t="s">
        <v>889</v>
      </c>
      <c r="H3308" t="s">
        <v>65</v>
      </c>
      <c r="I3308" t="s">
        <v>27</v>
      </c>
      <c r="J3308" s="4">
        <v>49.99</v>
      </c>
      <c r="K3308">
        <v>1</v>
      </c>
      <c r="L3308">
        <v>49.99</v>
      </c>
      <c r="M3308">
        <v>49.99</v>
      </c>
      <c r="N3308" s="5">
        <v>2.5406117168730362</v>
      </c>
      <c r="O3308" t="s">
        <v>51</v>
      </c>
      <c r="P3308" t="s">
        <v>340</v>
      </c>
      <c r="Q3308" s="10" t="s">
        <v>24</v>
      </c>
    </row>
    <row r="3309" spans="1:18" hidden="1" x14ac:dyDescent="0.25">
      <c r="A3309" s="9" t="s">
        <v>1636</v>
      </c>
      <c r="B3309" s="3" t="s">
        <v>1722</v>
      </c>
      <c r="C3309" s="10">
        <v>6</v>
      </c>
      <c r="D3309" s="10">
        <v>12</v>
      </c>
      <c r="E3309" s="10">
        <v>19</v>
      </c>
      <c r="F3309" t="s">
        <v>2346</v>
      </c>
      <c r="G3309" t="s">
        <v>889</v>
      </c>
      <c r="H3309" t="s">
        <v>49</v>
      </c>
      <c r="I3309" t="s">
        <v>50</v>
      </c>
      <c r="J3309" s="4">
        <v>54.9</v>
      </c>
      <c r="K3309">
        <v>1</v>
      </c>
      <c r="L3309">
        <v>54.9</v>
      </c>
      <c r="M3309">
        <v>54.9</v>
      </c>
      <c r="N3309" s="5">
        <v>2.7901496950656064</v>
      </c>
      <c r="O3309" t="s">
        <v>51</v>
      </c>
      <c r="P3309" t="s">
        <v>340</v>
      </c>
      <c r="Q3309" s="10" t="s">
        <v>24</v>
      </c>
    </row>
    <row r="3310" spans="1:18" hidden="1" x14ac:dyDescent="0.25">
      <c r="A3310" s="9" t="s">
        <v>1636</v>
      </c>
      <c r="B3310" s="3" t="s">
        <v>1722</v>
      </c>
      <c r="C3310" s="10">
        <v>6</v>
      </c>
      <c r="D3310" s="10">
        <v>12</v>
      </c>
      <c r="E3310" s="10">
        <v>19</v>
      </c>
      <c r="F3310" t="s">
        <v>55</v>
      </c>
      <c r="G3310" t="s">
        <v>889</v>
      </c>
      <c r="H3310" t="s">
        <v>56</v>
      </c>
      <c r="I3310" t="s">
        <v>27</v>
      </c>
      <c r="J3310" s="4">
        <v>22.49</v>
      </c>
      <c r="K3310">
        <v>0.8</v>
      </c>
      <c r="L3310">
        <v>22.49</v>
      </c>
      <c r="M3310">
        <v>17.992000000000001</v>
      </c>
      <c r="N3310" s="5">
        <v>0.91439659951949726</v>
      </c>
      <c r="O3310" t="s">
        <v>51</v>
      </c>
      <c r="P3310" t="s">
        <v>340</v>
      </c>
      <c r="Q3310" s="10" t="s">
        <v>24</v>
      </c>
    </row>
    <row r="3311" spans="1:18" hidden="1" x14ac:dyDescent="0.25">
      <c r="A3311" s="9" t="s">
        <v>1636</v>
      </c>
      <c r="B3311" s="3" t="s">
        <v>1722</v>
      </c>
      <c r="C3311" s="10">
        <v>6</v>
      </c>
      <c r="D3311" s="10">
        <v>12</v>
      </c>
      <c r="E3311" s="10">
        <v>19</v>
      </c>
      <c r="F3311" t="s">
        <v>2348</v>
      </c>
      <c r="G3311" t="s">
        <v>889</v>
      </c>
      <c r="H3311" t="s">
        <v>49</v>
      </c>
      <c r="I3311" t="s">
        <v>50</v>
      </c>
      <c r="J3311" s="4">
        <v>29</v>
      </c>
      <c r="K3311">
        <v>1</v>
      </c>
      <c r="L3311">
        <v>29</v>
      </c>
      <c r="M3311">
        <v>29</v>
      </c>
      <c r="N3311" s="5">
        <v>1.4738495656995008</v>
      </c>
      <c r="O3311" t="s">
        <v>51</v>
      </c>
      <c r="P3311" t="s">
        <v>340</v>
      </c>
      <c r="Q3311" s="10" t="s">
        <v>24</v>
      </c>
    </row>
    <row r="3312" spans="1:18" hidden="1" x14ac:dyDescent="0.25">
      <c r="A3312" s="9" t="s">
        <v>1636</v>
      </c>
      <c r="B3312" s="3" t="s">
        <v>1722</v>
      </c>
      <c r="C3312" s="10">
        <v>6</v>
      </c>
      <c r="D3312" s="10">
        <v>12</v>
      </c>
      <c r="E3312" s="10">
        <v>19</v>
      </c>
      <c r="F3312" t="s">
        <v>155</v>
      </c>
      <c r="G3312" t="s">
        <v>155</v>
      </c>
      <c r="H3312" t="s">
        <v>131</v>
      </c>
      <c r="I3312" t="s">
        <v>27</v>
      </c>
      <c r="J3312" s="4">
        <v>8.9</v>
      </c>
      <c r="K3312">
        <v>1</v>
      </c>
      <c r="L3312">
        <v>8.9</v>
      </c>
      <c r="M3312">
        <v>8.9</v>
      </c>
      <c r="N3312" s="5">
        <v>0.45231934947329511</v>
      </c>
      <c r="O3312" t="s">
        <v>51</v>
      </c>
      <c r="P3312" t="s">
        <v>340</v>
      </c>
      <c r="Q3312" s="10" t="s">
        <v>24</v>
      </c>
      <c r="R3312" t="s">
        <v>1720</v>
      </c>
    </row>
    <row r="3313" spans="1:18" hidden="1" x14ac:dyDescent="0.25">
      <c r="A3313" s="9" t="s">
        <v>1636</v>
      </c>
      <c r="B3313" s="3" t="s">
        <v>1722</v>
      </c>
      <c r="C3313" s="10">
        <v>6</v>
      </c>
      <c r="D3313" s="10">
        <v>12</v>
      </c>
      <c r="E3313" s="10">
        <v>19</v>
      </c>
      <c r="F3313" t="s">
        <v>1721</v>
      </c>
      <c r="G3313" t="s">
        <v>889</v>
      </c>
      <c r="H3313" t="s">
        <v>39</v>
      </c>
      <c r="I3313" t="s">
        <v>27</v>
      </c>
      <c r="J3313" s="4">
        <v>62.95</v>
      </c>
      <c r="K3313">
        <v>0.2</v>
      </c>
      <c r="L3313">
        <v>62.95</v>
      </c>
      <c r="M3313">
        <v>12.590000000000002</v>
      </c>
      <c r="N3313" s="5">
        <v>0.63985400110885238</v>
      </c>
      <c r="O3313" t="s">
        <v>51</v>
      </c>
      <c r="P3313" t="s">
        <v>340</v>
      </c>
      <c r="Q3313" s="10" t="s">
        <v>24</v>
      </c>
      <c r="R3313" t="s">
        <v>1725</v>
      </c>
    </row>
    <row r="3314" spans="1:18" hidden="1" x14ac:dyDescent="0.25">
      <c r="A3314" s="9" t="s">
        <v>1636</v>
      </c>
      <c r="B3314" s="3" t="s">
        <v>1722</v>
      </c>
      <c r="C3314" s="10">
        <v>6</v>
      </c>
      <c r="D3314" s="10">
        <v>12</v>
      </c>
      <c r="E3314" s="10">
        <v>19</v>
      </c>
      <c r="F3314" t="s">
        <v>2339</v>
      </c>
      <c r="G3314" t="s">
        <v>889</v>
      </c>
      <c r="H3314" t="s">
        <v>65</v>
      </c>
      <c r="I3314" t="s">
        <v>27</v>
      </c>
      <c r="J3314" s="4">
        <v>34.67</v>
      </c>
      <c r="K3314">
        <v>2</v>
      </c>
      <c r="L3314">
        <v>34.67</v>
      </c>
      <c r="M3314">
        <v>69.34</v>
      </c>
      <c r="N3314" s="5">
        <v>3.5240251339863238</v>
      </c>
      <c r="O3314" t="s">
        <v>51</v>
      </c>
      <c r="P3314" t="s">
        <v>340</v>
      </c>
      <c r="Q3314" s="10" t="s">
        <v>24</v>
      </c>
    </row>
    <row r="3315" spans="1:18" hidden="1" x14ac:dyDescent="0.25">
      <c r="A3315" s="9" t="s">
        <v>1636</v>
      </c>
      <c r="B3315" s="3" t="s">
        <v>1722</v>
      </c>
      <c r="C3315" s="10">
        <v>6</v>
      </c>
      <c r="D3315" s="10">
        <v>12</v>
      </c>
      <c r="E3315" s="10">
        <v>19</v>
      </c>
      <c r="F3315" t="s">
        <v>73</v>
      </c>
      <c r="G3315" t="s">
        <v>889</v>
      </c>
      <c r="H3315" t="s">
        <v>73</v>
      </c>
      <c r="I3315" t="s">
        <v>27</v>
      </c>
      <c r="J3315" s="4">
        <v>33.479999999999997</v>
      </c>
      <c r="K3315">
        <v>1</v>
      </c>
      <c r="L3315">
        <v>33.479999999999997</v>
      </c>
      <c r="M3315">
        <v>33.479999999999997</v>
      </c>
      <c r="N3315" s="5">
        <v>1.701533912400665</v>
      </c>
      <c r="O3315" t="s">
        <v>51</v>
      </c>
      <c r="P3315" t="s">
        <v>340</v>
      </c>
      <c r="Q3315" s="10" t="s">
        <v>24</v>
      </c>
    </row>
    <row r="3316" spans="1:18" hidden="1" x14ac:dyDescent="0.25">
      <c r="A3316" s="9" t="s">
        <v>1636</v>
      </c>
      <c r="B3316" s="3" t="s">
        <v>1722</v>
      </c>
      <c r="C3316" s="10">
        <v>6</v>
      </c>
      <c r="D3316" s="10">
        <v>12</v>
      </c>
      <c r="E3316" s="10">
        <v>19</v>
      </c>
      <c r="F3316" t="s">
        <v>1078</v>
      </c>
      <c r="G3316" t="s">
        <v>889</v>
      </c>
      <c r="H3316" t="s">
        <v>65</v>
      </c>
      <c r="I3316" t="s">
        <v>27</v>
      </c>
      <c r="J3316" s="4">
        <v>74.900000000000006</v>
      </c>
      <c r="K3316">
        <v>1</v>
      </c>
      <c r="L3316">
        <v>74.900000000000006</v>
      </c>
      <c r="M3316">
        <v>74.900000000000006</v>
      </c>
      <c r="N3316" s="5">
        <v>3.8065976714100902</v>
      </c>
      <c r="O3316" t="s">
        <v>51</v>
      </c>
      <c r="P3316" t="s">
        <v>340</v>
      </c>
      <c r="Q3316" s="10" t="s">
        <v>24</v>
      </c>
    </row>
    <row r="3317" spans="1:18" hidden="1" x14ac:dyDescent="0.25">
      <c r="A3317" s="9" t="s">
        <v>1636</v>
      </c>
      <c r="B3317" s="3" t="s">
        <v>1722</v>
      </c>
      <c r="C3317" s="10">
        <v>6</v>
      </c>
      <c r="D3317" s="10">
        <v>12</v>
      </c>
      <c r="E3317" s="10">
        <v>19</v>
      </c>
      <c r="F3317" t="s">
        <v>2342</v>
      </c>
      <c r="G3317" t="s">
        <v>889</v>
      </c>
      <c r="H3317" t="s">
        <v>59</v>
      </c>
      <c r="I3317" t="s">
        <v>27</v>
      </c>
      <c r="J3317" s="4">
        <v>159</v>
      </c>
      <c r="K3317">
        <v>1</v>
      </c>
      <c r="L3317">
        <v>159</v>
      </c>
      <c r="M3317">
        <v>159</v>
      </c>
      <c r="N3317" s="5">
        <v>8.0807614119386422</v>
      </c>
      <c r="O3317" t="s">
        <v>51</v>
      </c>
      <c r="P3317" t="s">
        <v>340</v>
      </c>
      <c r="Q3317" s="10" t="s">
        <v>24</v>
      </c>
    </row>
    <row r="3318" spans="1:18" hidden="1" x14ac:dyDescent="0.25">
      <c r="A3318" s="9" t="s">
        <v>1636</v>
      </c>
      <c r="B3318" s="3" t="s">
        <v>1722</v>
      </c>
      <c r="C3318" s="10">
        <v>6</v>
      </c>
      <c r="D3318" s="10">
        <v>12</v>
      </c>
      <c r="E3318" s="10">
        <v>19</v>
      </c>
      <c r="F3318" t="s">
        <v>2341</v>
      </c>
      <c r="G3318" t="s">
        <v>58</v>
      </c>
      <c r="H3318" t="s">
        <v>59</v>
      </c>
      <c r="I3318" t="s">
        <v>27</v>
      </c>
      <c r="J3318" s="4">
        <v>89.9</v>
      </c>
      <c r="K3318">
        <v>2</v>
      </c>
      <c r="L3318">
        <v>89.9</v>
      </c>
      <c r="M3318">
        <v>179.8</v>
      </c>
      <c r="N3318" s="5">
        <v>9.1378673073369061</v>
      </c>
      <c r="O3318" t="s">
        <v>51</v>
      </c>
      <c r="P3318" t="s">
        <v>340</v>
      </c>
      <c r="Q3318" s="10" t="s">
        <v>24</v>
      </c>
    </row>
    <row r="3319" spans="1:18" hidden="1" x14ac:dyDescent="0.25">
      <c r="A3319" s="9" t="s">
        <v>1636</v>
      </c>
      <c r="B3319" s="3" t="s">
        <v>1722</v>
      </c>
      <c r="C3319" s="10">
        <v>6</v>
      </c>
      <c r="D3319" s="10">
        <v>12</v>
      </c>
      <c r="E3319" s="10">
        <v>19</v>
      </c>
      <c r="F3319" t="s">
        <v>1630</v>
      </c>
      <c r="G3319" t="s">
        <v>889</v>
      </c>
      <c r="H3319" t="s">
        <v>53</v>
      </c>
      <c r="I3319" t="s">
        <v>27</v>
      </c>
      <c r="J3319" s="4">
        <v>15.49</v>
      </c>
      <c r="K3319">
        <v>6</v>
      </c>
      <c r="L3319">
        <v>15.49</v>
      </c>
      <c r="M3319">
        <v>92.94</v>
      </c>
      <c r="N3319" s="5">
        <v>4.7234337460728142</v>
      </c>
      <c r="O3319" t="s">
        <v>51</v>
      </c>
      <c r="P3319" t="s">
        <v>340</v>
      </c>
      <c r="Q3319" s="10" t="s">
        <v>24</v>
      </c>
    </row>
    <row r="3320" spans="1:18" hidden="1" x14ac:dyDescent="0.25">
      <c r="A3320" s="9" t="s">
        <v>1636</v>
      </c>
      <c r="B3320" s="3" t="s">
        <v>1722</v>
      </c>
      <c r="C3320" s="10">
        <v>6</v>
      </c>
      <c r="D3320" s="10">
        <v>12</v>
      </c>
      <c r="E3320" s="10">
        <v>19</v>
      </c>
      <c r="F3320" t="s">
        <v>165</v>
      </c>
      <c r="G3320" t="s">
        <v>304</v>
      </c>
      <c r="H3320" t="s">
        <v>1593</v>
      </c>
      <c r="I3320" t="s">
        <v>79</v>
      </c>
      <c r="J3320" s="4">
        <v>104.9</v>
      </c>
      <c r="K3320">
        <v>1</v>
      </c>
      <c r="L3320">
        <v>104.9</v>
      </c>
      <c r="M3320">
        <v>104.9</v>
      </c>
      <c r="N3320" s="5">
        <v>5.331269635926815</v>
      </c>
      <c r="O3320" t="s">
        <v>51</v>
      </c>
      <c r="P3320" t="s">
        <v>340</v>
      </c>
      <c r="Q3320" s="10" t="s">
        <v>24</v>
      </c>
    </row>
    <row r="3321" spans="1:18" hidden="1" x14ac:dyDescent="0.25">
      <c r="A3321" s="9" t="s">
        <v>1636</v>
      </c>
      <c r="B3321" s="3" t="s">
        <v>1722</v>
      </c>
      <c r="C3321" s="10">
        <v>6</v>
      </c>
      <c r="D3321" s="10">
        <v>12</v>
      </c>
      <c r="E3321" s="10">
        <v>19</v>
      </c>
      <c r="F3321" t="s">
        <v>1611</v>
      </c>
      <c r="G3321" t="s">
        <v>889</v>
      </c>
      <c r="H3321" t="s">
        <v>59</v>
      </c>
      <c r="I3321" t="s">
        <v>27</v>
      </c>
      <c r="J3321" s="4">
        <v>149</v>
      </c>
      <c r="K3321">
        <v>1</v>
      </c>
      <c r="L3321">
        <v>149</v>
      </c>
      <c r="M3321">
        <v>149</v>
      </c>
      <c r="N3321" s="5">
        <v>7.5725374237664003</v>
      </c>
      <c r="O3321" t="s">
        <v>51</v>
      </c>
      <c r="P3321" t="s">
        <v>340</v>
      </c>
      <c r="Q3321" s="10" t="s">
        <v>24</v>
      </c>
    </row>
    <row r="3322" spans="1:18" hidden="1" x14ac:dyDescent="0.25">
      <c r="A3322" s="9" t="s">
        <v>1636</v>
      </c>
      <c r="B3322" s="3" t="s">
        <v>1722</v>
      </c>
      <c r="C3322" s="10">
        <v>6</v>
      </c>
      <c r="D3322" s="10">
        <v>12</v>
      </c>
      <c r="E3322" s="10">
        <v>19</v>
      </c>
      <c r="F3322" t="s">
        <v>1458</v>
      </c>
      <c r="G3322" t="s">
        <v>889</v>
      </c>
      <c r="H3322" t="s">
        <v>59</v>
      </c>
      <c r="I3322" t="s">
        <v>27</v>
      </c>
      <c r="J3322" s="4">
        <v>219</v>
      </c>
      <c r="K3322">
        <v>1</v>
      </c>
      <c r="L3322">
        <v>219</v>
      </c>
      <c r="M3322">
        <v>219</v>
      </c>
      <c r="N3322" s="5">
        <v>11.130105340972092</v>
      </c>
      <c r="O3322" t="s">
        <v>51</v>
      </c>
      <c r="P3322" t="s">
        <v>340</v>
      </c>
      <c r="Q3322" s="10" t="s">
        <v>24</v>
      </c>
    </row>
    <row r="3323" spans="1:18" hidden="1" x14ac:dyDescent="0.25">
      <c r="A3323" s="9" t="s">
        <v>1636</v>
      </c>
      <c r="B3323" s="3" t="s">
        <v>1722</v>
      </c>
      <c r="C3323" s="10">
        <v>6</v>
      </c>
      <c r="D3323" s="10">
        <v>12</v>
      </c>
      <c r="E3323" s="10">
        <v>19</v>
      </c>
      <c r="F3323" t="s">
        <v>1005</v>
      </c>
      <c r="G3323" t="s">
        <v>889</v>
      </c>
      <c r="H3323" t="s">
        <v>49</v>
      </c>
      <c r="I3323" t="s">
        <v>50</v>
      </c>
      <c r="J3323" s="4">
        <v>40.85</v>
      </c>
      <c r="K3323">
        <v>1</v>
      </c>
      <c r="L3323">
        <v>40.85</v>
      </c>
      <c r="M3323">
        <v>40.85</v>
      </c>
      <c r="N3323" s="5">
        <v>2.0760949916836071</v>
      </c>
      <c r="O3323" t="s">
        <v>51</v>
      </c>
      <c r="P3323" t="s">
        <v>340</v>
      </c>
      <c r="Q3323" s="10" t="s">
        <v>24</v>
      </c>
    </row>
    <row r="3324" spans="1:18" hidden="1" x14ac:dyDescent="0.25">
      <c r="A3324" s="9" t="s">
        <v>1636</v>
      </c>
      <c r="B3324" s="3" t="s">
        <v>1722</v>
      </c>
      <c r="C3324" s="10">
        <v>6</v>
      </c>
      <c r="D3324" s="10">
        <v>12</v>
      </c>
      <c r="E3324" s="10">
        <v>19</v>
      </c>
      <c r="F3324" t="s">
        <v>2344</v>
      </c>
      <c r="G3324" t="s">
        <v>889</v>
      </c>
      <c r="H3324" t="s">
        <v>59</v>
      </c>
      <c r="I3324" t="s">
        <v>27</v>
      </c>
      <c r="J3324" s="4">
        <v>21.5</v>
      </c>
      <c r="K3324">
        <v>6</v>
      </c>
      <c r="L3324">
        <v>21.5</v>
      </c>
      <c r="M3324">
        <v>129</v>
      </c>
      <c r="N3324" s="5">
        <v>6.5560894474219173</v>
      </c>
      <c r="O3324" t="s">
        <v>51</v>
      </c>
      <c r="P3324" t="s">
        <v>340</v>
      </c>
      <c r="Q3324" s="10" t="s">
        <v>24</v>
      </c>
    </row>
    <row r="3325" spans="1:18" hidden="1" x14ac:dyDescent="0.25">
      <c r="A3325" s="9" t="s">
        <v>1636</v>
      </c>
      <c r="B3325" s="3" t="s">
        <v>1722</v>
      </c>
      <c r="C3325" s="10">
        <v>6</v>
      </c>
      <c r="D3325" s="10">
        <v>12</v>
      </c>
      <c r="E3325" s="10">
        <v>19</v>
      </c>
      <c r="F3325" t="s">
        <v>141</v>
      </c>
      <c r="G3325" t="s">
        <v>889</v>
      </c>
      <c r="H3325" t="s">
        <v>172</v>
      </c>
      <c r="I3325" t="s">
        <v>39</v>
      </c>
      <c r="J3325" s="4">
        <v>2</v>
      </c>
      <c r="K3325">
        <v>4</v>
      </c>
      <c r="L3325">
        <v>2</v>
      </c>
      <c r="M3325">
        <v>8</v>
      </c>
      <c r="N3325" s="5">
        <v>0.40657919053779334</v>
      </c>
      <c r="O3325" t="s">
        <v>39</v>
      </c>
      <c r="P3325" t="s">
        <v>340</v>
      </c>
      <c r="Q3325" s="10" t="s">
        <v>24</v>
      </c>
    </row>
    <row r="3326" spans="1:18" hidden="1" x14ac:dyDescent="0.25">
      <c r="A3326" s="9" t="s">
        <v>1636</v>
      </c>
      <c r="B3326" s="3" t="s">
        <v>1722</v>
      </c>
      <c r="C3326" s="10">
        <v>6</v>
      </c>
      <c r="D3326" s="10">
        <v>12</v>
      </c>
      <c r="E3326" s="10">
        <v>19</v>
      </c>
      <c r="F3326" t="s">
        <v>398</v>
      </c>
      <c r="G3326" t="s">
        <v>889</v>
      </c>
      <c r="H3326" t="s">
        <v>40</v>
      </c>
      <c r="I3326" t="s">
        <v>27</v>
      </c>
      <c r="J3326" s="4">
        <v>14.6</v>
      </c>
      <c r="K3326">
        <v>1</v>
      </c>
      <c r="L3326">
        <v>14.6</v>
      </c>
      <c r="M3326">
        <v>14.6</v>
      </c>
      <c r="N3326" s="5">
        <v>0.74200702273147279</v>
      </c>
      <c r="O3326" t="s">
        <v>100</v>
      </c>
      <c r="P3326" t="s">
        <v>340</v>
      </c>
      <c r="Q3326" s="10" t="s">
        <v>24</v>
      </c>
    </row>
    <row r="3327" spans="1:18" hidden="1" x14ac:dyDescent="0.25">
      <c r="A3327" s="9" t="s">
        <v>1636</v>
      </c>
      <c r="B3327" s="3" t="s">
        <v>1722</v>
      </c>
      <c r="C3327" s="10">
        <v>6</v>
      </c>
      <c r="D3327" s="10">
        <v>12</v>
      </c>
      <c r="E3327" s="10">
        <v>19</v>
      </c>
      <c r="F3327" t="s">
        <v>1464</v>
      </c>
      <c r="G3327" t="s">
        <v>889</v>
      </c>
      <c r="H3327" t="s">
        <v>131</v>
      </c>
      <c r="I3327" t="s">
        <v>27</v>
      </c>
      <c r="J3327" s="4">
        <v>49.9</v>
      </c>
      <c r="K3327">
        <v>1</v>
      </c>
      <c r="L3327">
        <v>49.9</v>
      </c>
      <c r="M3327">
        <v>49.9</v>
      </c>
      <c r="N3327" s="5">
        <v>2.5360377009794859</v>
      </c>
      <c r="O3327" t="s">
        <v>100</v>
      </c>
      <c r="P3327" t="s">
        <v>340</v>
      </c>
      <c r="Q3327" s="10" t="s">
        <v>24</v>
      </c>
    </row>
    <row r="3328" spans="1:18" hidden="1" x14ac:dyDescent="0.25">
      <c r="A3328" s="9" t="s">
        <v>1636</v>
      </c>
      <c r="B3328" s="3" t="s">
        <v>1722</v>
      </c>
      <c r="C3328" s="10">
        <v>6</v>
      </c>
      <c r="D3328" s="10">
        <v>12</v>
      </c>
      <c r="E3328" s="10">
        <v>19</v>
      </c>
      <c r="F3328" t="s">
        <v>974</v>
      </c>
      <c r="G3328" t="s">
        <v>25</v>
      </c>
      <c r="H3328" t="s">
        <v>26</v>
      </c>
      <c r="I3328" t="s">
        <v>27</v>
      </c>
      <c r="J3328" s="4">
        <v>211.6</v>
      </c>
      <c r="K3328">
        <v>0.40799999999999997</v>
      </c>
      <c r="L3328">
        <v>211.6</v>
      </c>
      <c r="M3328">
        <v>86.332799999999992</v>
      </c>
      <c r="N3328" s="5">
        <v>4.3876399926076504</v>
      </c>
      <c r="O3328" t="s">
        <v>100</v>
      </c>
      <c r="P3328" t="s">
        <v>340</v>
      </c>
      <c r="Q3328" s="10" t="s">
        <v>24</v>
      </c>
    </row>
    <row r="3329" spans="1:18" hidden="1" x14ac:dyDescent="0.25">
      <c r="A3329" s="9" t="s">
        <v>1636</v>
      </c>
      <c r="B3329" s="3" t="s">
        <v>1722</v>
      </c>
      <c r="C3329" s="10">
        <v>6</v>
      </c>
      <c r="D3329" s="10">
        <v>12</v>
      </c>
      <c r="E3329" s="10">
        <v>19</v>
      </c>
      <c r="F3329" t="s">
        <v>1624</v>
      </c>
      <c r="G3329" t="s">
        <v>889</v>
      </c>
      <c r="H3329" t="s">
        <v>131</v>
      </c>
      <c r="I3329" t="s">
        <v>27</v>
      </c>
      <c r="J3329" s="4">
        <v>64</v>
      </c>
      <c r="K3329">
        <v>1</v>
      </c>
      <c r="L3329">
        <v>64</v>
      </c>
      <c r="M3329">
        <v>64</v>
      </c>
      <c r="N3329" s="5">
        <v>3.2526335243023468</v>
      </c>
      <c r="O3329" t="s">
        <v>100</v>
      </c>
      <c r="P3329" t="s">
        <v>340</v>
      </c>
      <c r="Q3329" s="10" t="s">
        <v>24</v>
      </c>
    </row>
    <row r="3330" spans="1:18" hidden="1" x14ac:dyDescent="0.25">
      <c r="A3330" s="9" t="s">
        <v>1636</v>
      </c>
      <c r="B3330" s="3" t="s">
        <v>1722</v>
      </c>
      <c r="C3330" s="10">
        <v>6</v>
      </c>
      <c r="D3330" s="10">
        <v>12</v>
      </c>
      <c r="E3330" s="10">
        <v>19</v>
      </c>
      <c r="F3330" t="s">
        <v>1399</v>
      </c>
      <c r="G3330" t="s">
        <v>889</v>
      </c>
      <c r="H3330" t="s">
        <v>35</v>
      </c>
      <c r="I3330" t="s">
        <v>27</v>
      </c>
      <c r="J3330" s="4">
        <v>41.6</v>
      </c>
      <c r="K3330">
        <v>1</v>
      </c>
      <c r="L3330">
        <v>41.6</v>
      </c>
      <c r="M3330">
        <v>41.6</v>
      </c>
      <c r="N3330" s="5">
        <v>2.1142117907965252</v>
      </c>
      <c r="O3330" t="s">
        <v>100</v>
      </c>
      <c r="P3330" t="s">
        <v>340</v>
      </c>
      <c r="Q3330" s="10" t="s">
        <v>24</v>
      </c>
    </row>
    <row r="3331" spans="1:18" hidden="1" x14ac:dyDescent="0.25">
      <c r="A3331" s="9" t="s">
        <v>1636</v>
      </c>
      <c r="B3331" s="3" t="s">
        <v>1722</v>
      </c>
      <c r="C3331" s="10">
        <v>6</v>
      </c>
      <c r="D3331" s="10">
        <v>12</v>
      </c>
      <c r="E3331" s="10">
        <v>19</v>
      </c>
      <c r="F3331" t="s">
        <v>1171</v>
      </c>
      <c r="G3331" t="s">
        <v>889</v>
      </c>
      <c r="H3331" t="s">
        <v>35</v>
      </c>
      <c r="I3331" t="s">
        <v>27</v>
      </c>
      <c r="J3331" s="4">
        <v>336.6</v>
      </c>
      <c r="K3331">
        <v>0.16600000000000001</v>
      </c>
      <c r="L3331">
        <v>336.6</v>
      </c>
      <c r="M3331">
        <v>55.875600000000006</v>
      </c>
      <c r="N3331" s="5">
        <v>2.8397320273516908</v>
      </c>
      <c r="O3331" t="s">
        <v>100</v>
      </c>
      <c r="P3331" t="s">
        <v>340</v>
      </c>
      <c r="Q3331" s="10" t="s">
        <v>24</v>
      </c>
    </row>
    <row r="3332" spans="1:18" hidden="1" x14ac:dyDescent="0.25">
      <c r="A3332" s="9" t="s">
        <v>1636</v>
      </c>
      <c r="B3332" s="3" t="s">
        <v>1706</v>
      </c>
      <c r="C3332" s="10">
        <v>7</v>
      </c>
      <c r="D3332" s="10">
        <v>12</v>
      </c>
      <c r="E3332" s="10">
        <v>19</v>
      </c>
      <c r="F3332" t="s">
        <v>1704</v>
      </c>
      <c r="G3332" t="s">
        <v>889</v>
      </c>
      <c r="H3332" t="s">
        <v>1593</v>
      </c>
      <c r="I3332" t="s">
        <v>79</v>
      </c>
      <c r="J3332" s="4">
        <v>250</v>
      </c>
      <c r="K3332">
        <v>1</v>
      </c>
      <c r="L3332">
        <v>250</v>
      </c>
      <c r="M3332">
        <v>250</v>
      </c>
      <c r="N3332" s="5">
        <v>12.70559970430604</v>
      </c>
      <c r="O3332" t="s">
        <v>39</v>
      </c>
      <c r="P3332" t="s">
        <v>340</v>
      </c>
      <c r="Q3332" s="10" t="s">
        <v>24</v>
      </c>
      <c r="R3332" t="s">
        <v>1704</v>
      </c>
    </row>
    <row r="3333" spans="1:18" hidden="1" x14ac:dyDescent="0.25">
      <c r="A3333" s="9" t="s">
        <v>1636</v>
      </c>
      <c r="B3333" s="3" t="s">
        <v>1706</v>
      </c>
      <c r="C3333" s="10">
        <v>7</v>
      </c>
      <c r="D3333" s="10">
        <v>12</v>
      </c>
      <c r="E3333" s="10">
        <v>19</v>
      </c>
      <c r="F3333" t="s">
        <v>465</v>
      </c>
      <c r="G3333" t="s">
        <v>889</v>
      </c>
      <c r="H3333" t="s">
        <v>35</v>
      </c>
      <c r="I3333" t="s">
        <v>27</v>
      </c>
      <c r="J3333" s="4">
        <v>103.75</v>
      </c>
      <c r="K3333">
        <v>0.55800000000000005</v>
      </c>
      <c r="L3333">
        <v>103.75</v>
      </c>
      <c r="M3333">
        <v>57.892500000000005</v>
      </c>
      <c r="N3333" s="5">
        <v>2.9422357235261503</v>
      </c>
      <c r="O3333" t="s">
        <v>100</v>
      </c>
      <c r="P3333" t="s">
        <v>340</v>
      </c>
      <c r="Q3333" s="10" t="s">
        <v>24</v>
      </c>
    </row>
    <row r="3334" spans="1:18" hidden="1" x14ac:dyDescent="0.25">
      <c r="A3334" s="9" t="s">
        <v>1636</v>
      </c>
      <c r="B3334" s="3" t="s">
        <v>1707</v>
      </c>
      <c r="C3334" s="10">
        <v>8</v>
      </c>
      <c r="D3334" s="10">
        <v>12</v>
      </c>
      <c r="E3334" s="10">
        <v>19</v>
      </c>
      <c r="F3334" t="s">
        <v>184</v>
      </c>
      <c r="G3334" t="s">
        <v>304</v>
      </c>
      <c r="H3334" t="s">
        <v>184</v>
      </c>
      <c r="I3334" t="s">
        <v>79</v>
      </c>
      <c r="J3334" s="4">
        <v>30</v>
      </c>
      <c r="K3334">
        <v>1</v>
      </c>
      <c r="L3334">
        <v>30</v>
      </c>
      <c r="M3334">
        <v>30</v>
      </c>
      <c r="N3334" s="5">
        <v>1.524671964516725</v>
      </c>
      <c r="O3334" t="s">
        <v>1708</v>
      </c>
      <c r="P3334" t="s">
        <v>340</v>
      </c>
      <c r="Q3334" s="10" t="s">
        <v>24</v>
      </c>
      <c r="R3334" t="s">
        <v>1705</v>
      </c>
    </row>
    <row r="3335" spans="1:18" hidden="1" x14ac:dyDescent="0.25">
      <c r="A3335" s="9" t="s">
        <v>1636</v>
      </c>
      <c r="B3335" s="3" t="s">
        <v>1707</v>
      </c>
      <c r="C3335" s="10">
        <v>8</v>
      </c>
      <c r="D3335" s="10">
        <v>12</v>
      </c>
      <c r="E3335" s="10">
        <v>19</v>
      </c>
      <c r="F3335" t="s">
        <v>1710</v>
      </c>
      <c r="G3335" t="s">
        <v>889</v>
      </c>
      <c r="H3335" t="s">
        <v>889</v>
      </c>
      <c r="I3335" t="s">
        <v>96</v>
      </c>
      <c r="J3335" s="4">
        <v>200.75</v>
      </c>
      <c r="K3335">
        <v>1</v>
      </c>
      <c r="L3335">
        <v>3480.6035000000002</v>
      </c>
      <c r="M3335">
        <v>3480.6035000000002</v>
      </c>
      <c r="N3335" s="5">
        <v>176.8926192016263</v>
      </c>
      <c r="O3335" t="s">
        <v>651</v>
      </c>
      <c r="P3335" t="s">
        <v>340</v>
      </c>
      <c r="Q3335" s="10" t="s">
        <v>24</v>
      </c>
      <c r="R3335" t="s">
        <v>1715</v>
      </c>
    </row>
    <row r="3336" spans="1:18" hidden="1" x14ac:dyDescent="0.25">
      <c r="A3336" s="9" t="s">
        <v>1636</v>
      </c>
      <c r="B3336" s="3" t="s">
        <v>1707</v>
      </c>
      <c r="C3336" s="10">
        <v>8</v>
      </c>
      <c r="D3336" s="10">
        <v>12</v>
      </c>
      <c r="E3336" s="10">
        <v>19</v>
      </c>
      <c r="F3336" t="s">
        <v>1711</v>
      </c>
      <c r="G3336" t="s">
        <v>889</v>
      </c>
      <c r="H3336" t="s">
        <v>889</v>
      </c>
      <c r="I3336" t="s">
        <v>96</v>
      </c>
      <c r="J3336" s="4">
        <v>4.1900000000000004</v>
      </c>
      <c r="K3336">
        <v>1</v>
      </c>
      <c r="L3336">
        <v>72.646220000000014</v>
      </c>
      <c r="M3336">
        <v>72.646220000000014</v>
      </c>
      <c r="N3336" s="5">
        <v>3.6920551654038074</v>
      </c>
      <c r="O3336" t="s">
        <v>651</v>
      </c>
      <c r="P3336" t="s">
        <v>340</v>
      </c>
      <c r="Q3336" s="10" t="s">
        <v>24</v>
      </c>
      <c r="R3336" t="s">
        <v>1712</v>
      </c>
    </row>
    <row r="3337" spans="1:18" hidden="1" x14ac:dyDescent="0.25">
      <c r="A3337" s="9" t="s">
        <v>1636</v>
      </c>
      <c r="B3337" s="3" t="s">
        <v>1707</v>
      </c>
      <c r="C3337" s="10">
        <v>8</v>
      </c>
      <c r="D3337" s="10">
        <v>12</v>
      </c>
      <c r="E3337" s="10">
        <v>19</v>
      </c>
      <c r="F3337" t="s">
        <v>1713</v>
      </c>
      <c r="G3337" t="s">
        <v>889</v>
      </c>
      <c r="H3337" t="s">
        <v>889</v>
      </c>
      <c r="I3337" t="s">
        <v>96</v>
      </c>
      <c r="J3337" s="4">
        <v>24.220000000000002</v>
      </c>
      <c r="K3337">
        <v>1</v>
      </c>
      <c r="L3337">
        <v>419.92636000000005</v>
      </c>
      <c r="M3337">
        <v>419.92636000000005</v>
      </c>
      <c r="N3337" s="5">
        <v>21.34166494178525</v>
      </c>
      <c r="O3337" t="s">
        <v>651</v>
      </c>
      <c r="P3337" t="s">
        <v>340</v>
      </c>
      <c r="Q3337" s="10" t="s">
        <v>24</v>
      </c>
      <c r="R3337" t="s">
        <v>1714</v>
      </c>
    </row>
    <row r="3338" spans="1:18" hidden="1" x14ac:dyDescent="0.25">
      <c r="A3338" s="9" t="s">
        <v>1636</v>
      </c>
      <c r="B3338" s="3" t="s">
        <v>1707</v>
      </c>
      <c r="C3338" s="10">
        <v>8</v>
      </c>
      <c r="D3338" s="10">
        <v>12</v>
      </c>
      <c r="E3338" s="10">
        <v>19</v>
      </c>
      <c r="F3338" t="s">
        <v>1726</v>
      </c>
      <c r="G3338" t="s">
        <v>889</v>
      </c>
      <c r="H3338" t="s">
        <v>65</v>
      </c>
      <c r="I3338" t="s">
        <v>27</v>
      </c>
      <c r="J3338" s="4">
        <v>7</v>
      </c>
      <c r="K3338">
        <v>2</v>
      </c>
      <c r="L3338">
        <v>7</v>
      </c>
      <c r="M3338">
        <v>14</v>
      </c>
      <c r="N3338" s="5">
        <v>0.71151358344113835</v>
      </c>
      <c r="O3338" t="s">
        <v>39</v>
      </c>
      <c r="P3338" t="s">
        <v>340</v>
      </c>
      <c r="Q3338" s="10" t="s">
        <v>24</v>
      </c>
    </row>
    <row r="3339" spans="1:18" hidden="1" x14ac:dyDescent="0.25">
      <c r="A3339" s="9" t="s">
        <v>1636</v>
      </c>
      <c r="B3339" s="3" t="s">
        <v>1707</v>
      </c>
      <c r="C3339" s="10">
        <v>8</v>
      </c>
      <c r="D3339" s="10">
        <v>12</v>
      </c>
      <c r="E3339" s="10">
        <v>19</v>
      </c>
      <c r="F3339" t="s">
        <v>86</v>
      </c>
      <c r="G3339" t="s">
        <v>889</v>
      </c>
      <c r="H3339" t="s">
        <v>102</v>
      </c>
      <c r="I3339" t="s">
        <v>27</v>
      </c>
      <c r="J3339" s="4">
        <v>16</v>
      </c>
      <c r="K3339">
        <v>1</v>
      </c>
      <c r="L3339">
        <v>16</v>
      </c>
      <c r="M3339">
        <v>16</v>
      </c>
      <c r="N3339" s="5">
        <v>0.81315838107558669</v>
      </c>
      <c r="O3339" t="s">
        <v>39</v>
      </c>
      <c r="P3339" t="s">
        <v>340</v>
      </c>
      <c r="Q3339" s="10" t="s">
        <v>24</v>
      </c>
    </row>
    <row r="3340" spans="1:18" hidden="1" x14ac:dyDescent="0.25">
      <c r="A3340" s="9" t="s">
        <v>1636</v>
      </c>
      <c r="B3340" s="3" t="s">
        <v>1707</v>
      </c>
      <c r="C3340" s="10">
        <v>8</v>
      </c>
      <c r="D3340" s="10">
        <v>12</v>
      </c>
      <c r="E3340" s="10">
        <v>19</v>
      </c>
      <c r="F3340" t="s">
        <v>78</v>
      </c>
      <c r="G3340" t="s">
        <v>889</v>
      </c>
      <c r="H3340" t="s">
        <v>78</v>
      </c>
      <c r="I3340" t="s">
        <v>79</v>
      </c>
      <c r="J3340" s="4">
        <v>18.05</v>
      </c>
      <c r="K3340">
        <v>47.04</v>
      </c>
      <c r="L3340">
        <v>18.05</v>
      </c>
      <c r="M3340">
        <v>849.072</v>
      </c>
      <c r="N3340" s="5">
        <v>43.151875808538158</v>
      </c>
      <c r="O3340" t="s">
        <v>80</v>
      </c>
      <c r="P3340" t="s">
        <v>340</v>
      </c>
      <c r="Q3340" s="10" t="s">
        <v>24</v>
      </c>
    </row>
    <row r="3341" spans="1:18" hidden="1" x14ac:dyDescent="0.25">
      <c r="A3341" s="9" t="s">
        <v>1636</v>
      </c>
      <c r="B3341" s="3" t="s">
        <v>1707</v>
      </c>
      <c r="C3341" s="10">
        <v>8</v>
      </c>
      <c r="D3341" s="10">
        <v>12</v>
      </c>
      <c r="E3341" s="10">
        <v>19</v>
      </c>
      <c r="F3341" t="s">
        <v>398</v>
      </c>
      <c r="G3341" t="s">
        <v>889</v>
      </c>
      <c r="H3341" t="s">
        <v>40</v>
      </c>
      <c r="I3341" t="s">
        <v>27</v>
      </c>
      <c r="J3341" s="4">
        <v>14.6</v>
      </c>
      <c r="K3341">
        <v>1</v>
      </c>
      <c r="L3341">
        <v>14.6</v>
      </c>
      <c r="M3341">
        <v>14.6</v>
      </c>
      <c r="N3341" s="5">
        <v>0.74200702273147279</v>
      </c>
      <c r="O3341" t="s">
        <v>100</v>
      </c>
      <c r="P3341" t="s">
        <v>340</v>
      </c>
      <c r="Q3341" s="10" t="s">
        <v>24</v>
      </c>
    </row>
    <row r="3342" spans="1:18" hidden="1" x14ac:dyDescent="0.25">
      <c r="A3342" s="9" t="s">
        <v>1636</v>
      </c>
      <c r="B3342" s="3" t="s">
        <v>1707</v>
      </c>
      <c r="C3342" s="10">
        <v>8</v>
      </c>
      <c r="D3342" s="10">
        <v>12</v>
      </c>
      <c r="E3342" s="10">
        <v>19</v>
      </c>
      <c r="F3342" t="s">
        <v>155</v>
      </c>
      <c r="G3342" t="s">
        <v>155</v>
      </c>
      <c r="H3342" t="s">
        <v>131</v>
      </c>
      <c r="I3342" t="s">
        <v>27</v>
      </c>
      <c r="J3342" s="4">
        <v>45</v>
      </c>
      <c r="K3342">
        <v>1</v>
      </c>
      <c r="L3342">
        <v>45</v>
      </c>
      <c r="M3342">
        <v>45</v>
      </c>
      <c r="N3342" s="5">
        <v>2.2870079467750872</v>
      </c>
      <c r="O3342" t="s">
        <v>100</v>
      </c>
      <c r="P3342" t="s">
        <v>340</v>
      </c>
      <c r="Q3342" s="10" t="s">
        <v>24</v>
      </c>
      <c r="R3342" t="s">
        <v>2054</v>
      </c>
    </row>
    <row r="3343" spans="1:18" hidden="1" x14ac:dyDescent="0.25">
      <c r="A3343" s="9" t="s">
        <v>1636</v>
      </c>
      <c r="B3343" s="3" t="s">
        <v>2064</v>
      </c>
      <c r="C3343" s="10">
        <v>9</v>
      </c>
      <c r="D3343" s="10">
        <v>12</v>
      </c>
      <c r="E3343" s="10">
        <v>19</v>
      </c>
      <c r="F3343" t="s">
        <v>189</v>
      </c>
      <c r="G3343" t="s">
        <v>889</v>
      </c>
      <c r="H3343" t="s">
        <v>172</v>
      </c>
      <c r="I3343" t="s">
        <v>39</v>
      </c>
      <c r="J3343" s="4">
        <v>60</v>
      </c>
      <c r="K3343">
        <v>1</v>
      </c>
      <c r="L3343">
        <v>60</v>
      </c>
      <c r="M3343">
        <v>60</v>
      </c>
      <c r="N3343" s="5">
        <v>3.0493439290334501</v>
      </c>
      <c r="O3343" t="s">
        <v>39</v>
      </c>
      <c r="P3343" t="s">
        <v>340</v>
      </c>
      <c r="Q3343" s="10" t="s">
        <v>24</v>
      </c>
      <c r="R3343" t="s">
        <v>2052</v>
      </c>
    </row>
    <row r="3344" spans="1:18" hidden="1" x14ac:dyDescent="0.25">
      <c r="A3344" s="9" t="s">
        <v>1636</v>
      </c>
      <c r="B3344" s="3" t="s">
        <v>2064</v>
      </c>
      <c r="C3344" s="10">
        <v>9</v>
      </c>
      <c r="D3344" s="10">
        <v>12</v>
      </c>
      <c r="E3344" s="10">
        <v>19</v>
      </c>
      <c r="F3344" t="s">
        <v>189</v>
      </c>
      <c r="G3344" t="s">
        <v>889</v>
      </c>
      <c r="H3344" t="s">
        <v>172</v>
      </c>
      <c r="I3344" t="s">
        <v>39</v>
      </c>
      <c r="J3344" s="4">
        <v>55</v>
      </c>
      <c r="K3344">
        <v>1</v>
      </c>
      <c r="L3344">
        <v>55</v>
      </c>
      <c r="M3344">
        <v>55</v>
      </c>
      <c r="N3344" s="5">
        <v>2.7952319349473291</v>
      </c>
      <c r="O3344" t="s">
        <v>39</v>
      </c>
      <c r="P3344" t="s">
        <v>340</v>
      </c>
      <c r="Q3344" s="10" t="s">
        <v>24</v>
      </c>
      <c r="R3344" t="s">
        <v>2053</v>
      </c>
    </row>
    <row r="3345" spans="1:18" hidden="1" x14ac:dyDescent="0.25">
      <c r="A3345" s="9" t="s">
        <v>980</v>
      </c>
      <c r="B3345" s="3" t="str">
        <f>CONCATENATE(E3345,"/",D3345,"/",C3345)</f>
        <v>19/2/1</v>
      </c>
      <c r="C3345" s="10">
        <v>1</v>
      </c>
      <c r="D3345" s="10">
        <v>2</v>
      </c>
      <c r="E3345" s="10">
        <v>19</v>
      </c>
      <c r="F3345" t="s">
        <v>770</v>
      </c>
      <c r="G3345" t="s">
        <v>31</v>
      </c>
      <c r="H3345" t="s">
        <v>26</v>
      </c>
      <c r="I3345" t="s">
        <v>27</v>
      </c>
      <c r="J3345" s="4">
        <v>7.8</v>
      </c>
      <c r="K3345">
        <v>1</v>
      </c>
      <c r="L3345">
        <v>7.8</v>
      </c>
      <c r="M3345">
        <v>7.8</v>
      </c>
      <c r="N3345" s="5">
        <v>0.39533705017739479</v>
      </c>
      <c r="O3345" t="s">
        <v>101</v>
      </c>
      <c r="P3345" t="s">
        <v>340</v>
      </c>
      <c r="Q3345" s="10" t="s">
        <v>24</v>
      </c>
    </row>
    <row r="3346" spans="1:18" hidden="1" x14ac:dyDescent="0.25">
      <c r="A3346" s="9" t="s">
        <v>980</v>
      </c>
      <c r="B3346" s="3" t="s">
        <v>2248</v>
      </c>
      <c r="C3346" s="10">
        <v>1</v>
      </c>
      <c r="D3346" s="10">
        <v>2</v>
      </c>
      <c r="E3346" s="10">
        <v>19</v>
      </c>
      <c r="F3346" t="s">
        <v>176</v>
      </c>
      <c r="G3346" t="s">
        <v>889</v>
      </c>
      <c r="H3346" t="s">
        <v>176</v>
      </c>
      <c r="I3346" t="s">
        <v>105</v>
      </c>
      <c r="J3346" s="4">
        <v>209</v>
      </c>
      <c r="K3346">
        <v>1</v>
      </c>
      <c r="L3346">
        <v>209</v>
      </c>
      <c r="M3346">
        <v>209</v>
      </c>
      <c r="N3346" s="5">
        <v>10.593005575266092</v>
      </c>
      <c r="O3346" t="s">
        <v>39</v>
      </c>
      <c r="P3346" t="s">
        <v>340</v>
      </c>
      <c r="Q3346" s="10" t="s">
        <v>24</v>
      </c>
    </row>
    <row r="3347" spans="1:18" hidden="1" x14ac:dyDescent="0.25">
      <c r="A3347" s="9" t="s">
        <v>980</v>
      </c>
      <c r="B3347" s="3" t="s">
        <v>2248</v>
      </c>
      <c r="C3347" s="10">
        <v>1</v>
      </c>
      <c r="D3347" s="10">
        <v>2</v>
      </c>
      <c r="E3347" s="10">
        <v>19</v>
      </c>
      <c r="F3347" t="s">
        <v>179</v>
      </c>
      <c r="G3347" t="s">
        <v>889</v>
      </c>
      <c r="H3347" t="s">
        <v>179</v>
      </c>
      <c r="I3347" t="s">
        <v>105</v>
      </c>
      <c r="J3347" s="4">
        <v>1103</v>
      </c>
      <c r="K3347">
        <v>1</v>
      </c>
      <c r="L3347">
        <v>1103</v>
      </c>
      <c r="M3347">
        <v>1103</v>
      </c>
      <c r="N3347" s="5">
        <v>55.904713634059803</v>
      </c>
      <c r="O3347" t="s">
        <v>39</v>
      </c>
      <c r="P3347" t="s">
        <v>340</v>
      </c>
      <c r="Q3347" s="10" t="s">
        <v>24</v>
      </c>
    </row>
    <row r="3348" spans="1:18" hidden="1" x14ac:dyDescent="0.25">
      <c r="A3348" s="9" t="s">
        <v>980</v>
      </c>
      <c r="B3348" s="3" t="s">
        <v>2248</v>
      </c>
      <c r="C3348" s="10">
        <v>1</v>
      </c>
      <c r="D3348" s="10">
        <v>2</v>
      </c>
      <c r="E3348" s="10">
        <v>19</v>
      </c>
      <c r="F3348" t="s">
        <v>169</v>
      </c>
      <c r="G3348" t="s">
        <v>889</v>
      </c>
      <c r="H3348" t="s">
        <v>170</v>
      </c>
      <c r="I3348" t="s">
        <v>105</v>
      </c>
      <c r="J3348" s="4">
        <v>210</v>
      </c>
      <c r="K3348">
        <v>1</v>
      </c>
      <c r="L3348">
        <v>210</v>
      </c>
      <c r="M3348">
        <v>210</v>
      </c>
      <c r="N3348" s="5">
        <v>10.643689812468322</v>
      </c>
      <c r="O3348" t="s">
        <v>39</v>
      </c>
      <c r="P3348" t="s">
        <v>340</v>
      </c>
      <c r="Q3348" s="10" t="s">
        <v>24</v>
      </c>
    </row>
    <row r="3349" spans="1:18" hidden="1" x14ac:dyDescent="0.25">
      <c r="A3349" s="9" t="s">
        <v>980</v>
      </c>
      <c r="B3349" s="3" t="s">
        <v>994</v>
      </c>
      <c r="C3349" s="10">
        <v>10</v>
      </c>
      <c r="D3349" s="10">
        <v>2</v>
      </c>
      <c r="E3349" s="10">
        <v>19</v>
      </c>
      <c r="F3349" t="s">
        <v>993</v>
      </c>
      <c r="G3349" t="s">
        <v>31</v>
      </c>
      <c r="H3349" t="s">
        <v>26</v>
      </c>
      <c r="I3349" t="s">
        <v>27</v>
      </c>
      <c r="J3349" s="4">
        <v>13.35</v>
      </c>
      <c r="K3349">
        <v>1</v>
      </c>
      <c r="L3349">
        <v>13.35</v>
      </c>
      <c r="M3349">
        <v>13.35</v>
      </c>
      <c r="N3349" s="5">
        <v>0.67663456664977184</v>
      </c>
      <c r="O3349" t="s">
        <v>597</v>
      </c>
      <c r="P3349" t="s">
        <v>340</v>
      </c>
      <c r="Q3349" s="10" t="s">
        <v>24</v>
      </c>
    </row>
    <row r="3350" spans="1:18" hidden="1" x14ac:dyDescent="0.25">
      <c r="A3350" s="9" t="s">
        <v>980</v>
      </c>
      <c r="B3350" s="3" t="s">
        <v>990</v>
      </c>
      <c r="C3350" s="10">
        <v>11</v>
      </c>
      <c r="D3350" s="10">
        <v>2</v>
      </c>
      <c r="E3350" s="10">
        <v>19</v>
      </c>
      <c r="F3350" t="s">
        <v>104</v>
      </c>
      <c r="I3350" t="s">
        <v>72</v>
      </c>
      <c r="J3350" s="4">
        <v>183.79</v>
      </c>
      <c r="K3350">
        <v>1</v>
      </c>
      <c r="L3350">
        <v>183.79</v>
      </c>
      <c r="M3350">
        <v>183.79</v>
      </c>
      <c r="N3350" s="5">
        <v>9.3152559553978698</v>
      </c>
      <c r="O3350" t="s">
        <v>629</v>
      </c>
      <c r="P3350" t="s">
        <v>340</v>
      </c>
      <c r="Q3350" s="10" t="s">
        <v>24</v>
      </c>
      <c r="R3350" t="s">
        <v>989</v>
      </c>
    </row>
    <row r="3351" spans="1:18" hidden="1" x14ac:dyDescent="0.25">
      <c r="A3351" s="9" t="s">
        <v>980</v>
      </c>
      <c r="B3351" s="3" t="s">
        <v>990</v>
      </c>
      <c r="C3351" s="10">
        <v>11</v>
      </c>
      <c r="D3351" s="10">
        <v>2</v>
      </c>
      <c r="E3351" s="10">
        <v>19</v>
      </c>
      <c r="F3351" t="s">
        <v>1666</v>
      </c>
      <c r="I3351" t="s">
        <v>72</v>
      </c>
      <c r="J3351" s="4">
        <v>40.46</v>
      </c>
      <c r="K3351">
        <v>1</v>
      </c>
      <c r="L3351">
        <v>40.46</v>
      </c>
      <c r="M3351">
        <v>40.46</v>
      </c>
      <c r="N3351" s="5">
        <v>2.035211267605634</v>
      </c>
      <c r="O3351" t="s">
        <v>629</v>
      </c>
      <c r="P3351" t="s">
        <v>340</v>
      </c>
      <c r="Q3351" s="10" t="s">
        <v>24</v>
      </c>
      <c r="R3351" t="s">
        <v>991</v>
      </c>
    </row>
    <row r="3352" spans="1:18" hidden="1" x14ac:dyDescent="0.25">
      <c r="A3352" s="9" t="s">
        <v>980</v>
      </c>
      <c r="B3352" s="3" t="s">
        <v>990</v>
      </c>
      <c r="C3352" s="10">
        <v>11</v>
      </c>
      <c r="D3352" s="10">
        <v>2</v>
      </c>
      <c r="E3352" s="10">
        <v>19</v>
      </c>
      <c r="F3352" t="s">
        <v>432</v>
      </c>
      <c r="G3352" t="s">
        <v>889</v>
      </c>
      <c r="H3352" t="s">
        <v>889</v>
      </c>
      <c r="I3352" t="s">
        <v>431</v>
      </c>
      <c r="J3352" s="4">
        <v>90</v>
      </c>
      <c r="K3352">
        <v>2</v>
      </c>
      <c r="L3352">
        <v>90</v>
      </c>
      <c r="M3352">
        <v>90</v>
      </c>
      <c r="N3352" s="5">
        <v>9.1199999999999992</v>
      </c>
      <c r="O3352" t="s">
        <v>849</v>
      </c>
      <c r="P3352" t="s">
        <v>340</v>
      </c>
      <c r="Q3352" s="10" t="s">
        <v>24</v>
      </c>
    </row>
    <row r="3353" spans="1:18" hidden="1" x14ac:dyDescent="0.25">
      <c r="A3353" s="9" t="s">
        <v>980</v>
      </c>
      <c r="B3353" s="3" t="s">
        <v>996</v>
      </c>
      <c r="C3353" s="10">
        <v>13</v>
      </c>
      <c r="D3353" s="10">
        <v>2</v>
      </c>
      <c r="E3353" s="10">
        <v>19</v>
      </c>
      <c r="F3353" t="s">
        <v>432</v>
      </c>
      <c r="G3353" t="s">
        <v>889</v>
      </c>
      <c r="H3353" t="s">
        <v>889</v>
      </c>
      <c r="I3353" t="s">
        <v>431</v>
      </c>
      <c r="J3353" s="4">
        <v>169</v>
      </c>
      <c r="K3353">
        <v>1</v>
      </c>
      <c r="L3353">
        <v>169</v>
      </c>
      <c r="M3353">
        <v>169</v>
      </c>
      <c r="N3353" s="5">
        <v>8.5656360871768875</v>
      </c>
      <c r="O3353" t="s">
        <v>439</v>
      </c>
      <c r="P3353" t="s">
        <v>340</v>
      </c>
      <c r="Q3353" s="10" t="s">
        <v>24</v>
      </c>
    </row>
    <row r="3354" spans="1:18" hidden="1" x14ac:dyDescent="0.25">
      <c r="A3354" s="9" t="s">
        <v>980</v>
      </c>
      <c r="B3354" s="3" t="s">
        <v>996</v>
      </c>
      <c r="C3354" s="10">
        <v>13</v>
      </c>
      <c r="D3354" s="10">
        <v>2</v>
      </c>
      <c r="E3354" s="10">
        <v>19</v>
      </c>
      <c r="F3354" t="s">
        <v>435</v>
      </c>
      <c r="G3354" t="s">
        <v>889</v>
      </c>
      <c r="H3354" t="s">
        <v>889</v>
      </c>
      <c r="I3354" t="s">
        <v>431</v>
      </c>
      <c r="J3354" s="4">
        <v>48</v>
      </c>
      <c r="K3354">
        <v>1</v>
      </c>
      <c r="L3354">
        <v>48</v>
      </c>
      <c r="M3354">
        <v>48</v>
      </c>
      <c r="N3354" s="5">
        <v>2.4328433857070451</v>
      </c>
      <c r="O3354" t="s">
        <v>439</v>
      </c>
      <c r="P3354" t="s">
        <v>340</v>
      </c>
      <c r="Q3354" s="10" t="s">
        <v>24</v>
      </c>
    </row>
    <row r="3355" spans="1:18" hidden="1" x14ac:dyDescent="0.25">
      <c r="A3355" s="9" t="s">
        <v>980</v>
      </c>
      <c r="B3355" s="3" t="s">
        <v>996</v>
      </c>
      <c r="C3355" s="10">
        <v>13</v>
      </c>
      <c r="D3355" s="10">
        <v>2</v>
      </c>
      <c r="E3355" s="10">
        <v>19</v>
      </c>
      <c r="F3355" t="s">
        <v>435</v>
      </c>
      <c r="G3355" t="s">
        <v>889</v>
      </c>
      <c r="H3355" t="s">
        <v>889</v>
      </c>
      <c r="I3355" t="s">
        <v>431</v>
      </c>
      <c r="J3355" s="4">
        <v>39</v>
      </c>
      <c r="K3355">
        <v>1</v>
      </c>
      <c r="L3355">
        <v>39</v>
      </c>
      <c r="M3355">
        <v>39</v>
      </c>
      <c r="N3355" s="5">
        <v>1.9766852508869741</v>
      </c>
      <c r="O3355" t="s">
        <v>439</v>
      </c>
      <c r="P3355" t="s">
        <v>340</v>
      </c>
      <c r="Q3355" s="10" t="s">
        <v>24</v>
      </c>
    </row>
    <row r="3356" spans="1:18" hidden="1" x14ac:dyDescent="0.25">
      <c r="A3356" s="9" t="s">
        <v>980</v>
      </c>
      <c r="B3356" s="3" t="s">
        <v>996</v>
      </c>
      <c r="C3356" s="10">
        <v>13</v>
      </c>
      <c r="D3356" s="10">
        <v>2</v>
      </c>
      <c r="E3356" s="10">
        <v>19</v>
      </c>
      <c r="F3356" t="s">
        <v>910</v>
      </c>
      <c r="G3356" t="s">
        <v>889</v>
      </c>
      <c r="H3356" t="s">
        <v>131</v>
      </c>
      <c r="I3356" t="s">
        <v>27</v>
      </c>
      <c r="J3356" s="4">
        <v>69.989999999999995</v>
      </c>
      <c r="K3356">
        <v>1</v>
      </c>
      <c r="L3356">
        <v>69.989999999999995</v>
      </c>
      <c r="M3356">
        <v>69.989999999999995</v>
      </c>
      <c r="N3356" s="5">
        <v>3.5570596932175191</v>
      </c>
      <c r="O3356" t="s">
        <v>1472</v>
      </c>
      <c r="P3356" t="s">
        <v>340</v>
      </c>
      <c r="Q3356" s="10" t="s">
        <v>24</v>
      </c>
    </row>
    <row r="3357" spans="1:18" hidden="1" x14ac:dyDescent="0.25">
      <c r="A3357" s="9" t="s">
        <v>980</v>
      </c>
      <c r="B3357" s="3" t="s">
        <v>996</v>
      </c>
      <c r="C3357" s="10">
        <v>13</v>
      </c>
      <c r="D3357" s="10">
        <v>2</v>
      </c>
      <c r="E3357" s="10">
        <v>19</v>
      </c>
      <c r="F3357" t="s">
        <v>1900</v>
      </c>
      <c r="G3357" t="s">
        <v>708</v>
      </c>
      <c r="H3357" t="s">
        <v>131</v>
      </c>
      <c r="I3357" t="s">
        <v>27</v>
      </c>
      <c r="J3357" s="4">
        <v>265</v>
      </c>
      <c r="K3357">
        <v>0.16500000000000001</v>
      </c>
      <c r="L3357">
        <v>265</v>
      </c>
      <c r="M3357">
        <v>43.725000000000001</v>
      </c>
      <c r="N3357" s="5">
        <v>2.2222093882831269</v>
      </c>
      <c r="O3357" t="s">
        <v>100</v>
      </c>
      <c r="P3357" t="s">
        <v>340</v>
      </c>
      <c r="Q3357" s="10" t="s">
        <v>24</v>
      </c>
    </row>
    <row r="3358" spans="1:18" hidden="1" x14ac:dyDescent="0.25">
      <c r="A3358" s="9" t="s">
        <v>980</v>
      </c>
      <c r="B3358" s="3" t="s">
        <v>996</v>
      </c>
      <c r="C3358" s="10">
        <v>13</v>
      </c>
      <c r="D3358" s="10">
        <v>2</v>
      </c>
      <c r="E3358" s="10">
        <v>19</v>
      </c>
      <c r="F3358" t="s">
        <v>802</v>
      </c>
      <c r="G3358" t="s">
        <v>708</v>
      </c>
      <c r="H3358" t="s">
        <v>1612</v>
      </c>
      <c r="I3358" t="s">
        <v>27</v>
      </c>
      <c r="J3358" s="4">
        <v>128</v>
      </c>
      <c r="K3358">
        <v>0.215</v>
      </c>
      <c r="L3358">
        <v>128</v>
      </c>
      <c r="M3358">
        <v>27.52</v>
      </c>
      <c r="N3358" s="5">
        <v>1.3986324154500089</v>
      </c>
      <c r="O3358" t="s">
        <v>100</v>
      </c>
      <c r="P3358" t="s">
        <v>340</v>
      </c>
      <c r="Q3358" s="10" t="s">
        <v>24</v>
      </c>
    </row>
    <row r="3359" spans="1:18" hidden="1" x14ac:dyDescent="0.25">
      <c r="A3359" s="9" t="s">
        <v>980</v>
      </c>
      <c r="B3359" s="3" t="s">
        <v>996</v>
      </c>
      <c r="C3359" s="10">
        <v>13</v>
      </c>
      <c r="D3359" s="10">
        <v>2</v>
      </c>
      <c r="E3359" s="10">
        <v>19</v>
      </c>
      <c r="F3359" t="s">
        <v>99</v>
      </c>
      <c r="G3359" t="s">
        <v>889</v>
      </c>
      <c r="H3359" t="s">
        <v>40</v>
      </c>
      <c r="I3359" t="s">
        <v>27</v>
      </c>
      <c r="J3359" s="4">
        <v>10</v>
      </c>
      <c r="K3359">
        <v>1</v>
      </c>
      <c r="L3359">
        <v>10</v>
      </c>
      <c r="M3359">
        <v>10</v>
      </c>
      <c r="N3359" s="5">
        <v>0.50822398817224168</v>
      </c>
      <c r="O3359" t="s">
        <v>100</v>
      </c>
      <c r="P3359" t="s">
        <v>340</v>
      </c>
      <c r="Q3359" s="10" t="s">
        <v>24</v>
      </c>
    </row>
    <row r="3360" spans="1:18" hidden="1" x14ac:dyDescent="0.25">
      <c r="A3360" s="9" t="s">
        <v>980</v>
      </c>
      <c r="B3360" s="3" t="s">
        <v>992</v>
      </c>
      <c r="C3360" s="10">
        <v>14</v>
      </c>
      <c r="D3360" s="10">
        <v>2</v>
      </c>
      <c r="E3360" s="10">
        <v>19</v>
      </c>
      <c r="F3360" t="s">
        <v>432</v>
      </c>
      <c r="G3360" t="s">
        <v>889</v>
      </c>
      <c r="H3360" t="s">
        <v>889</v>
      </c>
      <c r="I3360" t="s">
        <v>431</v>
      </c>
      <c r="J3360" s="4">
        <v>90</v>
      </c>
      <c r="K3360">
        <v>1</v>
      </c>
      <c r="L3360">
        <v>90</v>
      </c>
      <c r="M3360">
        <v>90</v>
      </c>
      <c r="N3360" s="5">
        <v>4.5615813482007095</v>
      </c>
      <c r="O3360" t="s">
        <v>849</v>
      </c>
      <c r="P3360" t="s">
        <v>340</v>
      </c>
      <c r="Q3360" s="10" t="s">
        <v>24</v>
      </c>
    </row>
    <row r="3361" spans="1:18" hidden="1" x14ac:dyDescent="0.25">
      <c r="A3361" s="9" t="s">
        <v>899</v>
      </c>
      <c r="B3361" s="3" t="str">
        <f>CONCATENATE(E3361,"/",D3361,"/",C3361)</f>
        <v>19/2/16</v>
      </c>
      <c r="C3361" s="10">
        <v>16</v>
      </c>
      <c r="D3361" s="10">
        <v>2</v>
      </c>
      <c r="E3361" s="10">
        <v>19</v>
      </c>
      <c r="F3361" t="s">
        <v>81</v>
      </c>
      <c r="I3361" t="s">
        <v>39</v>
      </c>
      <c r="J3361" s="4">
        <v>1000</v>
      </c>
      <c r="K3361">
        <v>1</v>
      </c>
      <c r="L3361">
        <v>1000</v>
      </c>
      <c r="M3361">
        <v>1000</v>
      </c>
      <c r="N3361" s="5">
        <v>50.30181086519115</v>
      </c>
      <c r="O3361" t="s">
        <v>39</v>
      </c>
      <c r="P3361" t="s">
        <v>340</v>
      </c>
      <c r="Q3361" s="10" t="s">
        <v>84</v>
      </c>
      <c r="R3361" t="s">
        <v>988</v>
      </c>
    </row>
    <row r="3362" spans="1:18" hidden="1" x14ac:dyDescent="0.25">
      <c r="A3362" s="9" t="s">
        <v>980</v>
      </c>
      <c r="B3362" s="3" t="s">
        <v>995</v>
      </c>
      <c r="C3362" s="10">
        <v>16</v>
      </c>
      <c r="D3362" s="10">
        <v>2</v>
      </c>
      <c r="E3362" s="10">
        <v>19</v>
      </c>
      <c r="F3362" t="s">
        <v>78</v>
      </c>
      <c r="G3362" t="s">
        <v>889</v>
      </c>
      <c r="H3362" t="s">
        <v>78</v>
      </c>
      <c r="I3362" t="s">
        <v>79</v>
      </c>
      <c r="J3362" s="4">
        <v>18.89</v>
      </c>
      <c r="K3362">
        <v>23.824999999999999</v>
      </c>
      <c r="L3362">
        <v>18.89</v>
      </c>
      <c r="M3362">
        <v>450.05425000000002</v>
      </c>
      <c r="N3362" s="5">
        <v>45.621312721743543</v>
      </c>
      <c r="O3362" t="s">
        <v>80</v>
      </c>
      <c r="P3362" t="s">
        <v>340</v>
      </c>
      <c r="Q3362" s="10" t="s">
        <v>24</v>
      </c>
    </row>
    <row r="3363" spans="1:18" hidden="1" x14ac:dyDescent="0.25">
      <c r="A3363" s="9" t="s">
        <v>980</v>
      </c>
      <c r="B3363" s="3" t="s">
        <v>995</v>
      </c>
      <c r="C3363" s="10">
        <v>16</v>
      </c>
      <c r="D3363" s="10">
        <v>2</v>
      </c>
      <c r="E3363" s="10">
        <v>19</v>
      </c>
      <c r="F3363" t="s">
        <v>997</v>
      </c>
      <c r="G3363" t="s">
        <v>889</v>
      </c>
      <c r="H3363" t="s">
        <v>54</v>
      </c>
      <c r="I3363" t="s">
        <v>27</v>
      </c>
      <c r="J3363" s="4">
        <v>10</v>
      </c>
      <c r="K3363">
        <v>1</v>
      </c>
      <c r="L3363">
        <v>10</v>
      </c>
      <c r="M3363">
        <v>10</v>
      </c>
      <c r="N3363" s="5">
        <v>0.50684237202230109</v>
      </c>
      <c r="O3363" t="s">
        <v>593</v>
      </c>
      <c r="P3363" t="s">
        <v>340</v>
      </c>
      <c r="Q3363" s="10" t="s">
        <v>24</v>
      </c>
    </row>
    <row r="3364" spans="1:18" hidden="1" x14ac:dyDescent="0.25">
      <c r="A3364" s="9" t="s">
        <v>980</v>
      </c>
      <c r="B3364" s="3" t="s">
        <v>995</v>
      </c>
      <c r="C3364" s="10">
        <v>16</v>
      </c>
      <c r="D3364" s="10">
        <v>2</v>
      </c>
      <c r="E3364" s="10">
        <v>19</v>
      </c>
      <c r="F3364" t="s">
        <v>203</v>
      </c>
      <c r="G3364" t="s">
        <v>889</v>
      </c>
      <c r="H3364" t="s">
        <v>54</v>
      </c>
      <c r="I3364" t="s">
        <v>27</v>
      </c>
      <c r="J3364" s="4">
        <v>20</v>
      </c>
      <c r="K3364">
        <v>1</v>
      </c>
      <c r="L3364">
        <v>20</v>
      </c>
      <c r="M3364">
        <v>20</v>
      </c>
      <c r="N3364" s="5">
        <v>1.0136847440446022</v>
      </c>
      <c r="O3364" t="s">
        <v>593</v>
      </c>
      <c r="P3364" t="s">
        <v>340</v>
      </c>
      <c r="Q3364" s="10" t="s">
        <v>24</v>
      </c>
    </row>
    <row r="3365" spans="1:18" hidden="1" x14ac:dyDescent="0.25">
      <c r="A3365" s="9" t="s">
        <v>980</v>
      </c>
      <c r="B3365" s="3" t="s">
        <v>995</v>
      </c>
      <c r="C3365" s="10">
        <v>16</v>
      </c>
      <c r="D3365" s="10">
        <v>2</v>
      </c>
      <c r="E3365" s="10">
        <v>19</v>
      </c>
      <c r="F3365" t="s">
        <v>174</v>
      </c>
      <c r="G3365" t="s">
        <v>889</v>
      </c>
      <c r="H3365" t="s">
        <v>54</v>
      </c>
      <c r="I3365" t="s">
        <v>27</v>
      </c>
      <c r="J3365" s="4">
        <v>12</v>
      </c>
      <c r="K3365">
        <v>1</v>
      </c>
      <c r="L3365">
        <v>12</v>
      </c>
      <c r="M3365">
        <v>12</v>
      </c>
      <c r="N3365" s="5">
        <v>0.60821084642676126</v>
      </c>
      <c r="O3365" t="s">
        <v>593</v>
      </c>
      <c r="P3365" t="s">
        <v>340</v>
      </c>
      <c r="Q3365" s="10" t="s">
        <v>24</v>
      </c>
    </row>
    <row r="3366" spans="1:18" hidden="1" x14ac:dyDescent="0.25">
      <c r="A3366" s="9" t="s">
        <v>980</v>
      </c>
      <c r="B3366" s="3" t="s">
        <v>995</v>
      </c>
      <c r="C3366" s="10">
        <v>16</v>
      </c>
      <c r="D3366" s="10">
        <v>2</v>
      </c>
      <c r="E3366" s="10">
        <v>19</v>
      </c>
      <c r="F3366" t="s">
        <v>1064</v>
      </c>
      <c r="G3366" t="s">
        <v>889</v>
      </c>
      <c r="H3366" t="s">
        <v>53</v>
      </c>
      <c r="I3366" t="s">
        <v>27</v>
      </c>
      <c r="J3366" s="4">
        <v>7.5</v>
      </c>
      <c r="K3366">
        <v>2</v>
      </c>
      <c r="L3366">
        <v>7.5</v>
      </c>
      <c r="M3366">
        <v>15</v>
      </c>
      <c r="N3366" s="5">
        <v>0.76233598225836252</v>
      </c>
      <c r="O3366" t="s">
        <v>101</v>
      </c>
      <c r="P3366" t="s">
        <v>340</v>
      </c>
      <c r="Q3366" s="10" t="s">
        <v>24</v>
      </c>
    </row>
    <row r="3367" spans="1:18" hidden="1" x14ac:dyDescent="0.25">
      <c r="A3367" s="9" t="s">
        <v>980</v>
      </c>
      <c r="B3367" s="3" t="s">
        <v>995</v>
      </c>
      <c r="C3367" s="10">
        <v>16</v>
      </c>
      <c r="D3367" s="10">
        <v>2</v>
      </c>
      <c r="E3367" s="10">
        <v>19</v>
      </c>
      <c r="F3367" t="s">
        <v>55</v>
      </c>
      <c r="G3367" t="s">
        <v>889</v>
      </c>
      <c r="H3367" t="s">
        <v>56</v>
      </c>
      <c r="I3367" t="s">
        <v>27</v>
      </c>
      <c r="J3367" s="4">
        <v>36</v>
      </c>
      <c r="K3367">
        <v>0.67400000000000004</v>
      </c>
      <c r="L3367">
        <v>36</v>
      </c>
      <c r="M3367">
        <v>24.264000000000003</v>
      </c>
      <c r="N3367" s="5">
        <v>1.2331546849011272</v>
      </c>
      <c r="O3367" t="s">
        <v>101</v>
      </c>
      <c r="P3367" t="s">
        <v>340</v>
      </c>
      <c r="Q3367" s="10" t="s">
        <v>24</v>
      </c>
    </row>
    <row r="3368" spans="1:18" hidden="1" x14ac:dyDescent="0.25">
      <c r="A3368" s="9" t="s">
        <v>980</v>
      </c>
      <c r="B3368" s="3" t="s">
        <v>995</v>
      </c>
      <c r="C3368" s="10">
        <v>16</v>
      </c>
      <c r="D3368" s="10">
        <v>2</v>
      </c>
      <c r="E3368" s="10">
        <v>19</v>
      </c>
      <c r="F3368" t="s">
        <v>885</v>
      </c>
      <c r="G3368" t="s">
        <v>889</v>
      </c>
      <c r="H3368" t="s">
        <v>53</v>
      </c>
      <c r="I3368" t="s">
        <v>27</v>
      </c>
      <c r="J3368" s="4">
        <v>13</v>
      </c>
      <c r="K3368">
        <v>2</v>
      </c>
      <c r="L3368">
        <v>13</v>
      </c>
      <c r="M3368">
        <v>26</v>
      </c>
      <c r="N3368" s="5">
        <v>1.3213823692478284</v>
      </c>
      <c r="O3368" t="s">
        <v>101</v>
      </c>
      <c r="P3368" t="s">
        <v>340</v>
      </c>
      <c r="Q3368" s="10" t="s">
        <v>24</v>
      </c>
    </row>
    <row r="3369" spans="1:18" hidden="1" x14ac:dyDescent="0.25">
      <c r="A3369" s="9" t="s">
        <v>980</v>
      </c>
      <c r="B3369" s="3" t="s">
        <v>995</v>
      </c>
      <c r="C3369" s="10">
        <v>16</v>
      </c>
      <c r="D3369" s="10">
        <v>2</v>
      </c>
      <c r="E3369" s="10">
        <v>19</v>
      </c>
      <c r="F3369" t="s">
        <v>1793</v>
      </c>
      <c r="G3369" t="s">
        <v>889</v>
      </c>
      <c r="H3369" t="s">
        <v>65</v>
      </c>
      <c r="I3369" t="s">
        <v>27</v>
      </c>
      <c r="J3369" s="4">
        <v>10</v>
      </c>
      <c r="K3369">
        <v>3</v>
      </c>
      <c r="L3369">
        <v>10</v>
      </c>
      <c r="M3369">
        <v>30</v>
      </c>
      <c r="N3369" s="5">
        <v>1.524671964516725</v>
      </c>
      <c r="O3369" t="s">
        <v>101</v>
      </c>
      <c r="P3369" t="s">
        <v>340</v>
      </c>
      <c r="Q3369" s="10" t="s">
        <v>24</v>
      </c>
    </row>
    <row r="3370" spans="1:18" hidden="1" x14ac:dyDescent="0.25">
      <c r="A3370" s="9" t="s">
        <v>980</v>
      </c>
      <c r="B3370" s="3" t="s">
        <v>995</v>
      </c>
      <c r="C3370" s="10">
        <v>16</v>
      </c>
      <c r="D3370" s="10">
        <v>2</v>
      </c>
      <c r="E3370" s="10">
        <v>19</v>
      </c>
      <c r="F3370" t="s">
        <v>184</v>
      </c>
      <c r="G3370" t="s">
        <v>304</v>
      </c>
      <c r="H3370" t="s">
        <v>184</v>
      </c>
      <c r="I3370" t="s">
        <v>79</v>
      </c>
      <c r="J3370" s="4">
        <v>90</v>
      </c>
      <c r="K3370">
        <v>1</v>
      </c>
      <c r="L3370">
        <v>90</v>
      </c>
      <c r="M3370">
        <v>90</v>
      </c>
      <c r="N3370" s="5">
        <v>4.5740158935501745</v>
      </c>
      <c r="O3370" t="s">
        <v>185</v>
      </c>
      <c r="P3370" t="s">
        <v>340</v>
      </c>
      <c r="Q3370" s="10" t="s">
        <v>24</v>
      </c>
    </row>
    <row r="3371" spans="1:18" hidden="1" x14ac:dyDescent="0.25">
      <c r="A3371" s="9" t="s">
        <v>980</v>
      </c>
      <c r="B3371" s="3" t="s">
        <v>999</v>
      </c>
      <c r="C3371" s="10">
        <v>17</v>
      </c>
      <c r="D3371" s="10">
        <v>2</v>
      </c>
      <c r="E3371" s="10">
        <v>19</v>
      </c>
      <c r="F3371" t="s">
        <v>694</v>
      </c>
      <c r="G3371" t="s">
        <v>889</v>
      </c>
      <c r="H3371" t="s">
        <v>63</v>
      </c>
      <c r="I3371" t="s">
        <v>27</v>
      </c>
      <c r="J3371" s="4">
        <v>9.9</v>
      </c>
      <c r="K3371">
        <v>1</v>
      </c>
      <c r="L3371">
        <v>41.679000000000002</v>
      </c>
      <c r="M3371">
        <v>41.679000000000002</v>
      </c>
      <c r="N3371" s="5">
        <v>2.1124683223517486</v>
      </c>
      <c r="O3371" t="s">
        <v>998</v>
      </c>
      <c r="P3371" t="s">
        <v>148</v>
      </c>
      <c r="Q3371" s="10" t="s">
        <v>24</v>
      </c>
    </row>
    <row r="3372" spans="1:18" hidden="1" x14ac:dyDescent="0.25">
      <c r="A3372" s="9" t="s">
        <v>980</v>
      </c>
      <c r="B3372" s="3" t="s">
        <v>999</v>
      </c>
      <c r="C3372" s="10">
        <v>17</v>
      </c>
      <c r="D3372" s="10">
        <v>2</v>
      </c>
      <c r="E3372" s="10">
        <v>19</v>
      </c>
      <c r="F3372" t="s">
        <v>546</v>
      </c>
      <c r="G3372" t="s">
        <v>889</v>
      </c>
      <c r="I3372" t="s">
        <v>431</v>
      </c>
      <c r="J3372" s="4">
        <v>54.9</v>
      </c>
      <c r="K3372">
        <v>1</v>
      </c>
      <c r="L3372">
        <v>231.12899999999999</v>
      </c>
      <c r="M3372">
        <v>231.12899999999999</v>
      </c>
      <c r="N3372" s="5">
        <v>11.714597060314242</v>
      </c>
      <c r="O3372" t="s">
        <v>310</v>
      </c>
      <c r="P3372" t="s">
        <v>148</v>
      </c>
      <c r="Q3372" s="10" t="s">
        <v>24</v>
      </c>
    </row>
    <row r="3373" spans="1:18" hidden="1" x14ac:dyDescent="0.25">
      <c r="A3373" s="9" t="s">
        <v>980</v>
      </c>
      <c r="B3373" s="3" t="s">
        <v>999</v>
      </c>
      <c r="C3373" s="10">
        <v>17</v>
      </c>
      <c r="D3373" s="10">
        <v>2</v>
      </c>
      <c r="E3373" s="10">
        <v>19</v>
      </c>
      <c r="F3373" t="s">
        <v>1000</v>
      </c>
      <c r="G3373" t="s">
        <v>889</v>
      </c>
      <c r="I3373" t="s">
        <v>431</v>
      </c>
      <c r="J3373" s="4">
        <v>49.99</v>
      </c>
      <c r="K3373">
        <v>1</v>
      </c>
      <c r="L3373">
        <v>210.4579</v>
      </c>
      <c r="M3373">
        <v>210.4579</v>
      </c>
      <c r="N3373" s="5">
        <v>10.666898124683224</v>
      </c>
      <c r="O3373" t="s">
        <v>1002</v>
      </c>
      <c r="P3373" t="s">
        <v>148</v>
      </c>
      <c r="Q3373" s="10" t="s">
        <v>24</v>
      </c>
    </row>
    <row r="3374" spans="1:18" hidden="1" x14ac:dyDescent="0.25">
      <c r="A3374" s="9" t="s">
        <v>980</v>
      </c>
      <c r="B3374" s="3" t="s">
        <v>999</v>
      </c>
      <c r="C3374" s="10">
        <v>17</v>
      </c>
      <c r="D3374" s="10">
        <v>2</v>
      </c>
      <c r="E3374" s="10">
        <v>19</v>
      </c>
      <c r="F3374" t="s">
        <v>1000</v>
      </c>
      <c r="G3374" t="s">
        <v>889</v>
      </c>
      <c r="I3374" t="s">
        <v>431</v>
      </c>
      <c r="J3374" s="4">
        <v>59.99</v>
      </c>
      <c r="K3374">
        <v>1</v>
      </c>
      <c r="L3374">
        <v>252.55790000000002</v>
      </c>
      <c r="M3374">
        <v>252.55790000000002</v>
      </c>
      <c r="N3374" s="5">
        <v>12.800704510897111</v>
      </c>
      <c r="O3374" t="s">
        <v>1002</v>
      </c>
      <c r="P3374" t="s">
        <v>148</v>
      </c>
      <c r="Q3374" s="10" t="s">
        <v>24</v>
      </c>
    </row>
    <row r="3375" spans="1:18" hidden="1" x14ac:dyDescent="0.25">
      <c r="A3375" s="9" t="s">
        <v>980</v>
      </c>
      <c r="B3375" s="3" t="s">
        <v>999</v>
      </c>
      <c r="C3375" s="10">
        <v>17</v>
      </c>
      <c r="D3375" s="10">
        <v>2</v>
      </c>
      <c r="E3375" s="10">
        <v>19</v>
      </c>
      <c r="F3375" t="s">
        <v>546</v>
      </c>
      <c r="G3375" t="s">
        <v>889</v>
      </c>
      <c r="I3375" t="s">
        <v>431</v>
      </c>
      <c r="J3375" s="4">
        <v>89</v>
      </c>
      <c r="K3375">
        <v>1</v>
      </c>
      <c r="L3375">
        <v>374.69</v>
      </c>
      <c r="M3375">
        <v>374.69</v>
      </c>
      <c r="N3375" s="5">
        <v>18.990876837303599</v>
      </c>
      <c r="O3375" t="s">
        <v>1001</v>
      </c>
      <c r="P3375" t="s">
        <v>148</v>
      </c>
      <c r="Q3375" s="10" t="s">
        <v>24</v>
      </c>
    </row>
    <row r="3376" spans="1:18" hidden="1" x14ac:dyDescent="0.25">
      <c r="A3376" s="9" t="s">
        <v>980</v>
      </c>
      <c r="B3376" s="3" t="s">
        <v>999</v>
      </c>
      <c r="C3376" s="10">
        <v>17</v>
      </c>
      <c r="D3376" s="10">
        <v>2</v>
      </c>
      <c r="E3376" s="10">
        <v>19</v>
      </c>
      <c r="F3376" t="s">
        <v>104</v>
      </c>
      <c r="I3376" t="s">
        <v>72</v>
      </c>
      <c r="J3376" s="4">
        <v>90.57</v>
      </c>
      <c r="K3376">
        <v>1</v>
      </c>
      <c r="L3376">
        <v>381.29969999999997</v>
      </c>
      <c r="M3376">
        <v>381.29969999999997</v>
      </c>
      <c r="N3376" s="5">
        <v>19.325884439939177</v>
      </c>
      <c r="O3376" t="s">
        <v>998</v>
      </c>
      <c r="P3376" t="s">
        <v>148</v>
      </c>
      <c r="Q3376" s="10" t="s">
        <v>24</v>
      </c>
      <c r="R3376" t="s">
        <v>1003</v>
      </c>
    </row>
    <row r="3377" spans="1:18" hidden="1" x14ac:dyDescent="0.25">
      <c r="A3377" s="9" t="s">
        <v>980</v>
      </c>
      <c r="B3377" s="3" t="s">
        <v>999</v>
      </c>
      <c r="C3377" s="10">
        <v>17</v>
      </c>
      <c r="D3377" s="10">
        <v>2</v>
      </c>
      <c r="E3377" s="10">
        <v>19</v>
      </c>
      <c r="F3377" t="s">
        <v>159</v>
      </c>
      <c r="I3377" t="s">
        <v>72</v>
      </c>
      <c r="J3377" s="4">
        <v>8.1300000000000008</v>
      </c>
      <c r="K3377">
        <v>1</v>
      </c>
      <c r="L3377">
        <v>34.2273</v>
      </c>
      <c r="M3377">
        <v>34.2273</v>
      </c>
      <c r="N3377" s="5">
        <v>1.7347845919918905</v>
      </c>
      <c r="O3377" t="s">
        <v>998</v>
      </c>
      <c r="P3377" t="s">
        <v>148</v>
      </c>
      <c r="Q3377" s="10" t="s">
        <v>24</v>
      </c>
      <c r="R3377" t="s">
        <v>1004</v>
      </c>
    </row>
    <row r="3378" spans="1:18" hidden="1" x14ac:dyDescent="0.25">
      <c r="A3378" s="9" t="s">
        <v>980</v>
      </c>
      <c r="B3378" s="3" t="s">
        <v>999</v>
      </c>
      <c r="C3378" s="10">
        <v>17</v>
      </c>
      <c r="D3378" s="10">
        <v>2</v>
      </c>
      <c r="E3378" s="10">
        <v>19</v>
      </c>
      <c r="F3378" t="s">
        <v>159</v>
      </c>
      <c r="I3378" t="s">
        <v>72</v>
      </c>
      <c r="J3378" s="4">
        <v>38.69</v>
      </c>
      <c r="K3378">
        <v>1</v>
      </c>
      <c r="L3378">
        <v>162.88489999999999</v>
      </c>
      <c r="M3378">
        <v>162.88489999999999</v>
      </c>
      <c r="N3378" s="5">
        <v>8.2556969082615304</v>
      </c>
      <c r="O3378" t="s">
        <v>998</v>
      </c>
      <c r="P3378" t="s">
        <v>148</v>
      </c>
      <c r="Q3378" s="10" t="s">
        <v>24</v>
      </c>
      <c r="R3378" t="s">
        <v>158</v>
      </c>
    </row>
    <row r="3379" spans="1:18" hidden="1" x14ac:dyDescent="0.25">
      <c r="A3379" s="9" t="s">
        <v>980</v>
      </c>
      <c r="B3379" s="3" t="s">
        <v>999</v>
      </c>
      <c r="C3379" s="10">
        <v>17</v>
      </c>
      <c r="D3379" s="10">
        <v>2</v>
      </c>
      <c r="E3379" s="10">
        <v>19</v>
      </c>
      <c r="F3379" t="s">
        <v>405</v>
      </c>
      <c r="G3379" t="s">
        <v>889</v>
      </c>
      <c r="H3379" t="s">
        <v>59</v>
      </c>
      <c r="I3379" t="s">
        <v>27</v>
      </c>
      <c r="J3379" s="4">
        <v>41.05</v>
      </c>
      <c r="K3379">
        <v>1</v>
      </c>
      <c r="L3379">
        <v>172.82049999999998</v>
      </c>
      <c r="M3379">
        <v>172.82049999999998</v>
      </c>
      <c r="N3379" s="5">
        <v>8.7592752154080067</v>
      </c>
      <c r="O3379" t="s">
        <v>147</v>
      </c>
      <c r="P3379" t="s">
        <v>148</v>
      </c>
      <c r="Q3379" s="10" t="s">
        <v>24</v>
      </c>
    </row>
    <row r="3380" spans="1:18" hidden="1" x14ac:dyDescent="0.25">
      <c r="A3380" s="9" t="s">
        <v>980</v>
      </c>
      <c r="B3380" s="3" t="s">
        <v>999</v>
      </c>
      <c r="C3380" s="10">
        <v>17</v>
      </c>
      <c r="D3380" s="10">
        <v>2</v>
      </c>
      <c r="E3380" s="10">
        <v>19</v>
      </c>
      <c r="F3380" t="s">
        <v>140</v>
      </c>
      <c r="G3380" t="s">
        <v>140</v>
      </c>
      <c r="H3380" t="s">
        <v>49</v>
      </c>
      <c r="I3380" t="s">
        <v>50</v>
      </c>
      <c r="J3380" s="4">
        <v>3.65</v>
      </c>
      <c r="K3380">
        <v>1</v>
      </c>
      <c r="L3380">
        <v>15.3665</v>
      </c>
      <c r="M3380">
        <v>15.3665</v>
      </c>
      <c r="N3380" s="5">
        <v>0.7788393309680689</v>
      </c>
      <c r="O3380" t="s">
        <v>147</v>
      </c>
      <c r="P3380" t="s">
        <v>148</v>
      </c>
      <c r="Q3380" s="10" t="s">
        <v>24</v>
      </c>
    </row>
    <row r="3381" spans="1:18" hidden="1" x14ac:dyDescent="0.25">
      <c r="A3381" s="9" t="s">
        <v>980</v>
      </c>
      <c r="B3381" s="3" t="s">
        <v>999</v>
      </c>
      <c r="C3381" s="10">
        <v>17</v>
      </c>
      <c r="D3381" s="10">
        <v>2</v>
      </c>
      <c r="E3381" s="10">
        <v>19</v>
      </c>
      <c r="F3381" t="s">
        <v>1005</v>
      </c>
      <c r="G3381" t="s">
        <v>889</v>
      </c>
      <c r="H3381" t="s">
        <v>49</v>
      </c>
      <c r="I3381" t="s">
        <v>50</v>
      </c>
      <c r="J3381" s="4">
        <v>8.5500000000000007</v>
      </c>
      <c r="K3381">
        <v>1</v>
      </c>
      <c r="L3381">
        <v>35.9955</v>
      </c>
      <c r="M3381">
        <v>35.9955</v>
      </c>
      <c r="N3381" s="5">
        <v>1.8244044602128737</v>
      </c>
      <c r="O3381" t="s">
        <v>147</v>
      </c>
      <c r="P3381" t="s">
        <v>148</v>
      </c>
      <c r="Q3381" s="10" t="s">
        <v>24</v>
      </c>
    </row>
    <row r="3382" spans="1:18" hidden="1" x14ac:dyDescent="0.25">
      <c r="A3382" s="9" t="s">
        <v>980</v>
      </c>
      <c r="B3382" s="3" t="s">
        <v>999</v>
      </c>
      <c r="C3382" s="10">
        <v>17</v>
      </c>
      <c r="D3382" s="10">
        <v>2</v>
      </c>
      <c r="E3382" s="10">
        <v>19</v>
      </c>
      <c r="F3382" t="s">
        <v>1692</v>
      </c>
      <c r="H3382" t="s">
        <v>49</v>
      </c>
      <c r="I3382" t="s">
        <v>50</v>
      </c>
      <c r="J3382" s="4">
        <v>4.49</v>
      </c>
      <c r="K3382">
        <v>1</v>
      </c>
      <c r="L3382">
        <v>18.902900000000002</v>
      </c>
      <c r="M3382">
        <v>18.902900000000002</v>
      </c>
      <c r="N3382" s="5">
        <v>0.95807906741003557</v>
      </c>
      <c r="O3382" t="s">
        <v>147</v>
      </c>
      <c r="P3382" t="s">
        <v>148</v>
      </c>
      <c r="Q3382" s="10" t="s">
        <v>24</v>
      </c>
    </row>
    <row r="3383" spans="1:18" hidden="1" x14ac:dyDescent="0.25">
      <c r="A3383" s="9" t="s">
        <v>980</v>
      </c>
      <c r="B3383" s="3" t="s">
        <v>999</v>
      </c>
      <c r="C3383" s="10">
        <v>17</v>
      </c>
      <c r="D3383" s="10">
        <v>2</v>
      </c>
      <c r="E3383" s="10">
        <v>19</v>
      </c>
      <c r="F3383" t="s">
        <v>1006</v>
      </c>
      <c r="G3383" t="s">
        <v>889</v>
      </c>
      <c r="H3383" t="s">
        <v>49</v>
      </c>
      <c r="I3383" t="s">
        <v>50</v>
      </c>
      <c r="J3383" s="4">
        <v>13.39</v>
      </c>
      <c r="K3383">
        <v>1</v>
      </c>
      <c r="L3383">
        <v>56.371900000000004</v>
      </c>
      <c r="M3383">
        <v>56.371900000000004</v>
      </c>
      <c r="N3383" s="5">
        <v>2.8571667511403955</v>
      </c>
      <c r="O3383" t="s">
        <v>147</v>
      </c>
      <c r="P3383" t="s">
        <v>148</v>
      </c>
      <c r="Q3383" s="10" t="s">
        <v>24</v>
      </c>
    </row>
    <row r="3384" spans="1:18" hidden="1" x14ac:dyDescent="0.25">
      <c r="A3384" s="9" t="s">
        <v>980</v>
      </c>
      <c r="B3384" s="3" t="s">
        <v>999</v>
      </c>
      <c r="C3384" s="10">
        <v>17</v>
      </c>
      <c r="D3384" s="10">
        <v>2</v>
      </c>
      <c r="E3384" s="10">
        <v>19</v>
      </c>
      <c r="F3384" t="s">
        <v>1498</v>
      </c>
      <c r="G3384" t="s">
        <v>889</v>
      </c>
      <c r="H3384" t="s">
        <v>49</v>
      </c>
      <c r="I3384" t="s">
        <v>50</v>
      </c>
      <c r="J3384" s="4">
        <v>8.65</v>
      </c>
      <c r="K3384">
        <v>2</v>
      </c>
      <c r="L3384">
        <v>36.416499999999999</v>
      </c>
      <c r="M3384">
        <v>72.832999999999998</v>
      </c>
      <c r="N3384" s="5">
        <v>3.691485048150025</v>
      </c>
      <c r="O3384" t="s">
        <v>147</v>
      </c>
      <c r="P3384" t="s">
        <v>148</v>
      </c>
      <c r="Q3384" s="10" t="s">
        <v>24</v>
      </c>
    </row>
    <row r="3385" spans="1:18" hidden="1" x14ac:dyDescent="0.25">
      <c r="A3385" s="9" t="s">
        <v>980</v>
      </c>
      <c r="B3385" s="3" t="s">
        <v>999</v>
      </c>
      <c r="C3385" s="10">
        <v>17</v>
      </c>
      <c r="D3385" s="10">
        <v>2</v>
      </c>
      <c r="E3385" s="10">
        <v>19</v>
      </c>
      <c r="F3385" t="s">
        <v>1692</v>
      </c>
      <c r="H3385" t="s">
        <v>49</v>
      </c>
      <c r="I3385" t="s">
        <v>50</v>
      </c>
      <c r="J3385" s="4">
        <v>4.0999999999999996</v>
      </c>
      <c r="K3385">
        <v>1</v>
      </c>
      <c r="L3385">
        <v>17.260999999999999</v>
      </c>
      <c r="M3385">
        <v>17.260999999999999</v>
      </c>
      <c r="N3385" s="5">
        <v>0.8748606183476938</v>
      </c>
      <c r="O3385" t="s">
        <v>147</v>
      </c>
      <c r="P3385" t="s">
        <v>148</v>
      </c>
      <c r="Q3385" s="10" t="s">
        <v>24</v>
      </c>
    </row>
    <row r="3386" spans="1:18" hidden="1" x14ac:dyDescent="0.25">
      <c r="A3386" s="9" t="s">
        <v>980</v>
      </c>
      <c r="B3386" s="3" t="s">
        <v>999</v>
      </c>
      <c r="C3386" s="10">
        <v>17</v>
      </c>
      <c r="D3386" s="10">
        <v>2</v>
      </c>
      <c r="E3386" s="10">
        <v>19</v>
      </c>
      <c r="F3386" t="s">
        <v>1007</v>
      </c>
      <c r="G3386" t="s">
        <v>889</v>
      </c>
      <c r="H3386" t="s">
        <v>49</v>
      </c>
      <c r="I3386" t="s">
        <v>50</v>
      </c>
      <c r="J3386" s="4">
        <v>13.39</v>
      </c>
      <c r="K3386">
        <v>1</v>
      </c>
      <c r="L3386">
        <v>56.371900000000004</v>
      </c>
      <c r="M3386">
        <v>56.371900000000004</v>
      </c>
      <c r="N3386" s="5">
        <v>2.8571667511403955</v>
      </c>
      <c r="O3386" t="s">
        <v>147</v>
      </c>
      <c r="P3386" t="s">
        <v>148</v>
      </c>
      <c r="Q3386" s="10" t="s">
        <v>24</v>
      </c>
    </row>
    <row r="3387" spans="1:18" hidden="1" x14ac:dyDescent="0.25">
      <c r="A3387" s="9" t="s">
        <v>980</v>
      </c>
      <c r="B3387" s="3" t="s">
        <v>999</v>
      </c>
      <c r="C3387" s="10">
        <v>17</v>
      </c>
      <c r="D3387" s="10">
        <v>2</v>
      </c>
      <c r="E3387" s="10">
        <v>19</v>
      </c>
      <c r="F3387" t="s">
        <v>409</v>
      </c>
      <c r="G3387" t="s">
        <v>889</v>
      </c>
      <c r="H3387" t="s">
        <v>49</v>
      </c>
      <c r="I3387" t="s">
        <v>50</v>
      </c>
      <c r="J3387" s="4">
        <v>11.25</v>
      </c>
      <c r="K3387">
        <v>1</v>
      </c>
      <c r="L3387">
        <v>47.362499999999997</v>
      </c>
      <c r="M3387">
        <v>47.362499999999997</v>
      </c>
      <c r="N3387" s="5">
        <v>2.4005321844906233</v>
      </c>
      <c r="O3387" t="s">
        <v>147</v>
      </c>
      <c r="P3387" t="s">
        <v>148</v>
      </c>
      <c r="Q3387" s="10" t="s">
        <v>24</v>
      </c>
    </row>
    <row r="3388" spans="1:18" hidden="1" x14ac:dyDescent="0.25">
      <c r="A3388" s="9" t="s">
        <v>980</v>
      </c>
      <c r="B3388" s="3" t="s">
        <v>999</v>
      </c>
      <c r="C3388" s="10">
        <v>17</v>
      </c>
      <c r="D3388" s="10">
        <v>2</v>
      </c>
      <c r="E3388" s="10">
        <v>19</v>
      </c>
      <c r="F3388" t="s">
        <v>2187</v>
      </c>
      <c r="G3388" t="s">
        <v>320</v>
      </c>
      <c r="H3388" t="s">
        <v>49</v>
      </c>
      <c r="I3388" t="s">
        <v>50</v>
      </c>
      <c r="J3388" s="4">
        <v>13.88</v>
      </c>
      <c r="K3388">
        <v>2</v>
      </c>
      <c r="L3388">
        <v>58.434800000000003</v>
      </c>
      <c r="M3388">
        <v>116.86960000000001</v>
      </c>
      <c r="N3388" s="5">
        <v>5.9234465281297517</v>
      </c>
      <c r="O3388" t="s">
        <v>147</v>
      </c>
      <c r="P3388" t="s">
        <v>148</v>
      </c>
      <c r="Q3388" s="10" t="s">
        <v>24</v>
      </c>
    </row>
    <row r="3389" spans="1:18" hidden="1" x14ac:dyDescent="0.25">
      <c r="A3389" s="9" t="s">
        <v>980</v>
      </c>
      <c r="B3389" s="3" t="s">
        <v>999</v>
      </c>
      <c r="C3389" s="10">
        <v>17</v>
      </c>
      <c r="D3389" s="10">
        <v>2</v>
      </c>
      <c r="E3389" s="10">
        <v>19</v>
      </c>
      <c r="F3389" t="s">
        <v>1008</v>
      </c>
      <c r="G3389" t="s">
        <v>889</v>
      </c>
      <c r="H3389" t="s">
        <v>63</v>
      </c>
      <c r="I3389" t="s">
        <v>50</v>
      </c>
      <c r="J3389" s="4">
        <v>53.9</v>
      </c>
      <c r="K3389">
        <v>1</v>
      </c>
      <c r="L3389">
        <v>226.91899999999998</v>
      </c>
      <c r="M3389">
        <v>226.91899999999998</v>
      </c>
      <c r="N3389" s="5">
        <v>11.501216421692853</v>
      </c>
      <c r="O3389" t="s">
        <v>147</v>
      </c>
      <c r="P3389" t="s">
        <v>148</v>
      </c>
      <c r="Q3389" s="10" t="s">
        <v>24</v>
      </c>
    </row>
    <row r="3390" spans="1:18" hidden="1" x14ac:dyDescent="0.25">
      <c r="A3390" s="9" t="s">
        <v>980</v>
      </c>
      <c r="B3390" s="3" t="s">
        <v>999</v>
      </c>
      <c r="C3390" s="10">
        <v>17</v>
      </c>
      <c r="D3390" s="10">
        <v>2</v>
      </c>
      <c r="E3390" s="10">
        <v>19</v>
      </c>
      <c r="F3390" t="s">
        <v>525</v>
      </c>
      <c r="G3390" t="s">
        <v>889</v>
      </c>
      <c r="H3390" t="s">
        <v>49</v>
      </c>
      <c r="I3390" t="s">
        <v>50</v>
      </c>
      <c r="J3390" s="4">
        <v>5.79</v>
      </c>
      <c r="K3390">
        <v>1</v>
      </c>
      <c r="L3390">
        <v>24.375900000000001</v>
      </c>
      <c r="M3390">
        <v>24.375900000000001</v>
      </c>
      <c r="N3390" s="5">
        <v>1.235473897617841</v>
      </c>
      <c r="O3390" t="s">
        <v>147</v>
      </c>
      <c r="P3390" t="s">
        <v>148</v>
      </c>
      <c r="Q3390" s="10" t="s">
        <v>24</v>
      </c>
    </row>
    <row r="3391" spans="1:18" hidden="1" x14ac:dyDescent="0.25">
      <c r="A3391" s="9" t="s">
        <v>980</v>
      </c>
      <c r="B3391" s="3" t="s">
        <v>999</v>
      </c>
      <c r="C3391" s="10">
        <v>17</v>
      </c>
      <c r="D3391" s="10">
        <v>2</v>
      </c>
      <c r="E3391" s="10">
        <v>19</v>
      </c>
      <c r="F3391" t="s">
        <v>316</v>
      </c>
      <c r="G3391" t="s">
        <v>889</v>
      </c>
      <c r="H3391" t="s">
        <v>49</v>
      </c>
      <c r="I3391" t="s">
        <v>79</v>
      </c>
      <c r="J3391" s="4">
        <v>7.99</v>
      </c>
      <c r="K3391">
        <v>1</v>
      </c>
      <c r="L3391">
        <v>33.637900000000002</v>
      </c>
      <c r="M3391">
        <v>33.637900000000002</v>
      </c>
      <c r="N3391" s="5">
        <v>1.7049113025848961</v>
      </c>
      <c r="O3391" t="s">
        <v>147</v>
      </c>
      <c r="P3391" t="s">
        <v>148</v>
      </c>
      <c r="Q3391" s="10" t="s">
        <v>24</v>
      </c>
      <c r="R3391" t="s">
        <v>1584</v>
      </c>
    </row>
    <row r="3392" spans="1:18" hidden="1" x14ac:dyDescent="0.25">
      <c r="A3392" s="9" t="s">
        <v>980</v>
      </c>
      <c r="B3392" s="3" t="s">
        <v>999</v>
      </c>
      <c r="C3392" s="10">
        <v>17</v>
      </c>
      <c r="D3392" s="10">
        <v>2</v>
      </c>
      <c r="E3392" s="10">
        <v>19</v>
      </c>
      <c r="F3392" t="s">
        <v>1502</v>
      </c>
      <c r="G3392" t="s">
        <v>889</v>
      </c>
      <c r="H3392" t="s">
        <v>49</v>
      </c>
      <c r="I3392" t="s">
        <v>50</v>
      </c>
      <c r="J3392" s="4">
        <v>21.15</v>
      </c>
      <c r="K3392">
        <v>1</v>
      </c>
      <c r="L3392">
        <v>89.041499999999999</v>
      </c>
      <c r="M3392">
        <v>89.041499999999999</v>
      </c>
      <c r="N3392" s="5">
        <v>4.5130005068423715</v>
      </c>
      <c r="O3392" t="s">
        <v>147</v>
      </c>
      <c r="P3392" t="s">
        <v>148</v>
      </c>
      <c r="Q3392" s="10" t="s">
        <v>24</v>
      </c>
      <c r="R3392" t="s">
        <v>1500</v>
      </c>
    </row>
    <row r="3393" spans="1:18" hidden="1" x14ac:dyDescent="0.25">
      <c r="A3393" s="9" t="s">
        <v>980</v>
      </c>
      <c r="B3393" s="3" t="s">
        <v>999</v>
      </c>
      <c r="C3393" s="10">
        <v>17</v>
      </c>
      <c r="D3393" s="10">
        <v>2</v>
      </c>
      <c r="E3393" s="10">
        <v>19</v>
      </c>
      <c r="F3393" t="s">
        <v>1502</v>
      </c>
      <c r="H3393" t="s">
        <v>49</v>
      </c>
      <c r="I3393" t="s">
        <v>50</v>
      </c>
      <c r="J3393" s="4">
        <v>17.89</v>
      </c>
      <c r="K3393">
        <v>1</v>
      </c>
      <c r="L3393">
        <v>75.316900000000004</v>
      </c>
      <c r="M3393">
        <v>75.316900000000004</v>
      </c>
      <c r="N3393" s="5">
        <v>3.817379624936645</v>
      </c>
      <c r="O3393" t="s">
        <v>147</v>
      </c>
      <c r="P3393" t="s">
        <v>148</v>
      </c>
      <c r="Q3393" s="10" t="s">
        <v>24</v>
      </c>
      <c r="R3393" t="s">
        <v>1501</v>
      </c>
    </row>
    <row r="3394" spans="1:18" hidden="1" x14ac:dyDescent="0.25">
      <c r="A3394" s="9" t="s">
        <v>980</v>
      </c>
      <c r="B3394" s="3" t="s">
        <v>999</v>
      </c>
      <c r="C3394" s="10">
        <v>17</v>
      </c>
      <c r="D3394" s="10">
        <v>2</v>
      </c>
      <c r="E3394" s="10">
        <v>19</v>
      </c>
      <c r="F3394" t="s">
        <v>328</v>
      </c>
      <c r="G3394" t="s">
        <v>328</v>
      </c>
      <c r="H3394" t="s">
        <v>49</v>
      </c>
      <c r="I3394" t="s">
        <v>50</v>
      </c>
      <c r="J3394" s="4">
        <v>11.6</v>
      </c>
      <c r="K3394">
        <v>1</v>
      </c>
      <c r="L3394">
        <v>48.835999999999999</v>
      </c>
      <c r="M3394">
        <v>48.835999999999999</v>
      </c>
      <c r="N3394" s="5">
        <v>2.4752154080081095</v>
      </c>
      <c r="O3394" t="s">
        <v>147</v>
      </c>
      <c r="P3394" t="s">
        <v>148</v>
      </c>
      <c r="Q3394" s="10" t="s">
        <v>24</v>
      </c>
    </row>
    <row r="3395" spans="1:18" hidden="1" x14ac:dyDescent="0.25">
      <c r="A3395" s="9" t="s">
        <v>980</v>
      </c>
      <c r="B3395" s="3" t="s">
        <v>999</v>
      </c>
      <c r="C3395" s="10">
        <v>17</v>
      </c>
      <c r="D3395" s="10">
        <v>2</v>
      </c>
      <c r="E3395" s="10">
        <v>19</v>
      </c>
      <c r="F3395" t="s">
        <v>44</v>
      </c>
      <c r="G3395" t="s">
        <v>889</v>
      </c>
      <c r="H3395" t="s">
        <v>44</v>
      </c>
      <c r="I3395" t="s">
        <v>27</v>
      </c>
      <c r="J3395" s="4">
        <v>8.6999999999999993</v>
      </c>
      <c r="K3395">
        <v>2</v>
      </c>
      <c r="L3395">
        <v>36.626999999999995</v>
      </c>
      <c r="M3395">
        <v>73.253999999999991</v>
      </c>
      <c r="N3395" s="5">
        <v>3.7128231120121638</v>
      </c>
      <c r="O3395" t="s">
        <v>147</v>
      </c>
      <c r="P3395" t="s">
        <v>148</v>
      </c>
      <c r="Q3395" s="10" t="s">
        <v>24</v>
      </c>
    </row>
    <row r="3396" spans="1:18" hidden="1" x14ac:dyDescent="0.25">
      <c r="A3396" s="9" t="s">
        <v>980</v>
      </c>
      <c r="B3396" s="3" t="s">
        <v>999</v>
      </c>
      <c r="C3396" s="10">
        <v>17</v>
      </c>
      <c r="D3396" s="10">
        <v>2</v>
      </c>
      <c r="E3396" s="10">
        <v>19</v>
      </c>
      <c r="F3396" t="s">
        <v>217</v>
      </c>
      <c r="G3396" t="s">
        <v>25</v>
      </c>
      <c r="H3396" t="s">
        <v>26</v>
      </c>
      <c r="I3396" t="s">
        <v>27</v>
      </c>
      <c r="J3396" s="4">
        <v>4.95</v>
      </c>
      <c r="K3396">
        <v>2</v>
      </c>
      <c r="L3396">
        <v>20.839500000000001</v>
      </c>
      <c r="M3396">
        <v>41.679000000000002</v>
      </c>
      <c r="N3396" s="5">
        <v>2.1124683223517486</v>
      </c>
      <c r="O3396" t="s">
        <v>147</v>
      </c>
      <c r="P3396" t="s">
        <v>148</v>
      </c>
      <c r="Q3396" s="10" t="s">
        <v>24</v>
      </c>
    </row>
    <row r="3397" spans="1:18" hidden="1" x14ac:dyDescent="0.25">
      <c r="A3397" s="9" t="s">
        <v>980</v>
      </c>
      <c r="B3397" s="3" t="s">
        <v>999</v>
      </c>
      <c r="C3397" s="10">
        <v>17</v>
      </c>
      <c r="D3397" s="10">
        <v>2</v>
      </c>
      <c r="E3397" s="10">
        <v>19</v>
      </c>
      <c r="F3397" t="s">
        <v>1009</v>
      </c>
      <c r="G3397" t="s">
        <v>889</v>
      </c>
      <c r="H3397" t="s">
        <v>40</v>
      </c>
      <c r="I3397" t="s">
        <v>27</v>
      </c>
      <c r="J3397" s="4">
        <v>0.79</v>
      </c>
      <c r="K3397">
        <v>2</v>
      </c>
      <c r="L3397">
        <v>3.3259000000000003</v>
      </c>
      <c r="M3397">
        <v>6.6518000000000006</v>
      </c>
      <c r="N3397" s="5">
        <v>0.33714140902179424</v>
      </c>
      <c r="O3397" t="s">
        <v>147</v>
      </c>
      <c r="P3397" t="s">
        <v>148</v>
      </c>
      <c r="Q3397" s="10" t="s">
        <v>24</v>
      </c>
    </row>
    <row r="3398" spans="1:18" hidden="1" x14ac:dyDescent="0.25">
      <c r="A3398" s="9" t="s">
        <v>980</v>
      </c>
      <c r="B3398" s="3" t="s">
        <v>999</v>
      </c>
      <c r="C3398" s="10">
        <v>17</v>
      </c>
      <c r="D3398" s="10">
        <v>2</v>
      </c>
      <c r="E3398" s="10">
        <v>19</v>
      </c>
      <c r="F3398" t="s">
        <v>118</v>
      </c>
      <c r="G3398" t="s">
        <v>889</v>
      </c>
      <c r="H3398" t="s">
        <v>40</v>
      </c>
      <c r="I3398" t="s">
        <v>27</v>
      </c>
      <c r="J3398" s="4">
        <v>3.99</v>
      </c>
      <c r="K3398">
        <v>1</v>
      </c>
      <c r="L3398">
        <v>16.797900000000002</v>
      </c>
      <c r="M3398">
        <v>16.797900000000002</v>
      </c>
      <c r="N3398" s="5">
        <v>0.85138874809934117</v>
      </c>
      <c r="O3398" t="s">
        <v>147</v>
      </c>
      <c r="P3398" t="s">
        <v>148</v>
      </c>
      <c r="Q3398" s="10" t="s">
        <v>24</v>
      </c>
    </row>
    <row r="3399" spans="1:18" hidden="1" x14ac:dyDescent="0.25">
      <c r="A3399" s="9" t="s">
        <v>980</v>
      </c>
      <c r="B3399" s="3" t="s">
        <v>999</v>
      </c>
      <c r="C3399" s="10">
        <v>17</v>
      </c>
      <c r="D3399" s="10">
        <v>2</v>
      </c>
      <c r="E3399" s="10">
        <v>19</v>
      </c>
      <c r="F3399" t="s">
        <v>1490</v>
      </c>
      <c r="G3399" t="s">
        <v>31</v>
      </c>
      <c r="H3399" t="s">
        <v>26</v>
      </c>
      <c r="I3399" t="s">
        <v>27</v>
      </c>
      <c r="J3399" s="4">
        <v>3.32</v>
      </c>
      <c r="K3399">
        <v>4</v>
      </c>
      <c r="L3399">
        <v>13.9772</v>
      </c>
      <c r="M3399">
        <v>55.908799999999999</v>
      </c>
      <c r="N3399" s="5">
        <v>2.8336948808920424</v>
      </c>
      <c r="O3399" t="s">
        <v>147</v>
      </c>
      <c r="P3399" t="s">
        <v>148</v>
      </c>
      <c r="Q3399" s="10" t="s">
        <v>24</v>
      </c>
    </row>
    <row r="3400" spans="1:18" hidden="1" x14ac:dyDescent="0.25">
      <c r="A3400" s="9" t="s">
        <v>980</v>
      </c>
      <c r="B3400" s="3" t="s">
        <v>1922</v>
      </c>
      <c r="C3400" s="10">
        <v>19</v>
      </c>
      <c r="D3400" s="10">
        <v>2</v>
      </c>
      <c r="E3400" s="10">
        <v>19</v>
      </c>
      <c r="F3400" t="s">
        <v>217</v>
      </c>
      <c r="G3400" t="s">
        <v>25</v>
      </c>
      <c r="H3400" t="s">
        <v>26</v>
      </c>
      <c r="I3400" t="s">
        <v>27</v>
      </c>
      <c r="J3400" s="4">
        <v>32</v>
      </c>
      <c r="K3400">
        <v>1</v>
      </c>
      <c r="L3400">
        <v>32</v>
      </c>
      <c r="M3400">
        <v>32</v>
      </c>
      <c r="N3400" s="5">
        <v>1.6263167621511734</v>
      </c>
      <c r="O3400" t="s">
        <v>100</v>
      </c>
      <c r="P3400" t="s">
        <v>340</v>
      </c>
      <c r="Q3400" s="10" t="s">
        <v>24</v>
      </c>
    </row>
    <row r="3401" spans="1:18" hidden="1" x14ac:dyDescent="0.25">
      <c r="A3401" s="9" t="s">
        <v>980</v>
      </c>
      <c r="B3401" s="3" t="s">
        <v>1922</v>
      </c>
      <c r="C3401" s="10">
        <v>19</v>
      </c>
      <c r="D3401" s="10">
        <v>2</v>
      </c>
      <c r="E3401" s="10">
        <v>19</v>
      </c>
      <c r="F3401" t="s">
        <v>974</v>
      </c>
      <c r="G3401" t="s">
        <v>25</v>
      </c>
      <c r="H3401" t="s">
        <v>26</v>
      </c>
      <c r="I3401" t="s">
        <v>27</v>
      </c>
      <c r="J3401" s="4">
        <v>212.5</v>
      </c>
      <c r="K3401">
        <v>0.33500000000000002</v>
      </c>
      <c r="L3401">
        <v>212.5</v>
      </c>
      <c r="M3401">
        <v>71.1875</v>
      </c>
      <c r="N3401" s="5">
        <v>3.6179195158011455</v>
      </c>
      <c r="O3401" t="s">
        <v>100</v>
      </c>
      <c r="P3401" t="s">
        <v>340</v>
      </c>
      <c r="Q3401" s="10" t="s">
        <v>24</v>
      </c>
    </row>
    <row r="3402" spans="1:18" hidden="1" x14ac:dyDescent="0.25">
      <c r="A3402" s="9" t="s">
        <v>980</v>
      </c>
      <c r="B3402" s="3" t="s">
        <v>1922</v>
      </c>
      <c r="C3402" s="10">
        <v>19</v>
      </c>
      <c r="D3402" s="10">
        <v>2</v>
      </c>
      <c r="E3402" s="10">
        <v>19</v>
      </c>
      <c r="F3402" t="s">
        <v>802</v>
      </c>
      <c r="G3402" t="s">
        <v>708</v>
      </c>
      <c r="H3402" t="s">
        <v>1612</v>
      </c>
      <c r="I3402" t="s">
        <v>27</v>
      </c>
      <c r="J3402" s="4">
        <v>128</v>
      </c>
      <c r="K3402">
        <v>0.185</v>
      </c>
      <c r="L3402">
        <v>128</v>
      </c>
      <c r="M3402">
        <v>23.68</v>
      </c>
      <c r="N3402" s="5">
        <v>1.2034744039918681</v>
      </c>
      <c r="O3402" t="s">
        <v>100</v>
      </c>
      <c r="P3402" t="s">
        <v>340</v>
      </c>
      <c r="Q3402" s="10" t="s">
        <v>24</v>
      </c>
    </row>
    <row r="3403" spans="1:18" hidden="1" x14ac:dyDescent="0.25">
      <c r="A3403" s="9" t="s">
        <v>980</v>
      </c>
      <c r="B3403" s="3" t="s">
        <v>1922</v>
      </c>
      <c r="C3403" s="10">
        <v>19</v>
      </c>
      <c r="D3403" s="10">
        <v>2</v>
      </c>
      <c r="E3403" s="10">
        <v>19</v>
      </c>
      <c r="F3403" t="s">
        <v>99</v>
      </c>
      <c r="G3403" t="s">
        <v>889</v>
      </c>
      <c r="H3403" t="s">
        <v>40</v>
      </c>
      <c r="I3403" t="s">
        <v>27</v>
      </c>
      <c r="J3403" s="4">
        <v>10</v>
      </c>
      <c r="K3403">
        <v>1</v>
      </c>
      <c r="L3403">
        <v>10</v>
      </c>
      <c r="M3403">
        <v>10</v>
      </c>
      <c r="N3403" s="5">
        <v>0.50822398817224168</v>
      </c>
      <c r="O3403" t="s">
        <v>100</v>
      </c>
      <c r="P3403" t="s">
        <v>340</v>
      </c>
      <c r="Q3403" s="10" t="s">
        <v>24</v>
      </c>
    </row>
    <row r="3404" spans="1:18" hidden="1" x14ac:dyDescent="0.25">
      <c r="A3404" s="9" t="s">
        <v>980</v>
      </c>
      <c r="B3404" s="3" t="s">
        <v>1079</v>
      </c>
      <c r="C3404" s="10">
        <v>2</v>
      </c>
      <c r="D3404" s="10">
        <v>2</v>
      </c>
      <c r="E3404" s="10">
        <v>19</v>
      </c>
      <c r="F3404" t="s">
        <v>1073</v>
      </c>
      <c r="G3404" t="s">
        <v>889</v>
      </c>
      <c r="H3404" t="s">
        <v>332</v>
      </c>
      <c r="I3404" t="s">
        <v>27</v>
      </c>
      <c r="J3404" s="4">
        <v>76</v>
      </c>
      <c r="K3404">
        <v>1</v>
      </c>
      <c r="L3404">
        <v>76</v>
      </c>
      <c r="M3404">
        <v>76</v>
      </c>
      <c r="N3404" s="5">
        <v>3.8668973237000102</v>
      </c>
      <c r="O3404" t="s">
        <v>39</v>
      </c>
      <c r="P3404" t="s">
        <v>340</v>
      </c>
      <c r="Q3404" s="10" t="s">
        <v>24</v>
      </c>
    </row>
    <row r="3405" spans="1:18" hidden="1" x14ac:dyDescent="0.25">
      <c r="A3405" s="9" t="s">
        <v>980</v>
      </c>
      <c r="B3405" s="3" t="s">
        <v>1079</v>
      </c>
      <c r="C3405" s="10">
        <v>2</v>
      </c>
      <c r="D3405" s="10">
        <v>2</v>
      </c>
      <c r="E3405" s="10">
        <v>19</v>
      </c>
      <c r="F3405" t="s">
        <v>1074</v>
      </c>
      <c r="G3405" t="s">
        <v>889</v>
      </c>
      <c r="H3405" t="s">
        <v>63</v>
      </c>
      <c r="I3405" t="s">
        <v>50</v>
      </c>
      <c r="J3405" s="4">
        <v>200</v>
      </c>
      <c r="K3405">
        <v>1</v>
      </c>
      <c r="L3405">
        <v>200</v>
      </c>
      <c r="M3405">
        <v>200</v>
      </c>
      <c r="N3405" s="5">
        <v>10.176045588684238</v>
      </c>
      <c r="O3405" t="s">
        <v>39</v>
      </c>
      <c r="P3405" t="s">
        <v>340</v>
      </c>
      <c r="Q3405" s="10" t="s">
        <v>24</v>
      </c>
    </row>
    <row r="3406" spans="1:18" hidden="1" x14ac:dyDescent="0.25">
      <c r="A3406" s="9" t="s">
        <v>980</v>
      </c>
      <c r="B3406" s="3" t="s">
        <v>1079</v>
      </c>
      <c r="C3406" s="10">
        <v>2</v>
      </c>
      <c r="D3406" s="10">
        <v>2</v>
      </c>
      <c r="E3406" s="10">
        <v>19</v>
      </c>
      <c r="F3406" t="s">
        <v>1075</v>
      </c>
      <c r="G3406" t="s">
        <v>889</v>
      </c>
      <c r="H3406" t="s">
        <v>56</v>
      </c>
      <c r="I3406" t="s">
        <v>27</v>
      </c>
      <c r="J3406" s="4">
        <v>25</v>
      </c>
      <c r="K3406">
        <v>1</v>
      </c>
      <c r="L3406">
        <v>25</v>
      </c>
      <c r="M3406">
        <v>25</v>
      </c>
      <c r="N3406" s="5">
        <v>1.2720056985855297</v>
      </c>
      <c r="O3406" t="s">
        <v>39</v>
      </c>
      <c r="P3406" t="s">
        <v>340</v>
      </c>
      <c r="Q3406" s="10" t="s">
        <v>24</v>
      </c>
    </row>
    <row r="3407" spans="1:18" hidden="1" x14ac:dyDescent="0.25">
      <c r="A3407" s="9" t="s">
        <v>980</v>
      </c>
      <c r="B3407" s="3" t="s">
        <v>1079</v>
      </c>
      <c r="C3407" s="10">
        <v>2</v>
      </c>
      <c r="D3407" s="10">
        <v>2</v>
      </c>
      <c r="E3407" s="10">
        <v>19</v>
      </c>
      <c r="F3407" t="s">
        <v>1076</v>
      </c>
      <c r="G3407" t="s">
        <v>889</v>
      </c>
      <c r="H3407" t="s">
        <v>59</v>
      </c>
      <c r="I3407" t="s">
        <v>27</v>
      </c>
      <c r="J3407" s="4">
        <v>150</v>
      </c>
      <c r="K3407">
        <v>1</v>
      </c>
      <c r="L3407">
        <v>150</v>
      </c>
      <c r="M3407">
        <v>150</v>
      </c>
      <c r="N3407" s="5">
        <v>7.6320341915131777</v>
      </c>
      <c r="O3407" t="s">
        <v>39</v>
      </c>
      <c r="P3407" t="s">
        <v>340</v>
      </c>
      <c r="Q3407" s="10" t="s">
        <v>24</v>
      </c>
    </row>
    <row r="3408" spans="1:18" hidden="1" x14ac:dyDescent="0.25">
      <c r="A3408" s="9" t="s">
        <v>980</v>
      </c>
      <c r="B3408" s="3" t="s">
        <v>1079</v>
      </c>
      <c r="C3408" s="10">
        <v>2</v>
      </c>
      <c r="D3408" s="10">
        <v>2</v>
      </c>
      <c r="E3408" s="10">
        <v>19</v>
      </c>
      <c r="F3408" t="s">
        <v>211</v>
      </c>
      <c r="G3408" t="s">
        <v>889</v>
      </c>
      <c r="H3408" t="s">
        <v>56</v>
      </c>
      <c r="I3408" t="s">
        <v>27</v>
      </c>
      <c r="J3408" s="4">
        <v>19</v>
      </c>
      <c r="K3408">
        <v>1</v>
      </c>
      <c r="L3408">
        <v>19</v>
      </c>
      <c r="M3408">
        <v>19</v>
      </c>
      <c r="N3408" s="5">
        <v>0.96672433092500254</v>
      </c>
      <c r="O3408" t="s">
        <v>39</v>
      </c>
      <c r="P3408" t="s">
        <v>340</v>
      </c>
      <c r="Q3408" s="10" t="s">
        <v>24</v>
      </c>
    </row>
    <row r="3409" spans="1:18" hidden="1" x14ac:dyDescent="0.25">
      <c r="A3409" s="9" t="s">
        <v>980</v>
      </c>
      <c r="B3409" s="3" t="s">
        <v>1079</v>
      </c>
      <c r="C3409" s="10">
        <v>2</v>
      </c>
      <c r="D3409" s="10">
        <v>2</v>
      </c>
      <c r="E3409" s="10">
        <v>19</v>
      </c>
      <c r="F3409" t="s">
        <v>44</v>
      </c>
      <c r="G3409" t="s">
        <v>889</v>
      </c>
      <c r="H3409" t="s">
        <v>44</v>
      </c>
      <c r="I3409" t="s">
        <v>27</v>
      </c>
      <c r="J3409" s="4">
        <v>140</v>
      </c>
      <c r="K3409">
        <v>1</v>
      </c>
      <c r="L3409">
        <v>140</v>
      </c>
      <c r="M3409">
        <v>140</v>
      </c>
      <c r="N3409" s="5">
        <v>7.1232319120789658</v>
      </c>
      <c r="O3409" t="s">
        <v>39</v>
      </c>
      <c r="P3409" t="s">
        <v>340</v>
      </c>
      <c r="Q3409" s="10" t="s">
        <v>24</v>
      </c>
    </row>
    <row r="3410" spans="1:18" hidden="1" x14ac:dyDescent="0.25">
      <c r="A3410" s="9" t="s">
        <v>980</v>
      </c>
      <c r="B3410" s="3" t="s">
        <v>1079</v>
      </c>
      <c r="C3410" s="10">
        <v>2</v>
      </c>
      <c r="D3410" s="10">
        <v>2</v>
      </c>
      <c r="E3410" s="10">
        <v>19</v>
      </c>
      <c r="F3410" t="s">
        <v>1077</v>
      </c>
      <c r="G3410" t="s">
        <v>889</v>
      </c>
      <c r="H3410" t="s">
        <v>131</v>
      </c>
      <c r="I3410" t="s">
        <v>27</v>
      </c>
      <c r="J3410" s="4">
        <v>30</v>
      </c>
      <c r="K3410">
        <v>1</v>
      </c>
      <c r="L3410">
        <v>30</v>
      </c>
      <c r="M3410">
        <v>30</v>
      </c>
      <c r="N3410" s="5">
        <v>1.5264068383026357</v>
      </c>
      <c r="O3410" t="s">
        <v>39</v>
      </c>
      <c r="P3410" t="s">
        <v>340</v>
      </c>
      <c r="Q3410" s="10" t="s">
        <v>24</v>
      </c>
    </row>
    <row r="3411" spans="1:18" hidden="1" x14ac:dyDescent="0.25">
      <c r="A3411" s="9" t="s">
        <v>980</v>
      </c>
      <c r="B3411" s="3" t="s">
        <v>1079</v>
      </c>
      <c r="C3411" s="10">
        <v>2</v>
      </c>
      <c r="D3411" s="10">
        <v>2</v>
      </c>
      <c r="E3411" s="10">
        <v>19</v>
      </c>
      <c r="F3411" t="s">
        <v>165</v>
      </c>
      <c r="H3411" t="s">
        <v>63</v>
      </c>
      <c r="I3411" t="s">
        <v>27</v>
      </c>
      <c r="J3411" s="4">
        <v>80</v>
      </c>
      <c r="K3411">
        <v>1</v>
      </c>
      <c r="L3411">
        <v>80</v>
      </c>
      <c r="M3411">
        <v>80</v>
      </c>
      <c r="N3411" s="5">
        <v>4.0704182354736949</v>
      </c>
      <c r="O3411" t="s">
        <v>39</v>
      </c>
      <c r="P3411" t="s">
        <v>340</v>
      </c>
      <c r="Q3411" s="10" t="s">
        <v>24</v>
      </c>
    </row>
    <row r="3412" spans="1:18" hidden="1" x14ac:dyDescent="0.25">
      <c r="A3412" s="9" t="s">
        <v>980</v>
      </c>
      <c r="B3412" s="3" t="s">
        <v>1079</v>
      </c>
      <c r="C3412" s="10">
        <v>2</v>
      </c>
      <c r="D3412" s="10">
        <v>2</v>
      </c>
      <c r="E3412" s="10">
        <v>19</v>
      </c>
      <c r="F3412" t="s">
        <v>1078</v>
      </c>
      <c r="G3412" s="12"/>
      <c r="H3412" t="s">
        <v>65</v>
      </c>
      <c r="I3412" t="s">
        <v>27</v>
      </c>
      <c r="J3412" s="4">
        <v>125</v>
      </c>
      <c r="K3412">
        <v>1</v>
      </c>
      <c r="L3412" s="13">
        <v>125</v>
      </c>
      <c r="M3412">
        <v>125</v>
      </c>
      <c r="N3412" s="5">
        <v>6.3600284929276487</v>
      </c>
      <c r="O3412" t="s">
        <v>39</v>
      </c>
      <c r="P3412" t="s">
        <v>340</v>
      </c>
      <c r="Q3412" s="10" t="s">
        <v>24</v>
      </c>
    </row>
    <row r="3413" spans="1:18" hidden="1" x14ac:dyDescent="0.25">
      <c r="A3413" s="9" t="s">
        <v>980</v>
      </c>
      <c r="B3413" s="3" t="s">
        <v>1079</v>
      </c>
      <c r="C3413" s="10">
        <v>2</v>
      </c>
      <c r="D3413" s="10">
        <v>2</v>
      </c>
      <c r="E3413" s="10">
        <v>19</v>
      </c>
      <c r="F3413" t="s">
        <v>98</v>
      </c>
      <c r="H3413" t="s">
        <v>26</v>
      </c>
      <c r="I3413" t="s">
        <v>27</v>
      </c>
      <c r="J3413" s="4">
        <v>30</v>
      </c>
      <c r="K3413">
        <v>1</v>
      </c>
      <c r="L3413">
        <v>30</v>
      </c>
      <c r="M3413">
        <v>30</v>
      </c>
      <c r="N3413" s="5">
        <v>1.5264068383026357</v>
      </c>
      <c r="O3413" t="s">
        <v>39</v>
      </c>
      <c r="P3413" t="s">
        <v>340</v>
      </c>
      <c r="Q3413" s="10" t="s">
        <v>24</v>
      </c>
      <c r="R3413" t="s">
        <v>1261</v>
      </c>
    </row>
    <row r="3414" spans="1:18" hidden="1" x14ac:dyDescent="0.25">
      <c r="A3414" s="9" t="s">
        <v>980</v>
      </c>
      <c r="B3414" s="3" t="s">
        <v>1079</v>
      </c>
      <c r="C3414" s="10">
        <v>2</v>
      </c>
      <c r="D3414" s="10">
        <v>2</v>
      </c>
      <c r="E3414" s="10">
        <v>19</v>
      </c>
      <c r="F3414" t="s">
        <v>53</v>
      </c>
      <c r="G3414" t="s">
        <v>889</v>
      </c>
      <c r="H3414" t="s">
        <v>53</v>
      </c>
      <c r="I3414" t="s">
        <v>27</v>
      </c>
      <c r="J3414" s="4">
        <v>8.6</v>
      </c>
      <c r="K3414">
        <v>1</v>
      </c>
      <c r="L3414">
        <v>8.6</v>
      </c>
      <c r="M3414">
        <v>8.6</v>
      </c>
      <c r="N3414" s="5">
        <v>0.43707262982812778</v>
      </c>
      <c r="O3414" t="s">
        <v>100</v>
      </c>
      <c r="P3414" t="s">
        <v>340</v>
      </c>
      <c r="Q3414" s="10" t="s">
        <v>24</v>
      </c>
    </row>
    <row r="3415" spans="1:18" hidden="1" x14ac:dyDescent="0.25">
      <c r="A3415" s="9" t="s">
        <v>980</v>
      </c>
      <c r="B3415" s="3" t="s">
        <v>1079</v>
      </c>
      <c r="C3415" s="10">
        <v>2</v>
      </c>
      <c r="D3415" s="10">
        <v>2</v>
      </c>
      <c r="E3415" s="10">
        <v>19</v>
      </c>
      <c r="F3415" t="s">
        <v>364</v>
      </c>
      <c r="G3415" t="s">
        <v>889</v>
      </c>
      <c r="H3415" t="s">
        <v>63</v>
      </c>
      <c r="I3415" t="s">
        <v>27</v>
      </c>
      <c r="J3415" s="4">
        <v>22.6</v>
      </c>
      <c r="K3415">
        <v>1</v>
      </c>
      <c r="L3415">
        <v>22.6</v>
      </c>
      <c r="M3415">
        <v>22.6</v>
      </c>
      <c r="N3415" s="5">
        <v>1.1485862132692661</v>
      </c>
      <c r="O3415" t="s">
        <v>100</v>
      </c>
      <c r="P3415" t="s">
        <v>340</v>
      </c>
      <c r="Q3415" s="10" t="s">
        <v>24</v>
      </c>
      <c r="R3415" t="s">
        <v>1893</v>
      </c>
    </row>
    <row r="3416" spans="1:18" hidden="1" x14ac:dyDescent="0.25">
      <c r="A3416" s="9" t="s">
        <v>980</v>
      </c>
      <c r="B3416" s="3" t="s">
        <v>1079</v>
      </c>
      <c r="C3416" s="10">
        <v>2</v>
      </c>
      <c r="D3416" s="10">
        <v>2</v>
      </c>
      <c r="E3416" s="10">
        <v>19</v>
      </c>
      <c r="F3416" t="s">
        <v>364</v>
      </c>
      <c r="G3416" t="s">
        <v>889</v>
      </c>
      <c r="H3416" t="s">
        <v>63</v>
      </c>
      <c r="I3416" t="s">
        <v>27</v>
      </c>
      <c r="J3416" s="4">
        <v>20</v>
      </c>
      <c r="K3416">
        <v>1</v>
      </c>
      <c r="L3416">
        <v>20</v>
      </c>
      <c r="M3416">
        <v>20</v>
      </c>
      <c r="N3416" s="5">
        <v>1.0164479763444834</v>
      </c>
      <c r="O3416" t="s">
        <v>100</v>
      </c>
      <c r="P3416" t="s">
        <v>340</v>
      </c>
      <c r="Q3416" s="10" t="s">
        <v>24</v>
      </c>
      <c r="R3416" t="s">
        <v>1894</v>
      </c>
    </row>
    <row r="3417" spans="1:18" hidden="1" x14ac:dyDescent="0.25">
      <c r="A3417" s="9" t="s">
        <v>980</v>
      </c>
      <c r="B3417" s="3" t="s">
        <v>1079</v>
      </c>
      <c r="C3417" s="10">
        <v>2</v>
      </c>
      <c r="D3417" s="10">
        <v>2</v>
      </c>
      <c r="E3417" s="10">
        <v>19</v>
      </c>
      <c r="F3417" t="s">
        <v>155</v>
      </c>
      <c r="G3417" t="s">
        <v>155</v>
      </c>
      <c r="H3417" t="s">
        <v>131</v>
      </c>
      <c r="I3417" t="s">
        <v>27</v>
      </c>
      <c r="J3417" s="4">
        <v>67.599999999999994</v>
      </c>
      <c r="K3417">
        <v>1</v>
      </c>
      <c r="L3417">
        <v>67.599999999999994</v>
      </c>
      <c r="M3417">
        <v>67.599999999999994</v>
      </c>
      <c r="N3417" s="5">
        <v>3.4355941600443534</v>
      </c>
      <c r="O3417" t="s">
        <v>100</v>
      </c>
      <c r="P3417" t="s">
        <v>340</v>
      </c>
      <c r="Q3417" s="10" t="s">
        <v>24</v>
      </c>
    </row>
    <row r="3418" spans="1:18" hidden="1" x14ac:dyDescent="0.25">
      <c r="A3418" s="9" t="s">
        <v>980</v>
      </c>
      <c r="B3418" s="3" t="s">
        <v>1079</v>
      </c>
      <c r="C3418" s="10">
        <v>2</v>
      </c>
      <c r="D3418" s="10">
        <v>2</v>
      </c>
      <c r="E3418" s="10">
        <v>19</v>
      </c>
      <c r="F3418" t="s">
        <v>586</v>
      </c>
      <c r="G3418" t="s">
        <v>31</v>
      </c>
      <c r="H3418" t="s">
        <v>26</v>
      </c>
      <c r="I3418" t="s">
        <v>27</v>
      </c>
      <c r="J3418" s="4">
        <v>5.2</v>
      </c>
      <c r="K3418">
        <v>3</v>
      </c>
      <c r="L3418">
        <v>5.2</v>
      </c>
      <c r="M3418">
        <v>15.600000000000001</v>
      </c>
      <c r="N3418" s="5">
        <v>0.79282942154869707</v>
      </c>
      <c r="O3418" t="s">
        <v>100</v>
      </c>
      <c r="P3418" t="s">
        <v>340</v>
      </c>
      <c r="Q3418" s="10" t="s">
        <v>24</v>
      </c>
    </row>
    <row r="3419" spans="1:18" hidden="1" x14ac:dyDescent="0.25">
      <c r="A3419" s="9" t="s">
        <v>980</v>
      </c>
      <c r="B3419" s="3" t="s">
        <v>1079</v>
      </c>
      <c r="C3419" s="10">
        <v>2</v>
      </c>
      <c r="D3419" s="10">
        <v>2</v>
      </c>
      <c r="E3419" s="10">
        <v>19</v>
      </c>
      <c r="F3419" t="s">
        <v>2042</v>
      </c>
      <c r="G3419" t="s">
        <v>33</v>
      </c>
      <c r="H3419" t="s">
        <v>35</v>
      </c>
      <c r="I3419" t="s">
        <v>27</v>
      </c>
      <c r="J3419" s="4">
        <v>143.6</v>
      </c>
      <c r="K3419">
        <v>0.156</v>
      </c>
      <c r="L3419">
        <v>143.6</v>
      </c>
      <c r="M3419">
        <v>22.401599999999998</v>
      </c>
      <c r="N3419" s="5">
        <v>1.1385030493439288</v>
      </c>
      <c r="O3419" t="s">
        <v>100</v>
      </c>
      <c r="P3419" t="s">
        <v>340</v>
      </c>
      <c r="Q3419" s="10" t="s">
        <v>24</v>
      </c>
    </row>
    <row r="3420" spans="1:18" hidden="1" x14ac:dyDescent="0.25">
      <c r="A3420" s="9" t="s">
        <v>980</v>
      </c>
      <c r="B3420" s="3" t="s">
        <v>1079</v>
      </c>
      <c r="C3420" s="10">
        <v>2</v>
      </c>
      <c r="D3420" s="10">
        <v>2</v>
      </c>
      <c r="E3420" s="10">
        <v>19</v>
      </c>
      <c r="F3420" t="s">
        <v>131</v>
      </c>
      <c r="G3420" t="s">
        <v>889</v>
      </c>
      <c r="H3420" t="s">
        <v>131</v>
      </c>
      <c r="I3420" t="s">
        <v>27</v>
      </c>
      <c r="J3420" s="4">
        <v>355</v>
      </c>
      <c r="K3420">
        <v>0.25800000000000001</v>
      </c>
      <c r="L3420">
        <v>355</v>
      </c>
      <c r="M3420">
        <v>91.59</v>
      </c>
      <c r="N3420" s="5">
        <v>4.6548235076695619</v>
      </c>
      <c r="O3420" t="s">
        <v>100</v>
      </c>
      <c r="P3420" t="s">
        <v>340</v>
      </c>
      <c r="Q3420" s="10" t="s">
        <v>24</v>
      </c>
    </row>
    <row r="3421" spans="1:18" hidden="1" x14ac:dyDescent="0.25">
      <c r="A3421" s="9" t="s">
        <v>980</v>
      </c>
      <c r="B3421" s="3" t="s">
        <v>1079</v>
      </c>
      <c r="C3421" s="10">
        <v>2</v>
      </c>
      <c r="D3421" s="10">
        <v>2</v>
      </c>
      <c r="E3421" s="10">
        <v>19</v>
      </c>
      <c r="F3421" t="s">
        <v>118</v>
      </c>
      <c r="G3421" t="s">
        <v>889</v>
      </c>
      <c r="H3421" t="s">
        <v>40</v>
      </c>
      <c r="I3421" t="s">
        <v>27</v>
      </c>
      <c r="J3421" s="4">
        <v>10</v>
      </c>
      <c r="K3421">
        <v>1</v>
      </c>
      <c r="L3421">
        <v>10</v>
      </c>
      <c r="M3421">
        <v>10</v>
      </c>
      <c r="N3421" s="5">
        <v>0.50822398817224168</v>
      </c>
      <c r="O3421" t="s">
        <v>100</v>
      </c>
      <c r="P3421" t="s">
        <v>340</v>
      </c>
      <c r="Q3421" s="10" t="s">
        <v>24</v>
      </c>
    </row>
    <row r="3422" spans="1:18" hidden="1" x14ac:dyDescent="0.25">
      <c r="A3422" s="9" t="s">
        <v>980</v>
      </c>
      <c r="B3422" s="3" t="s">
        <v>1079</v>
      </c>
      <c r="C3422" s="10">
        <v>2</v>
      </c>
      <c r="D3422" s="10">
        <v>2</v>
      </c>
      <c r="E3422" s="10">
        <v>19</v>
      </c>
      <c r="F3422" t="s">
        <v>802</v>
      </c>
      <c r="G3422" t="s">
        <v>708</v>
      </c>
      <c r="H3422" t="s">
        <v>1612</v>
      </c>
      <c r="I3422" t="s">
        <v>27</v>
      </c>
      <c r="J3422" s="4">
        <v>128</v>
      </c>
      <c r="K3422">
        <v>0.33400000000000002</v>
      </c>
      <c r="L3422">
        <v>128</v>
      </c>
      <c r="M3422">
        <v>42.752000000000002</v>
      </c>
      <c r="N3422" s="5">
        <v>2.1727591942339677</v>
      </c>
      <c r="O3422" t="s">
        <v>100</v>
      </c>
      <c r="P3422" t="s">
        <v>340</v>
      </c>
      <c r="Q3422" s="10" t="s">
        <v>24</v>
      </c>
    </row>
    <row r="3423" spans="1:18" hidden="1" x14ac:dyDescent="0.25">
      <c r="A3423" s="9" t="s">
        <v>980</v>
      </c>
      <c r="B3423" s="3" t="s">
        <v>1079</v>
      </c>
      <c r="C3423" s="10">
        <v>2</v>
      </c>
      <c r="D3423" s="10">
        <v>2</v>
      </c>
      <c r="E3423" s="10">
        <v>19</v>
      </c>
      <c r="F3423" t="s">
        <v>71</v>
      </c>
      <c r="G3423" t="s">
        <v>889</v>
      </c>
      <c r="H3423" t="s">
        <v>889</v>
      </c>
      <c r="I3423" t="s">
        <v>72</v>
      </c>
      <c r="J3423" s="4">
        <v>540</v>
      </c>
      <c r="K3423">
        <v>1</v>
      </c>
      <c r="L3423">
        <v>540</v>
      </c>
      <c r="M3423">
        <v>540</v>
      </c>
      <c r="N3423" s="5">
        <v>27.444095361301049</v>
      </c>
      <c r="O3423" t="s">
        <v>1679</v>
      </c>
      <c r="P3423" t="s">
        <v>340</v>
      </c>
      <c r="Q3423" s="10" t="s">
        <v>24</v>
      </c>
      <c r="R3423" t="s">
        <v>1980</v>
      </c>
    </row>
    <row r="3424" spans="1:18" hidden="1" x14ac:dyDescent="0.25">
      <c r="A3424" s="9" t="s">
        <v>980</v>
      </c>
      <c r="B3424" s="3" t="s">
        <v>1079</v>
      </c>
      <c r="C3424" s="10">
        <v>2</v>
      </c>
      <c r="D3424" s="10">
        <v>2</v>
      </c>
      <c r="E3424" s="10">
        <v>19</v>
      </c>
      <c r="F3424" t="s">
        <v>41</v>
      </c>
      <c r="G3424" t="s">
        <v>889</v>
      </c>
      <c r="H3424" t="s">
        <v>39</v>
      </c>
      <c r="I3424" t="s">
        <v>27</v>
      </c>
      <c r="J3424" s="4">
        <v>275</v>
      </c>
      <c r="K3424">
        <v>1</v>
      </c>
      <c r="L3424">
        <v>275</v>
      </c>
      <c r="M3424">
        <v>275</v>
      </c>
      <c r="N3424" s="5">
        <v>13.976159674736646</v>
      </c>
      <c r="O3424" t="s">
        <v>39</v>
      </c>
      <c r="P3424" t="s">
        <v>340</v>
      </c>
      <c r="Q3424" s="10" t="s">
        <v>24</v>
      </c>
      <c r="R3424" t="s">
        <v>2029</v>
      </c>
    </row>
    <row r="3425" spans="1:18" hidden="1" x14ac:dyDescent="0.25">
      <c r="A3425" s="9" t="s">
        <v>980</v>
      </c>
      <c r="B3425" s="3" t="s">
        <v>1794</v>
      </c>
      <c r="C3425" s="10">
        <v>20</v>
      </c>
      <c r="D3425" s="10">
        <v>2</v>
      </c>
      <c r="E3425" s="10">
        <v>19</v>
      </c>
      <c r="F3425" t="s">
        <v>389</v>
      </c>
      <c r="G3425" t="s">
        <v>889</v>
      </c>
      <c r="H3425" t="s">
        <v>21</v>
      </c>
      <c r="I3425" t="s">
        <v>22</v>
      </c>
      <c r="J3425" s="4">
        <v>4</v>
      </c>
      <c r="K3425">
        <v>2</v>
      </c>
      <c r="L3425">
        <v>4</v>
      </c>
      <c r="M3425">
        <v>8</v>
      </c>
      <c r="N3425" s="5">
        <v>0.40657919053779334</v>
      </c>
      <c r="O3425" t="s">
        <v>354</v>
      </c>
      <c r="P3425" t="s">
        <v>340</v>
      </c>
      <c r="Q3425" s="10" t="s">
        <v>24</v>
      </c>
    </row>
    <row r="3426" spans="1:18" hidden="1" x14ac:dyDescent="0.25">
      <c r="A3426" s="9" t="s">
        <v>980</v>
      </c>
      <c r="B3426" s="3" t="s">
        <v>1941</v>
      </c>
      <c r="C3426" s="10">
        <v>21</v>
      </c>
      <c r="D3426" s="10">
        <v>2</v>
      </c>
      <c r="E3426" s="10">
        <v>19</v>
      </c>
      <c r="F3426" t="s">
        <v>744</v>
      </c>
      <c r="G3426" t="s">
        <v>889</v>
      </c>
      <c r="H3426" t="s">
        <v>54</v>
      </c>
      <c r="I3426" t="s">
        <v>27</v>
      </c>
      <c r="J3426" s="4">
        <v>10.5</v>
      </c>
      <c r="K3426">
        <v>0.38200000000000001</v>
      </c>
      <c r="L3426">
        <v>10.5</v>
      </c>
      <c r="M3426">
        <v>4.0110000000000001</v>
      </c>
      <c r="N3426" s="5">
        <v>0.20384864165588612</v>
      </c>
      <c r="O3426" t="s">
        <v>181</v>
      </c>
      <c r="P3426" t="s">
        <v>340</v>
      </c>
      <c r="Q3426" s="10" t="s">
        <v>24</v>
      </c>
    </row>
    <row r="3427" spans="1:18" hidden="1" x14ac:dyDescent="0.25">
      <c r="A3427" s="9" t="s">
        <v>980</v>
      </c>
      <c r="B3427" s="3" t="s">
        <v>1941</v>
      </c>
      <c r="C3427" s="10">
        <v>21</v>
      </c>
      <c r="D3427" s="10">
        <v>2</v>
      </c>
      <c r="E3427" s="10">
        <v>19</v>
      </c>
      <c r="F3427" t="s">
        <v>55</v>
      </c>
      <c r="G3427" t="s">
        <v>889</v>
      </c>
      <c r="H3427" t="s">
        <v>56</v>
      </c>
      <c r="I3427" t="s">
        <v>27</v>
      </c>
      <c r="J3427" s="4">
        <v>23.7</v>
      </c>
      <c r="K3427">
        <v>0.96599999999999997</v>
      </c>
      <c r="L3427">
        <v>23.7</v>
      </c>
      <c r="M3427">
        <v>22.894199999999998</v>
      </c>
      <c r="N3427" s="5">
        <v>1.1635381630012933</v>
      </c>
      <c r="O3427" t="s">
        <v>181</v>
      </c>
      <c r="P3427" t="s">
        <v>340</v>
      </c>
      <c r="Q3427" s="10" t="s">
        <v>24</v>
      </c>
    </row>
    <row r="3428" spans="1:18" hidden="1" x14ac:dyDescent="0.25">
      <c r="A3428" s="9" t="s">
        <v>980</v>
      </c>
      <c r="B3428" s="3" t="s">
        <v>1941</v>
      </c>
      <c r="C3428" s="10">
        <v>21</v>
      </c>
      <c r="D3428" s="10">
        <v>2</v>
      </c>
      <c r="E3428" s="10">
        <v>19</v>
      </c>
      <c r="F3428" t="s">
        <v>173</v>
      </c>
      <c r="G3428" t="s">
        <v>174</v>
      </c>
      <c r="H3428" t="s">
        <v>54</v>
      </c>
      <c r="I3428" t="s">
        <v>27</v>
      </c>
      <c r="J3428" s="4">
        <v>18.2</v>
      </c>
      <c r="K3428">
        <v>0.308</v>
      </c>
      <c r="L3428">
        <v>18.2</v>
      </c>
      <c r="M3428">
        <v>5.6055999999999999</v>
      </c>
      <c r="N3428" s="5">
        <v>0.28489003880983177</v>
      </c>
      <c r="O3428" t="s">
        <v>181</v>
      </c>
      <c r="P3428" t="s">
        <v>340</v>
      </c>
      <c r="Q3428" s="10" t="s">
        <v>24</v>
      </c>
    </row>
    <row r="3429" spans="1:18" hidden="1" x14ac:dyDescent="0.25">
      <c r="A3429" s="9" t="s">
        <v>980</v>
      </c>
      <c r="B3429" s="3" t="s">
        <v>1941</v>
      </c>
      <c r="C3429" s="10">
        <v>21</v>
      </c>
      <c r="D3429" s="10">
        <v>2</v>
      </c>
      <c r="E3429" s="10">
        <v>19</v>
      </c>
      <c r="F3429" t="s">
        <v>211</v>
      </c>
      <c r="G3429" t="s">
        <v>889</v>
      </c>
      <c r="H3429" t="s">
        <v>56</v>
      </c>
      <c r="I3429" t="s">
        <v>27</v>
      </c>
      <c r="J3429" s="4">
        <v>27.9</v>
      </c>
      <c r="K3429">
        <v>1.464</v>
      </c>
      <c r="L3429">
        <v>27.9</v>
      </c>
      <c r="M3429">
        <v>40.845599999999997</v>
      </c>
      <c r="N3429" s="5">
        <v>2.0758713731288112</v>
      </c>
      <c r="O3429" t="s">
        <v>181</v>
      </c>
      <c r="P3429" t="s">
        <v>340</v>
      </c>
      <c r="Q3429" s="10" t="s">
        <v>24</v>
      </c>
    </row>
    <row r="3430" spans="1:18" hidden="1" x14ac:dyDescent="0.25">
      <c r="A3430" s="9" t="s">
        <v>980</v>
      </c>
      <c r="B3430" s="3" t="s">
        <v>1941</v>
      </c>
      <c r="C3430" s="10">
        <v>21</v>
      </c>
      <c r="D3430" s="10">
        <v>2</v>
      </c>
      <c r="E3430" s="10">
        <v>19</v>
      </c>
      <c r="F3430" t="s">
        <v>121</v>
      </c>
      <c r="G3430" t="s">
        <v>889</v>
      </c>
      <c r="H3430" t="s">
        <v>54</v>
      </c>
      <c r="I3430" t="s">
        <v>27</v>
      </c>
      <c r="J3430" s="4">
        <v>21.8</v>
      </c>
      <c r="K3430">
        <v>0.66600000000000004</v>
      </c>
      <c r="L3430">
        <v>21.8</v>
      </c>
      <c r="M3430">
        <v>14.518800000000001</v>
      </c>
      <c r="N3430" s="5">
        <v>0.73788024394751428</v>
      </c>
      <c r="O3430" t="s">
        <v>181</v>
      </c>
      <c r="P3430" t="s">
        <v>340</v>
      </c>
      <c r="Q3430" s="10" t="s">
        <v>24</v>
      </c>
    </row>
    <row r="3431" spans="1:18" hidden="1" x14ac:dyDescent="0.25">
      <c r="A3431" s="9" t="s">
        <v>980</v>
      </c>
      <c r="B3431" s="3" t="s">
        <v>1941</v>
      </c>
      <c r="C3431" s="10">
        <v>21</v>
      </c>
      <c r="D3431" s="10">
        <v>2</v>
      </c>
      <c r="E3431" s="10">
        <v>19</v>
      </c>
      <c r="F3431" t="s">
        <v>364</v>
      </c>
      <c r="G3431" t="s">
        <v>889</v>
      </c>
      <c r="H3431" t="s">
        <v>63</v>
      </c>
      <c r="I3431" t="s">
        <v>27</v>
      </c>
      <c r="J3431" s="4">
        <v>15.77</v>
      </c>
      <c r="K3431">
        <v>1</v>
      </c>
      <c r="L3431">
        <v>15.77</v>
      </c>
      <c r="M3431">
        <v>15.77</v>
      </c>
      <c r="N3431" s="5">
        <v>0.8014692293476251</v>
      </c>
      <c r="O3431" t="s">
        <v>181</v>
      </c>
      <c r="P3431" t="s">
        <v>340</v>
      </c>
      <c r="Q3431" s="10" t="s">
        <v>24</v>
      </c>
      <c r="R3431" t="s">
        <v>1936</v>
      </c>
    </row>
    <row r="3432" spans="1:18" hidden="1" x14ac:dyDescent="0.25">
      <c r="A3432" s="9" t="s">
        <v>980</v>
      </c>
      <c r="B3432" s="3" t="s">
        <v>1941</v>
      </c>
      <c r="C3432" s="10">
        <v>21</v>
      </c>
      <c r="D3432" s="10">
        <v>2</v>
      </c>
      <c r="E3432" s="10">
        <v>19</v>
      </c>
      <c r="F3432" t="s">
        <v>109</v>
      </c>
      <c r="G3432" t="s">
        <v>889</v>
      </c>
      <c r="H3432" t="s">
        <v>54</v>
      </c>
      <c r="I3432" t="s">
        <v>27</v>
      </c>
      <c r="J3432" s="4">
        <v>36.5</v>
      </c>
      <c r="K3432">
        <v>0.14199999999999999</v>
      </c>
      <c r="L3432">
        <v>36.5</v>
      </c>
      <c r="M3432">
        <v>5.1829999999999998</v>
      </c>
      <c r="N3432" s="5">
        <v>0.26341249306967285</v>
      </c>
      <c r="O3432" t="s">
        <v>181</v>
      </c>
      <c r="P3432" t="s">
        <v>340</v>
      </c>
      <c r="Q3432" s="10" t="s">
        <v>24</v>
      </c>
    </row>
    <row r="3433" spans="1:18" hidden="1" x14ac:dyDescent="0.25">
      <c r="A3433" s="9" t="s">
        <v>980</v>
      </c>
      <c r="B3433" s="3" t="s">
        <v>1941</v>
      </c>
      <c r="C3433" s="10">
        <v>21</v>
      </c>
      <c r="D3433" s="10">
        <v>2</v>
      </c>
      <c r="E3433" s="10">
        <v>19</v>
      </c>
      <c r="F3433" t="s">
        <v>708</v>
      </c>
      <c r="G3433" t="s">
        <v>708</v>
      </c>
      <c r="H3433" t="s">
        <v>131</v>
      </c>
      <c r="I3433" t="s">
        <v>27</v>
      </c>
      <c r="J3433" s="4">
        <v>22.61</v>
      </c>
      <c r="K3433">
        <v>2</v>
      </c>
      <c r="L3433">
        <v>22.61</v>
      </c>
      <c r="M3433">
        <v>45.22</v>
      </c>
      <c r="N3433" s="5">
        <v>2.2981888745148766</v>
      </c>
      <c r="O3433" t="s">
        <v>181</v>
      </c>
      <c r="P3433" t="s">
        <v>340</v>
      </c>
      <c r="Q3433" s="10" t="s">
        <v>24</v>
      </c>
    </row>
    <row r="3434" spans="1:18" hidden="1" x14ac:dyDescent="0.25">
      <c r="A3434" s="9" t="s">
        <v>980</v>
      </c>
      <c r="B3434" s="3" t="s">
        <v>1941</v>
      </c>
      <c r="C3434" s="10">
        <v>21</v>
      </c>
      <c r="D3434" s="10">
        <v>2</v>
      </c>
      <c r="E3434" s="10">
        <v>19</v>
      </c>
      <c r="F3434" t="s">
        <v>898</v>
      </c>
      <c r="G3434" t="s">
        <v>889</v>
      </c>
      <c r="H3434" t="s">
        <v>39</v>
      </c>
      <c r="I3434" t="s">
        <v>27</v>
      </c>
      <c r="J3434" s="4">
        <v>23.94</v>
      </c>
      <c r="K3434">
        <v>1</v>
      </c>
      <c r="L3434">
        <v>23.94</v>
      </c>
      <c r="M3434">
        <v>23.94</v>
      </c>
      <c r="N3434" s="5">
        <v>1.2166882276843465</v>
      </c>
      <c r="O3434" t="s">
        <v>181</v>
      </c>
      <c r="P3434" t="s">
        <v>340</v>
      </c>
      <c r="Q3434" s="10" t="s">
        <v>24</v>
      </c>
    </row>
    <row r="3435" spans="1:18" hidden="1" x14ac:dyDescent="0.25">
      <c r="A3435" s="9" t="s">
        <v>980</v>
      </c>
      <c r="B3435" s="3" t="s">
        <v>1941</v>
      </c>
      <c r="C3435" s="10">
        <v>21</v>
      </c>
      <c r="D3435" s="10">
        <v>2</v>
      </c>
      <c r="E3435" s="10">
        <v>19</v>
      </c>
      <c r="F3435" t="s">
        <v>1934</v>
      </c>
      <c r="G3435" t="s">
        <v>889</v>
      </c>
      <c r="H3435" t="s">
        <v>65</v>
      </c>
      <c r="I3435" t="s">
        <v>27</v>
      </c>
      <c r="J3435" s="4">
        <v>8.93</v>
      </c>
      <c r="K3435">
        <v>6</v>
      </c>
      <c r="L3435">
        <v>8.93</v>
      </c>
      <c r="M3435">
        <v>53.58</v>
      </c>
      <c r="N3435" s="5">
        <v>2.7230641286268709</v>
      </c>
      <c r="O3435" t="s">
        <v>181</v>
      </c>
      <c r="P3435" t="s">
        <v>340</v>
      </c>
      <c r="Q3435" s="10" t="s">
        <v>24</v>
      </c>
    </row>
    <row r="3436" spans="1:18" hidden="1" x14ac:dyDescent="0.25">
      <c r="A3436" s="9" t="s">
        <v>980</v>
      </c>
      <c r="B3436" s="3" t="s">
        <v>1941</v>
      </c>
      <c r="C3436" s="10">
        <v>21</v>
      </c>
      <c r="D3436" s="10">
        <v>2</v>
      </c>
      <c r="E3436" s="10">
        <v>19</v>
      </c>
      <c r="F3436" t="s">
        <v>204</v>
      </c>
      <c r="G3436" t="s">
        <v>889</v>
      </c>
      <c r="H3436" t="s">
        <v>54</v>
      </c>
      <c r="I3436" t="s">
        <v>27</v>
      </c>
      <c r="J3436" s="4">
        <v>84.5</v>
      </c>
      <c r="K3436">
        <v>0.182</v>
      </c>
      <c r="L3436">
        <v>84.5</v>
      </c>
      <c r="M3436">
        <v>15.379</v>
      </c>
      <c r="N3436" s="5">
        <v>0.7815976714100904</v>
      </c>
      <c r="O3436" t="s">
        <v>181</v>
      </c>
      <c r="P3436" t="s">
        <v>340</v>
      </c>
      <c r="Q3436" s="10" t="s">
        <v>24</v>
      </c>
    </row>
    <row r="3437" spans="1:18" hidden="1" x14ac:dyDescent="0.25">
      <c r="A3437" s="9" t="s">
        <v>980</v>
      </c>
      <c r="B3437" s="3" t="s">
        <v>1941</v>
      </c>
      <c r="C3437" s="10">
        <v>21</v>
      </c>
      <c r="D3437" s="10">
        <v>2</v>
      </c>
      <c r="E3437" s="10">
        <v>19</v>
      </c>
      <c r="F3437" t="s">
        <v>217</v>
      </c>
      <c r="G3437" t="s">
        <v>25</v>
      </c>
      <c r="H3437" t="s">
        <v>26</v>
      </c>
      <c r="I3437" t="s">
        <v>27</v>
      </c>
      <c r="J3437" s="4">
        <v>25.08</v>
      </c>
      <c r="K3437">
        <v>3</v>
      </c>
      <c r="L3437">
        <v>25.08</v>
      </c>
      <c r="M3437">
        <v>75.239999999999995</v>
      </c>
      <c r="N3437" s="5">
        <v>3.8238772870079458</v>
      </c>
      <c r="O3437" t="s">
        <v>181</v>
      </c>
      <c r="P3437" t="s">
        <v>340</v>
      </c>
      <c r="Q3437" s="10" t="s">
        <v>24</v>
      </c>
    </row>
    <row r="3438" spans="1:18" hidden="1" x14ac:dyDescent="0.25">
      <c r="A3438" s="9" t="s">
        <v>980</v>
      </c>
      <c r="B3438" s="3" t="s">
        <v>1941</v>
      </c>
      <c r="C3438" s="10">
        <v>21</v>
      </c>
      <c r="D3438" s="10">
        <v>2</v>
      </c>
      <c r="E3438" s="10">
        <v>19</v>
      </c>
      <c r="F3438" t="s">
        <v>982</v>
      </c>
      <c r="G3438" t="s">
        <v>889</v>
      </c>
      <c r="H3438" t="s">
        <v>39</v>
      </c>
      <c r="I3438" t="s">
        <v>27</v>
      </c>
      <c r="J3438" s="4">
        <v>10.83</v>
      </c>
      <c r="K3438">
        <v>1</v>
      </c>
      <c r="L3438">
        <v>10.83</v>
      </c>
      <c r="M3438">
        <v>10.83</v>
      </c>
      <c r="N3438" s="5">
        <v>0.5504065791905377</v>
      </c>
      <c r="O3438" t="s">
        <v>181</v>
      </c>
      <c r="P3438" t="s">
        <v>340</v>
      </c>
      <c r="Q3438" s="10" t="s">
        <v>24</v>
      </c>
    </row>
    <row r="3439" spans="1:18" hidden="1" x14ac:dyDescent="0.25">
      <c r="A3439" s="9" t="s">
        <v>980</v>
      </c>
      <c r="B3439" s="3" t="s">
        <v>1941</v>
      </c>
      <c r="C3439" s="10">
        <v>21</v>
      </c>
      <c r="D3439" s="10">
        <v>2</v>
      </c>
      <c r="E3439" s="10">
        <v>19</v>
      </c>
      <c r="F3439" t="s">
        <v>1185</v>
      </c>
      <c r="G3439" t="s">
        <v>889</v>
      </c>
      <c r="H3439" t="s">
        <v>73</v>
      </c>
      <c r="I3439" t="s">
        <v>27</v>
      </c>
      <c r="J3439" s="4">
        <v>22.99</v>
      </c>
      <c r="K3439">
        <v>1</v>
      </c>
      <c r="L3439">
        <v>22.99</v>
      </c>
      <c r="M3439">
        <v>22.99</v>
      </c>
      <c r="N3439" s="5">
        <v>1.1684069488079836</v>
      </c>
      <c r="O3439" t="s">
        <v>181</v>
      </c>
      <c r="P3439" t="s">
        <v>340</v>
      </c>
      <c r="Q3439" s="10" t="s">
        <v>24</v>
      </c>
    </row>
    <row r="3440" spans="1:18" hidden="1" x14ac:dyDescent="0.25">
      <c r="A3440" s="9" t="s">
        <v>980</v>
      </c>
      <c r="B3440" s="3" t="s">
        <v>1941</v>
      </c>
      <c r="C3440" s="10">
        <v>21</v>
      </c>
      <c r="D3440" s="10">
        <v>2</v>
      </c>
      <c r="E3440" s="10">
        <v>19</v>
      </c>
      <c r="F3440" t="s">
        <v>708</v>
      </c>
      <c r="G3440" t="s">
        <v>708</v>
      </c>
      <c r="H3440" t="s">
        <v>131</v>
      </c>
      <c r="I3440" t="s">
        <v>27</v>
      </c>
      <c r="J3440" s="4">
        <v>51.11</v>
      </c>
      <c r="K3440">
        <v>1</v>
      </c>
      <c r="L3440">
        <v>51.11</v>
      </c>
      <c r="M3440">
        <v>51.11</v>
      </c>
      <c r="N3440" s="5">
        <v>2.5975328035483272</v>
      </c>
      <c r="O3440" t="s">
        <v>181</v>
      </c>
      <c r="P3440" t="s">
        <v>340</v>
      </c>
      <c r="Q3440" s="10" t="s">
        <v>24</v>
      </c>
    </row>
    <row r="3441" spans="1:18" hidden="1" x14ac:dyDescent="0.25">
      <c r="A3441" s="9" t="s">
        <v>980</v>
      </c>
      <c r="B3441" s="3" t="s">
        <v>1941</v>
      </c>
      <c r="C3441" s="10">
        <v>21</v>
      </c>
      <c r="D3441" s="10">
        <v>2</v>
      </c>
      <c r="E3441" s="10">
        <v>19</v>
      </c>
      <c r="F3441" t="s">
        <v>240</v>
      </c>
      <c r="G3441" t="s">
        <v>889</v>
      </c>
      <c r="H3441" t="s">
        <v>54</v>
      </c>
      <c r="I3441" t="s">
        <v>27</v>
      </c>
      <c r="J3441" s="4">
        <v>26.2</v>
      </c>
      <c r="K3441">
        <v>1</v>
      </c>
      <c r="L3441">
        <v>26.2</v>
      </c>
      <c r="M3441">
        <v>26.2</v>
      </c>
      <c r="N3441" s="5">
        <v>1.3315468490112732</v>
      </c>
      <c r="O3441" t="s">
        <v>181</v>
      </c>
      <c r="P3441" t="s">
        <v>340</v>
      </c>
      <c r="Q3441" s="10" t="s">
        <v>24</v>
      </c>
    </row>
    <row r="3442" spans="1:18" hidden="1" x14ac:dyDescent="0.25">
      <c r="A3442" s="9" t="s">
        <v>980</v>
      </c>
      <c r="B3442" s="3" t="s">
        <v>1941</v>
      </c>
      <c r="C3442" s="10">
        <v>21</v>
      </c>
      <c r="D3442" s="10">
        <v>2</v>
      </c>
      <c r="E3442" s="10">
        <v>19</v>
      </c>
      <c r="F3442" t="s">
        <v>212</v>
      </c>
      <c r="G3442" t="s">
        <v>889</v>
      </c>
      <c r="H3442" t="s">
        <v>54</v>
      </c>
      <c r="I3442" t="s">
        <v>27</v>
      </c>
      <c r="J3442" s="4">
        <v>26.2</v>
      </c>
      <c r="K3442">
        <v>1</v>
      </c>
      <c r="L3442">
        <v>26.2</v>
      </c>
      <c r="M3442">
        <v>26.2</v>
      </c>
      <c r="N3442" s="5">
        <v>1.3315468490112732</v>
      </c>
      <c r="O3442" t="s">
        <v>181</v>
      </c>
      <c r="P3442" t="s">
        <v>340</v>
      </c>
      <c r="Q3442" s="10" t="s">
        <v>24</v>
      </c>
    </row>
    <row r="3443" spans="1:18" hidden="1" x14ac:dyDescent="0.25">
      <c r="A3443" s="9" t="s">
        <v>980</v>
      </c>
      <c r="B3443" s="3" t="s">
        <v>1941</v>
      </c>
      <c r="C3443" s="10">
        <v>21</v>
      </c>
      <c r="D3443" s="10">
        <v>2</v>
      </c>
      <c r="E3443" s="10">
        <v>19</v>
      </c>
      <c r="F3443" t="s">
        <v>108</v>
      </c>
      <c r="G3443" t="s">
        <v>889</v>
      </c>
      <c r="H3443" t="s">
        <v>54</v>
      </c>
      <c r="I3443" t="s">
        <v>27</v>
      </c>
      <c r="J3443" s="4">
        <v>47.9</v>
      </c>
      <c r="K3443">
        <v>0.14599999999999999</v>
      </c>
      <c r="L3443">
        <v>47.9</v>
      </c>
      <c r="M3443">
        <v>6.9933999999999994</v>
      </c>
      <c r="N3443" s="5">
        <v>0.35542136388837542</v>
      </c>
      <c r="O3443" t="s">
        <v>181</v>
      </c>
      <c r="P3443" t="s">
        <v>340</v>
      </c>
      <c r="Q3443" s="10" t="s">
        <v>24</v>
      </c>
    </row>
    <row r="3444" spans="1:18" hidden="1" x14ac:dyDescent="0.25">
      <c r="A3444" s="9" t="s">
        <v>980</v>
      </c>
      <c r="B3444" s="3" t="s">
        <v>1941</v>
      </c>
      <c r="C3444" s="10">
        <v>21</v>
      </c>
      <c r="D3444" s="10">
        <v>2</v>
      </c>
      <c r="E3444" s="10">
        <v>19</v>
      </c>
      <c r="F3444" t="s">
        <v>118</v>
      </c>
      <c r="G3444" t="s">
        <v>889</v>
      </c>
      <c r="H3444" t="s">
        <v>40</v>
      </c>
      <c r="I3444" t="s">
        <v>27</v>
      </c>
      <c r="J3444" s="4">
        <v>7.6</v>
      </c>
      <c r="K3444">
        <v>1</v>
      </c>
      <c r="L3444">
        <v>7.6</v>
      </c>
      <c r="M3444">
        <v>7.6</v>
      </c>
      <c r="N3444" s="5">
        <v>0.38625023101090361</v>
      </c>
      <c r="O3444" t="s">
        <v>181</v>
      </c>
      <c r="P3444" t="s">
        <v>340</v>
      </c>
      <c r="Q3444" s="10" t="s">
        <v>24</v>
      </c>
    </row>
    <row r="3445" spans="1:18" hidden="1" x14ac:dyDescent="0.25">
      <c r="A3445" s="9" t="s">
        <v>980</v>
      </c>
      <c r="B3445" s="3" t="s">
        <v>1941</v>
      </c>
      <c r="C3445" s="10">
        <v>21</v>
      </c>
      <c r="D3445" s="10">
        <v>2</v>
      </c>
      <c r="E3445" s="10">
        <v>19</v>
      </c>
      <c r="F3445" t="s">
        <v>73</v>
      </c>
      <c r="G3445" t="s">
        <v>889</v>
      </c>
      <c r="H3445" t="s">
        <v>73</v>
      </c>
      <c r="I3445" t="s">
        <v>27</v>
      </c>
      <c r="J3445" s="4">
        <v>19.670000000000002</v>
      </c>
      <c r="K3445">
        <v>1</v>
      </c>
      <c r="L3445">
        <v>19.670000000000002</v>
      </c>
      <c r="M3445">
        <v>19.670000000000002</v>
      </c>
      <c r="N3445" s="5">
        <v>0.99967658473479937</v>
      </c>
      <c r="O3445" t="s">
        <v>181</v>
      </c>
      <c r="P3445" t="s">
        <v>340</v>
      </c>
      <c r="Q3445" s="10" t="s">
        <v>24</v>
      </c>
    </row>
    <row r="3446" spans="1:18" hidden="1" x14ac:dyDescent="0.25">
      <c r="A3446" s="9" t="s">
        <v>980</v>
      </c>
      <c r="B3446" s="3" t="s">
        <v>1941</v>
      </c>
      <c r="C3446" s="10">
        <v>21</v>
      </c>
      <c r="D3446" s="10">
        <v>2</v>
      </c>
      <c r="E3446" s="10">
        <v>19</v>
      </c>
      <c r="F3446" t="s">
        <v>906</v>
      </c>
      <c r="G3446" t="s">
        <v>889</v>
      </c>
      <c r="H3446" t="s">
        <v>65</v>
      </c>
      <c r="I3446" t="s">
        <v>27</v>
      </c>
      <c r="J3446" s="4">
        <v>26.12</v>
      </c>
      <c r="K3446">
        <v>2</v>
      </c>
      <c r="L3446">
        <v>26.12</v>
      </c>
      <c r="M3446">
        <v>52.24</v>
      </c>
      <c r="N3446" s="5">
        <v>2.6549621142117905</v>
      </c>
      <c r="O3446" t="s">
        <v>181</v>
      </c>
      <c r="P3446" t="s">
        <v>340</v>
      </c>
      <c r="Q3446" s="10" t="s">
        <v>24</v>
      </c>
    </row>
    <row r="3447" spans="1:18" hidden="1" x14ac:dyDescent="0.25">
      <c r="A3447" s="9" t="s">
        <v>980</v>
      </c>
      <c r="B3447" s="3" t="s">
        <v>1941</v>
      </c>
      <c r="C3447" s="10">
        <v>21</v>
      </c>
      <c r="D3447" s="10">
        <v>2</v>
      </c>
      <c r="E3447" s="10">
        <v>19</v>
      </c>
      <c r="F3447" t="s">
        <v>53</v>
      </c>
      <c r="G3447" t="s">
        <v>889</v>
      </c>
      <c r="H3447" t="s">
        <v>53</v>
      </c>
      <c r="I3447" t="s">
        <v>27</v>
      </c>
      <c r="J3447" s="4">
        <v>11.87</v>
      </c>
      <c r="K3447">
        <v>6</v>
      </c>
      <c r="L3447">
        <v>11.87</v>
      </c>
      <c r="M3447">
        <v>71.22</v>
      </c>
      <c r="N3447" s="5">
        <v>3.6195712437627048</v>
      </c>
      <c r="O3447" t="s">
        <v>181</v>
      </c>
      <c r="P3447" t="s">
        <v>340</v>
      </c>
      <c r="Q3447" s="10" t="s">
        <v>24</v>
      </c>
    </row>
    <row r="3448" spans="1:18" hidden="1" x14ac:dyDescent="0.25">
      <c r="A3448" s="9" t="s">
        <v>980</v>
      </c>
      <c r="B3448" s="3" t="s">
        <v>1772</v>
      </c>
      <c r="C3448" s="10">
        <v>24</v>
      </c>
      <c r="D3448" s="10">
        <v>2</v>
      </c>
      <c r="E3448" s="10">
        <v>19</v>
      </c>
      <c r="F3448" t="s">
        <v>1399</v>
      </c>
      <c r="G3448" t="s">
        <v>889</v>
      </c>
      <c r="H3448" t="s">
        <v>35</v>
      </c>
      <c r="I3448" t="s">
        <v>27</v>
      </c>
      <c r="J3448" s="4">
        <v>113.6</v>
      </c>
      <c r="K3448">
        <v>0.25800000000000001</v>
      </c>
      <c r="L3448">
        <v>113.6</v>
      </c>
      <c r="M3448">
        <v>29.308799999999998</v>
      </c>
      <c r="N3448" s="5">
        <v>1.4895435224542595</v>
      </c>
      <c r="O3448" t="s">
        <v>100</v>
      </c>
      <c r="P3448" t="s">
        <v>340</v>
      </c>
      <c r="Q3448" s="10" t="s">
        <v>24</v>
      </c>
    </row>
    <row r="3449" spans="1:18" hidden="1" x14ac:dyDescent="0.25">
      <c r="A3449" s="9" t="s">
        <v>980</v>
      </c>
      <c r="B3449" s="3" t="s">
        <v>1772</v>
      </c>
      <c r="C3449" s="10">
        <v>24</v>
      </c>
      <c r="D3449" s="10">
        <v>2</v>
      </c>
      <c r="E3449" s="10">
        <v>19</v>
      </c>
      <c r="F3449" t="s">
        <v>146</v>
      </c>
      <c r="G3449" t="s">
        <v>889</v>
      </c>
      <c r="H3449" t="s">
        <v>49</v>
      </c>
      <c r="I3449" t="s">
        <v>50</v>
      </c>
      <c r="J3449" s="4">
        <v>0.75</v>
      </c>
      <c r="K3449">
        <v>1</v>
      </c>
      <c r="L3449">
        <v>0.75</v>
      </c>
      <c r="M3449">
        <v>0.75</v>
      </c>
      <c r="N3449" s="5">
        <v>3.8116799112918126E-2</v>
      </c>
      <c r="O3449" t="s">
        <v>100</v>
      </c>
      <c r="P3449" t="s">
        <v>340</v>
      </c>
      <c r="Q3449" s="10" t="s">
        <v>24</v>
      </c>
    </row>
    <row r="3450" spans="1:18" hidden="1" x14ac:dyDescent="0.25">
      <c r="A3450" s="9" t="s">
        <v>980</v>
      </c>
      <c r="B3450" s="3" t="s">
        <v>1772</v>
      </c>
      <c r="C3450" s="10">
        <v>24</v>
      </c>
      <c r="D3450" s="10">
        <v>2</v>
      </c>
      <c r="E3450" s="10">
        <v>19</v>
      </c>
      <c r="F3450" t="s">
        <v>708</v>
      </c>
      <c r="G3450" t="s">
        <v>708</v>
      </c>
      <c r="H3450" t="s">
        <v>131</v>
      </c>
      <c r="I3450" t="s">
        <v>27</v>
      </c>
      <c r="J3450" s="4">
        <v>128</v>
      </c>
      <c r="K3450">
        <v>0.33400000000000002</v>
      </c>
      <c r="L3450">
        <v>128</v>
      </c>
      <c r="M3450">
        <v>42.752000000000002</v>
      </c>
      <c r="N3450" s="5">
        <v>2.1727591942339677</v>
      </c>
      <c r="O3450" t="s">
        <v>100</v>
      </c>
      <c r="P3450" t="s">
        <v>340</v>
      </c>
      <c r="Q3450" s="10" t="s">
        <v>24</v>
      </c>
    </row>
    <row r="3451" spans="1:18" hidden="1" x14ac:dyDescent="0.25">
      <c r="A3451" s="9" t="s">
        <v>980</v>
      </c>
      <c r="B3451" s="3" t="s">
        <v>1772</v>
      </c>
      <c r="C3451" s="10">
        <v>24</v>
      </c>
      <c r="D3451" s="10">
        <v>2</v>
      </c>
      <c r="E3451" s="10">
        <v>19</v>
      </c>
      <c r="F3451" t="s">
        <v>99</v>
      </c>
      <c r="G3451" t="s">
        <v>889</v>
      </c>
      <c r="H3451" t="s">
        <v>40</v>
      </c>
      <c r="I3451" t="s">
        <v>27</v>
      </c>
      <c r="J3451" s="4">
        <v>10</v>
      </c>
      <c r="K3451">
        <v>1</v>
      </c>
      <c r="L3451">
        <v>10</v>
      </c>
      <c r="M3451">
        <v>10</v>
      </c>
      <c r="N3451" s="5">
        <v>0.50822398817224168</v>
      </c>
      <c r="O3451" t="s">
        <v>100</v>
      </c>
      <c r="P3451" t="s">
        <v>340</v>
      </c>
      <c r="Q3451" s="10" t="s">
        <v>24</v>
      </c>
    </row>
    <row r="3452" spans="1:18" hidden="1" x14ac:dyDescent="0.25">
      <c r="A3452" s="9" t="s">
        <v>980</v>
      </c>
      <c r="B3452" s="3" t="s">
        <v>1772</v>
      </c>
      <c r="C3452" s="10">
        <v>24</v>
      </c>
      <c r="D3452" s="10">
        <v>2</v>
      </c>
      <c r="E3452" s="10">
        <v>19</v>
      </c>
      <c r="F3452" t="s">
        <v>974</v>
      </c>
      <c r="G3452" t="s">
        <v>25</v>
      </c>
      <c r="H3452" t="s">
        <v>26</v>
      </c>
      <c r="I3452" t="s">
        <v>27</v>
      </c>
      <c r="J3452" s="4">
        <v>217.6</v>
      </c>
      <c r="K3452">
        <v>0.38800000000000001</v>
      </c>
      <c r="L3452">
        <v>217.6</v>
      </c>
      <c r="M3452">
        <v>84.428799999999995</v>
      </c>
      <c r="N3452" s="5">
        <v>4.2908741452596555</v>
      </c>
      <c r="O3452" t="s">
        <v>100</v>
      </c>
      <c r="P3452" t="s">
        <v>340</v>
      </c>
      <c r="Q3452" s="10" t="s">
        <v>24</v>
      </c>
    </row>
    <row r="3453" spans="1:18" hidden="1" x14ac:dyDescent="0.25">
      <c r="A3453" s="9" t="s">
        <v>980</v>
      </c>
      <c r="B3453" s="3" t="s">
        <v>1772</v>
      </c>
      <c r="C3453" s="10">
        <v>24</v>
      </c>
      <c r="D3453" s="10">
        <v>2</v>
      </c>
      <c r="E3453" s="10">
        <v>19</v>
      </c>
      <c r="F3453" t="s">
        <v>1766</v>
      </c>
      <c r="G3453" t="s">
        <v>889</v>
      </c>
      <c r="H3453" t="s">
        <v>1612</v>
      </c>
      <c r="I3453" t="s">
        <v>27</v>
      </c>
      <c r="J3453" s="4">
        <v>12.9</v>
      </c>
      <c r="K3453">
        <v>1</v>
      </c>
      <c r="L3453">
        <v>12.9</v>
      </c>
      <c r="M3453">
        <v>12.9</v>
      </c>
      <c r="N3453" s="5">
        <v>0.65560894474219178</v>
      </c>
      <c r="O3453" t="s">
        <v>100</v>
      </c>
      <c r="P3453" t="s">
        <v>340</v>
      </c>
      <c r="Q3453" s="10" t="s">
        <v>24</v>
      </c>
    </row>
    <row r="3454" spans="1:18" hidden="1" x14ac:dyDescent="0.25">
      <c r="A3454" s="9" t="s">
        <v>980</v>
      </c>
      <c r="B3454" s="3" t="s">
        <v>1772</v>
      </c>
      <c r="C3454" s="10">
        <v>24</v>
      </c>
      <c r="D3454" s="10">
        <v>2</v>
      </c>
      <c r="E3454" s="10">
        <v>19</v>
      </c>
      <c r="F3454" t="s">
        <v>341</v>
      </c>
      <c r="G3454" t="s">
        <v>25</v>
      </c>
      <c r="H3454" t="s">
        <v>26</v>
      </c>
      <c r="I3454" t="s">
        <v>27</v>
      </c>
      <c r="J3454" s="4">
        <v>233.6</v>
      </c>
      <c r="K3454">
        <v>0.14000000000000001</v>
      </c>
      <c r="L3454">
        <v>233.6</v>
      </c>
      <c r="M3454">
        <v>32.704000000000001</v>
      </c>
      <c r="N3454" s="5">
        <v>1.6620957309184992</v>
      </c>
      <c r="O3454" t="s">
        <v>100</v>
      </c>
      <c r="P3454" t="s">
        <v>340</v>
      </c>
      <c r="Q3454" s="10" t="s">
        <v>24</v>
      </c>
      <c r="R3454" t="s">
        <v>1767</v>
      </c>
    </row>
    <row r="3455" spans="1:18" hidden="1" x14ac:dyDescent="0.25">
      <c r="A3455" s="9" t="s">
        <v>980</v>
      </c>
      <c r="B3455" s="3" t="s">
        <v>1772</v>
      </c>
      <c r="C3455" s="10">
        <v>24</v>
      </c>
      <c r="D3455" s="10">
        <v>2</v>
      </c>
      <c r="E3455" s="10">
        <v>19</v>
      </c>
      <c r="F3455" t="s">
        <v>98</v>
      </c>
      <c r="G3455" t="s">
        <v>889</v>
      </c>
      <c r="H3455" t="s">
        <v>26</v>
      </c>
      <c r="I3455" t="s">
        <v>27</v>
      </c>
      <c r="J3455" s="4">
        <v>46.75</v>
      </c>
      <c r="K3455">
        <v>1</v>
      </c>
      <c r="L3455">
        <v>46.75</v>
      </c>
      <c r="M3455">
        <v>46.75</v>
      </c>
      <c r="N3455" s="5">
        <v>2.3759471447052296</v>
      </c>
      <c r="O3455" t="s">
        <v>100</v>
      </c>
      <c r="P3455" t="s">
        <v>340</v>
      </c>
      <c r="Q3455" s="10" t="s">
        <v>24</v>
      </c>
      <c r="R3455" t="s">
        <v>1768</v>
      </c>
    </row>
    <row r="3456" spans="1:18" hidden="1" x14ac:dyDescent="0.25">
      <c r="A3456" s="9" t="s">
        <v>980</v>
      </c>
      <c r="B3456" s="3" t="s">
        <v>1772</v>
      </c>
      <c r="C3456" s="10">
        <v>24</v>
      </c>
      <c r="D3456" s="10">
        <v>2</v>
      </c>
      <c r="E3456" s="10">
        <v>19</v>
      </c>
      <c r="F3456" t="s">
        <v>44</v>
      </c>
      <c r="G3456" t="s">
        <v>889</v>
      </c>
      <c r="H3456" t="s">
        <v>44</v>
      </c>
      <c r="I3456" t="s">
        <v>27</v>
      </c>
      <c r="J3456" s="4">
        <v>10</v>
      </c>
      <c r="K3456">
        <v>1</v>
      </c>
      <c r="L3456">
        <v>10</v>
      </c>
      <c r="M3456">
        <v>10</v>
      </c>
      <c r="N3456" s="5">
        <v>0.50822398817224168</v>
      </c>
      <c r="O3456" t="s">
        <v>39</v>
      </c>
      <c r="P3456" t="s">
        <v>340</v>
      </c>
      <c r="Q3456" s="10" t="s">
        <v>24</v>
      </c>
    </row>
    <row r="3457" spans="1:18" hidden="1" x14ac:dyDescent="0.25">
      <c r="A3457" s="9" t="s">
        <v>980</v>
      </c>
      <c r="B3457" s="3" t="s">
        <v>1797</v>
      </c>
      <c r="C3457" s="10">
        <v>25</v>
      </c>
      <c r="D3457" s="10">
        <v>2</v>
      </c>
      <c r="E3457" s="10">
        <v>19</v>
      </c>
      <c r="F3457" t="s">
        <v>432</v>
      </c>
      <c r="G3457" t="s">
        <v>889</v>
      </c>
      <c r="H3457" t="s">
        <v>889</v>
      </c>
      <c r="I3457" t="s">
        <v>431</v>
      </c>
      <c r="J3457" s="4">
        <v>99</v>
      </c>
      <c r="K3457">
        <v>1</v>
      </c>
      <c r="L3457">
        <v>99</v>
      </c>
      <c r="M3457">
        <v>99</v>
      </c>
      <c r="N3457" s="5">
        <v>5.0314174829051925</v>
      </c>
      <c r="O3457" t="s">
        <v>439</v>
      </c>
      <c r="P3457" t="s">
        <v>340</v>
      </c>
      <c r="Q3457" s="10" t="s">
        <v>24</v>
      </c>
    </row>
    <row r="3458" spans="1:18" hidden="1" x14ac:dyDescent="0.25">
      <c r="A3458" s="9" t="s">
        <v>980</v>
      </c>
      <c r="B3458" s="3" t="s">
        <v>1797</v>
      </c>
      <c r="C3458" s="10">
        <v>25</v>
      </c>
      <c r="D3458" s="10">
        <v>2</v>
      </c>
      <c r="E3458" s="10">
        <v>19</v>
      </c>
      <c r="F3458" t="s">
        <v>770</v>
      </c>
      <c r="G3458" t="s">
        <v>31</v>
      </c>
      <c r="H3458" t="s">
        <v>26</v>
      </c>
      <c r="I3458" t="s">
        <v>27</v>
      </c>
      <c r="J3458" s="4">
        <v>7.75</v>
      </c>
      <c r="K3458">
        <v>2</v>
      </c>
      <c r="L3458">
        <v>7.75</v>
      </c>
      <c r="M3458">
        <v>15.5</v>
      </c>
      <c r="N3458" s="5">
        <v>0.78774718166697455</v>
      </c>
      <c r="O3458" t="s">
        <v>101</v>
      </c>
      <c r="P3458" t="s">
        <v>340</v>
      </c>
      <c r="Q3458" s="10" t="s">
        <v>24</v>
      </c>
    </row>
    <row r="3459" spans="1:18" hidden="1" x14ac:dyDescent="0.25">
      <c r="A3459" s="9" t="s">
        <v>980</v>
      </c>
      <c r="B3459" s="3" t="s">
        <v>1797</v>
      </c>
      <c r="C3459" s="10">
        <v>25</v>
      </c>
      <c r="D3459" s="10">
        <v>2</v>
      </c>
      <c r="E3459" s="10">
        <v>19</v>
      </c>
      <c r="F3459" t="s">
        <v>840</v>
      </c>
      <c r="G3459" t="s">
        <v>840</v>
      </c>
      <c r="H3459" t="s">
        <v>56</v>
      </c>
      <c r="I3459" t="s">
        <v>27</v>
      </c>
      <c r="J3459" s="4">
        <v>26</v>
      </c>
      <c r="K3459">
        <v>0.28999999999999998</v>
      </c>
      <c r="L3459">
        <v>26</v>
      </c>
      <c r="M3459">
        <v>7.5399999999999991</v>
      </c>
      <c r="N3459" s="5">
        <v>0.38320088708187017</v>
      </c>
      <c r="O3459" t="s">
        <v>101</v>
      </c>
      <c r="P3459" t="s">
        <v>340</v>
      </c>
      <c r="Q3459" s="10" t="s">
        <v>24</v>
      </c>
    </row>
    <row r="3460" spans="1:18" hidden="1" x14ac:dyDescent="0.25">
      <c r="A3460" s="9" t="s">
        <v>980</v>
      </c>
      <c r="B3460" s="3" t="s">
        <v>1797</v>
      </c>
      <c r="C3460" s="10">
        <v>25</v>
      </c>
      <c r="D3460" s="10">
        <v>2</v>
      </c>
      <c r="E3460" s="10">
        <v>19</v>
      </c>
      <c r="F3460" t="s">
        <v>1064</v>
      </c>
      <c r="G3460" t="s">
        <v>889</v>
      </c>
      <c r="H3460" t="s">
        <v>53</v>
      </c>
      <c r="I3460" t="s">
        <v>27</v>
      </c>
      <c r="J3460" s="4">
        <v>35</v>
      </c>
      <c r="K3460">
        <v>1</v>
      </c>
      <c r="L3460">
        <v>35</v>
      </c>
      <c r="M3460">
        <v>35</v>
      </c>
      <c r="N3460" s="5">
        <v>1.7787839586028458</v>
      </c>
      <c r="O3460" t="s">
        <v>101</v>
      </c>
      <c r="P3460" t="s">
        <v>340</v>
      </c>
      <c r="Q3460" s="10" t="s">
        <v>24</v>
      </c>
    </row>
    <row r="3461" spans="1:18" hidden="1" x14ac:dyDescent="0.25">
      <c r="A3461" s="9" t="s">
        <v>980</v>
      </c>
      <c r="B3461" s="3" t="s">
        <v>1797</v>
      </c>
      <c r="C3461" s="10">
        <v>25</v>
      </c>
      <c r="D3461" s="10">
        <v>2</v>
      </c>
      <c r="E3461" s="10">
        <v>19</v>
      </c>
      <c r="F3461" t="s">
        <v>118</v>
      </c>
      <c r="G3461" t="s">
        <v>889</v>
      </c>
      <c r="H3461" t="s">
        <v>40</v>
      </c>
      <c r="I3461" t="s">
        <v>27</v>
      </c>
      <c r="J3461" s="4">
        <v>10</v>
      </c>
      <c r="K3461">
        <v>1</v>
      </c>
      <c r="L3461">
        <v>10</v>
      </c>
      <c r="M3461">
        <v>10</v>
      </c>
      <c r="N3461" s="5">
        <v>0.50822398817224168</v>
      </c>
      <c r="O3461" t="s">
        <v>100</v>
      </c>
      <c r="P3461" t="s">
        <v>340</v>
      </c>
      <c r="Q3461" s="10" t="s">
        <v>24</v>
      </c>
    </row>
    <row r="3462" spans="1:18" hidden="1" x14ac:dyDescent="0.25">
      <c r="A3462" s="9" t="s">
        <v>980</v>
      </c>
      <c r="B3462" s="3" t="s">
        <v>1797</v>
      </c>
      <c r="C3462" s="10">
        <v>25</v>
      </c>
      <c r="D3462" s="10">
        <v>2</v>
      </c>
      <c r="E3462" s="10">
        <v>19</v>
      </c>
      <c r="F3462" t="s">
        <v>1468</v>
      </c>
      <c r="G3462" t="s">
        <v>889</v>
      </c>
      <c r="H3462" t="s">
        <v>56</v>
      </c>
      <c r="I3462" t="s">
        <v>27</v>
      </c>
      <c r="J3462" s="4">
        <v>12.25</v>
      </c>
      <c r="K3462">
        <v>4</v>
      </c>
      <c r="L3462">
        <v>12.25</v>
      </c>
      <c r="M3462">
        <v>49</v>
      </c>
      <c r="N3462" s="5">
        <v>2.4902975420439839</v>
      </c>
      <c r="O3462" t="s">
        <v>100</v>
      </c>
      <c r="P3462" t="s">
        <v>340</v>
      </c>
      <c r="Q3462" s="10" t="s">
        <v>24</v>
      </c>
    </row>
    <row r="3463" spans="1:18" hidden="1" x14ac:dyDescent="0.25">
      <c r="A3463" s="9" t="s">
        <v>980</v>
      </c>
      <c r="B3463" s="3" t="s">
        <v>1797</v>
      </c>
      <c r="C3463" s="10">
        <v>25</v>
      </c>
      <c r="D3463" s="10">
        <v>2</v>
      </c>
      <c r="E3463" s="10">
        <v>19</v>
      </c>
      <c r="F3463" t="s">
        <v>432</v>
      </c>
      <c r="G3463" t="s">
        <v>889</v>
      </c>
      <c r="H3463" t="s">
        <v>889</v>
      </c>
      <c r="I3463" t="s">
        <v>431</v>
      </c>
      <c r="J3463" s="4">
        <v>90</v>
      </c>
      <c r="K3463">
        <v>3</v>
      </c>
      <c r="L3463">
        <v>90</v>
      </c>
      <c r="M3463">
        <v>270</v>
      </c>
      <c r="N3463" s="5">
        <v>13.722047680650524</v>
      </c>
      <c r="O3463" t="s">
        <v>849</v>
      </c>
      <c r="P3463" t="s">
        <v>340</v>
      </c>
      <c r="Q3463" s="10" t="s">
        <v>24</v>
      </c>
    </row>
    <row r="3464" spans="1:18" hidden="1" x14ac:dyDescent="0.25">
      <c r="A3464" s="9" t="s">
        <v>980</v>
      </c>
      <c r="B3464" s="3" t="s">
        <v>1797</v>
      </c>
      <c r="C3464" s="10">
        <v>25</v>
      </c>
      <c r="D3464" s="10">
        <v>2</v>
      </c>
      <c r="E3464" s="10">
        <v>19</v>
      </c>
      <c r="F3464" t="s">
        <v>39</v>
      </c>
      <c r="G3464" t="s">
        <v>889</v>
      </c>
      <c r="H3464" t="s">
        <v>889</v>
      </c>
      <c r="I3464" t="s">
        <v>431</v>
      </c>
      <c r="J3464" s="4">
        <v>195</v>
      </c>
      <c r="K3464">
        <v>1</v>
      </c>
      <c r="L3464">
        <v>195</v>
      </c>
      <c r="M3464">
        <v>195</v>
      </c>
      <c r="N3464" s="5">
        <v>9.9103677693587127</v>
      </c>
      <c r="O3464" t="s">
        <v>849</v>
      </c>
      <c r="P3464" t="s">
        <v>340</v>
      </c>
      <c r="Q3464" s="10" t="s">
        <v>24</v>
      </c>
      <c r="R3464" t="s">
        <v>1974</v>
      </c>
    </row>
    <row r="3465" spans="1:18" hidden="1" x14ac:dyDescent="0.25">
      <c r="A3465" s="9" t="s">
        <v>980</v>
      </c>
      <c r="B3465" s="3" t="s">
        <v>1797</v>
      </c>
      <c r="C3465" s="10">
        <v>25</v>
      </c>
      <c r="D3465" s="10">
        <v>2</v>
      </c>
      <c r="E3465" s="10">
        <v>19</v>
      </c>
      <c r="F3465" t="s">
        <v>222</v>
      </c>
      <c r="G3465" t="s">
        <v>889</v>
      </c>
      <c r="H3465" t="s">
        <v>49</v>
      </c>
      <c r="I3465" t="s">
        <v>50</v>
      </c>
      <c r="J3465" s="4">
        <v>120</v>
      </c>
      <c r="K3465">
        <v>1</v>
      </c>
      <c r="L3465">
        <v>120</v>
      </c>
      <c r="M3465">
        <v>120</v>
      </c>
      <c r="N3465" s="5">
        <v>6.0986878580669002</v>
      </c>
      <c r="O3465" t="s">
        <v>39</v>
      </c>
      <c r="P3465" t="s">
        <v>340</v>
      </c>
      <c r="Q3465" s="10" t="s">
        <v>24</v>
      </c>
    </row>
    <row r="3466" spans="1:18" hidden="1" x14ac:dyDescent="0.25">
      <c r="A3466" s="9" t="s">
        <v>980</v>
      </c>
      <c r="B3466" s="3" t="s">
        <v>1868</v>
      </c>
      <c r="C3466" s="10">
        <v>26</v>
      </c>
      <c r="D3466" s="10">
        <v>2</v>
      </c>
      <c r="E3466" s="10">
        <v>19</v>
      </c>
      <c r="F3466" t="s">
        <v>1666</v>
      </c>
      <c r="G3466" t="s">
        <v>889</v>
      </c>
      <c r="H3466" t="s">
        <v>889</v>
      </c>
      <c r="I3466" t="s">
        <v>72</v>
      </c>
      <c r="J3466" s="4">
        <v>51.35</v>
      </c>
      <c r="K3466">
        <v>1</v>
      </c>
      <c r="L3466">
        <v>51.35</v>
      </c>
      <c r="M3466">
        <v>51.35</v>
      </c>
      <c r="N3466" s="5">
        <v>2.6097301792644609</v>
      </c>
      <c r="O3466" t="s">
        <v>233</v>
      </c>
      <c r="P3466" t="s">
        <v>340</v>
      </c>
      <c r="Q3466" s="10" t="s">
        <v>24</v>
      </c>
      <c r="R3466" t="s">
        <v>1850</v>
      </c>
    </row>
    <row r="3467" spans="1:18" hidden="1" x14ac:dyDescent="0.25">
      <c r="A3467" s="9" t="s">
        <v>980</v>
      </c>
      <c r="B3467" s="3" t="s">
        <v>1868</v>
      </c>
      <c r="C3467" s="10">
        <v>26</v>
      </c>
      <c r="D3467" s="10">
        <v>2</v>
      </c>
      <c r="E3467" s="10">
        <v>19</v>
      </c>
      <c r="F3467" t="s">
        <v>151</v>
      </c>
      <c r="G3467" t="s">
        <v>889</v>
      </c>
      <c r="H3467" t="s">
        <v>889</v>
      </c>
      <c r="I3467" t="s">
        <v>72</v>
      </c>
      <c r="J3467" s="4">
        <v>21.78</v>
      </c>
      <c r="K3467">
        <v>1</v>
      </c>
      <c r="L3467">
        <v>21.78</v>
      </c>
      <c r="M3467">
        <v>21.78</v>
      </c>
      <c r="N3467" s="5">
        <v>1.1069118462391423</v>
      </c>
      <c r="O3467" t="s">
        <v>233</v>
      </c>
      <c r="P3467" t="s">
        <v>340</v>
      </c>
      <c r="Q3467" s="10" t="s">
        <v>24</v>
      </c>
      <c r="R3467" t="s">
        <v>1849</v>
      </c>
    </row>
    <row r="3468" spans="1:18" hidden="1" x14ac:dyDescent="0.25">
      <c r="A3468" s="9" t="s">
        <v>980</v>
      </c>
      <c r="B3468" s="3" t="s">
        <v>1868</v>
      </c>
      <c r="C3468" s="10">
        <v>26</v>
      </c>
      <c r="D3468" s="10">
        <v>2</v>
      </c>
      <c r="E3468" s="10">
        <v>19</v>
      </c>
      <c r="F3468" t="s">
        <v>179</v>
      </c>
      <c r="G3468" t="s">
        <v>889</v>
      </c>
      <c r="H3468" t="s">
        <v>179</v>
      </c>
      <c r="I3468" t="s">
        <v>105</v>
      </c>
      <c r="J3468" s="4">
        <v>1256.48</v>
      </c>
      <c r="K3468">
        <v>1</v>
      </c>
      <c r="L3468">
        <v>1256.48</v>
      </c>
      <c r="M3468">
        <v>1256.48</v>
      </c>
      <c r="N3468" s="5">
        <v>63.683730359858082</v>
      </c>
      <c r="O3468" t="s">
        <v>39</v>
      </c>
      <c r="P3468" t="s">
        <v>340</v>
      </c>
      <c r="Q3468" s="10" t="s">
        <v>24</v>
      </c>
    </row>
    <row r="3469" spans="1:18" hidden="1" x14ac:dyDescent="0.25">
      <c r="A3469" s="9" t="s">
        <v>980</v>
      </c>
      <c r="B3469" s="3" t="s">
        <v>1868</v>
      </c>
      <c r="C3469" s="10">
        <v>26</v>
      </c>
      <c r="D3469" s="10">
        <v>2</v>
      </c>
      <c r="E3469" s="10">
        <v>19</v>
      </c>
      <c r="F3469" t="s">
        <v>176</v>
      </c>
      <c r="G3469" t="s">
        <v>889</v>
      </c>
      <c r="H3469" t="s">
        <v>176</v>
      </c>
      <c r="I3469" t="s">
        <v>105</v>
      </c>
      <c r="J3469" s="4">
        <v>192.8</v>
      </c>
      <c r="K3469">
        <v>1</v>
      </c>
      <c r="L3469">
        <v>192.8</v>
      </c>
      <c r="M3469">
        <v>192.8</v>
      </c>
      <c r="N3469" s="5">
        <v>9.7719209325899641</v>
      </c>
      <c r="O3469" t="s">
        <v>39</v>
      </c>
      <c r="P3469" t="s">
        <v>340</v>
      </c>
      <c r="Q3469" s="10" t="s">
        <v>24</v>
      </c>
    </row>
    <row r="3470" spans="1:18" hidden="1" x14ac:dyDescent="0.25">
      <c r="A3470" s="9" t="s">
        <v>980</v>
      </c>
      <c r="B3470" s="3" t="s">
        <v>1868</v>
      </c>
      <c r="C3470" s="10">
        <v>26</v>
      </c>
      <c r="D3470" s="10">
        <v>2</v>
      </c>
      <c r="E3470" s="10">
        <v>19</v>
      </c>
      <c r="F3470" t="s">
        <v>168</v>
      </c>
      <c r="G3470" t="s">
        <v>889</v>
      </c>
      <c r="H3470" t="s">
        <v>168</v>
      </c>
      <c r="I3470" t="s">
        <v>105</v>
      </c>
      <c r="J3470" s="4">
        <v>757.18</v>
      </c>
      <c r="K3470">
        <v>1</v>
      </c>
      <c r="L3470">
        <v>757.18</v>
      </c>
      <c r="M3470">
        <v>757.18</v>
      </c>
      <c r="N3470" s="5">
        <v>38.377090724784587</v>
      </c>
      <c r="O3470" t="s">
        <v>39</v>
      </c>
      <c r="P3470" t="s">
        <v>340</v>
      </c>
      <c r="Q3470" s="10" t="s">
        <v>24</v>
      </c>
    </row>
    <row r="3471" spans="1:18" hidden="1" x14ac:dyDescent="0.25">
      <c r="A3471" s="9" t="s">
        <v>980</v>
      </c>
      <c r="B3471" s="3" t="s">
        <v>1868</v>
      </c>
      <c r="C3471" s="10">
        <v>26</v>
      </c>
      <c r="D3471" s="10">
        <v>2</v>
      </c>
      <c r="E3471" s="10">
        <v>19</v>
      </c>
      <c r="F3471" t="s">
        <v>169</v>
      </c>
      <c r="G3471" t="s">
        <v>889</v>
      </c>
      <c r="H3471" t="s">
        <v>170</v>
      </c>
      <c r="I3471" t="s">
        <v>105</v>
      </c>
      <c r="J3471" s="4">
        <v>210</v>
      </c>
      <c r="K3471">
        <v>1</v>
      </c>
      <c r="L3471">
        <v>210</v>
      </c>
      <c r="M3471">
        <v>210</v>
      </c>
      <c r="N3471" s="5">
        <v>10.643689812468322</v>
      </c>
      <c r="O3471" t="s">
        <v>39</v>
      </c>
      <c r="P3471" t="s">
        <v>340</v>
      </c>
      <c r="Q3471" s="10" t="s">
        <v>24</v>
      </c>
    </row>
    <row r="3472" spans="1:18" hidden="1" x14ac:dyDescent="0.25">
      <c r="A3472" s="9" t="s">
        <v>980</v>
      </c>
      <c r="B3472" s="3" t="s">
        <v>1868</v>
      </c>
      <c r="C3472" s="10">
        <v>26</v>
      </c>
      <c r="D3472" s="10">
        <v>2</v>
      </c>
      <c r="E3472" s="10">
        <v>19</v>
      </c>
      <c r="F3472" t="s">
        <v>197</v>
      </c>
      <c r="G3472" t="s">
        <v>889</v>
      </c>
      <c r="H3472" t="s">
        <v>1094</v>
      </c>
      <c r="I3472" t="s">
        <v>105</v>
      </c>
      <c r="J3472" s="4">
        <v>200</v>
      </c>
      <c r="K3472">
        <v>1</v>
      </c>
      <c r="L3472">
        <v>200</v>
      </c>
      <c r="M3472">
        <v>200</v>
      </c>
      <c r="N3472" s="5">
        <v>10.13684744044602</v>
      </c>
      <c r="O3472" t="s">
        <v>39</v>
      </c>
      <c r="P3472" t="s">
        <v>340</v>
      </c>
      <c r="Q3472" s="10" t="s">
        <v>24</v>
      </c>
    </row>
    <row r="3473" spans="1:18" hidden="1" x14ac:dyDescent="0.25">
      <c r="A3473" s="9" t="s">
        <v>980</v>
      </c>
      <c r="B3473" s="3" t="s">
        <v>1868</v>
      </c>
      <c r="C3473" s="10">
        <v>26</v>
      </c>
      <c r="D3473" s="10">
        <v>2</v>
      </c>
      <c r="E3473" s="10">
        <v>19</v>
      </c>
      <c r="F3473" t="s">
        <v>199</v>
      </c>
      <c r="G3473" t="s">
        <v>889</v>
      </c>
      <c r="H3473" t="s">
        <v>1094</v>
      </c>
      <c r="I3473" t="s">
        <v>105</v>
      </c>
      <c r="J3473" s="4">
        <v>200</v>
      </c>
      <c r="K3473">
        <v>1</v>
      </c>
      <c r="L3473">
        <v>200</v>
      </c>
      <c r="M3473">
        <v>200</v>
      </c>
      <c r="N3473" s="5">
        <v>10.13684744044602</v>
      </c>
      <c r="O3473" t="s">
        <v>39</v>
      </c>
      <c r="P3473" t="s">
        <v>340</v>
      </c>
      <c r="Q3473" s="10" t="s">
        <v>24</v>
      </c>
    </row>
    <row r="3474" spans="1:18" hidden="1" x14ac:dyDescent="0.25">
      <c r="A3474" s="9" t="s">
        <v>980</v>
      </c>
      <c r="B3474" s="3" t="s">
        <v>1868</v>
      </c>
      <c r="C3474" s="10">
        <v>26</v>
      </c>
      <c r="D3474" s="10">
        <v>2</v>
      </c>
      <c r="E3474" s="10">
        <v>19</v>
      </c>
      <c r="F3474" t="s">
        <v>756</v>
      </c>
      <c r="G3474" t="s">
        <v>889</v>
      </c>
      <c r="H3474" t="s">
        <v>198</v>
      </c>
      <c r="I3474" t="s">
        <v>105</v>
      </c>
      <c r="J3474" s="4">
        <v>200</v>
      </c>
      <c r="K3474">
        <v>1</v>
      </c>
      <c r="L3474">
        <v>200</v>
      </c>
      <c r="M3474">
        <v>200</v>
      </c>
      <c r="N3474" s="5">
        <v>10.13684744044602</v>
      </c>
      <c r="O3474" t="s">
        <v>39</v>
      </c>
      <c r="P3474" t="s">
        <v>340</v>
      </c>
      <c r="Q3474" s="10" t="s">
        <v>24</v>
      </c>
    </row>
    <row r="3475" spans="1:18" hidden="1" x14ac:dyDescent="0.25">
      <c r="A3475" s="9" t="s">
        <v>980</v>
      </c>
      <c r="B3475" s="3" t="s">
        <v>1993</v>
      </c>
      <c r="C3475" s="10">
        <v>27</v>
      </c>
      <c r="D3475" s="10">
        <v>2</v>
      </c>
      <c r="E3475" s="10">
        <v>19</v>
      </c>
      <c r="F3475" t="s">
        <v>802</v>
      </c>
      <c r="G3475" t="s">
        <v>708</v>
      </c>
      <c r="H3475" t="s">
        <v>1612</v>
      </c>
      <c r="I3475" t="s">
        <v>27</v>
      </c>
      <c r="J3475" s="4">
        <v>10</v>
      </c>
      <c r="K3475">
        <v>2</v>
      </c>
      <c r="L3475">
        <v>10</v>
      </c>
      <c r="M3475">
        <v>20</v>
      </c>
      <c r="N3475" s="5">
        <v>1.0164479763444834</v>
      </c>
      <c r="O3475" t="s">
        <v>39</v>
      </c>
      <c r="P3475" t="s">
        <v>340</v>
      </c>
      <c r="Q3475" s="10" t="s">
        <v>24</v>
      </c>
      <c r="R3475" t="s">
        <v>1979</v>
      </c>
    </row>
    <row r="3476" spans="1:18" hidden="1" x14ac:dyDescent="0.25">
      <c r="A3476" s="9" t="s">
        <v>980</v>
      </c>
      <c r="B3476" s="3" t="s">
        <v>1993</v>
      </c>
      <c r="C3476" s="10">
        <v>27</v>
      </c>
      <c r="D3476" s="10">
        <v>2</v>
      </c>
      <c r="E3476" s="10">
        <v>19</v>
      </c>
      <c r="F3476" t="s">
        <v>89</v>
      </c>
      <c r="G3476" t="s">
        <v>31</v>
      </c>
      <c r="H3476" t="s">
        <v>26</v>
      </c>
      <c r="I3476" t="s">
        <v>27</v>
      </c>
      <c r="J3476" s="4">
        <v>7.49</v>
      </c>
      <c r="K3476">
        <v>1</v>
      </c>
      <c r="L3476">
        <v>7.49</v>
      </c>
      <c r="M3476">
        <v>7.49</v>
      </c>
      <c r="N3476" s="5">
        <v>0.38065976714100902</v>
      </c>
      <c r="O3476" t="s">
        <v>457</v>
      </c>
      <c r="P3476" t="s">
        <v>340</v>
      </c>
      <c r="Q3476" s="10" t="s">
        <v>24</v>
      </c>
    </row>
    <row r="3477" spans="1:18" hidden="1" x14ac:dyDescent="0.25">
      <c r="A3477" s="9" t="s">
        <v>980</v>
      </c>
      <c r="B3477" s="3" t="s">
        <v>1993</v>
      </c>
      <c r="C3477" s="10">
        <v>27</v>
      </c>
      <c r="D3477" s="10">
        <v>2</v>
      </c>
      <c r="E3477" s="10">
        <v>19</v>
      </c>
      <c r="F3477" t="s">
        <v>53</v>
      </c>
      <c r="G3477" t="s">
        <v>889</v>
      </c>
      <c r="H3477" t="s">
        <v>53</v>
      </c>
      <c r="I3477" t="s">
        <v>27</v>
      </c>
      <c r="J3477" s="4">
        <v>10.49</v>
      </c>
      <c r="K3477">
        <v>2</v>
      </c>
      <c r="L3477">
        <v>10.49</v>
      </c>
      <c r="M3477">
        <v>20.98</v>
      </c>
      <c r="N3477" s="5">
        <v>1.066253927185363</v>
      </c>
      <c r="O3477" t="s">
        <v>457</v>
      </c>
      <c r="P3477" t="s">
        <v>340</v>
      </c>
      <c r="Q3477" s="10" t="s">
        <v>24</v>
      </c>
    </row>
    <row r="3478" spans="1:18" hidden="1" x14ac:dyDescent="0.25">
      <c r="A3478" s="9" t="s">
        <v>980</v>
      </c>
      <c r="B3478" s="3" t="s">
        <v>1993</v>
      </c>
      <c r="C3478" s="10">
        <v>27</v>
      </c>
      <c r="D3478" s="10">
        <v>2</v>
      </c>
      <c r="E3478" s="10">
        <v>19</v>
      </c>
      <c r="F3478" t="s">
        <v>55</v>
      </c>
      <c r="G3478" t="s">
        <v>889</v>
      </c>
      <c r="H3478" t="s">
        <v>56</v>
      </c>
      <c r="I3478" t="s">
        <v>27</v>
      </c>
      <c r="J3478" s="4">
        <v>22.99</v>
      </c>
      <c r="K3478">
        <v>1.1539999999999999</v>
      </c>
      <c r="L3478">
        <v>22.99</v>
      </c>
      <c r="M3478">
        <v>26.530459999999998</v>
      </c>
      <c r="N3478" s="5">
        <v>1.3483416189244128</v>
      </c>
      <c r="O3478" t="s">
        <v>457</v>
      </c>
      <c r="P3478" t="s">
        <v>340</v>
      </c>
      <c r="Q3478" s="10" t="s">
        <v>24</v>
      </c>
    </row>
    <row r="3479" spans="1:18" hidden="1" x14ac:dyDescent="0.25">
      <c r="A3479" s="9" t="s">
        <v>980</v>
      </c>
      <c r="B3479" s="3" t="s">
        <v>1808</v>
      </c>
      <c r="C3479" s="10">
        <v>28</v>
      </c>
      <c r="D3479" s="10">
        <v>2</v>
      </c>
      <c r="E3479" s="10">
        <v>19</v>
      </c>
      <c r="F3479" t="s">
        <v>78</v>
      </c>
      <c r="G3479" t="s">
        <v>889</v>
      </c>
      <c r="H3479" t="s">
        <v>78</v>
      </c>
      <c r="I3479" t="s">
        <v>79</v>
      </c>
      <c r="J3479" s="4">
        <v>18.899999999999999</v>
      </c>
      <c r="K3479">
        <v>52.91</v>
      </c>
      <c r="L3479">
        <v>18.899999999999999</v>
      </c>
      <c r="M3479">
        <v>999.99899999999991</v>
      </c>
      <c r="N3479" s="5">
        <v>50.822347994825343</v>
      </c>
      <c r="O3479" t="s">
        <v>235</v>
      </c>
      <c r="P3479" t="s">
        <v>340</v>
      </c>
      <c r="Q3479" s="10" t="s">
        <v>24</v>
      </c>
    </row>
    <row r="3480" spans="1:18" hidden="1" x14ac:dyDescent="0.25">
      <c r="A3480" s="9" t="s">
        <v>980</v>
      </c>
      <c r="B3480" s="3" t="s">
        <v>1808</v>
      </c>
      <c r="C3480" s="10">
        <v>28</v>
      </c>
      <c r="D3480" s="10">
        <v>2</v>
      </c>
      <c r="E3480" s="10">
        <v>19</v>
      </c>
      <c r="F3480" t="s">
        <v>177</v>
      </c>
      <c r="G3480" t="s">
        <v>889</v>
      </c>
      <c r="H3480" t="s">
        <v>56</v>
      </c>
      <c r="I3480" t="s">
        <v>27</v>
      </c>
      <c r="J3480" s="4">
        <v>6</v>
      </c>
      <c r="K3480">
        <v>1</v>
      </c>
      <c r="L3480">
        <v>6</v>
      </c>
      <c r="M3480">
        <v>6</v>
      </c>
      <c r="N3480" s="5">
        <v>0.30493439290334501</v>
      </c>
      <c r="O3480" t="s">
        <v>101</v>
      </c>
      <c r="P3480" t="s">
        <v>340</v>
      </c>
      <c r="Q3480" s="10" t="s">
        <v>24</v>
      </c>
    </row>
    <row r="3481" spans="1:18" hidden="1" x14ac:dyDescent="0.25">
      <c r="A3481" s="9" t="s">
        <v>980</v>
      </c>
      <c r="B3481" s="3" t="s">
        <v>1808</v>
      </c>
      <c r="C3481" s="10">
        <v>28</v>
      </c>
      <c r="D3481" s="10">
        <v>2</v>
      </c>
      <c r="E3481" s="10">
        <v>19</v>
      </c>
      <c r="F3481" t="s">
        <v>53</v>
      </c>
      <c r="G3481" t="s">
        <v>889</v>
      </c>
      <c r="H3481" t="s">
        <v>53</v>
      </c>
      <c r="I3481" t="s">
        <v>27</v>
      </c>
      <c r="J3481" s="4">
        <v>10</v>
      </c>
      <c r="K3481">
        <v>1</v>
      </c>
      <c r="L3481">
        <v>10</v>
      </c>
      <c r="M3481">
        <v>10</v>
      </c>
      <c r="N3481" s="5">
        <v>0.50822398817224168</v>
      </c>
      <c r="O3481" t="s">
        <v>101</v>
      </c>
      <c r="P3481" t="s">
        <v>340</v>
      </c>
      <c r="Q3481" s="10" t="s">
        <v>24</v>
      </c>
    </row>
    <row r="3482" spans="1:18" hidden="1" x14ac:dyDescent="0.25">
      <c r="A3482" s="9" t="s">
        <v>980</v>
      </c>
      <c r="B3482" s="3" t="str">
        <f>CONCATENATE(E3482,"/",D3482,"/",C3482)</f>
        <v>19/2/4</v>
      </c>
      <c r="C3482" s="10">
        <v>4</v>
      </c>
      <c r="D3482" s="10">
        <v>2</v>
      </c>
      <c r="E3482" s="10">
        <v>19</v>
      </c>
      <c r="F3482" t="s">
        <v>75</v>
      </c>
      <c r="G3482" t="s">
        <v>889</v>
      </c>
      <c r="H3482" t="s">
        <v>65</v>
      </c>
      <c r="I3482" t="s">
        <v>27</v>
      </c>
      <c r="J3482">
        <v>10</v>
      </c>
      <c r="K3482">
        <v>2</v>
      </c>
      <c r="L3482">
        <v>10</v>
      </c>
      <c r="M3482">
        <v>20</v>
      </c>
      <c r="N3482" s="5">
        <v>1.0136847440446022</v>
      </c>
      <c r="O3482" t="s">
        <v>101</v>
      </c>
      <c r="P3482" t="s">
        <v>340</v>
      </c>
      <c r="Q3482" s="10" t="s">
        <v>24</v>
      </c>
    </row>
    <row r="3483" spans="1:18" hidden="1" x14ac:dyDescent="0.25">
      <c r="A3483" s="9" t="s">
        <v>980</v>
      </c>
      <c r="B3483" s="3" t="str">
        <f>CONCATENATE(E3483,"/",D3483,"/",C3483)</f>
        <v>19/2/4</v>
      </c>
      <c r="C3483" s="10">
        <v>4</v>
      </c>
      <c r="D3483" s="10">
        <v>2</v>
      </c>
      <c r="E3483" s="10">
        <v>19</v>
      </c>
      <c r="F3483" t="s">
        <v>770</v>
      </c>
      <c r="G3483" t="s">
        <v>31</v>
      </c>
      <c r="H3483" t="s">
        <v>26</v>
      </c>
      <c r="I3483" t="s">
        <v>27</v>
      </c>
      <c r="J3483">
        <v>7.75</v>
      </c>
      <c r="K3483">
        <v>3</v>
      </c>
      <c r="L3483">
        <v>7.75</v>
      </c>
      <c r="M3483">
        <v>23.25</v>
      </c>
      <c r="N3483" s="5">
        <v>1.17840851495185</v>
      </c>
      <c r="O3483" t="s">
        <v>101</v>
      </c>
      <c r="P3483" t="s">
        <v>340</v>
      </c>
      <c r="Q3483" s="10" t="s">
        <v>24</v>
      </c>
    </row>
    <row r="3484" spans="1:18" hidden="1" x14ac:dyDescent="0.25">
      <c r="A3484" s="9" t="s">
        <v>980</v>
      </c>
      <c r="B3484" s="3" t="str">
        <f>CONCATENATE(E3484,"/",D3484,"/",C3484)</f>
        <v>19/2/4</v>
      </c>
      <c r="C3484" s="10">
        <v>4</v>
      </c>
      <c r="D3484" s="10">
        <v>2</v>
      </c>
      <c r="E3484" s="10">
        <v>19</v>
      </c>
      <c r="F3484" t="s">
        <v>71</v>
      </c>
      <c r="I3484" t="s">
        <v>72</v>
      </c>
      <c r="J3484" s="4">
        <v>123</v>
      </c>
      <c r="K3484">
        <v>1</v>
      </c>
      <c r="L3484">
        <v>123</v>
      </c>
      <c r="M3484">
        <v>123</v>
      </c>
      <c r="N3484" s="5">
        <v>6.2260967379077616</v>
      </c>
      <c r="O3484" t="s">
        <v>39</v>
      </c>
      <c r="Q3484" s="10" t="s">
        <v>1102</v>
      </c>
    </row>
    <row r="3485" spans="1:18" hidden="1" x14ac:dyDescent="0.25">
      <c r="A3485" s="9" t="s">
        <v>980</v>
      </c>
      <c r="B3485" s="3" t="s">
        <v>1837</v>
      </c>
      <c r="C3485" s="10">
        <v>5</v>
      </c>
      <c r="D3485" s="10">
        <v>2</v>
      </c>
      <c r="E3485" s="10">
        <v>19</v>
      </c>
      <c r="F3485" t="s">
        <v>910</v>
      </c>
      <c r="G3485" t="s">
        <v>889</v>
      </c>
      <c r="H3485" t="s">
        <v>131</v>
      </c>
      <c r="I3485" t="s">
        <v>27</v>
      </c>
      <c r="J3485" s="4">
        <v>69.989999999999995</v>
      </c>
      <c r="K3485">
        <v>1</v>
      </c>
      <c r="L3485">
        <v>69.989999999999995</v>
      </c>
      <c r="M3485">
        <v>69.989999999999995</v>
      </c>
      <c r="N3485" s="5">
        <v>3.5570596932175191</v>
      </c>
      <c r="O3485" t="s">
        <v>1472</v>
      </c>
      <c r="P3485" t="s">
        <v>340</v>
      </c>
      <c r="Q3485" s="10" t="s">
        <v>24</v>
      </c>
    </row>
    <row r="3486" spans="1:18" hidden="1" x14ac:dyDescent="0.25">
      <c r="A3486" s="9" t="s">
        <v>980</v>
      </c>
      <c r="B3486" s="3" t="s">
        <v>1837</v>
      </c>
      <c r="C3486" s="10">
        <v>5</v>
      </c>
      <c r="D3486" s="10">
        <v>2</v>
      </c>
      <c r="E3486" s="10">
        <v>19</v>
      </c>
      <c r="F3486" t="s">
        <v>364</v>
      </c>
      <c r="G3486" t="s">
        <v>889</v>
      </c>
      <c r="H3486" t="s">
        <v>63</v>
      </c>
      <c r="I3486" t="s">
        <v>27</v>
      </c>
      <c r="J3486" s="4">
        <v>15.65</v>
      </c>
      <c r="K3486">
        <v>1</v>
      </c>
      <c r="L3486">
        <v>15.65</v>
      </c>
      <c r="M3486">
        <v>15.65</v>
      </c>
      <c r="N3486" s="5">
        <v>0.79537054148955821</v>
      </c>
      <c r="O3486" t="s">
        <v>1472</v>
      </c>
      <c r="P3486" t="s">
        <v>340</v>
      </c>
      <c r="Q3486" s="10" t="s">
        <v>24</v>
      </c>
      <c r="R3486" t="s">
        <v>1830</v>
      </c>
    </row>
    <row r="3487" spans="1:18" hidden="1" x14ac:dyDescent="0.25">
      <c r="A3487" s="9" t="s">
        <v>980</v>
      </c>
      <c r="B3487" s="3" t="s">
        <v>1837</v>
      </c>
      <c r="C3487" s="10">
        <v>5</v>
      </c>
      <c r="D3487" s="10">
        <v>2</v>
      </c>
      <c r="E3487" s="10">
        <v>19</v>
      </c>
      <c r="F3487" t="s">
        <v>364</v>
      </c>
      <c r="G3487" t="s">
        <v>889</v>
      </c>
      <c r="H3487" t="s">
        <v>63</v>
      </c>
      <c r="I3487" t="s">
        <v>27</v>
      </c>
      <c r="J3487" s="4">
        <v>12.4</v>
      </c>
      <c r="K3487">
        <v>1</v>
      </c>
      <c r="L3487">
        <v>12.4</v>
      </c>
      <c r="M3487">
        <v>12.4</v>
      </c>
      <c r="N3487" s="5">
        <v>0.63019774533357964</v>
      </c>
      <c r="O3487" t="s">
        <v>1472</v>
      </c>
      <c r="P3487" t="s">
        <v>340</v>
      </c>
      <c r="Q3487" s="10" t="s">
        <v>24</v>
      </c>
      <c r="R3487" t="s">
        <v>1146</v>
      </c>
    </row>
    <row r="3488" spans="1:18" hidden="1" x14ac:dyDescent="0.25">
      <c r="A3488" s="9" t="s">
        <v>980</v>
      </c>
      <c r="B3488" s="3" t="s">
        <v>1837</v>
      </c>
      <c r="C3488" s="10">
        <v>5</v>
      </c>
      <c r="D3488" s="10">
        <v>2</v>
      </c>
      <c r="E3488" s="10">
        <v>19</v>
      </c>
      <c r="F3488" t="s">
        <v>55</v>
      </c>
      <c r="G3488" t="s">
        <v>889</v>
      </c>
      <c r="H3488" t="s">
        <v>56</v>
      </c>
      <c r="I3488" t="s">
        <v>27</v>
      </c>
      <c r="J3488" s="4">
        <v>24.75</v>
      </c>
      <c r="K3488">
        <v>0.86799999999999999</v>
      </c>
      <c r="L3488">
        <v>24.75</v>
      </c>
      <c r="M3488">
        <v>21.483000000000001</v>
      </c>
      <c r="N3488" s="5">
        <v>1.0918175937904269</v>
      </c>
      <c r="O3488" t="s">
        <v>1472</v>
      </c>
      <c r="P3488" t="s">
        <v>340</v>
      </c>
      <c r="Q3488" s="10" t="s">
        <v>24</v>
      </c>
    </row>
    <row r="3489" spans="1:17" hidden="1" x14ac:dyDescent="0.25">
      <c r="A3489" s="9" t="s">
        <v>980</v>
      </c>
      <c r="B3489" s="3" t="s">
        <v>1837</v>
      </c>
      <c r="C3489" s="10">
        <v>5</v>
      </c>
      <c r="D3489" s="10">
        <v>2</v>
      </c>
      <c r="E3489" s="10">
        <v>19</v>
      </c>
      <c r="F3489" t="s">
        <v>770</v>
      </c>
      <c r="G3489" t="s">
        <v>31</v>
      </c>
      <c r="H3489" t="s">
        <v>26</v>
      </c>
      <c r="I3489" t="s">
        <v>27</v>
      </c>
      <c r="J3489" s="4">
        <v>7.65</v>
      </c>
      <c r="K3489">
        <v>2</v>
      </c>
      <c r="L3489">
        <v>7.65</v>
      </c>
      <c r="M3489">
        <v>15.3</v>
      </c>
      <c r="N3489" s="5">
        <v>0.77758270190352974</v>
      </c>
      <c r="O3489" t="s">
        <v>1472</v>
      </c>
      <c r="P3489" t="s">
        <v>340</v>
      </c>
      <c r="Q3489" s="10" t="s">
        <v>24</v>
      </c>
    </row>
    <row r="3490" spans="1:17" hidden="1" x14ac:dyDescent="0.25">
      <c r="A3490" s="9" t="s">
        <v>980</v>
      </c>
      <c r="B3490" s="3" t="s">
        <v>1885</v>
      </c>
      <c r="C3490" s="10">
        <v>7</v>
      </c>
      <c r="D3490" s="10">
        <v>2</v>
      </c>
      <c r="E3490" s="10">
        <v>19</v>
      </c>
      <c r="F3490" t="s">
        <v>770</v>
      </c>
      <c r="G3490" t="s">
        <v>31</v>
      </c>
      <c r="H3490" t="s">
        <v>26</v>
      </c>
      <c r="I3490" t="s">
        <v>27</v>
      </c>
      <c r="J3490" s="4">
        <v>7.8</v>
      </c>
      <c r="K3490">
        <v>2</v>
      </c>
      <c r="L3490">
        <v>7.8</v>
      </c>
      <c r="M3490">
        <v>15.6</v>
      </c>
      <c r="N3490" s="5">
        <v>0.79282942154869696</v>
      </c>
      <c r="O3490" t="s">
        <v>101</v>
      </c>
      <c r="P3490" t="s">
        <v>340</v>
      </c>
      <c r="Q3490" s="10" t="s">
        <v>24</v>
      </c>
    </row>
    <row r="3491" spans="1:17" hidden="1" x14ac:dyDescent="0.25">
      <c r="A3491" s="9" t="s">
        <v>980</v>
      </c>
      <c r="B3491" s="3" t="s">
        <v>1885</v>
      </c>
      <c r="C3491" s="10">
        <v>7</v>
      </c>
      <c r="D3491" s="10">
        <v>2</v>
      </c>
      <c r="E3491" s="10">
        <v>19</v>
      </c>
      <c r="F3491" t="s">
        <v>1874</v>
      </c>
      <c r="G3491" t="s">
        <v>77</v>
      </c>
      <c r="H3491" t="s">
        <v>26</v>
      </c>
      <c r="I3491" t="s">
        <v>27</v>
      </c>
      <c r="J3491" s="4">
        <v>19</v>
      </c>
      <c r="K3491">
        <v>1</v>
      </c>
      <c r="L3491">
        <v>19</v>
      </c>
      <c r="M3491">
        <v>19</v>
      </c>
      <c r="N3491" s="5">
        <v>0.96562557752725919</v>
      </c>
      <c r="O3491" t="s">
        <v>101</v>
      </c>
      <c r="P3491" t="s">
        <v>340</v>
      </c>
      <c r="Q3491" s="10" t="s">
        <v>24</v>
      </c>
    </row>
    <row r="3492" spans="1:17" hidden="1" x14ac:dyDescent="0.25">
      <c r="A3492" s="9" t="s">
        <v>980</v>
      </c>
      <c r="B3492" s="3" t="s">
        <v>1884</v>
      </c>
      <c r="C3492" s="10">
        <v>8</v>
      </c>
      <c r="D3492" s="10">
        <v>2</v>
      </c>
      <c r="E3492" s="10">
        <v>19</v>
      </c>
      <c r="F3492" t="s">
        <v>770</v>
      </c>
      <c r="G3492" t="s">
        <v>31</v>
      </c>
      <c r="H3492" t="s">
        <v>26</v>
      </c>
      <c r="I3492" t="s">
        <v>27</v>
      </c>
      <c r="J3492" s="4">
        <v>7.8</v>
      </c>
      <c r="K3492">
        <v>3</v>
      </c>
      <c r="L3492">
        <v>7.8</v>
      </c>
      <c r="M3492">
        <v>23.4</v>
      </c>
      <c r="N3492" s="5">
        <v>1.1892441323230454</v>
      </c>
      <c r="O3492" t="s">
        <v>101</v>
      </c>
      <c r="P3492" t="s">
        <v>340</v>
      </c>
      <c r="Q3492" s="10" t="s">
        <v>24</v>
      </c>
    </row>
    <row r="3493" spans="1:17" hidden="1" x14ac:dyDescent="0.25">
      <c r="A3493" s="9" t="s">
        <v>980</v>
      </c>
      <c r="B3493" s="3" t="s">
        <v>1884</v>
      </c>
      <c r="C3493" s="10">
        <v>8</v>
      </c>
      <c r="D3493" s="10">
        <v>2</v>
      </c>
      <c r="E3493" s="10">
        <v>19</v>
      </c>
      <c r="F3493" t="s">
        <v>1793</v>
      </c>
      <c r="G3493" t="s">
        <v>889</v>
      </c>
      <c r="H3493" t="s">
        <v>65</v>
      </c>
      <c r="I3493" t="s">
        <v>27</v>
      </c>
      <c r="J3493" s="4">
        <v>10</v>
      </c>
      <c r="K3493">
        <v>2</v>
      </c>
      <c r="L3493">
        <v>10</v>
      </c>
      <c r="M3493">
        <v>20</v>
      </c>
      <c r="N3493" s="5">
        <v>1.0164479763444834</v>
      </c>
      <c r="O3493" t="s">
        <v>101</v>
      </c>
      <c r="P3493" t="s">
        <v>340</v>
      </c>
      <c r="Q3493" s="10" t="s">
        <v>24</v>
      </c>
    </row>
    <row r="3494" spans="1:17" hidden="1" x14ac:dyDescent="0.25">
      <c r="A3494" s="9" t="s">
        <v>980</v>
      </c>
      <c r="B3494" s="3" t="str">
        <f>CONCATENATE(E3494,"/",D3494,"/",C3494)</f>
        <v>19/2/9</v>
      </c>
      <c r="C3494" s="10">
        <v>9</v>
      </c>
      <c r="D3494" s="10">
        <v>2</v>
      </c>
      <c r="E3494" s="10">
        <v>19</v>
      </c>
      <c r="F3494" t="s">
        <v>41</v>
      </c>
      <c r="G3494" t="s">
        <v>889</v>
      </c>
      <c r="H3494" t="s">
        <v>39</v>
      </c>
      <c r="I3494" t="s">
        <v>27</v>
      </c>
      <c r="J3494">
        <v>12</v>
      </c>
      <c r="K3494">
        <v>6</v>
      </c>
      <c r="L3494">
        <v>12</v>
      </c>
      <c r="M3494">
        <v>72</v>
      </c>
      <c r="N3494" s="5">
        <v>3.6492650785605676</v>
      </c>
      <c r="O3494" t="s">
        <v>42</v>
      </c>
      <c r="P3494" t="s">
        <v>340</v>
      </c>
      <c r="Q3494" s="10" t="s">
        <v>24</v>
      </c>
    </row>
    <row r="3495" spans="1:17" hidden="1" x14ac:dyDescent="0.25">
      <c r="A3495" s="9" t="s">
        <v>980</v>
      </c>
      <c r="B3495" s="3" t="s">
        <v>1801</v>
      </c>
      <c r="C3495" s="10">
        <v>9</v>
      </c>
      <c r="D3495" s="10">
        <v>2</v>
      </c>
      <c r="E3495" s="10">
        <v>19</v>
      </c>
      <c r="F3495" t="s">
        <v>1793</v>
      </c>
      <c r="G3495" t="s">
        <v>889</v>
      </c>
      <c r="H3495" t="s">
        <v>65</v>
      </c>
      <c r="I3495" t="s">
        <v>27</v>
      </c>
      <c r="J3495" s="4">
        <v>10</v>
      </c>
      <c r="K3495">
        <v>2</v>
      </c>
      <c r="L3495">
        <v>10</v>
      </c>
      <c r="M3495">
        <v>20</v>
      </c>
      <c r="N3495" s="5">
        <v>1.0164479763444834</v>
      </c>
      <c r="O3495" t="s">
        <v>101</v>
      </c>
      <c r="P3495" t="s">
        <v>340</v>
      </c>
      <c r="Q3495" s="10" t="s">
        <v>24</v>
      </c>
    </row>
    <row r="3496" spans="1:17" hidden="1" x14ac:dyDescent="0.25">
      <c r="A3496" s="9" t="s">
        <v>980</v>
      </c>
      <c r="B3496" s="3" t="s">
        <v>1801</v>
      </c>
      <c r="C3496" s="10">
        <v>9</v>
      </c>
      <c r="D3496" s="10">
        <v>2</v>
      </c>
      <c r="E3496" s="10">
        <v>19</v>
      </c>
      <c r="F3496" t="s">
        <v>234</v>
      </c>
      <c r="G3496" t="s">
        <v>889</v>
      </c>
      <c r="H3496" t="s">
        <v>53</v>
      </c>
      <c r="I3496" t="s">
        <v>27</v>
      </c>
      <c r="J3496" s="4">
        <v>20</v>
      </c>
      <c r="K3496">
        <v>2</v>
      </c>
      <c r="L3496">
        <v>20</v>
      </c>
      <c r="M3496">
        <v>40</v>
      </c>
      <c r="N3496" s="5">
        <v>2.0328959526889667</v>
      </c>
      <c r="O3496" t="s">
        <v>101</v>
      </c>
      <c r="P3496" t="s">
        <v>340</v>
      </c>
      <c r="Q3496" s="10" t="s">
        <v>24</v>
      </c>
    </row>
    <row r="3497" spans="1:17" hidden="1" x14ac:dyDescent="0.25">
      <c r="A3497" s="9" t="s">
        <v>980</v>
      </c>
      <c r="B3497" s="3" t="s">
        <v>1801</v>
      </c>
      <c r="C3497" s="10">
        <v>9</v>
      </c>
      <c r="D3497" s="10">
        <v>2</v>
      </c>
      <c r="E3497" s="10">
        <v>19</v>
      </c>
      <c r="F3497" t="s">
        <v>1692</v>
      </c>
      <c r="G3497" t="s">
        <v>889</v>
      </c>
      <c r="H3497" t="s">
        <v>49</v>
      </c>
      <c r="I3497" t="s">
        <v>50</v>
      </c>
      <c r="J3497" s="4">
        <v>28.9</v>
      </c>
      <c r="K3497">
        <v>1</v>
      </c>
      <c r="L3497">
        <v>28.9</v>
      </c>
      <c r="M3497">
        <v>28.9</v>
      </c>
      <c r="N3497" s="5">
        <v>1.4687673258177782</v>
      </c>
      <c r="O3497" t="s">
        <v>1472</v>
      </c>
      <c r="P3497" t="s">
        <v>340</v>
      </c>
      <c r="Q3497" s="10" t="s">
        <v>24</v>
      </c>
    </row>
    <row r="3498" spans="1:17" hidden="1" x14ac:dyDescent="0.25">
      <c r="A3498" s="9" t="s">
        <v>980</v>
      </c>
      <c r="B3498" s="3" t="s">
        <v>1801</v>
      </c>
      <c r="C3498" s="10">
        <v>9</v>
      </c>
      <c r="D3498" s="10">
        <v>2</v>
      </c>
      <c r="E3498" s="10">
        <v>19</v>
      </c>
      <c r="F3498" t="s">
        <v>910</v>
      </c>
      <c r="G3498" t="s">
        <v>889</v>
      </c>
      <c r="H3498" t="s">
        <v>131</v>
      </c>
      <c r="I3498" t="s">
        <v>27</v>
      </c>
      <c r="J3498" s="4">
        <v>69.989999999999995</v>
      </c>
      <c r="K3498">
        <v>1</v>
      </c>
      <c r="L3498">
        <v>69.989999999999995</v>
      </c>
      <c r="M3498">
        <v>69.989999999999995</v>
      </c>
      <c r="N3498" s="5">
        <v>3.5570596932175191</v>
      </c>
      <c r="O3498" t="s">
        <v>1472</v>
      </c>
      <c r="P3498" t="s">
        <v>340</v>
      </c>
      <c r="Q3498" s="10" t="s">
        <v>24</v>
      </c>
    </row>
    <row r="3499" spans="1:17" hidden="1" x14ac:dyDescent="0.25">
      <c r="A3499" s="9" t="s">
        <v>980</v>
      </c>
      <c r="B3499" s="3" t="s">
        <v>1801</v>
      </c>
      <c r="C3499" s="10">
        <v>9</v>
      </c>
      <c r="D3499" s="10">
        <v>2</v>
      </c>
      <c r="E3499" s="10">
        <v>19</v>
      </c>
      <c r="F3499" t="s">
        <v>166</v>
      </c>
      <c r="G3499" t="s">
        <v>77</v>
      </c>
      <c r="H3499" t="s">
        <v>26</v>
      </c>
      <c r="I3499" t="s">
        <v>27</v>
      </c>
      <c r="J3499" s="4">
        <v>18.850000000000001</v>
      </c>
      <c r="K3499">
        <v>1</v>
      </c>
      <c r="L3499">
        <v>18.850000000000001</v>
      </c>
      <c r="M3499">
        <v>18.850000000000001</v>
      </c>
      <c r="N3499" s="5">
        <v>0.95800221770467564</v>
      </c>
      <c r="O3499" t="s">
        <v>1472</v>
      </c>
      <c r="P3499" t="s">
        <v>340</v>
      </c>
      <c r="Q3499" s="10" t="s">
        <v>24</v>
      </c>
    </row>
    <row r="3500" spans="1:17" hidden="1" x14ac:dyDescent="0.25">
      <c r="A3500" s="9" t="s">
        <v>980</v>
      </c>
      <c r="B3500" s="3" t="s">
        <v>1801</v>
      </c>
      <c r="C3500" s="10">
        <v>9</v>
      </c>
      <c r="D3500" s="10">
        <v>2</v>
      </c>
      <c r="E3500" s="10">
        <v>19</v>
      </c>
      <c r="F3500" t="s">
        <v>1185</v>
      </c>
      <c r="G3500" t="s">
        <v>889</v>
      </c>
      <c r="H3500" t="s">
        <v>73</v>
      </c>
      <c r="I3500" t="s">
        <v>27</v>
      </c>
      <c r="J3500" s="4">
        <v>16.850000000000001</v>
      </c>
      <c r="K3500">
        <v>1</v>
      </c>
      <c r="L3500">
        <v>16.850000000000001</v>
      </c>
      <c r="M3500">
        <v>16.850000000000001</v>
      </c>
      <c r="N3500" s="5">
        <v>0.8563574200702273</v>
      </c>
      <c r="O3500" t="s">
        <v>1472</v>
      </c>
      <c r="P3500" t="s">
        <v>340</v>
      </c>
      <c r="Q3500" s="10" t="s">
        <v>24</v>
      </c>
    </row>
    <row r="3501" spans="1:17" hidden="1" x14ac:dyDescent="0.25">
      <c r="A3501" s="9" t="s">
        <v>980</v>
      </c>
      <c r="B3501" s="3" t="s">
        <v>1801</v>
      </c>
      <c r="C3501" s="10">
        <v>9</v>
      </c>
      <c r="D3501" s="10">
        <v>2</v>
      </c>
      <c r="E3501" s="10">
        <v>19</v>
      </c>
      <c r="F3501" t="s">
        <v>1274</v>
      </c>
      <c r="G3501" t="s">
        <v>889</v>
      </c>
      <c r="H3501" t="s">
        <v>73</v>
      </c>
      <c r="I3501" t="s">
        <v>27</v>
      </c>
      <c r="J3501" s="4">
        <v>19.3</v>
      </c>
      <c r="K3501">
        <v>1</v>
      </c>
      <c r="L3501">
        <v>19.3</v>
      </c>
      <c r="M3501">
        <v>19.3</v>
      </c>
      <c r="N3501" s="5">
        <v>0.98087229717242641</v>
      </c>
      <c r="O3501" t="s">
        <v>1472</v>
      </c>
      <c r="P3501" t="s">
        <v>340</v>
      </c>
      <c r="Q3501" s="10" t="s">
        <v>24</v>
      </c>
    </row>
    <row r="3502" spans="1:17" hidden="1" x14ac:dyDescent="0.25">
      <c r="A3502" s="9" t="s">
        <v>980</v>
      </c>
      <c r="B3502" s="3" t="s">
        <v>1801</v>
      </c>
      <c r="C3502" s="10">
        <v>9</v>
      </c>
      <c r="D3502" s="10">
        <v>2</v>
      </c>
      <c r="E3502" s="10">
        <v>19</v>
      </c>
      <c r="F3502" t="s">
        <v>656</v>
      </c>
      <c r="G3502" t="s">
        <v>33</v>
      </c>
      <c r="H3502" t="s">
        <v>35</v>
      </c>
      <c r="I3502" t="s">
        <v>27</v>
      </c>
      <c r="J3502" s="4">
        <v>103.6</v>
      </c>
      <c r="K3502">
        <v>0.40400000000000003</v>
      </c>
      <c r="L3502">
        <v>103.6</v>
      </c>
      <c r="M3502">
        <v>41.854399999999998</v>
      </c>
      <c r="N3502" s="5">
        <v>2.1271410090556269</v>
      </c>
      <c r="O3502" t="s">
        <v>100</v>
      </c>
      <c r="P3502" t="s">
        <v>340</v>
      </c>
      <c r="Q3502" s="10" t="s">
        <v>24</v>
      </c>
    </row>
    <row r="3503" spans="1:17" hidden="1" x14ac:dyDescent="0.25">
      <c r="A3503" s="9" t="s">
        <v>980</v>
      </c>
      <c r="B3503" s="3" t="s">
        <v>1801</v>
      </c>
      <c r="C3503" s="10">
        <v>9</v>
      </c>
      <c r="D3503" s="10">
        <v>2</v>
      </c>
      <c r="E3503" s="10">
        <v>19</v>
      </c>
      <c r="F3503" t="s">
        <v>974</v>
      </c>
      <c r="G3503" t="s">
        <v>25</v>
      </c>
      <c r="H3503" t="s">
        <v>26</v>
      </c>
      <c r="I3503" t="s">
        <v>27</v>
      </c>
      <c r="J3503" s="4">
        <v>211.6</v>
      </c>
      <c r="K3503">
        <v>0.378</v>
      </c>
      <c r="L3503">
        <v>211.6</v>
      </c>
      <c r="M3503">
        <v>79.984799999999993</v>
      </c>
      <c r="N3503" s="5">
        <v>4.065019404915911</v>
      </c>
      <c r="O3503" t="s">
        <v>100</v>
      </c>
      <c r="P3503" t="s">
        <v>340</v>
      </c>
      <c r="Q3503" s="10" t="s">
        <v>24</v>
      </c>
    </row>
    <row r="3504" spans="1:17" hidden="1" x14ac:dyDescent="0.25">
      <c r="A3504" s="9" t="s">
        <v>980</v>
      </c>
      <c r="B3504" s="3" t="s">
        <v>1801</v>
      </c>
      <c r="C3504" s="10">
        <v>9</v>
      </c>
      <c r="D3504" s="10">
        <v>2</v>
      </c>
      <c r="E3504" s="10">
        <v>19</v>
      </c>
      <c r="F3504" t="s">
        <v>1914</v>
      </c>
      <c r="G3504" t="s">
        <v>889</v>
      </c>
      <c r="H3504" t="s">
        <v>26</v>
      </c>
      <c r="I3504" t="s">
        <v>27</v>
      </c>
      <c r="J3504" s="4">
        <v>210</v>
      </c>
      <c r="K3504">
        <v>0.20599999999999999</v>
      </c>
      <c r="L3504">
        <v>210</v>
      </c>
      <c r="M3504">
        <v>43.26</v>
      </c>
      <c r="N3504" s="5">
        <v>2.1985769728331173</v>
      </c>
      <c r="O3504" t="s">
        <v>100</v>
      </c>
      <c r="P3504" t="s">
        <v>340</v>
      </c>
      <c r="Q3504" s="10" t="s">
        <v>24</v>
      </c>
    </row>
    <row r="3505" spans="1:18" hidden="1" x14ac:dyDescent="0.25">
      <c r="A3505" s="9" t="s">
        <v>980</v>
      </c>
      <c r="B3505" s="3" t="s">
        <v>1801</v>
      </c>
      <c r="C3505" s="10">
        <v>9</v>
      </c>
      <c r="D3505" s="10">
        <v>2</v>
      </c>
      <c r="E3505" s="10">
        <v>19</v>
      </c>
      <c r="F3505" t="s">
        <v>802</v>
      </c>
      <c r="G3505" t="s">
        <v>708</v>
      </c>
      <c r="H3505" t="s">
        <v>1612</v>
      </c>
      <c r="I3505" t="s">
        <v>27</v>
      </c>
      <c r="J3505" s="4">
        <v>128</v>
      </c>
      <c r="K3505">
        <v>0.34</v>
      </c>
      <c r="L3505">
        <v>128</v>
      </c>
      <c r="M3505">
        <v>43.52</v>
      </c>
      <c r="N3505" s="5">
        <v>2.2117907965255958</v>
      </c>
      <c r="O3505" t="s">
        <v>100</v>
      </c>
      <c r="P3505" t="s">
        <v>340</v>
      </c>
      <c r="Q3505" s="10" t="s">
        <v>24</v>
      </c>
    </row>
    <row r="3506" spans="1:18" hidden="1" x14ac:dyDescent="0.25">
      <c r="A3506" s="9" t="s">
        <v>980</v>
      </c>
      <c r="B3506" s="3" t="s">
        <v>1801</v>
      </c>
      <c r="C3506" s="10">
        <v>9</v>
      </c>
      <c r="D3506" s="10">
        <v>2</v>
      </c>
      <c r="E3506" s="10">
        <v>19</v>
      </c>
      <c r="F3506" t="s">
        <v>118</v>
      </c>
      <c r="G3506" t="s">
        <v>889</v>
      </c>
      <c r="H3506" t="s">
        <v>40</v>
      </c>
      <c r="I3506" t="s">
        <v>27</v>
      </c>
      <c r="J3506" s="4">
        <v>10</v>
      </c>
      <c r="K3506">
        <v>1</v>
      </c>
      <c r="L3506">
        <v>10</v>
      </c>
      <c r="M3506">
        <v>10</v>
      </c>
      <c r="N3506" s="5">
        <v>0.50822398817224168</v>
      </c>
      <c r="O3506" t="s">
        <v>100</v>
      </c>
      <c r="P3506" t="s">
        <v>340</v>
      </c>
      <c r="Q3506" s="10" t="s">
        <v>24</v>
      </c>
    </row>
    <row r="3507" spans="1:18" hidden="1" x14ac:dyDescent="0.25">
      <c r="A3507" s="9" t="s">
        <v>980</v>
      </c>
      <c r="B3507" s="3" t="s">
        <v>1801</v>
      </c>
      <c r="C3507" s="10">
        <v>9</v>
      </c>
      <c r="D3507" s="10">
        <v>2</v>
      </c>
      <c r="E3507" s="10">
        <v>19</v>
      </c>
      <c r="F3507" t="s">
        <v>1901</v>
      </c>
      <c r="G3507" t="s">
        <v>889</v>
      </c>
      <c r="H3507" t="s">
        <v>26</v>
      </c>
      <c r="I3507" t="s">
        <v>27</v>
      </c>
      <c r="J3507" s="4">
        <v>66.599999999999994</v>
      </c>
      <c r="K3507">
        <v>1</v>
      </c>
      <c r="L3507">
        <v>66.599999999999994</v>
      </c>
      <c r="M3507">
        <v>66.599999999999994</v>
      </c>
      <c r="N3507" s="5">
        <v>3.3847717612271291</v>
      </c>
      <c r="O3507" t="s">
        <v>100</v>
      </c>
      <c r="P3507" t="s">
        <v>340</v>
      </c>
      <c r="Q3507" s="10" t="s">
        <v>24</v>
      </c>
      <c r="R3507" t="s">
        <v>1896</v>
      </c>
    </row>
    <row r="3508" spans="1:18" hidden="1" x14ac:dyDescent="0.25">
      <c r="A3508" s="9" t="s">
        <v>980</v>
      </c>
      <c r="B3508" s="3" t="s">
        <v>1801</v>
      </c>
      <c r="C3508" s="10">
        <v>9</v>
      </c>
      <c r="D3508" s="10">
        <v>2</v>
      </c>
      <c r="E3508" s="10">
        <v>19</v>
      </c>
      <c r="F3508" t="s">
        <v>58</v>
      </c>
      <c r="G3508" t="s">
        <v>889</v>
      </c>
      <c r="H3508" t="s">
        <v>59</v>
      </c>
      <c r="I3508" t="s">
        <v>27</v>
      </c>
      <c r="J3508" s="4">
        <v>225</v>
      </c>
      <c r="K3508">
        <v>1</v>
      </c>
      <c r="L3508">
        <v>225</v>
      </c>
      <c r="M3508">
        <v>225</v>
      </c>
      <c r="N3508" s="5">
        <v>11.435039733875437</v>
      </c>
      <c r="O3508" t="s">
        <v>2031</v>
      </c>
      <c r="P3508" t="s">
        <v>340</v>
      </c>
      <c r="Q3508" s="10" t="s">
        <v>24</v>
      </c>
      <c r="R3508" t="s">
        <v>1972</v>
      </c>
    </row>
    <row r="3509" spans="1:18" hidden="1" x14ac:dyDescent="0.25">
      <c r="A3509" s="9" t="s">
        <v>1475</v>
      </c>
      <c r="B3509" s="3" t="s">
        <v>1796</v>
      </c>
      <c r="C3509" s="10">
        <v>1</v>
      </c>
      <c r="D3509" s="10">
        <v>3</v>
      </c>
      <c r="E3509" s="10">
        <v>19</v>
      </c>
      <c r="F3509" t="s">
        <v>390</v>
      </c>
      <c r="G3509" t="s">
        <v>304</v>
      </c>
      <c r="H3509" t="s">
        <v>39</v>
      </c>
      <c r="I3509" t="s">
        <v>79</v>
      </c>
      <c r="J3509" s="4">
        <v>10</v>
      </c>
      <c r="K3509">
        <v>1</v>
      </c>
      <c r="L3509">
        <v>10</v>
      </c>
      <c r="M3509">
        <v>10</v>
      </c>
      <c r="N3509" s="5">
        <v>0.50822398817224168</v>
      </c>
      <c r="O3509" t="s">
        <v>428</v>
      </c>
      <c r="P3509" t="s">
        <v>340</v>
      </c>
      <c r="Q3509" s="10" t="s">
        <v>24</v>
      </c>
    </row>
    <row r="3510" spans="1:18" hidden="1" x14ac:dyDescent="0.25">
      <c r="A3510" s="9" t="s">
        <v>1475</v>
      </c>
      <c r="B3510" s="3" t="s">
        <v>2035</v>
      </c>
      <c r="C3510" s="10">
        <v>10</v>
      </c>
      <c r="D3510" s="10">
        <v>3</v>
      </c>
      <c r="E3510" s="10">
        <v>19</v>
      </c>
      <c r="F3510" t="s">
        <v>86</v>
      </c>
      <c r="G3510" t="s">
        <v>889</v>
      </c>
      <c r="H3510" t="s">
        <v>102</v>
      </c>
      <c r="I3510" t="s">
        <v>27</v>
      </c>
      <c r="J3510" s="4">
        <v>15</v>
      </c>
      <c r="K3510">
        <v>1</v>
      </c>
      <c r="L3510">
        <v>15</v>
      </c>
      <c r="M3510">
        <v>15</v>
      </c>
      <c r="N3510" s="5">
        <v>0.76233598225836252</v>
      </c>
      <c r="O3510" t="s">
        <v>39</v>
      </c>
      <c r="P3510" t="s">
        <v>340</v>
      </c>
      <c r="Q3510" s="10" t="s">
        <v>24</v>
      </c>
      <c r="R3510" t="s">
        <v>2009</v>
      </c>
    </row>
    <row r="3511" spans="1:18" hidden="1" x14ac:dyDescent="0.25">
      <c r="A3511" s="9" t="s">
        <v>1475</v>
      </c>
      <c r="B3511" s="3" t="s">
        <v>2035</v>
      </c>
      <c r="C3511" s="10">
        <v>10</v>
      </c>
      <c r="D3511" s="10">
        <v>3</v>
      </c>
      <c r="E3511" s="10">
        <v>19</v>
      </c>
      <c r="F3511" t="s">
        <v>86</v>
      </c>
      <c r="G3511" t="s">
        <v>889</v>
      </c>
      <c r="H3511" t="s">
        <v>102</v>
      </c>
      <c r="I3511" t="s">
        <v>27</v>
      </c>
      <c r="J3511" s="4">
        <v>25</v>
      </c>
      <c r="K3511">
        <v>1</v>
      </c>
      <c r="L3511">
        <v>25</v>
      </c>
      <c r="M3511">
        <v>25</v>
      </c>
      <c r="N3511" s="5">
        <v>1.2705599704306041</v>
      </c>
      <c r="O3511" t="s">
        <v>39</v>
      </c>
      <c r="P3511" t="s">
        <v>340</v>
      </c>
      <c r="Q3511" s="10" t="s">
        <v>24</v>
      </c>
      <c r="R3511" t="s">
        <v>2009</v>
      </c>
    </row>
    <row r="3512" spans="1:18" hidden="1" x14ac:dyDescent="0.25">
      <c r="A3512" s="9" t="s">
        <v>1475</v>
      </c>
      <c r="B3512" s="3" t="s">
        <v>2035</v>
      </c>
      <c r="C3512" s="10">
        <v>10</v>
      </c>
      <c r="D3512" s="10">
        <v>3</v>
      </c>
      <c r="E3512" s="10">
        <v>19</v>
      </c>
      <c r="F3512" t="s">
        <v>1319</v>
      </c>
      <c r="G3512" t="s">
        <v>889</v>
      </c>
      <c r="H3512" t="s">
        <v>131</v>
      </c>
      <c r="I3512" t="s">
        <v>27</v>
      </c>
      <c r="J3512" s="4">
        <v>147.35</v>
      </c>
      <c r="K3512">
        <v>1</v>
      </c>
      <c r="L3512">
        <v>147.35</v>
      </c>
      <c r="M3512">
        <v>147.35</v>
      </c>
      <c r="N3512" s="5">
        <v>7.4886804657179802</v>
      </c>
      <c r="O3512" t="s">
        <v>39</v>
      </c>
      <c r="P3512" t="s">
        <v>340</v>
      </c>
      <c r="Q3512" s="10" t="s">
        <v>24</v>
      </c>
      <c r="R3512" t="s">
        <v>2012</v>
      </c>
    </row>
    <row r="3513" spans="1:18" hidden="1" x14ac:dyDescent="0.25">
      <c r="A3513" s="9" t="s">
        <v>1475</v>
      </c>
      <c r="B3513" s="3" t="s">
        <v>1800</v>
      </c>
      <c r="C3513" s="10">
        <v>12</v>
      </c>
      <c r="D3513" s="10">
        <v>3</v>
      </c>
      <c r="E3513" s="10">
        <v>19</v>
      </c>
      <c r="F3513" t="s">
        <v>94</v>
      </c>
      <c r="G3513" t="s">
        <v>889</v>
      </c>
      <c r="H3513" t="s">
        <v>889</v>
      </c>
      <c r="I3513" t="s">
        <v>87</v>
      </c>
      <c r="J3513" s="4">
        <v>290</v>
      </c>
      <c r="K3513">
        <v>1</v>
      </c>
      <c r="L3513">
        <v>290</v>
      </c>
      <c r="M3513">
        <v>290</v>
      </c>
      <c r="N3513" s="5">
        <v>14.738495656995008</v>
      </c>
      <c r="O3513" t="s">
        <v>39</v>
      </c>
      <c r="P3513" t="s">
        <v>340</v>
      </c>
      <c r="Q3513" s="10" t="s">
        <v>24</v>
      </c>
      <c r="R3513" t="s">
        <v>1791</v>
      </c>
    </row>
    <row r="3514" spans="1:18" hidden="1" x14ac:dyDescent="0.25">
      <c r="A3514" s="9" t="s">
        <v>1475</v>
      </c>
      <c r="B3514" s="3" t="s">
        <v>1800</v>
      </c>
      <c r="C3514" s="10">
        <v>12</v>
      </c>
      <c r="D3514" s="10">
        <v>3</v>
      </c>
      <c r="E3514" s="10">
        <v>19</v>
      </c>
      <c r="F3514" t="s">
        <v>534</v>
      </c>
      <c r="G3514" t="s">
        <v>889</v>
      </c>
      <c r="H3514" t="s">
        <v>54</v>
      </c>
      <c r="I3514" t="s">
        <v>27</v>
      </c>
      <c r="J3514" s="4">
        <v>7</v>
      </c>
      <c r="K3514">
        <v>1</v>
      </c>
      <c r="L3514">
        <v>7</v>
      </c>
      <c r="M3514">
        <v>7</v>
      </c>
      <c r="N3514" s="5">
        <v>0.35575679172056918</v>
      </c>
      <c r="O3514" t="s">
        <v>593</v>
      </c>
      <c r="P3514" t="s">
        <v>340</v>
      </c>
      <c r="Q3514" s="10" t="s">
        <v>24</v>
      </c>
    </row>
    <row r="3515" spans="1:18" hidden="1" x14ac:dyDescent="0.25">
      <c r="A3515" s="9" t="s">
        <v>1475</v>
      </c>
      <c r="B3515" s="3" t="s">
        <v>1800</v>
      </c>
      <c r="C3515" s="10">
        <v>12</v>
      </c>
      <c r="D3515" s="10">
        <v>3</v>
      </c>
      <c r="E3515" s="10">
        <v>19</v>
      </c>
      <c r="F3515" t="s">
        <v>1792</v>
      </c>
      <c r="G3515" t="s">
        <v>889</v>
      </c>
      <c r="H3515" t="s">
        <v>56</v>
      </c>
      <c r="I3515" t="s">
        <v>27</v>
      </c>
      <c r="J3515" s="4">
        <v>6</v>
      </c>
      <c r="K3515">
        <v>1</v>
      </c>
      <c r="L3515">
        <v>6</v>
      </c>
      <c r="M3515">
        <v>6</v>
      </c>
      <c r="N3515" s="5">
        <v>0.30493439290334501</v>
      </c>
      <c r="O3515" t="s">
        <v>593</v>
      </c>
      <c r="P3515" t="s">
        <v>340</v>
      </c>
      <c r="Q3515" s="10" t="s">
        <v>24</v>
      </c>
    </row>
    <row r="3516" spans="1:18" hidden="1" x14ac:dyDescent="0.25">
      <c r="A3516" s="9" t="s">
        <v>1475</v>
      </c>
      <c r="B3516" s="3" t="s">
        <v>1800</v>
      </c>
      <c r="C3516" s="10">
        <v>12</v>
      </c>
      <c r="D3516" s="10">
        <v>3</v>
      </c>
      <c r="E3516" s="10">
        <v>19</v>
      </c>
      <c r="F3516" t="s">
        <v>1234</v>
      </c>
      <c r="G3516" t="s">
        <v>889</v>
      </c>
      <c r="H3516" t="s">
        <v>69</v>
      </c>
      <c r="I3516" t="s">
        <v>27</v>
      </c>
      <c r="J3516" s="4">
        <v>248</v>
      </c>
      <c r="K3516">
        <v>2.0960000000000001</v>
      </c>
      <c r="L3516">
        <v>248</v>
      </c>
      <c r="M3516">
        <v>519.80799999999999</v>
      </c>
      <c r="N3516" s="5">
        <v>26.417889484383657</v>
      </c>
      <c r="O3516" t="s">
        <v>750</v>
      </c>
      <c r="P3516" t="s">
        <v>340</v>
      </c>
      <c r="Q3516" s="10" t="s">
        <v>24</v>
      </c>
    </row>
    <row r="3517" spans="1:18" hidden="1" x14ac:dyDescent="0.25">
      <c r="A3517" s="9" t="s">
        <v>1475</v>
      </c>
      <c r="B3517" s="3" t="s">
        <v>1800</v>
      </c>
      <c r="C3517" s="10">
        <v>12</v>
      </c>
      <c r="D3517" s="10">
        <v>3</v>
      </c>
      <c r="E3517" s="10">
        <v>19</v>
      </c>
      <c r="F3517" t="s">
        <v>68</v>
      </c>
      <c r="G3517" t="s">
        <v>889</v>
      </c>
      <c r="H3517" t="s">
        <v>69</v>
      </c>
      <c r="I3517" t="s">
        <v>27</v>
      </c>
      <c r="J3517" s="4">
        <v>54</v>
      </c>
      <c r="K3517">
        <v>1.464</v>
      </c>
      <c r="L3517">
        <v>54</v>
      </c>
      <c r="M3517">
        <v>79.055999999999997</v>
      </c>
      <c r="N3517" s="5">
        <v>4.0178155608944737</v>
      </c>
      <c r="O3517" t="s">
        <v>750</v>
      </c>
      <c r="P3517" t="s">
        <v>340</v>
      </c>
      <c r="Q3517" s="10" t="s">
        <v>24</v>
      </c>
    </row>
    <row r="3518" spans="1:18" hidden="1" x14ac:dyDescent="0.25">
      <c r="A3518" s="9" t="s">
        <v>1475</v>
      </c>
      <c r="B3518" s="3" t="s">
        <v>1800</v>
      </c>
      <c r="C3518" s="10">
        <v>12</v>
      </c>
      <c r="D3518" s="10">
        <v>3</v>
      </c>
      <c r="E3518" s="10">
        <v>19</v>
      </c>
      <c r="F3518" t="s">
        <v>2004</v>
      </c>
      <c r="G3518" t="s">
        <v>889</v>
      </c>
      <c r="H3518" t="s">
        <v>39</v>
      </c>
      <c r="I3518" t="s">
        <v>27</v>
      </c>
      <c r="J3518" s="4">
        <v>165</v>
      </c>
      <c r="K3518">
        <v>1</v>
      </c>
      <c r="L3518">
        <v>165</v>
      </c>
      <c r="M3518">
        <v>165</v>
      </c>
      <c r="N3518" s="5">
        <v>8.385695804841987</v>
      </c>
      <c r="O3518" t="s">
        <v>750</v>
      </c>
      <c r="P3518" t="s">
        <v>340</v>
      </c>
      <c r="Q3518" s="10" t="s">
        <v>24</v>
      </c>
    </row>
    <row r="3519" spans="1:18" hidden="1" x14ac:dyDescent="0.25">
      <c r="A3519" s="9" t="s">
        <v>1475</v>
      </c>
      <c r="B3519" s="3" t="s">
        <v>1800</v>
      </c>
      <c r="C3519" s="10">
        <v>12</v>
      </c>
      <c r="D3519" s="10">
        <v>3</v>
      </c>
      <c r="E3519" s="10">
        <v>19</v>
      </c>
      <c r="F3519" t="s">
        <v>2005</v>
      </c>
      <c r="G3519" t="s">
        <v>889</v>
      </c>
      <c r="H3519" t="s">
        <v>69</v>
      </c>
      <c r="I3519" t="s">
        <v>27</v>
      </c>
      <c r="J3519" s="4">
        <v>128</v>
      </c>
      <c r="K3519">
        <v>1</v>
      </c>
      <c r="L3519">
        <v>128</v>
      </c>
      <c r="M3519">
        <v>128</v>
      </c>
      <c r="N3519" s="5">
        <v>6.5052670486046935</v>
      </c>
      <c r="O3519" t="s">
        <v>750</v>
      </c>
      <c r="P3519" t="s">
        <v>340</v>
      </c>
      <c r="Q3519" s="10" t="s">
        <v>24</v>
      </c>
    </row>
    <row r="3520" spans="1:18" hidden="1" x14ac:dyDescent="0.25">
      <c r="A3520" s="9" t="s">
        <v>1475</v>
      </c>
      <c r="B3520" s="3" t="s">
        <v>1800</v>
      </c>
      <c r="C3520" s="10">
        <v>12</v>
      </c>
      <c r="D3520" s="10">
        <v>3</v>
      </c>
      <c r="E3520" s="10">
        <v>19</v>
      </c>
      <c r="F3520" t="s">
        <v>39</v>
      </c>
      <c r="G3520" t="s">
        <v>889</v>
      </c>
      <c r="H3520" t="s">
        <v>889</v>
      </c>
      <c r="I3520" t="s">
        <v>39</v>
      </c>
      <c r="J3520" s="4">
        <v>300</v>
      </c>
      <c r="K3520">
        <v>1</v>
      </c>
      <c r="L3520">
        <v>300</v>
      </c>
      <c r="M3520">
        <v>300</v>
      </c>
      <c r="N3520" s="5">
        <v>15.24671964516725</v>
      </c>
      <c r="O3520" t="s">
        <v>39</v>
      </c>
      <c r="P3520" t="s">
        <v>340</v>
      </c>
      <c r="Q3520" s="10" t="s">
        <v>24</v>
      </c>
      <c r="R3520" t="s">
        <v>2025</v>
      </c>
    </row>
    <row r="3521" spans="1:18" hidden="1" x14ac:dyDescent="0.25">
      <c r="A3521" s="9" t="s">
        <v>1475</v>
      </c>
      <c r="B3521" s="3" t="s">
        <v>1870</v>
      </c>
      <c r="C3521" s="10">
        <v>13</v>
      </c>
      <c r="D3521" s="10">
        <v>3</v>
      </c>
      <c r="E3521" s="10">
        <v>19</v>
      </c>
      <c r="F3521" t="s">
        <v>104</v>
      </c>
      <c r="G3521" t="s">
        <v>889</v>
      </c>
      <c r="H3521" t="s">
        <v>889</v>
      </c>
      <c r="I3521" t="s">
        <v>72</v>
      </c>
      <c r="J3521" s="4">
        <v>97.4</v>
      </c>
      <c r="K3521">
        <v>1</v>
      </c>
      <c r="L3521">
        <v>97.4</v>
      </c>
      <c r="M3521">
        <v>97.4</v>
      </c>
      <c r="N3521" s="5">
        <v>4.950101644797634</v>
      </c>
      <c r="O3521" t="s">
        <v>629</v>
      </c>
      <c r="P3521" t="s">
        <v>340</v>
      </c>
      <c r="Q3521" s="10" t="s">
        <v>24</v>
      </c>
      <c r="R3521" t="s">
        <v>244</v>
      </c>
    </row>
    <row r="3522" spans="1:18" hidden="1" x14ac:dyDescent="0.25">
      <c r="A3522" s="9" t="s">
        <v>1475</v>
      </c>
      <c r="B3522" s="3" t="s">
        <v>1870</v>
      </c>
      <c r="C3522" s="10">
        <v>13</v>
      </c>
      <c r="D3522" s="10">
        <v>3</v>
      </c>
      <c r="E3522" s="10">
        <v>19</v>
      </c>
      <c r="F3522" t="s">
        <v>166</v>
      </c>
      <c r="G3522" t="s">
        <v>77</v>
      </c>
      <c r="H3522" t="s">
        <v>26</v>
      </c>
      <c r="I3522" t="s">
        <v>27</v>
      </c>
      <c r="J3522" s="4">
        <v>19</v>
      </c>
      <c r="K3522">
        <v>1</v>
      </c>
      <c r="L3522">
        <v>19</v>
      </c>
      <c r="M3522">
        <v>19</v>
      </c>
      <c r="N3522" s="5">
        <v>0.96562557752725919</v>
      </c>
      <c r="O3522" t="s">
        <v>2006</v>
      </c>
      <c r="P3522" t="s">
        <v>340</v>
      </c>
      <c r="Q3522" s="10" t="s">
        <v>24</v>
      </c>
    </row>
    <row r="3523" spans="1:18" hidden="1" x14ac:dyDescent="0.25">
      <c r="A3523" s="9" t="s">
        <v>1475</v>
      </c>
      <c r="B3523" s="3" t="s">
        <v>1999</v>
      </c>
      <c r="C3523" s="10">
        <v>14</v>
      </c>
      <c r="D3523" s="10">
        <v>3</v>
      </c>
      <c r="E3523" s="10">
        <v>19</v>
      </c>
      <c r="F3523" t="s">
        <v>25</v>
      </c>
      <c r="G3523" t="s">
        <v>25</v>
      </c>
      <c r="H3523" t="s">
        <v>26</v>
      </c>
      <c r="I3523" t="s">
        <v>27</v>
      </c>
      <c r="J3523" s="4">
        <v>32.25</v>
      </c>
      <c r="K3523">
        <v>1</v>
      </c>
      <c r="L3523">
        <v>32.25</v>
      </c>
      <c r="M3523">
        <v>32.25</v>
      </c>
      <c r="N3523" s="5">
        <v>1.6390223618554793</v>
      </c>
      <c r="O3523" t="s">
        <v>46</v>
      </c>
      <c r="P3523" t="s">
        <v>340</v>
      </c>
      <c r="Q3523" s="10" t="s">
        <v>24</v>
      </c>
    </row>
    <row r="3524" spans="1:18" hidden="1" x14ac:dyDescent="0.25">
      <c r="A3524" s="9" t="s">
        <v>1475</v>
      </c>
      <c r="B3524" s="3" t="s">
        <v>1999</v>
      </c>
      <c r="C3524" s="10">
        <v>14</v>
      </c>
      <c r="D3524" s="10">
        <v>3</v>
      </c>
      <c r="E3524" s="10">
        <v>19</v>
      </c>
      <c r="F3524" t="s">
        <v>60</v>
      </c>
      <c r="G3524" t="s">
        <v>31</v>
      </c>
      <c r="H3524" t="s">
        <v>26</v>
      </c>
      <c r="I3524" t="s">
        <v>27</v>
      </c>
      <c r="J3524" s="4">
        <v>6.9</v>
      </c>
      <c r="K3524">
        <v>1</v>
      </c>
      <c r="L3524">
        <v>6.9</v>
      </c>
      <c r="M3524">
        <v>6.9</v>
      </c>
      <c r="N3524" s="5">
        <v>0.35067455183884677</v>
      </c>
      <c r="O3524" t="s">
        <v>46</v>
      </c>
      <c r="P3524" t="s">
        <v>340</v>
      </c>
      <c r="Q3524" s="10" t="s">
        <v>24</v>
      </c>
    </row>
    <row r="3525" spans="1:18" hidden="1" x14ac:dyDescent="0.25">
      <c r="A3525" s="9" t="s">
        <v>1475</v>
      </c>
      <c r="B3525" s="3" t="s">
        <v>1999</v>
      </c>
      <c r="C3525" s="10">
        <v>14</v>
      </c>
      <c r="D3525" s="10">
        <v>3</v>
      </c>
      <c r="E3525" s="10">
        <v>19</v>
      </c>
      <c r="F3525" t="s">
        <v>1995</v>
      </c>
      <c r="G3525" t="s">
        <v>373</v>
      </c>
      <c r="H3525" t="s">
        <v>65</v>
      </c>
      <c r="I3525" t="s">
        <v>27</v>
      </c>
      <c r="J3525" s="4">
        <v>7.7</v>
      </c>
      <c r="K3525">
        <v>3</v>
      </c>
      <c r="L3525">
        <v>7.7</v>
      </c>
      <c r="M3525">
        <v>23.1</v>
      </c>
      <c r="N3525" s="5">
        <v>1.1739974126778783</v>
      </c>
      <c r="O3525" t="s">
        <v>46</v>
      </c>
      <c r="P3525" t="s">
        <v>340</v>
      </c>
      <c r="Q3525" s="10" t="s">
        <v>24</v>
      </c>
    </row>
    <row r="3526" spans="1:18" hidden="1" x14ac:dyDescent="0.25">
      <c r="A3526" s="10" t="s">
        <v>1475</v>
      </c>
      <c r="B3526" s="3" t="s">
        <v>1011</v>
      </c>
      <c r="C3526" s="10">
        <v>15</v>
      </c>
      <c r="D3526" s="10">
        <v>3</v>
      </c>
      <c r="E3526" s="10">
        <v>19</v>
      </c>
      <c r="F3526" t="s">
        <v>141</v>
      </c>
      <c r="G3526" t="s">
        <v>889</v>
      </c>
      <c r="H3526" t="s">
        <v>172</v>
      </c>
      <c r="I3526" t="s">
        <v>39</v>
      </c>
      <c r="J3526" s="4">
        <v>2</v>
      </c>
      <c r="K3526">
        <v>5</v>
      </c>
      <c r="L3526">
        <v>2</v>
      </c>
      <c r="M3526">
        <v>10</v>
      </c>
      <c r="N3526" s="5">
        <v>0.50684237202230109</v>
      </c>
      <c r="O3526" t="s">
        <v>39</v>
      </c>
      <c r="P3526" t="s">
        <v>340</v>
      </c>
      <c r="Q3526" s="10" t="s">
        <v>24</v>
      </c>
      <c r="R3526" t="s">
        <v>1010</v>
      </c>
    </row>
    <row r="3527" spans="1:18" hidden="1" x14ac:dyDescent="0.25">
      <c r="A3527" s="9" t="s">
        <v>1475</v>
      </c>
      <c r="B3527" s="3" t="s">
        <v>1011</v>
      </c>
      <c r="C3527" s="10">
        <v>15</v>
      </c>
      <c r="D3527" s="10">
        <v>3</v>
      </c>
      <c r="E3527" s="10">
        <v>19</v>
      </c>
      <c r="F3527" t="s">
        <v>1197</v>
      </c>
      <c r="G3527" t="s">
        <v>889</v>
      </c>
      <c r="H3527" t="s">
        <v>403</v>
      </c>
      <c r="I3527" t="s">
        <v>27</v>
      </c>
      <c r="J3527" s="4">
        <v>26</v>
      </c>
      <c r="K3527">
        <v>0.70199999999999996</v>
      </c>
      <c r="L3527">
        <v>26</v>
      </c>
      <c r="M3527">
        <v>18.251999999999999</v>
      </c>
      <c r="N3527" s="5">
        <v>0.9276104232119754</v>
      </c>
      <c r="O3527" t="s">
        <v>100</v>
      </c>
      <c r="P3527" t="s">
        <v>340</v>
      </c>
      <c r="Q3527" s="10" t="s">
        <v>24</v>
      </c>
    </row>
    <row r="3528" spans="1:18" hidden="1" x14ac:dyDescent="0.25">
      <c r="A3528" s="9" t="s">
        <v>1475</v>
      </c>
      <c r="B3528" s="3" t="s">
        <v>1011</v>
      </c>
      <c r="C3528" s="10">
        <v>15</v>
      </c>
      <c r="D3528" s="10">
        <v>3</v>
      </c>
      <c r="E3528" s="10">
        <v>19</v>
      </c>
      <c r="F3528" t="s">
        <v>974</v>
      </c>
      <c r="G3528" t="s">
        <v>25</v>
      </c>
      <c r="H3528" t="s">
        <v>26</v>
      </c>
      <c r="I3528" t="s">
        <v>27</v>
      </c>
      <c r="J3528" s="4">
        <v>211.6</v>
      </c>
      <c r="K3528">
        <v>0.39400000000000002</v>
      </c>
      <c r="L3528">
        <v>211.6</v>
      </c>
      <c r="M3528">
        <v>83.370400000000004</v>
      </c>
      <c r="N3528" s="5">
        <v>4.2370837183515055</v>
      </c>
      <c r="O3528" t="s">
        <v>100</v>
      </c>
      <c r="P3528" t="s">
        <v>340</v>
      </c>
      <c r="Q3528" s="10" t="s">
        <v>24</v>
      </c>
    </row>
    <row r="3529" spans="1:18" hidden="1" x14ac:dyDescent="0.25">
      <c r="A3529" s="9" t="s">
        <v>1475</v>
      </c>
      <c r="B3529" s="3" t="s">
        <v>1011</v>
      </c>
      <c r="C3529" s="10">
        <v>15</v>
      </c>
      <c r="D3529" s="10">
        <v>3</v>
      </c>
      <c r="E3529" s="10">
        <v>19</v>
      </c>
      <c r="F3529" t="s">
        <v>744</v>
      </c>
      <c r="G3529" t="s">
        <v>889</v>
      </c>
      <c r="H3529" t="s">
        <v>54</v>
      </c>
      <c r="I3529" t="s">
        <v>27</v>
      </c>
      <c r="J3529" s="4">
        <v>13</v>
      </c>
      <c r="K3529">
        <v>0.876</v>
      </c>
      <c r="L3529">
        <v>13</v>
      </c>
      <c r="M3529">
        <v>11.388</v>
      </c>
      <c r="N3529" s="5">
        <v>0.57876547773054876</v>
      </c>
      <c r="O3529" t="s">
        <v>100</v>
      </c>
      <c r="P3529" t="s">
        <v>340</v>
      </c>
      <c r="Q3529" s="10" t="s">
        <v>24</v>
      </c>
    </row>
    <row r="3530" spans="1:18" hidden="1" x14ac:dyDescent="0.25">
      <c r="A3530" s="9" t="s">
        <v>1475</v>
      </c>
      <c r="B3530" s="3" t="s">
        <v>1011</v>
      </c>
      <c r="C3530" s="10">
        <v>15</v>
      </c>
      <c r="D3530" s="10">
        <v>3</v>
      </c>
      <c r="E3530" s="10">
        <v>19</v>
      </c>
      <c r="F3530" t="s">
        <v>373</v>
      </c>
      <c r="G3530" t="s">
        <v>889</v>
      </c>
      <c r="H3530" t="s">
        <v>65</v>
      </c>
      <c r="I3530" t="s">
        <v>27</v>
      </c>
      <c r="J3530" s="4">
        <v>13</v>
      </c>
      <c r="K3530">
        <v>1</v>
      </c>
      <c r="L3530">
        <v>13</v>
      </c>
      <c r="M3530">
        <v>13</v>
      </c>
      <c r="N3530" s="5">
        <v>0.66069118462391419</v>
      </c>
      <c r="O3530" t="s">
        <v>100</v>
      </c>
      <c r="P3530" t="s">
        <v>340</v>
      </c>
      <c r="Q3530" s="10" t="s">
        <v>24</v>
      </c>
    </row>
    <row r="3531" spans="1:18" hidden="1" x14ac:dyDescent="0.25">
      <c r="A3531" s="9" t="s">
        <v>1475</v>
      </c>
      <c r="B3531" s="3" t="s">
        <v>1011</v>
      </c>
      <c r="C3531" s="10">
        <v>15</v>
      </c>
      <c r="D3531" s="10">
        <v>3</v>
      </c>
      <c r="E3531" s="10">
        <v>19</v>
      </c>
      <c r="F3531" t="s">
        <v>98</v>
      </c>
      <c r="G3531" t="s">
        <v>889</v>
      </c>
      <c r="H3531" t="s">
        <v>26</v>
      </c>
      <c r="I3531" t="s">
        <v>27</v>
      </c>
      <c r="J3531" s="4">
        <v>76.599999999999994</v>
      </c>
      <c r="K3531">
        <v>1</v>
      </c>
      <c r="L3531">
        <v>76.599999999999994</v>
      </c>
      <c r="M3531">
        <v>76.599999999999994</v>
      </c>
      <c r="N3531" s="5">
        <v>3.8929957493993705</v>
      </c>
      <c r="O3531" t="s">
        <v>100</v>
      </c>
      <c r="P3531" t="s">
        <v>340</v>
      </c>
      <c r="Q3531" s="10" t="s">
        <v>24</v>
      </c>
      <c r="R3531" t="s">
        <v>1896</v>
      </c>
    </row>
    <row r="3532" spans="1:18" hidden="1" x14ac:dyDescent="0.25">
      <c r="A3532" s="9" t="s">
        <v>1475</v>
      </c>
      <c r="B3532" s="3" t="s">
        <v>1011</v>
      </c>
      <c r="C3532" s="10">
        <v>15</v>
      </c>
      <c r="D3532" s="10">
        <v>3</v>
      </c>
      <c r="E3532" s="10">
        <v>19</v>
      </c>
      <c r="F3532" t="s">
        <v>1036</v>
      </c>
      <c r="G3532" t="s">
        <v>889</v>
      </c>
      <c r="H3532" t="s">
        <v>38</v>
      </c>
      <c r="I3532" t="s">
        <v>27</v>
      </c>
      <c r="J3532" s="4">
        <v>126</v>
      </c>
      <c r="K3532">
        <v>0.24399999999999999</v>
      </c>
      <c r="L3532">
        <v>126</v>
      </c>
      <c r="M3532">
        <v>30.744</v>
      </c>
      <c r="N3532" s="5">
        <v>1.5624838292367398</v>
      </c>
      <c r="O3532" t="s">
        <v>100</v>
      </c>
      <c r="P3532" t="s">
        <v>340</v>
      </c>
      <c r="Q3532" s="10" t="s">
        <v>24</v>
      </c>
    </row>
    <row r="3533" spans="1:18" hidden="1" x14ac:dyDescent="0.25">
      <c r="A3533" s="9" t="s">
        <v>1475</v>
      </c>
      <c r="B3533" s="3" t="s">
        <v>1011</v>
      </c>
      <c r="C3533" s="10">
        <v>15</v>
      </c>
      <c r="D3533" s="10">
        <v>3</v>
      </c>
      <c r="E3533" s="10">
        <v>19</v>
      </c>
      <c r="F3533" t="s">
        <v>372</v>
      </c>
      <c r="G3533" t="s">
        <v>373</v>
      </c>
      <c r="H3533" t="s">
        <v>65</v>
      </c>
      <c r="I3533" t="s">
        <v>27</v>
      </c>
      <c r="J3533" s="4">
        <v>9</v>
      </c>
      <c r="K3533">
        <v>2</v>
      </c>
      <c r="L3533">
        <v>9</v>
      </c>
      <c r="M3533">
        <v>18</v>
      </c>
      <c r="N3533" s="5">
        <v>0.91480317871003503</v>
      </c>
      <c r="O3533" t="s">
        <v>100</v>
      </c>
      <c r="P3533" t="s">
        <v>340</v>
      </c>
      <c r="Q3533" s="10" t="s">
        <v>24</v>
      </c>
    </row>
    <row r="3534" spans="1:18" hidden="1" x14ac:dyDescent="0.25">
      <c r="A3534" s="9" t="s">
        <v>1475</v>
      </c>
      <c r="B3534" s="3" t="s">
        <v>1011</v>
      </c>
      <c r="C3534" s="10">
        <v>15</v>
      </c>
      <c r="D3534" s="10">
        <v>3</v>
      </c>
      <c r="E3534" s="10">
        <v>19</v>
      </c>
      <c r="F3534" t="s">
        <v>212</v>
      </c>
      <c r="G3534" t="s">
        <v>889</v>
      </c>
      <c r="H3534" t="s">
        <v>54</v>
      </c>
      <c r="I3534" t="s">
        <v>27</v>
      </c>
      <c r="J3534" s="4">
        <v>25</v>
      </c>
      <c r="K3534">
        <v>1</v>
      </c>
      <c r="L3534">
        <v>25</v>
      </c>
      <c r="M3534">
        <v>25</v>
      </c>
      <c r="N3534" s="5">
        <v>1.2705599704306041</v>
      </c>
      <c r="O3534" t="s">
        <v>100</v>
      </c>
      <c r="P3534" t="s">
        <v>340</v>
      </c>
      <c r="Q3534" s="10" t="s">
        <v>24</v>
      </c>
    </row>
    <row r="3535" spans="1:18" hidden="1" x14ac:dyDescent="0.25">
      <c r="A3535" s="10" t="s">
        <v>1475</v>
      </c>
      <c r="B3535" s="3" t="s">
        <v>1028</v>
      </c>
      <c r="C3535" s="10">
        <v>16</v>
      </c>
      <c r="D3535" s="10">
        <v>3</v>
      </c>
      <c r="E3535" s="10">
        <v>19</v>
      </c>
      <c r="F3535" t="s">
        <v>55</v>
      </c>
      <c r="G3535" t="s">
        <v>889</v>
      </c>
      <c r="H3535" t="s">
        <v>56</v>
      </c>
      <c r="I3535" t="s">
        <v>27</v>
      </c>
      <c r="J3535" s="4">
        <v>26.2</v>
      </c>
      <c r="K3535">
        <v>1.0860000000000001</v>
      </c>
      <c r="L3535">
        <v>26.2</v>
      </c>
      <c r="M3535">
        <v>28.453200000000002</v>
      </c>
      <c r="N3535" s="5">
        <v>1.4421287379624939</v>
      </c>
      <c r="O3535" t="s">
        <v>90</v>
      </c>
      <c r="P3535" t="s">
        <v>340</v>
      </c>
      <c r="Q3535" s="10" t="s">
        <v>24</v>
      </c>
    </row>
    <row r="3536" spans="1:18" hidden="1" x14ac:dyDescent="0.25">
      <c r="A3536" s="10" t="s">
        <v>1475</v>
      </c>
      <c r="B3536" s="3" t="s">
        <v>1028</v>
      </c>
      <c r="C3536" s="10">
        <v>16</v>
      </c>
      <c r="D3536" s="10">
        <v>3</v>
      </c>
      <c r="E3536" s="10">
        <v>19</v>
      </c>
      <c r="F3536" t="s">
        <v>984</v>
      </c>
      <c r="G3536" t="s">
        <v>889</v>
      </c>
      <c r="H3536" t="s">
        <v>54</v>
      </c>
      <c r="I3536" t="s">
        <v>27</v>
      </c>
      <c r="J3536" s="4">
        <v>14.5</v>
      </c>
      <c r="K3536">
        <v>1</v>
      </c>
      <c r="L3536">
        <v>14.5</v>
      </c>
      <c r="M3536">
        <v>14.5</v>
      </c>
      <c r="N3536" s="5">
        <v>0.73492143943233657</v>
      </c>
      <c r="O3536" t="s">
        <v>90</v>
      </c>
      <c r="P3536" t="s">
        <v>340</v>
      </c>
      <c r="Q3536" s="10" t="s">
        <v>24</v>
      </c>
    </row>
    <row r="3537" spans="1:18" hidden="1" x14ac:dyDescent="0.25">
      <c r="A3537" s="10" t="s">
        <v>1475</v>
      </c>
      <c r="B3537" s="3" t="s">
        <v>1028</v>
      </c>
      <c r="C3537" s="10">
        <v>16</v>
      </c>
      <c r="D3537" s="10">
        <v>3</v>
      </c>
      <c r="E3537" s="10">
        <v>19</v>
      </c>
      <c r="F3537" t="s">
        <v>202</v>
      </c>
      <c r="H3537" t="s">
        <v>54</v>
      </c>
      <c r="I3537" t="s">
        <v>27</v>
      </c>
      <c r="J3537" s="4">
        <v>75.2</v>
      </c>
      <c r="K3537">
        <v>0.30399999999999999</v>
      </c>
      <c r="L3537">
        <v>75.2</v>
      </c>
      <c r="M3537">
        <v>22.860800000000001</v>
      </c>
      <c r="N3537" s="5">
        <v>1.1586822098327421</v>
      </c>
      <c r="O3537" t="s">
        <v>90</v>
      </c>
      <c r="P3537" t="s">
        <v>340</v>
      </c>
      <c r="Q3537" s="10" t="s">
        <v>24</v>
      </c>
    </row>
    <row r="3538" spans="1:18" hidden="1" x14ac:dyDescent="0.25">
      <c r="A3538" s="10" t="s">
        <v>1475</v>
      </c>
      <c r="B3538" s="3" t="s">
        <v>1028</v>
      </c>
      <c r="C3538" s="10">
        <v>16</v>
      </c>
      <c r="D3538" s="10">
        <v>3</v>
      </c>
      <c r="E3538" s="10">
        <v>19</v>
      </c>
      <c r="F3538" t="s">
        <v>1026</v>
      </c>
      <c r="H3538" t="s">
        <v>65</v>
      </c>
      <c r="I3538" t="s">
        <v>27</v>
      </c>
      <c r="J3538" s="4">
        <v>24.1</v>
      </c>
      <c r="K3538">
        <v>2</v>
      </c>
      <c r="L3538">
        <v>24.1</v>
      </c>
      <c r="M3538">
        <v>48.2</v>
      </c>
      <c r="N3538" s="5">
        <v>2.442980233147491</v>
      </c>
      <c r="O3538" t="s">
        <v>90</v>
      </c>
      <c r="P3538" t="s">
        <v>340</v>
      </c>
      <c r="Q3538" s="10" t="s">
        <v>24</v>
      </c>
    </row>
    <row r="3539" spans="1:18" hidden="1" x14ac:dyDescent="0.25">
      <c r="A3539" s="10" t="s">
        <v>1475</v>
      </c>
      <c r="B3539" s="3" t="s">
        <v>1028</v>
      </c>
      <c r="C3539" s="10">
        <v>16</v>
      </c>
      <c r="D3539" s="10">
        <v>3</v>
      </c>
      <c r="E3539" s="10">
        <v>19</v>
      </c>
      <c r="F3539" t="s">
        <v>770</v>
      </c>
      <c r="G3539" t="s">
        <v>31</v>
      </c>
      <c r="H3539" t="s">
        <v>26</v>
      </c>
      <c r="I3539" t="s">
        <v>27</v>
      </c>
      <c r="J3539" s="4">
        <v>7.1</v>
      </c>
      <c r="K3539">
        <v>2</v>
      </c>
      <c r="L3539">
        <v>7.1</v>
      </c>
      <c r="M3539">
        <v>14.2</v>
      </c>
      <c r="N3539" s="5">
        <v>0.71971616827166751</v>
      </c>
      <c r="O3539" t="s">
        <v>90</v>
      </c>
      <c r="P3539" t="s">
        <v>340</v>
      </c>
      <c r="Q3539" s="10" t="s">
        <v>24</v>
      </c>
    </row>
    <row r="3540" spans="1:18" hidden="1" x14ac:dyDescent="0.25">
      <c r="A3540" s="10" t="s">
        <v>1475</v>
      </c>
      <c r="B3540" s="3" t="s">
        <v>1028</v>
      </c>
      <c r="C3540" s="10">
        <v>16</v>
      </c>
      <c r="D3540" s="10">
        <v>3</v>
      </c>
      <c r="E3540" s="10">
        <v>19</v>
      </c>
      <c r="F3540" t="s">
        <v>211</v>
      </c>
      <c r="G3540" t="s">
        <v>889</v>
      </c>
      <c r="H3540" t="s">
        <v>56</v>
      </c>
      <c r="I3540" t="s">
        <v>27</v>
      </c>
      <c r="J3540" s="4">
        <v>22.8</v>
      </c>
      <c r="K3540">
        <v>1.21</v>
      </c>
      <c r="L3540">
        <v>22.8</v>
      </c>
      <c r="M3540">
        <v>27.588000000000001</v>
      </c>
      <c r="N3540" s="5">
        <v>1.3982767359351242</v>
      </c>
      <c r="O3540" t="s">
        <v>90</v>
      </c>
      <c r="P3540" t="s">
        <v>340</v>
      </c>
      <c r="Q3540" s="10" t="s">
        <v>24</v>
      </c>
    </row>
    <row r="3541" spans="1:18" hidden="1" x14ac:dyDescent="0.25">
      <c r="A3541" s="10" t="s">
        <v>1475</v>
      </c>
      <c r="B3541" s="3" t="s">
        <v>1028</v>
      </c>
      <c r="C3541" s="10">
        <v>16</v>
      </c>
      <c r="D3541" s="10">
        <v>3</v>
      </c>
      <c r="E3541" s="10">
        <v>19</v>
      </c>
      <c r="F3541" t="s">
        <v>1027</v>
      </c>
      <c r="G3541" t="s">
        <v>889</v>
      </c>
      <c r="H3541" t="s">
        <v>65</v>
      </c>
      <c r="I3541" t="s">
        <v>27</v>
      </c>
      <c r="J3541" s="4">
        <v>32.1</v>
      </c>
      <c r="K3541">
        <v>1</v>
      </c>
      <c r="L3541">
        <v>32.1</v>
      </c>
      <c r="M3541">
        <v>32.1</v>
      </c>
      <c r="N3541" s="5">
        <v>1.6269640141915864</v>
      </c>
      <c r="O3541" t="s">
        <v>90</v>
      </c>
      <c r="P3541" t="s">
        <v>340</v>
      </c>
      <c r="Q3541" s="10" t="s">
        <v>24</v>
      </c>
    </row>
    <row r="3542" spans="1:18" hidden="1" x14ac:dyDescent="0.25">
      <c r="A3542" s="10" t="s">
        <v>1475</v>
      </c>
      <c r="B3542" s="3" t="s">
        <v>1028</v>
      </c>
      <c r="C3542" s="10">
        <v>16</v>
      </c>
      <c r="D3542" s="10">
        <v>3</v>
      </c>
      <c r="E3542" s="10">
        <v>19</v>
      </c>
      <c r="F3542" t="s">
        <v>372</v>
      </c>
      <c r="G3542" t="s">
        <v>373</v>
      </c>
      <c r="H3542" t="s">
        <v>65</v>
      </c>
      <c r="I3542" t="s">
        <v>27</v>
      </c>
      <c r="J3542" s="4">
        <v>9</v>
      </c>
      <c r="K3542">
        <v>2</v>
      </c>
      <c r="L3542">
        <v>9</v>
      </c>
      <c r="M3542">
        <v>18</v>
      </c>
      <c r="N3542" s="5">
        <v>0.9123162696401419</v>
      </c>
      <c r="O3542" t="s">
        <v>100</v>
      </c>
      <c r="P3542" t="s">
        <v>340</v>
      </c>
      <c r="Q3542" s="10" t="s">
        <v>24</v>
      </c>
    </row>
    <row r="3543" spans="1:18" hidden="1" x14ac:dyDescent="0.25">
      <c r="A3543" s="10" t="s">
        <v>1475</v>
      </c>
      <c r="B3543" s="3" t="s">
        <v>1028</v>
      </c>
      <c r="C3543" s="10">
        <v>16</v>
      </c>
      <c r="D3543" s="10">
        <v>3</v>
      </c>
      <c r="E3543" s="10">
        <v>19</v>
      </c>
      <c r="F3543" t="s">
        <v>508</v>
      </c>
      <c r="G3543" t="s">
        <v>889</v>
      </c>
      <c r="H3543" t="s">
        <v>73</v>
      </c>
      <c r="I3543" t="s">
        <v>27</v>
      </c>
      <c r="J3543" s="4">
        <v>25.5</v>
      </c>
      <c r="K3543">
        <v>1</v>
      </c>
      <c r="L3543">
        <v>25.5</v>
      </c>
      <c r="M3543">
        <v>25.5</v>
      </c>
      <c r="N3543" s="5">
        <v>1.2924480486568677</v>
      </c>
      <c r="O3543" t="s">
        <v>100</v>
      </c>
      <c r="P3543" t="s">
        <v>340</v>
      </c>
      <c r="Q3543" s="10" t="s">
        <v>24</v>
      </c>
    </row>
    <row r="3544" spans="1:18" hidden="1" x14ac:dyDescent="0.25">
      <c r="A3544" s="10" t="s">
        <v>1475</v>
      </c>
      <c r="B3544" s="3" t="s">
        <v>1028</v>
      </c>
      <c r="C3544" s="10">
        <v>16</v>
      </c>
      <c r="D3544" s="10">
        <v>3</v>
      </c>
      <c r="E3544" s="10">
        <v>19</v>
      </c>
      <c r="F3544" t="s">
        <v>1029</v>
      </c>
      <c r="G3544" t="s">
        <v>155</v>
      </c>
      <c r="H3544" t="s">
        <v>131</v>
      </c>
      <c r="I3544" t="s">
        <v>27</v>
      </c>
      <c r="J3544" s="4">
        <v>36.25</v>
      </c>
      <c r="K3544">
        <v>2</v>
      </c>
      <c r="L3544">
        <v>36.25</v>
      </c>
      <c r="M3544">
        <v>72.5</v>
      </c>
      <c r="N3544" s="5">
        <v>3.6746071971616825</v>
      </c>
      <c r="O3544" t="s">
        <v>100</v>
      </c>
      <c r="P3544" t="s">
        <v>340</v>
      </c>
      <c r="Q3544" s="10" t="s">
        <v>84</v>
      </c>
    </row>
    <row r="3545" spans="1:18" hidden="1" x14ac:dyDescent="0.25">
      <c r="A3545" s="10" t="s">
        <v>1475</v>
      </c>
      <c r="B3545" s="3" t="s">
        <v>1028</v>
      </c>
      <c r="C3545" s="10">
        <v>16</v>
      </c>
      <c r="D3545" s="10">
        <v>3</v>
      </c>
      <c r="E3545" s="10">
        <v>19</v>
      </c>
      <c r="F3545" t="s">
        <v>1029</v>
      </c>
      <c r="G3545" t="s">
        <v>155</v>
      </c>
      <c r="H3545" t="s">
        <v>131</v>
      </c>
      <c r="I3545" t="s">
        <v>27</v>
      </c>
      <c r="J3545" s="4">
        <v>33.75</v>
      </c>
      <c r="K3545">
        <v>1</v>
      </c>
      <c r="L3545">
        <v>33.75</v>
      </c>
      <c r="M3545">
        <v>33.75</v>
      </c>
      <c r="N3545" s="5">
        <v>1.7105930055752661</v>
      </c>
      <c r="O3545" t="s">
        <v>100</v>
      </c>
      <c r="P3545" t="s">
        <v>340</v>
      </c>
      <c r="Q3545" s="10" t="s">
        <v>84</v>
      </c>
    </row>
    <row r="3546" spans="1:18" hidden="1" x14ac:dyDescent="0.25">
      <c r="A3546" s="10" t="s">
        <v>1475</v>
      </c>
      <c r="B3546" s="3" t="s">
        <v>1028</v>
      </c>
      <c r="C3546" s="10">
        <v>16</v>
      </c>
      <c r="D3546" s="10">
        <v>3</v>
      </c>
      <c r="E3546" s="10">
        <v>19</v>
      </c>
      <c r="F3546" t="s">
        <v>432</v>
      </c>
      <c r="G3546" t="s">
        <v>889</v>
      </c>
      <c r="H3546" t="s">
        <v>889</v>
      </c>
      <c r="I3546" t="s">
        <v>431</v>
      </c>
      <c r="J3546" s="4">
        <v>85.5</v>
      </c>
      <c r="K3546">
        <v>1</v>
      </c>
      <c r="L3546">
        <v>85.5</v>
      </c>
      <c r="M3546">
        <v>85.5</v>
      </c>
      <c r="N3546" s="5">
        <v>4.3335022807906736</v>
      </c>
      <c r="O3546" t="s">
        <v>849</v>
      </c>
      <c r="P3546" t="s">
        <v>340</v>
      </c>
      <c r="Q3546" s="10" t="s">
        <v>24</v>
      </c>
    </row>
    <row r="3547" spans="1:18" hidden="1" x14ac:dyDescent="0.25">
      <c r="A3547" s="10" t="s">
        <v>1475</v>
      </c>
      <c r="B3547" s="3" t="s">
        <v>1028</v>
      </c>
      <c r="C3547" s="10">
        <v>16</v>
      </c>
      <c r="D3547" s="10">
        <v>3</v>
      </c>
      <c r="E3547" s="10">
        <v>19</v>
      </c>
      <c r="F3547" t="s">
        <v>635</v>
      </c>
      <c r="I3547" t="s">
        <v>72</v>
      </c>
      <c r="J3547" s="4">
        <v>43.5</v>
      </c>
      <c r="K3547">
        <v>1</v>
      </c>
      <c r="L3547">
        <v>43.5</v>
      </c>
      <c r="M3547">
        <v>43.5</v>
      </c>
      <c r="N3547" s="5">
        <v>2.2047643182970096</v>
      </c>
      <c r="O3547" t="s">
        <v>283</v>
      </c>
      <c r="P3547" t="s">
        <v>340</v>
      </c>
      <c r="Q3547" s="10" t="s">
        <v>24</v>
      </c>
      <c r="R3547" t="s">
        <v>635</v>
      </c>
    </row>
    <row r="3548" spans="1:18" hidden="1" x14ac:dyDescent="0.25">
      <c r="A3548" s="10" t="s">
        <v>1475</v>
      </c>
      <c r="B3548" s="3" t="s">
        <v>1016</v>
      </c>
      <c r="C3548" s="10">
        <v>17</v>
      </c>
      <c r="D3548" s="10">
        <v>3</v>
      </c>
      <c r="E3548" s="10">
        <v>19</v>
      </c>
      <c r="F3548" t="s">
        <v>2168</v>
      </c>
      <c r="G3548" t="s">
        <v>889</v>
      </c>
      <c r="H3548" t="s">
        <v>65</v>
      </c>
      <c r="I3548" t="s">
        <v>27</v>
      </c>
      <c r="J3548" s="4">
        <v>31.75</v>
      </c>
      <c r="K3548">
        <v>1</v>
      </c>
      <c r="L3548">
        <v>31.75</v>
      </c>
      <c r="M3548">
        <v>31.75</v>
      </c>
      <c r="N3548" s="5">
        <v>1.6092245311708058</v>
      </c>
      <c r="O3548" t="s">
        <v>101</v>
      </c>
      <c r="P3548" t="s">
        <v>340</v>
      </c>
      <c r="Q3548" s="10" t="s">
        <v>24</v>
      </c>
    </row>
    <row r="3549" spans="1:18" hidden="1" x14ac:dyDescent="0.25">
      <c r="A3549" s="10" t="s">
        <v>1475</v>
      </c>
      <c r="B3549" s="3" t="s">
        <v>1016</v>
      </c>
      <c r="C3549" s="10">
        <v>17</v>
      </c>
      <c r="D3549" s="10">
        <v>3</v>
      </c>
      <c r="E3549" s="10">
        <v>19</v>
      </c>
      <c r="F3549" t="s">
        <v>234</v>
      </c>
      <c r="G3549" t="s">
        <v>889</v>
      </c>
      <c r="H3549" t="s">
        <v>53</v>
      </c>
      <c r="I3549" t="s">
        <v>27</v>
      </c>
      <c r="J3549" s="4">
        <v>20</v>
      </c>
      <c r="K3549">
        <v>1</v>
      </c>
      <c r="L3549">
        <v>20</v>
      </c>
      <c r="M3549">
        <v>20</v>
      </c>
      <c r="N3549" s="5">
        <v>1.0136847440446022</v>
      </c>
      <c r="O3549" t="s">
        <v>101</v>
      </c>
      <c r="P3549" t="s">
        <v>340</v>
      </c>
      <c r="Q3549" s="10" t="s">
        <v>24</v>
      </c>
    </row>
    <row r="3550" spans="1:18" hidden="1" x14ac:dyDescent="0.25">
      <c r="A3550" s="10" t="s">
        <v>1475</v>
      </c>
      <c r="B3550" s="3" t="s">
        <v>1016</v>
      </c>
      <c r="C3550" s="10">
        <v>17</v>
      </c>
      <c r="D3550" s="10">
        <v>3</v>
      </c>
      <c r="E3550" s="10">
        <v>19</v>
      </c>
      <c r="F3550" t="s">
        <v>234</v>
      </c>
      <c r="G3550" t="s">
        <v>889</v>
      </c>
      <c r="H3550" t="s">
        <v>53</v>
      </c>
      <c r="I3550" t="s">
        <v>27</v>
      </c>
      <c r="J3550" s="4">
        <v>17.899999999999999</v>
      </c>
      <c r="K3550">
        <v>1</v>
      </c>
      <c r="L3550">
        <v>17.899999999999999</v>
      </c>
      <c r="M3550">
        <v>17.899999999999999</v>
      </c>
      <c r="N3550" s="5">
        <v>0.90724784591991881</v>
      </c>
      <c r="O3550" t="s">
        <v>46</v>
      </c>
      <c r="P3550" t="s">
        <v>340</v>
      </c>
      <c r="Q3550" s="10" t="s">
        <v>84</v>
      </c>
    </row>
    <row r="3551" spans="1:18" hidden="1" x14ac:dyDescent="0.25">
      <c r="A3551" s="10" t="s">
        <v>1475</v>
      </c>
      <c r="B3551" s="3" t="s">
        <v>1012</v>
      </c>
      <c r="C3551" s="10">
        <v>18</v>
      </c>
      <c r="D3551" s="10">
        <v>3</v>
      </c>
      <c r="E3551" s="10">
        <v>19</v>
      </c>
      <c r="F3551" t="s">
        <v>89</v>
      </c>
      <c r="G3551" t="s">
        <v>31</v>
      </c>
      <c r="H3551" t="s">
        <v>26</v>
      </c>
      <c r="I3551" t="s">
        <v>27</v>
      </c>
      <c r="J3551" s="4">
        <v>13</v>
      </c>
      <c r="K3551">
        <v>1</v>
      </c>
      <c r="L3551">
        <v>13</v>
      </c>
      <c r="M3551">
        <v>13</v>
      </c>
      <c r="N3551" s="5">
        <v>0.65889508362899141</v>
      </c>
      <c r="O3551" t="s">
        <v>32</v>
      </c>
      <c r="P3551" t="s">
        <v>340</v>
      </c>
      <c r="Q3551" s="10" t="s">
        <v>24</v>
      </c>
    </row>
    <row r="3552" spans="1:18" hidden="1" x14ac:dyDescent="0.25">
      <c r="A3552" s="9" t="s">
        <v>1475</v>
      </c>
      <c r="B3552" s="3" t="s">
        <v>1773</v>
      </c>
      <c r="C3552" s="10">
        <v>2</v>
      </c>
      <c r="D3552" s="10">
        <v>3</v>
      </c>
      <c r="E3552" s="10">
        <v>19</v>
      </c>
      <c r="F3552" t="s">
        <v>744</v>
      </c>
      <c r="G3552" t="s">
        <v>889</v>
      </c>
      <c r="H3552" t="s">
        <v>54</v>
      </c>
      <c r="I3552" t="s">
        <v>27</v>
      </c>
      <c r="J3552" s="4">
        <v>18</v>
      </c>
      <c r="K3552">
        <v>1.002</v>
      </c>
      <c r="L3552">
        <v>18</v>
      </c>
      <c r="M3552">
        <v>18.036000000000001</v>
      </c>
      <c r="N3552" s="5">
        <v>0.91663278506745516</v>
      </c>
      <c r="O3552" t="s">
        <v>100</v>
      </c>
      <c r="P3552" t="s">
        <v>340</v>
      </c>
      <c r="Q3552" s="10" t="s">
        <v>24</v>
      </c>
    </row>
    <row r="3553" spans="1:18" hidden="1" x14ac:dyDescent="0.25">
      <c r="A3553" s="9" t="s">
        <v>1475</v>
      </c>
      <c r="B3553" s="3" t="s">
        <v>1773</v>
      </c>
      <c r="C3553" s="10">
        <v>2</v>
      </c>
      <c r="D3553" s="10">
        <v>3</v>
      </c>
      <c r="E3553" s="10">
        <v>19</v>
      </c>
      <c r="F3553" t="s">
        <v>1289</v>
      </c>
      <c r="G3553" t="s">
        <v>889</v>
      </c>
      <c r="H3553" t="s">
        <v>54</v>
      </c>
      <c r="I3553" t="s">
        <v>27</v>
      </c>
      <c r="J3553" s="4">
        <v>63</v>
      </c>
      <c r="K3553">
        <v>0.39600000000000002</v>
      </c>
      <c r="L3553">
        <v>63</v>
      </c>
      <c r="M3553">
        <v>24.948</v>
      </c>
      <c r="N3553" s="5">
        <v>1.2679172056921084</v>
      </c>
      <c r="O3553" t="s">
        <v>100</v>
      </c>
      <c r="P3553" t="s">
        <v>340</v>
      </c>
      <c r="Q3553" s="10" t="s">
        <v>24</v>
      </c>
    </row>
    <row r="3554" spans="1:18" hidden="1" x14ac:dyDescent="0.25">
      <c r="A3554" s="9" t="s">
        <v>1475</v>
      </c>
      <c r="B3554" s="3" t="s">
        <v>1773</v>
      </c>
      <c r="C3554" s="10">
        <v>2</v>
      </c>
      <c r="D3554" s="10">
        <v>3</v>
      </c>
      <c r="E3554" s="10">
        <v>19</v>
      </c>
      <c r="F3554" t="s">
        <v>475</v>
      </c>
      <c r="G3554" t="s">
        <v>889</v>
      </c>
      <c r="H3554" t="s">
        <v>62</v>
      </c>
      <c r="I3554" t="s">
        <v>27</v>
      </c>
      <c r="J3554" s="4">
        <v>47.6</v>
      </c>
      <c r="K3554">
        <v>1</v>
      </c>
      <c r="L3554">
        <v>47.6</v>
      </c>
      <c r="M3554">
        <v>47.6</v>
      </c>
      <c r="N3554" s="5">
        <v>2.4191461836998704</v>
      </c>
      <c r="O3554" t="s">
        <v>100</v>
      </c>
      <c r="P3554" t="s">
        <v>340</v>
      </c>
      <c r="Q3554" s="10" t="s">
        <v>24</v>
      </c>
    </row>
    <row r="3555" spans="1:18" hidden="1" x14ac:dyDescent="0.25">
      <c r="A3555" s="9" t="s">
        <v>1475</v>
      </c>
      <c r="B3555" s="3" t="s">
        <v>1773</v>
      </c>
      <c r="C3555" s="10">
        <v>2</v>
      </c>
      <c r="D3555" s="10">
        <v>3</v>
      </c>
      <c r="E3555" s="10">
        <v>19</v>
      </c>
      <c r="F3555" t="s">
        <v>60</v>
      </c>
      <c r="G3555" t="s">
        <v>31</v>
      </c>
      <c r="H3555" t="s">
        <v>26</v>
      </c>
      <c r="I3555" t="s">
        <v>27</v>
      </c>
      <c r="J3555" s="4">
        <v>7.7</v>
      </c>
      <c r="K3555">
        <v>1</v>
      </c>
      <c r="L3555">
        <v>7.7</v>
      </c>
      <c r="M3555">
        <v>7.7</v>
      </c>
      <c r="N3555" s="5">
        <v>0.39133247089262607</v>
      </c>
      <c r="O3555" t="s">
        <v>100</v>
      </c>
      <c r="P3555" t="s">
        <v>340</v>
      </c>
      <c r="Q3555" s="10" t="s">
        <v>24</v>
      </c>
    </row>
    <row r="3556" spans="1:18" hidden="1" x14ac:dyDescent="0.25">
      <c r="A3556" s="9" t="s">
        <v>1475</v>
      </c>
      <c r="B3556" s="3" t="s">
        <v>1773</v>
      </c>
      <c r="C3556" s="10">
        <v>2</v>
      </c>
      <c r="D3556" s="10">
        <v>3</v>
      </c>
      <c r="E3556" s="10">
        <v>19</v>
      </c>
      <c r="F3556" t="s">
        <v>155</v>
      </c>
      <c r="G3556" t="s">
        <v>155</v>
      </c>
      <c r="H3556" t="s">
        <v>131</v>
      </c>
      <c r="I3556" t="s">
        <v>27</v>
      </c>
      <c r="J3556" s="4">
        <v>47.6</v>
      </c>
      <c r="K3556">
        <v>1</v>
      </c>
      <c r="L3556">
        <v>47.6</v>
      </c>
      <c r="M3556">
        <v>47.6</v>
      </c>
      <c r="N3556" s="5">
        <v>2.4191461836998704</v>
      </c>
      <c r="O3556" t="s">
        <v>100</v>
      </c>
      <c r="P3556" t="s">
        <v>340</v>
      </c>
      <c r="Q3556" s="10" t="s">
        <v>24</v>
      </c>
      <c r="R3556" t="s">
        <v>1769</v>
      </c>
    </row>
    <row r="3557" spans="1:18" hidden="1" x14ac:dyDescent="0.25">
      <c r="A3557" s="9" t="s">
        <v>1475</v>
      </c>
      <c r="B3557" s="3" t="s">
        <v>1773</v>
      </c>
      <c r="C3557" s="10">
        <v>2</v>
      </c>
      <c r="D3557" s="10">
        <v>3</v>
      </c>
      <c r="E3557" s="10">
        <v>19</v>
      </c>
      <c r="F3557" t="s">
        <v>2082</v>
      </c>
      <c r="G3557" t="s">
        <v>155</v>
      </c>
      <c r="H3557" t="s">
        <v>131</v>
      </c>
      <c r="I3557" t="s">
        <v>27</v>
      </c>
      <c r="J3557" s="4">
        <v>67.599999999999994</v>
      </c>
      <c r="K3557">
        <v>1</v>
      </c>
      <c r="L3557">
        <v>67.599999999999994</v>
      </c>
      <c r="M3557">
        <v>67.599999999999994</v>
      </c>
      <c r="N3557" s="5">
        <v>3.4355941600443534</v>
      </c>
      <c r="O3557" t="s">
        <v>100</v>
      </c>
      <c r="P3557" t="s">
        <v>340</v>
      </c>
      <c r="Q3557" s="10" t="s">
        <v>24</v>
      </c>
    </row>
    <row r="3558" spans="1:18" hidden="1" x14ac:dyDescent="0.25">
      <c r="A3558" s="9" t="s">
        <v>1475</v>
      </c>
      <c r="B3558" s="3" t="s">
        <v>1773</v>
      </c>
      <c r="C3558" s="10">
        <v>2</v>
      </c>
      <c r="D3558" s="10">
        <v>3</v>
      </c>
      <c r="E3558" s="10">
        <v>19</v>
      </c>
      <c r="F3558" t="s">
        <v>1770</v>
      </c>
      <c r="G3558" t="s">
        <v>889</v>
      </c>
      <c r="H3558" t="s">
        <v>26</v>
      </c>
      <c r="I3558" t="s">
        <v>27</v>
      </c>
      <c r="J3558" s="4">
        <v>307.60000000000002</v>
      </c>
      <c r="K3558">
        <v>0.19</v>
      </c>
      <c r="L3558">
        <v>307.60000000000002</v>
      </c>
      <c r="M3558">
        <v>58.444000000000003</v>
      </c>
      <c r="N3558" s="5">
        <v>2.9702642764738494</v>
      </c>
      <c r="O3558" t="s">
        <v>100</v>
      </c>
      <c r="P3558" t="s">
        <v>340</v>
      </c>
      <c r="Q3558" s="10" t="s">
        <v>24</v>
      </c>
    </row>
    <row r="3559" spans="1:18" hidden="1" x14ac:dyDescent="0.25">
      <c r="A3559" s="9" t="s">
        <v>1475</v>
      </c>
      <c r="B3559" s="3" t="s">
        <v>1773</v>
      </c>
      <c r="C3559" s="10">
        <v>2</v>
      </c>
      <c r="D3559" s="10">
        <v>3</v>
      </c>
      <c r="E3559" s="10">
        <v>19</v>
      </c>
      <c r="F3559" t="s">
        <v>240</v>
      </c>
      <c r="G3559" t="s">
        <v>889</v>
      </c>
      <c r="H3559" t="s">
        <v>54</v>
      </c>
      <c r="I3559" t="s">
        <v>27</v>
      </c>
      <c r="J3559" s="4">
        <v>27.7</v>
      </c>
      <c r="K3559">
        <v>1</v>
      </c>
      <c r="L3559">
        <v>27.7</v>
      </c>
      <c r="M3559">
        <v>27.7</v>
      </c>
      <c r="N3559" s="5">
        <v>1.4077804472371094</v>
      </c>
      <c r="O3559" t="s">
        <v>100</v>
      </c>
      <c r="P3559" t="s">
        <v>340</v>
      </c>
      <c r="Q3559" s="10" t="s">
        <v>24</v>
      </c>
    </row>
    <row r="3560" spans="1:18" hidden="1" x14ac:dyDescent="0.25">
      <c r="A3560" s="9" t="s">
        <v>1475</v>
      </c>
      <c r="B3560" s="3" t="s">
        <v>1773</v>
      </c>
      <c r="C3560" s="10">
        <v>2</v>
      </c>
      <c r="D3560" s="10">
        <v>3</v>
      </c>
      <c r="E3560" s="10">
        <v>19</v>
      </c>
      <c r="F3560" t="s">
        <v>99</v>
      </c>
      <c r="G3560" t="s">
        <v>889</v>
      </c>
      <c r="H3560" t="s">
        <v>40</v>
      </c>
      <c r="I3560" t="s">
        <v>27</v>
      </c>
      <c r="J3560" s="4">
        <v>10</v>
      </c>
      <c r="K3560">
        <v>1</v>
      </c>
      <c r="L3560">
        <v>10</v>
      </c>
      <c r="M3560">
        <v>10</v>
      </c>
      <c r="N3560" s="5">
        <v>0.50822398817224168</v>
      </c>
      <c r="O3560" t="s">
        <v>100</v>
      </c>
      <c r="P3560" t="s">
        <v>340</v>
      </c>
      <c r="Q3560" s="10" t="s">
        <v>24</v>
      </c>
    </row>
    <row r="3561" spans="1:18" hidden="1" x14ac:dyDescent="0.25">
      <c r="A3561" s="9" t="s">
        <v>1475</v>
      </c>
      <c r="B3561" s="3" t="s">
        <v>1773</v>
      </c>
      <c r="C3561" s="10">
        <v>2</v>
      </c>
      <c r="D3561" s="10">
        <v>3</v>
      </c>
      <c r="E3561" s="10">
        <v>19</v>
      </c>
      <c r="F3561" t="s">
        <v>372</v>
      </c>
      <c r="G3561" t="s">
        <v>373</v>
      </c>
      <c r="H3561" t="s">
        <v>65</v>
      </c>
      <c r="I3561" t="s">
        <v>27</v>
      </c>
      <c r="J3561" s="4">
        <v>9</v>
      </c>
      <c r="K3561">
        <v>2</v>
      </c>
      <c r="L3561">
        <v>9</v>
      </c>
      <c r="M3561">
        <v>18</v>
      </c>
      <c r="N3561" s="5">
        <v>0.91480317871003503</v>
      </c>
      <c r="O3561" t="s">
        <v>100</v>
      </c>
      <c r="P3561" t="s">
        <v>340</v>
      </c>
      <c r="Q3561" s="10" t="s">
        <v>24</v>
      </c>
    </row>
    <row r="3562" spans="1:18" hidden="1" x14ac:dyDescent="0.25">
      <c r="A3562" s="9" t="s">
        <v>1475</v>
      </c>
      <c r="B3562" s="3" t="s">
        <v>1773</v>
      </c>
      <c r="C3562" s="10">
        <v>2</v>
      </c>
      <c r="D3562" s="10">
        <v>3</v>
      </c>
      <c r="E3562" s="10">
        <v>19</v>
      </c>
      <c r="F3562" t="s">
        <v>708</v>
      </c>
      <c r="G3562" t="s">
        <v>708</v>
      </c>
      <c r="H3562" t="s">
        <v>131</v>
      </c>
      <c r="I3562" t="s">
        <v>27</v>
      </c>
      <c r="J3562" s="4">
        <v>31</v>
      </c>
      <c r="K3562">
        <v>1</v>
      </c>
      <c r="L3562">
        <v>31</v>
      </c>
      <c r="M3562">
        <v>31</v>
      </c>
      <c r="N3562" s="5">
        <v>1.5754943633339491</v>
      </c>
      <c r="O3562" t="s">
        <v>100</v>
      </c>
      <c r="P3562" t="s">
        <v>340</v>
      </c>
      <c r="Q3562" s="10" t="s">
        <v>24</v>
      </c>
      <c r="R3562" t="s">
        <v>1771</v>
      </c>
    </row>
    <row r="3563" spans="1:18" hidden="1" x14ac:dyDescent="0.25">
      <c r="A3563" s="9" t="s">
        <v>1475</v>
      </c>
      <c r="B3563" s="3" t="s">
        <v>1773</v>
      </c>
      <c r="C3563" s="10">
        <v>2</v>
      </c>
      <c r="D3563" s="10">
        <v>3</v>
      </c>
      <c r="E3563" s="10">
        <v>19</v>
      </c>
      <c r="F3563" t="s">
        <v>974</v>
      </c>
      <c r="G3563" t="s">
        <v>25</v>
      </c>
      <c r="H3563" t="s">
        <v>26</v>
      </c>
      <c r="I3563" t="s">
        <v>27</v>
      </c>
      <c r="J3563" s="4">
        <v>211.6</v>
      </c>
      <c r="K3563">
        <v>0.42599999999999999</v>
      </c>
      <c r="L3563">
        <v>211.6</v>
      </c>
      <c r="M3563">
        <v>90.141599999999997</v>
      </c>
      <c r="N3563" s="5">
        <v>4.5812123452226938</v>
      </c>
      <c r="O3563" t="s">
        <v>100</v>
      </c>
      <c r="P3563" t="s">
        <v>340</v>
      </c>
      <c r="Q3563" s="10" t="s">
        <v>24</v>
      </c>
    </row>
    <row r="3564" spans="1:18" hidden="1" x14ac:dyDescent="0.25">
      <c r="A3564" s="9" t="s">
        <v>1475</v>
      </c>
      <c r="B3564" s="3" t="s">
        <v>1773</v>
      </c>
      <c r="C3564" s="10">
        <v>2</v>
      </c>
      <c r="D3564" s="10">
        <v>3</v>
      </c>
      <c r="E3564" s="10">
        <v>19</v>
      </c>
      <c r="F3564" t="s">
        <v>708</v>
      </c>
      <c r="G3564" t="s">
        <v>708</v>
      </c>
      <c r="H3564" t="s">
        <v>131</v>
      </c>
      <c r="I3564" t="s">
        <v>27</v>
      </c>
      <c r="J3564" s="4">
        <v>59</v>
      </c>
      <c r="K3564">
        <v>1</v>
      </c>
      <c r="L3564">
        <v>59</v>
      </c>
      <c r="M3564">
        <v>59</v>
      </c>
      <c r="N3564" s="5">
        <v>2.9985215302162258</v>
      </c>
      <c r="O3564" t="s">
        <v>100</v>
      </c>
      <c r="P3564" t="s">
        <v>340</v>
      </c>
      <c r="Q3564" s="10" t="s">
        <v>24</v>
      </c>
    </row>
    <row r="3565" spans="1:18" hidden="1" x14ac:dyDescent="0.25">
      <c r="A3565" s="9" t="s">
        <v>1475</v>
      </c>
      <c r="B3565" s="3" t="s">
        <v>1773</v>
      </c>
      <c r="C3565" s="10">
        <v>2</v>
      </c>
      <c r="D3565" s="10">
        <v>3</v>
      </c>
      <c r="E3565" s="10">
        <v>19</v>
      </c>
      <c r="F3565" t="s">
        <v>475</v>
      </c>
      <c r="G3565" t="s">
        <v>889</v>
      </c>
      <c r="H3565" t="s">
        <v>62</v>
      </c>
      <c r="I3565" t="s">
        <v>27</v>
      </c>
      <c r="J3565" s="4">
        <v>28.75</v>
      </c>
      <c r="K3565">
        <v>1</v>
      </c>
      <c r="L3565">
        <v>28.75</v>
      </c>
      <c r="M3565">
        <v>28.75</v>
      </c>
      <c r="N3565" s="5">
        <v>1.4611439659951948</v>
      </c>
      <c r="O3565" t="s">
        <v>100</v>
      </c>
      <c r="P3565" t="s">
        <v>340</v>
      </c>
      <c r="Q3565" s="10" t="s">
        <v>24</v>
      </c>
    </row>
    <row r="3566" spans="1:18" hidden="1" x14ac:dyDescent="0.25">
      <c r="A3566" s="9" t="s">
        <v>1475</v>
      </c>
      <c r="B3566" s="3" t="s">
        <v>1773</v>
      </c>
      <c r="C3566" s="10">
        <v>2</v>
      </c>
      <c r="D3566" s="10">
        <v>3</v>
      </c>
      <c r="E3566" s="10">
        <v>19</v>
      </c>
      <c r="F3566" t="s">
        <v>586</v>
      </c>
      <c r="G3566" t="s">
        <v>31</v>
      </c>
      <c r="H3566" t="s">
        <v>26</v>
      </c>
      <c r="I3566" t="s">
        <v>27</v>
      </c>
      <c r="J3566" s="4">
        <v>5.2</v>
      </c>
      <c r="K3566">
        <v>1</v>
      </c>
      <c r="L3566">
        <v>5.2</v>
      </c>
      <c r="M3566">
        <v>5.2</v>
      </c>
      <c r="N3566" s="5">
        <v>0.26427647384956565</v>
      </c>
      <c r="O3566" t="s">
        <v>100</v>
      </c>
      <c r="P3566" t="s">
        <v>340</v>
      </c>
      <c r="Q3566" s="10" t="s">
        <v>24</v>
      </c>
    </row>
    <row r="3567" spans="1:18" hidden="1" x14ac:dyDescent="0.25">
      <c r="A3567" s="9" t="s">
        <v>1475</v>
      </c>
      <c r="B3567" s="3" t="s">
        <v>1773</v>
      </c>
      <c r="C3567" s="10">
        <v>2</v>
      </c>
      <c r="D3567" s="10">
        <v>3</v>
      </c>
      <c r="E3567" s="10">
        <v>19</v>
      </c>
      <c r="F3567" t="s">
        <v>131</v>
      </c>
      <c r="G3567" t="s">
        <v>889</v>
      </c>
      <c r="H3567" t="s">
        <v>131</v>
      </c>
      <c r="I3567" t="s">
        <v>27</v>
      </c>
      <c r="J3567" s="4">
        <v>25</v>
      </c>
      <c r="K3567">
        <v>1</v>
      </c>
      <c r="L3567">
        <v>25</v>
      </c>
      <c r="M3567">
        <v>25</v>
      </c>
      <c r="N3567" s="5">
        <v>1.2705599704306041</v>
      </c>
      <c r="O3567" t="s">
        <v>100</v>
      </c>
      <c r="P3567" t="s">
        <v>340</v>
      </c>
      <c r="Q3567" s="10" t="s">
        <v>24</v>
      </c>
    </row>
    <row r="3568" spans="1:18" hidden="1" x14ac:dyDescent="0.25">
      <c r="A3568" s="9" t="s">
        <v>1475</v>
      </c>
      <c r="B3568" s="3" t="s">
        <v>1773</v>
      </c>
      <c r="C3568" s="10">
        <v>2</v>
      </c>
      <c r="D3568" s="10">
        <v>3</v>
      </c>
      <c r="E3568" s="10">
        <v>19</v>
      </c>
      <c r="F3568" t="s">
        <v>104</v>
      </c>
      <c r="G3568" t="s">
        <v>889</v>
      </c>
      <c r="H3568" t="s">
        <v>889</v>
      </c>
      <c r="I3568" t="s">
        <v>72</v>
      </c>
      <c r="J3568" s="4">
        <v>122.43</v>
      </c>
      <c r="K3568">
        <v>1</v>
      </c>
      <c r="L3568">
        <v>122.43</v>
      </c>
      <c r="M3568">
        <v>122.43</v>
      </c>
      <c r="N3568" s="5">
        <v>6.2221862871927547</v>
      </c>
      <c r="O3568" t="s">
        <v>233</v>
      </c>
      <c r="P3568" t="s">
        <v>340</v>
      </c>
      <c r="Q3568" s="10" t="s">
        <v>24</v>
      </c>
      <c r="R3568" t="s">
        <v>1778</v>
      </c>
    </row>
    <row r="3569" spans="1:18" hidden="1" x14ac:dyDescent="0.25">
      <c r="A3569" s="9" t="s">
        <v>1475</v>
      </c>
      <c r="B3569" s="3" t="s">
        <v>1773</v>
      </c>
      <c r="C3569" s="10">
        <v>2</v>
      </c>
      <c r="D3569" s="10">
        <v>3</v>
      </c>
      <c r="E3569" s="10">
        <v>19</v>
      </c>
      <c r="F3569" t="s">
        <v>104</v>
      </c>
      <c r="G3569" t="s">
        <v>889</v>
      </c>
      <c r="H3569" t="s">
        <v>889</v>
      </c>
      <c r="I3569" t="s">
        <v>72</v>
      </c>
      <c r="J3569" s="4">
        <v>20.39</v>
      </c>
      <c r="K3569">
        <v>10</v>
      </c>
      <c r="L3569">
        <v>20.39</v>
      </c>
      <c r="M3569">
        <v>203.9</v>
      </c>
      <c r="N3569" s="5">
        <v>10.362687118832008</v>
      </c>
      <c r="O3569" t="s">
        <v>233</v>
      </c>
      <c r="P3569" t="s">
        <v>340</v>
      </c>
      <c r="Q3569" s="10" t="s">
        <v>24</v>
      </c>
      <c r="R3569" t="s">
        <v>1844</v>
      </c>
    </row>
    <row r="3570" spans="1:18" hidden="1" x14ac:dyDescent="0.25">
      <c r="A3570" s="9" t="s">
        <v>1475</v>
      </c>
      <c r="B3570" s="3" t="s">
        <v>1773</v>
      </c>
      <c r="C3570" s="10">
        <v>2</v>
      </c>
      <c r="D3570" s="10">
        <v>3</v>
      </c>
      <c r="E3570" s="10">
        <v>19</v>
      </c>
      <c r="F3570" t="s">
        <v>146</v>
      </c>
      <c r="G3570" t="s">
        <v>889</v>
      </c>
      <c r="H3570" t="s">
        <v>49</v>
      </c>
      <c r="I3570" t="s">
        <v>50</v>
      </c>
      <c r="J3570" s="4">
        <v>0.15</v>
      </c>
      <c r="K3570">
        <v>1</v>
      </c>
      <c r="L3570">
        <v>0.15</v>
      </c>
      <c r="M3570">
        <v>0.15</v>
      </c>
      <c r="N3570" s="5">
        <v>7.6233598225836242E-3</v>
      </c>
      <c r="O3570" t="s">
        <v>233</v>
      </c>
      <c r="P3570" t="s">
        <v>340</v>
      </c>
      <c r="Q3570" s="10" t="s">
        <v>24</v>
      </c>
    </row>
    <row r="3571" spans="1:18" hidden="1" x14ac:dyDescent="0.25">
      <c r="A3571" s="10" t="s">
        <v>1475</v>
      </c>
      <c r="B3571" s="3" t="s">
        <v>1019</v>
      </c>
      <c r="C3571" s="10">
        <v>20</v>
      </c>
      <c r="D3571" s="10">
        <v>3</v>
      </c>
      <c r="E3571" s="10">
        <v>19</v>
      </c>
      <c r="F3571" t="s">
        <v>55</v>
      </c>
      <c r="G3571" t="s">
        <v>889</v>
      </c>
      <c r="H3571" t="s">
        <v>56</v>
      </c>
      <c r="I3571" t="s">
        <v>27</v>
      </c>
      <c r="J3571" s="4">
        <v>32.99</v>
      </c>
      <c r="K3571">
        <v>1.24</v>
      </c>
      <c r="L3571">
        <v>32.99</v>
      </c>
      <c r="M3571">
        <v>40.907600000000002</v>
      </c>
      <c r="N3571" s="5">
        <v>2.0733705017739483</v>
      </c>
      <c r="O3571" t="s">
        <v>829</v>
      </c>
      <c r="P3571" t="s">
        <v>340</v>
      </c>
      <c r="Q3571" s="10" t="s">
        <v>24</v>
      </c>
    </row>
    <row r="3572" spans="1:18" hidden="1" x14ac:dyDescent="0.25">
      <c r="A3572" s="10" t="s">
        <v>1475</v>
      </c>
      <c r="B3572" s="3" t="s">
        <v>1019</v>
      </c>
      <c r="C3572" s="10">
        <v>20</v>
      </c>
      <c r="D3572" s="10">
        <v>3</v>
      </c>
      <c r="E3572" s="10">
        <v>19</v>
      </c>
      <c r="F3572" t="s">
        <v>945</v>
      </c>
      <c r="G3572" t="s">
        <v>889</v>
      </c>
      <c r="H3572" t="s">
        <v>54</v>
      </c>
      <c r="I3572" t="s">
        <v>27</v>
      </c>
      <c r="J3572" s="4">
        <v>49.99</v>
      </c>
      <c r="K3572">
        <v>0.36799999999999999</v>
      </c>
      <c r="L3572">
        <v>49.99</v>
      </c>
      <c r="M3572">
        <v>18.396319999999999</v>
      </c>
      <c r="N3572" s="5">
        <v>0.93240344652812968</v>
      </c>
      <c r="O3572" t="s">
        <v>829</v>
      </c>
      <c r="P3572" t="s">
        <v>340</v>
      </c>
      <c r="Q3572" s="10" t="s">
        <v>24</v>
      </c>
    </row>
    <row r="3573" spans="1:18" hidden="1" x14ac:dyDescent="0.25">
      <c r="A3573" s="10" t="s">
        <v>1475</v>
      </c>
      <c r="B3573" s="3" t="s">
        <v>1019</v>
      </c>
      <c r="C3573" s="10">
        <v>20</v>
      </c>
      <c r="D3573" s="10">
        <v>3</v>
      </c>
      <c r="E3573" s="10">
        <v>19</v>
      </c>
      <c r="F3573" t="s">
        <v>207</v>
      </c>
      <c r="G3573" t="s">
        <v>889</v>
      </c>
      <c r="H3573" t="s">
        <v>56</v>
      </c>
      <c r="I3573" t="s">
        <v>27</v>
      </c>
      <c r="J3573" s="4">
        <v>21.99</v>
      </c>
      <c r="K3573">
        <v>0.3</v>
      </c>
      <c r="L3573">
        <v>21.99</v>
      </c>
      <c r="M3573">
        <v>6.5969999999999995</v>
      </c>
      <c r="N3573" s="5">
        <v>0.33436391282311201</v>
      </c>
      <c r="O3573" t="s">
        <v>829</v>
      </c>
      <c r="P3573" t="s">
        <v>340</v>
      </c>
      <c r="Q3573" s="10" t="s">
        <v>24</v>
      </c>
    </row>
    <row r="3574" spans="1:18" hidden="1" x14ac:dyDescent="0.25">
      <c r="A3574" s="10" t="s">
        <v>1475</v>
      </c>
      <c r="B3574" s="3" t="s">
        <v>1019</v>
      </c>
      <c r="C3574" s="10">
        <v>20</v>
      </c>
      <c r="D3574" s="10">
        <v>3</v>
      </c>
      <c r="E3574" s="10">
        <v>19</v>
      </c>
      <c r="F3574" t="s">
        <v>202</v>
      </c>
      <c r="H3574" t="s">
        <v>54</v>
      </c>
      <c r="I3574" t="s">
        <v>27</v>
      </c>
      <c r="J3574" s="4">
        <v>85.99</v>
      </c>
      <c r="K3574">
        <v>0.29599999999999999</v>
      </c>
      <c r="L3574">
        <v>85.99</v>
      </c>
      <c r="M3574">
        <v>25.453039999999998</v>
      </c>
      <c r="N3574" s="5">
        <v>1.2900679168778508</v>
      </c>
      <c r="O3574" t="s">
        <v>829</v>
      </c>
      <c r="P3574" t="s">
        <v>340</v>
      </c>
      <c r="Q3574" s="10" t="s">
        <v>24</v>
      </c>
    </row>
    <row r="3575" spans="1:18" hidden="1" x14ac:dyDescent="0.25">
      <c r="A3575" s="10" t="s">
        <v>1475</v>
      </c>
      <c r="B3575" s="3" t="s">
        <v>1019</v>
      </c>
      <c r="C3575" s="10">
        <v>20</v>
      </c>
      <c r="D3575" s="10">
        <v>3</v>
      </c>
      <c r="E3575" s="10">
        <v>19</v>
      </c>
      <c r="F3575" t="s">
        <v>106</v>
      </c>
      <c r="G3575" t="s">
        <v>889</v>
      </c>
      <c r="H3575" t="s">
        <v>56</v>
      </c>
      <c r="I3575" t="s">
        <v>27</v>
      </c>
      <c r="J3575" s="4">
        <v>29.99</v>
      </c>
      <c r="K3575">
        <v>1.704</v>
      </c>
      <c r="L3575">
        <v>29.99</v>
      </c>
      <c r="M3575">
        <v>51.102959999999996</v>
      </c>
      <c r="N3575" s="5">
        <v>2.5901145463760766</v>
      </c>
      <c r="O3575" t="s">
        <v>829</v>
      </c>
      <c r="P3575" t="s">
        <v>340</v>
      </c>
      <c r="Q3575" s="10" t="s">
        <v>24</v>
      </c>
    </row>
    <row r="3576" spans="1:18" hidden="1" x14ac:dyDescent="0.25">
      <c r="A3576" s="10" t="s">
        <v>1475</v>
      </c>
      <c r="B3576" s="3" t="s">
        <v>1019</v>
      </c>
      <c r="C3576" s="10">
        <v>20</v>
      </c>
      <c r="D3576" s="10">
        <v>3</v>
      </c>
      <c r="E3576" s="10">
        <v>19</v>
      </c>
      <c r="F3576" t="s">
        <v>218</v>
      </c>
      <c r="G3576" t="s">
        <v>889</v>
      </c>
      <c r="H3576" t="s">
        <v>54</v>
      </c>
      <c r="I3576" t="s">
        <v>27</v>
      </c>
      <c r="J3576" s="4">
        <v>64.989999999999995</v>
      </c>
      <c r="K3576">
        <v>0.45800000000000002</v>
      </c>
      <c r="L3576">
        <v>64.989999999999995</v>
      </c>
      <c r="M3576">
        <v>29.765419999999999</v>
      </c>
      <c r="N3576" s="5">
        <v>1.508637607704004</v>
      </c>
      <c r="O3576" t="s">
        <v>829</v>
      </c>
      <c r="P3576" t="s">
        <v>340</v>
      </c>
      <c r="Q3576" s="10" t="s">
        <v>24</v>
      </c>
    </row>
    <row r="3577" spans="1:18" hidden="1" x14ac:dyDescent="0.25">
      <c r="A3577" s="10" t="s">
        <v>1475</v>
      </c>
      <c r="B3577" s="3" t="s">
        <v>1019</v>
      </c>
      <c r="C3577" s="10">
        <v>20</v>
      </c>
      <c r="D3577" s="10">
        <v>3</v>
      </c>
      <c r="E3577" s="10">
        <v>19</v>
      </c>
      <c r="F3577" t="s">
        <v>505</v>
      </c>
      <c r="G3577" t="s">
        <v>889</v>
      </c>
      <c r="H3577" t="s">
        <v>44</v>
      </c>
      <c r="I3577" t="s">
        <v>27</v>
      </c>
      <c r="J3577" s="4">
        <v>22.5</v>
      </c>
      <c r="K3577">
        <v>2</v>
      </c>
      <c r="L3577">
        <v>22.5</v>
      </c>
      <c r="M3577">
        <v>45</v>
      </c>
      <c r="N3577" s="5">
        <v>2.2807906741003547</v>
      </c>
      <c r="O3577" t="s">
        <v>829</v>
      </c>
      <c r="P3577" t="s">
        <v>340</v>
      </c>
      <c r="Q3577" s="10" t="s">
        <v>24</v>
      </c>
    </row>
    <row r="3578" spans="1:18" hidden="1" x14ac:dyDescent="0.25">
      <c r="A3578" s="10" t="s">
        <v>1475</v>
      </c>
      <c r="B3578" s="3" t="s">
        <v>1019</v>
      </c>
      <c r="C3578" s="10">
        <v>20</v>
      </c>
      <c r="D3578" s="10">
        <v>3</v>
      </c>
      <c r="E3578" s="10">
        <v>19</v>
      </c>
      <c r="F3578" t="s">
        <v>121</v>
      </c>
      <c r="G3578" t="s">
        <v>889</v>
      </c>
      <c r="H3578" t="s">
        <v>54</v>
      </c>
      <c r="I3578" t="s">
        <v>27</v>
      </c>
      <c r="J3578" s="4">
        <v>19.989999999999998</v>
      </c>
      <c r="K3578">
        <v>0.746</v>
      </c>
      <c r="L3578">
        <v>19.989999999999998</v>
      </c>
      <c r="M3578">
        <v>14.912539999999998</v>
      </c>
      <c r="N3578" s="5">
        <v>0.75583071464774443</v>
      </c>
      <c r="O3578" t="s">
        <v>829</v>
      </c>
      <c r="P3578" t="s">
        <v>340</v>
      </c>
      <c r="Q3578" s="10" t="s">
        <v>24</v>
      </c>
    </row>
    <row r="3579" spans="1:18" hidden="1" x14ac:dyDescent="0.25">
      <c r="A3579" s="10" t="s">
        <v>1475</v>
      </c>
      <c r="B3579" s="3" t="s">
        <v>1019</v>
      </c>
      <c r="C3579" s="10">
        <v>20</v>
      </c>
      <c r="D3579" s="10">
        <v>3</v>
      </c>
      <c r="E3579" s="10">
        <v>19</v>
      </c>
      <c r="F3579" t="s">
        <v>1017</v>
      </c>
      <c r="G3579" t="s">
        <v>31</v>
      </c>
      <c r="H3579" t="s">
        <v>26</v>
      </c>
      <c r="I3579" t="s">
        <v>27</v>
      </c>
      <c r="J3579" s="4">
        <v>15</v>
      </c>
      <c r="K3579">
        <v>1</v>
      </c>
      <c r="L3579">
        <v>15</v>
      </c>
      <c r="M3579">
        <v>15</v>
      </c>
      <c r="N3579" s="5">
        <v>0.76026355803345158</v>
      </c>
      <c r="O3579" t="s">
        <v>829</v>
      </c>
      <c r="P3579" t="s">
        <v>340</v>
      </c>
      <c r="Q3579" s="10" t="s">
        <v>24</v>
      </c>
    </row>
    <row r="3580" spans="1:18" hidden="1" x14ac:dyDescent="0.25">
      <c r="A3580" s="10" t="s">
        <v>1475</v>
      </c>
      <c r="B3580" s="3" t="s">
        <v>1019</v>
      </c>
      <c r="C3580" s="10">
        <v>20</v>
      </c>
      <c r="D3580" s="10">
        <v>3</v>
      </c>
      <c r="E3580" s="10">
        <v>19</v>
      </c>
      <c r="F3580" t="s">
        <v>116</v>
      </c>
      <c r="G3580" t="s">
        <v>889</v>
      </c>
      <c r="H3580" t="s">
        <v>54</v>
      </c>
      <c r="I3580" t="s">
        <v>27</v>
      </c>
      <c r="J3580" s="4">
        <v>10.99</v>
      </c>
      <c r="K3580">
        <v>0.98</v>
      </c>
      <c r="L3580">
        <v>10.99</v>
      </c>
      <c r="M3580">
        <v>10.770200000000001</v>
      </c>
      <c r="N3580" s="5">
        <v>0.54587937151545873</v>
      </c>
      <c r="O3580" t="s">
        <v>829</v>
      </c>
      <c r="P3580" t="s">
        <v>340</v>
      </c>
      <c r="Q3580" s="10" t="s">
        <v>24</v>
      </c>
    </row>
    <row r="3581" spans="1:18" hidden="1" x14ac:dyDescent="0.25">
      <c r="A3581" s="10" t="s">
        <v>1475</v>
      </c>
      <c r="B3581" s="3" t="s">
        <v>1019</v>
      </c>
      <c r="C3581" s="10">
        <v>20</v>
      </c>
      <c r="D3581" s="10">
        <v>3</v>
      </c>
      <c r="E3581" s="10">
        <v>19</v>
      </c>
      <c r="F3581" t="s">
        <v>125</v>
      </c>
      <c r="G3581" t="s">
        <v>889</v>
      </c>
      <c r="H3581" t="s">
        <v>54</v>
      </c>
      <c r="I3581" t="s">
        <v>27</v>
      </c>
      <c r="J3581" s="4">
        <v>5.99</v>
      </c>
      <c r="K3581">
        <v>0.56799999999999995</v>
      </c>
      <c r="L3581">
        <v>5.99</v>
      </c>
      <c r="M3581">
        <v>3.40232</v>
      </c>
      <c r="N3581" s="5">
        <v>0.17244399391789153</v>
      </c>
      <c r="O3581" t="s">
        <v>829</v>
      </c>
      <c r="P3581" t="s">
        <v>340</v>
      </c>
      <c r="Q3581" s="10" t="s">
        <v>24</v>
      </c>
    </row>
    <row r="3582" spans="1:18" hidden="1" x14ac:dyDescent="0.25">
      <c r="A3582" s="10" t="s">
        <v>1475</v>
      </c>
      <c r="B3582" s="3" t="s">
        <v>1019</v>
      </c>
      <c r="C3582" s="10">
        <v>20</v>
      </c>
      <c r="D3582" s="10">
        <v>3</v>
      </c>
      <c r="E3582" s="10">
        <v>19</v>
      </c>
      <c r="F3582" t="s">
        <v>1018</v>
      </c>
      <c r="G3582" t="s">
        <v>889</v>
      </c>
      <c r="H3582" t="s">
        <v>54</v>
      </c>
      <c r="I3582" t="s">
        <v>27</v>
      </c>
      <c r="J3582" s="4">
        <v>14.99</v>
      </c>
      <c r="K3582">
        <v>0.47799999999999998</v>
      </c>
      <c r="L3582">
        <v>14.99</v>
      </c>
      <c r="M3582">
        <v>7.1652199999999997</v>
      </c>
      <c r="N3582" s="5">
        <v>0.36316371008616316</v>
      </c>
      <c r="O3582" t="s">
        <v>829</v>
      </c>
      <c r="P3582" t="s">
        <v>340</v>
      </c>
      <c r="Q3582" s="10" t="s">
        <v>24</v>
      </c>
    </row>
    <row r="3583" spans="1:18" hidden="1" x14ac:dyDescent="0.25">
      <c r="A3583" s="10" t="s">
        <v>1475</v>
      </c>
      <c r="B3583" s="3" t="s">
        <v>1032</v>
      </c>
      <c r="C3583" s="10">
        <v>21</v>
      </c>
      <c r="D3583" s="10">
        <v>3</v>
      </c>
      <c r="E3583" s="10">
        <v>19</v>
      </c>
      <c r="F3583" t="s">
        <v>159</v>
      </c>
      <c r="I3583" t="s">
        <v>72</v>
      </c>
      <c r="J3583" s="4">
        <v>13.8</v>
      </c>
      <c r="K3583">
        <v>1</v>
      </c>
      <c r="L3583">
        <v>13.8</v>
      </c>
      <c r="M3583">
        <v>13.8</v>
      </c>
      <c r="N3583" s="5">
        <v>0.69944247339077548</v>
      </c>
      <c r="O3583" t="s">
        <v>629</v>
      </c>
      <c r="P3583" t="s">
        <v>340</v>
      </c>
      <c r="Q3583" s="10" t="s">
        <v>24</v>
      </c>
      <c r="R3583" t="s">
        <v>637</v>
      </c>
    </row>
    <row r="3584" spans="1:18" hidden="1" x14ac:dyDescent="0.25">
      <c r="A3584" s="10" t="s">
        <v>1475</v>
      </c>
      <c r="B3584" s="3" t="s">
        <v>1032</v>
      </c>
      <c r="C3584" s="10">
        <v>21</v>
      </c>
      <c r="D3584" s="10">
        <v>3</v>
      </c>
      <c r="E3584" s="10">
        <v>19</v>
      </c>
      <c r="F3584" t="s">
        <v>1030</v>
      </c>
      <c r="I3584" t="s">
        <v>72</v>
      </c>
      <c r="J3584" s="4">
        <v>40.35</v>
      </c>
      <c r="K3584">
        <v>1</v>
      </c>
      <c r="L3584">
        <v>40.35</v>
      </c>
      <c r="M3584">
        <v>40.35</v>
      </c>
      <c r="N3584" s="5">
        <v>2.0451089711099848</v>
      </c>
      <c r="O3584" t="s">
        <v>283</v>
      </c>
      <c r="P3584" t="s">
        <v>340</v>
      </c>
      <c r="Q3584" s="10" t="s">
        <v>24</v>
      </c>
      <c r="R3584" t="s">
        <v>1030</v>
      </c>
    </row>
    <row r="3585" spans="1:18" hidden="1" x14ac:dyDescent="0.25">
      <c r="A3585" s="10" t="s">
        <v>1475</v>
      </c>
      <c r="B3585" s="3" t="s">
        <v>1032</v>
      </c>
      <c r="C3585" s="10">
        <v>21</v>
      </c>
      <c r="D3585" s="10">
        <v>3</v>
      </c>
      <c r="E3585" s="10">
        <v>19</v>
      </c>
      <c r="F3585" t="s">
        <v>102</v>
      </c>
      <c r="H3585" t="s">
        <v>102</v>
      </c>
      <c r="I3585" t="s">
        <v>27</v>
      </c>
      <c r="J3585" s="4">
        <v>35.75</v>
      </c>
      <c r="K3585">
        <v>1</v>
      </c>
      <c r="L3585">
        <v>35.75</v>
      </c>
      <c r="M3585">
        <v>35.75</v>
      </c>
      <c r="N3585" s="5">
        <v>1.8119614799797263</v>
      </c>
      <c r="O3585" t="s">
        <v>283</v>
      </c>
      <c r="P3585" t="s">
        <v>340</v>
      </c>
      <c r="Q3585" s="10" t="s">
        <v>24</v>
      </c>
      <c r="R3585" t="s">
        <v>1031</v>
      </c>
    </row>
    <row r="3586" spans="1:18" hidden="1" x14ac:dyDescent="0.25">
      <c r="A3586" s="10" t="s">
        <v>1475</v>
      </c>
      <c r="B3586" s="3" t="s">
        <v>1032</v>
      </c>
      <c r="C3586" s="10">
        <v>21</v>
      </c>
      <c r="D3586" s="10">
        <v>3</v>
      </c>
      <c r="E3586" s="10">
        <v>19</v>
      </c>
      <c r="F3586" t="s">
        <v>669</v>
      </c>
      <c r="I3586" t="s">
        <v>72</v>
      </c>
      <c r="J3586" s="4">
        <v>20.75</v>
      </c>
      <c r="K3586">
        <v>1</v>
      </c>
      <c r="L3586">
        <v>20.75</v>
      </c>
      <c r="M3586">
        <v>20.75</v>
      </c>
      <c r="N3586" s="5">
        <v>1.0516979219462748</v>
      </c>
      <c r="O3586" t="s">
        <v>283</v>
      </c>
      <c r="P3586" t="s">
        <v>340</v>
      </c>
      <c r="Q3586" s="10" t="s">
        <v>24</v>
      </c>
    </row>
    <row r="3587" spans="1:18" hidden="1" x14ac:dyDescent="0.25">
      <c r="A3587" s="9" t="s">
        <v>1475</v>
      </c>
      <c r="B3587" s="3" t="s">
        <v>1032</v>
      </c>
      <c r="C3587" s="10">
        <v>21</v>
      </c>
      <c r="D3587" s="10">
        <v>3</v>
      </c>
      <c r="E3587" s="10">
        <v>19</v>
      </c>
      <c r="F3587" t="s">
        <v>234</v>
      </c>
      <c r="G3587" t="s">
        <v>889</v>
      </c>
      <c r="H3587" t="s">
        <v>53</v>
      </c>
      <c r="I3587" t="s">
        <v>27</v>
      </c>
      <c r="J3587" s="4">
        <v>20</v>
      </c>
      <c r="K3587">
        <v>1</v>
      </c>
      <c r="L3587">
        <v>20</v>
      </c>
      <c r="M3587">
        <v>20</v>
      </c>
      <c r="N3587" s="5">
        <v>1.0164479763444834</v>
      </c>
      <c r="O3587" t="s">
        <v>101</v>
      </c>
      <c r="P3587" t="s">
        <v>340</v>
      </c>
      <c r="Q3587" s="10" t="s">
        <v>24</v>
      </c>
    </row>
    <row r="3588" spans="1:18" hidden="1" x14ac:dyDescent="0.25">
      <c r="A3588" s="10" t="s">
        <v>1475</v>
      </c>
      <c r="B3588" s="3" t="s">
        <v>1013</v>
      </c>
      <c r="C3588" s="10">
        <v>23</v>
      </c>
      <c r="D3588" s="10">
        <v>3</v>
      </c>
      <c r="E3588" s="10">
        <v>19</v>
      </c>
      <c r="F3588" t="s">
        <v>174</v>
      </c>
      <c r="G3588" t="s">
        <v>889</v>
      </c>
      <c r="H3588" t="s">
        <v>54</v>
      </c>
      <c r="I3588" t="s">
        <v>27</v>
      </c>
      <c r="J3588" s="4">
        <v>13</v>
      </c>
      <c r="K3588">
        <v>1.004</v>
      </c>
      <c r="L3588">
        <v>13</v>
      </c>
      <c r="M3588">
        <v>13.052</v>
      </c>
      <c r="N3588" s="5">
        <v>0.66153066396350735</v>
      </c>
      <c r="O3588" t="s">
        <v>101</v>
      </c>
      <c r="P3588" t="s">
        <v>340</v>
      </c>
      <c r="Q3588" s="10" t="s">
        <v>24</v>
      </c>
    </row>
    <row r="3589" spans="1:18" hidden="1" x14ac:dyDescent="0.25">
      <c r="A3589" s="10" t="s">
        <v>1475</v>
      </c>
      <c r="B3589" s="3" t="s">
        <v>1013</v>
      </c>
      <c r="C3589" s="10">
        <v>23</v>
      </c>
      <c r="D3589" s="10">
        <v>3</v>
      </c>
      <c r="E3589" s="10">
        <v>19</v>
      </c>
      <c r="F3589" t="s">
        <v>770</v>
      </c>
      <c r="G3589" t="s">
        <v>31</v>
      </c>
      <c r="H3589" t="s">
        <v>26</v>
      </c>
      <c r="I3589" t="s">
        <v>27</v>
      </c>
      <c r="J3589" s="4">
        <v>7.75</v>
      </c>
      <c r="K3589">
        <v>2</v>
      </c>
      <c r="L3589">
        <v>7.75</v>
      </c>
      <c r="M3589">
        <v>15.5</v>
      </c>
      <c r="N3589" s="5">
        <v>0.7856056766345666</v>
      </c>
      <c r="O3589" t="s">
        <v>101</v>
      </c>
      <c r="P3589" t="s">
        <v>340</v>
      </c>
      <c r="Q3589" s="10" t="s">
        <v>24</v>
      </c>
    </row>
    <row r="3590" spans="1:18" hidden="1" x14ac:dyDescent="0.25">
      <c r="A3590" s="10" t="s">
        <v>1475</v>
      </c>
      <c r="B3590" s="3" t="s">
        <v>1013</v>
      </c>
      <c r="C3590" s="10">
        <v>23</v>
      </c>
      <c r="D3590" s="10">
        <v>3</v>
      </c>
      <c r="E3590" s="10">
        <v>19</v>
      </c>
      <c r="F3590" t="s">
        <v>981</v>
      </c>
      <c r="G3590" t="s">
        <v>31</v>
      </c>
      <c r="H3590" t="s">
        <v>26</v>
      </c>
      <c r="I3590" t="s">
        <v>27</v>
      </c>
      <c r="J3590" s="4">
        <v>9.5</v>
      </c>
      <c r="K3590">
        <v>1</v>
      </c>
      <c r="L3590">
        <v>9.5</v>
      </c>
      <c r="M3590">
        <v>9.5</v>
      </c>
      <c r="N3590" s="5">
        <v>0.48150025342118602</v>
      </c>
      <c r="O3590" t="s">
        <v>101</v>
      </c>
      <c r="P3590" t="s">
        <v>340</v>
      </c>
      <c r="Q3590" s="10" t="s">
        <v>24</v>
      </c>
    </row>
    <row r="3591" spans="1:18" hidden="1" x14ac:dyDescent="0.25">
      <c r="A3591" s="10" t="s">
        <v>1475</v>
      </c>
      <c r="B3591" s="3" t="s">
        <v>1013</v>
      </c>
      <c r="C3591" s="10">
        <v>23</v>
      </c>
      <c r="D3591" s="10">
        <v>3</v>
      </c>
      <c r="E3591" s="10">
        <v>19</v>
      </c>
      <c r="F3591" t="s">
        <v>55</v>
      </c>
      <c r="H3591" t="s">
        <v>56</v>
      </c>
      <c r="I3591" t="s">
        <v>27</v>
      </c>
      <c r="J3591" s="4">
        <v>38</v>
      </c>
      <c r="K3591">
        <v>1.1439999999999999</v>
      </c>
      <c r="L3591">
        <v>38</v>
      </c>
      <c r="M3591">
        <v>43.471999999999994</v>
      </c>
      <c r="N3591" s="5">
        <v>2.2033451596553468</v>
      </c>
      <c r="O3591" t="s">
        <v>101</v>
      </c>
      <c r="P3591" t="s">
        <v>340</v>
      </c>
      <c r="Q3591" s="10" t="s">
        <v>24</v>
      </c>
    </row>
    <row r="3592" spans="1:18" hidden="1" x14ac:dyDescent="0.25">
      <c r="A3592" s="10" t="s">
        <v>1475</v>
      </c>
      <c r="B3592" s="3" t="s">
        <v>1013</v>
      </c>
      <c r="C3592" s="10">
        <v>23</v>
      </c>
      <c r="D3592" s="10">
        <v>3</v>
      </c>
      <c r="E3592" s="10">
        <v>19</v>
      </c>
      <c r="F3592" t="s">
        <v>958</v>
      </c>
      <c r="H3592" t="s">
        <v>53</v>
      </c>
      <c r="I3592" t="s">
        <v>27</v>
      </c>
      <c r="J3592" s="4">
        <v>34</v>
      </c>
      <c r="K3592">
        <v>1</v>
      </c>
      <c r="L3592">
        <v>34</v>
      </c>
      <c r="M3592">
        <v>34</v>
      </c>
      <c r="N3592" s="5">
        <v>1.7232640648758235</v>
      </c>
      <c r="O3592" t="s">
        <v>101</v>
      </c>
      <c r="P3592" t="s">
        <v>340</v>
      </c>
      <c r="Q3592" s="10" t="s">
        <v>24</v>
      </c>
    </row>
    <row r="3593" spans="1:18" hidden="1" x14ac:dyDescent="0.25">
      <c r="A3593" s="10" t="s">
        <v>1475</v>
      </c>
      <c r="B3593" s="3" t="s">
        <v>1025</v>
      </c>
      <c r="C3593" s="10">
        <v>24</v>
      </c>
      <c r="D3593" s="10">
        <v>3</v>
      </c>
      <c r="E3593" s="10">
        <v>19</v>
      </c>
      <c r="F3593" t="s">
        <v>184</v>
      </c>
      <c r="G3593" t="s">
        <v>304</v>
      </c>
      <c r="H3593" t="s">
        <v>184</v>
      </c>
      <c r="I3593" t="s">
        <v>79</v>
      </c>
      <c r="J3593" s="4">
        <v>130</v>
      </c>
      <c r="K3593">
        <v>1</v>
      </c>
      <c r="L3593">
        <v>130</v>
      </c>
      <c r="M3593">
        <v>130</v>
      </c>
      <c r="N3593" s="5">
        <v>6.5889508362899134</v>
      </c>
      <c r="O3593" t="s">
        <v>39</v>
      </c>
      <c r="P3593" t="s">
        <v>340</v>
      </c>
      <c r="Q3593" s="10" t="s">
        <v>24</v>
      </c>
    </row>
    <row r="3594" spans="1:18" hidden="1" x14ac:dyDescent="0.25">
      <c r="A3594" s="10" t="s">
        <v>1475</v>
      </c>
      <c r="B3594" s="3" t="s">
        <v>1025</v>
      </c>
      <c r="C3594" s="10">
        <v>24</v>
      </c>
      <c r="D3594" s="10">
        <v>3</v>
      </c>
      <c r="E3594" s="10">
        <v>19</v>
      </c>
      <c r="F3594" t="s">
        <v>142</v>
      </c>
      <c r="G3594" t="s">
        <v>889</v>
      </c>
      <c r="H3594" t="s">
        <v>39</v>
      </c>
      <c r="I3594" t="s">
        <v>27</v>
      </c>
      <c r="J3594" s="4">
        <v>60</v>
      </c>
      <c r="K3594">
        <v>1</v>
      </c>
      <c r="L3594">
        <v>60</v>
      </c>
      <c r="M3594">
        <v>60</v>
      </c>
      <c r="N3594" s="5">
        <v>3.0410542321338063</v>
      </c>
      <c r="O3594" t="s">
        <v>1472</v>
      </c>
      <c r="P3594" t="s">
        <v>340</v>
      </c>
      <c r="Q3594" s="10" t="s">
        <v>24</v>
      </c>
      <c r="R3594" t="s">
        <v>1024</v>
      </c>
    </row>
    <row r="3595" spans="1:18" hidden="1" x14ac:dyDescent="0.25">
      <c r="A3595" s="10" t="s">
        <v>1475</v>
      </c>
      <c r="B3595" s="3" t="s">
        <v>1025</v>
      </c>
      <c r="C3595" s="10">
        <v>24</v>
      </c>
      <c r="D3595" s="10">
        <v>3</v>
      </c>
      <c r="E3595" s="10">
        <v>19</v>
      </c>
      <c r="F3595" t="s">
        <v>1186</v>
      </c>
      <c r="H3595" t="s">
        <v>62</v>
      </c>
      <c r="I3595" t="s">
        <v>27</v>
      </c>
      <c r="J3595" s="4">
        <v>4.49</v>
      </c>
      <c r="K3595">
        <v>1</v>
      </c>
      <c r="L3595">
        <v>4.49</v>
      </c>
      <c r="M3595">
        <v>4.49</v>
      </c>
      <c r="N3595" s="5">
        <v>0.22757222503801319</v>
      </c>
      <c r="O3595" t="s">
        <v>457</v>
      </c>
      <c r="P3595" t="s">
        <v>340</v>
      </c>
      <c r="Q3595" s="10" t="s">
        <v>24</v>
      </c>
    </row>
    <row r="3596" spans="1:18" hidden="1" x14ac:dyDescent="0.25">
      <c r="A3596" s="10" t="s">
        <v>1475</v>
      </c>
      <c r="B3596" s="3" t="s">
        <v>1025</v>
      </c>
      <c r="C3596" s="10">
        <v>24</v>
      </c>
      <c r="D3596" s="10">
        <v>3</v>
      </c>
      <c r="E3596" s="10">
        <v>19</v>
      </c>
      <c r="F3596" t="s">
        <v>207</v>
      </c>
      <c r="G3596" t="s">
        <v>889</v>
      </c>
      <c r="H3596" t="s">
        <v>56</v>
      </c>
      <c r="I3596" t="s">
        <v>27</v>
      </c>
      <c r="J3596" s="4">
        <v>23.99</v>
      </c>
      <c r="K3596">
        <v>0.49399999999999999</v>
      </c>
      <c r="L3596">
        <v>23.99</v>
      </c>
      <c r="M3596">
        <v>11.851059999999999</v>
      </c>
      <c r="N3596" s="5">
        <v>0.60066193613786101</v>
      </c>
      <c r="O3596" t="s">
        <v>457</v>
      </c>
      <c r="P3596" t="s">
        <v>340</v>
      </c>
      <c r="Q3596" s="10" t="s">
        <v>24</v>
      </c>
    </row>
    <row r="3597" spans="1:18" hidden="1" x14ac:dyDescent="0.25">
      <c r="A3597" s="10" t="s">
        <v>1475</v>
      </c>
      <c r="B3597" s="3" t="s">
        <v>1025</v>
      </c>
      <c r="C3597" s="10">
        <v>24</v>
      </c>
      <c r="D3597" s="10">
        <v>3</v>
      </c>
      <c r="E3597" s="10">
        <v>19</v>
      </c>
      <c r="F3597" t="s">
        <v>48</v>
      </c>
      <c r="G3597" t="s">
        <v>889</v>
      </c>
      <c r="H3597" t="s">
        <v>49</v>
      </c>
      <c r="I3597" t="s">
        <v>50</v>
      </c>
      <c r="J3597" s="4">
        <v>23.49</v>
      </c>
      <c r="K3597">
        <v>1</v>
      </c>
      <c r="L3597">
        <v>23.49</v>
      </c>
      <c r="M3597">
        <v>23.49</v>
      </c>
      <c r="N3597" s="5">
        <v>1.1905727318803851</v>
      </c>
      <c r="O3597" t="s">
        <v>457</v>
      </c>
      <c r="P3597" t="s">
        <v>340</v>
      </c>
      <c r="Q3597" s="10" t="s">
        <v>24</v>
      </c>
    </row>
    <row r="3598" spans="1:18" hidden="1" x14ac:dyDescent="0.25">
      <c r="A3598" s="10" t="s">
        <v>1475</v>
      </c>
      <c r="B3598" s="3" t="s">
        <v>1015</v>
      </c>
      <c r="C3598" s="10">
        <v>25</v>
      </c>
      <c r="D3598" s="10">
        <v>3</v>
      </c>
      <c r="E3598" s="10">
        <v>19</v>
      </c>
      <c r="F3598" t="s">
        <v>770</v>
      </c>
      <c r="G3598" t="s">
        <v>31</v>
      </c>
      <c r="H3598" t="s">
        <v>26</v>
      </c>
      <c r="I3598" t="s">
        <v>27</v>
      </c>
      <c r="J3598" s="4">
        <v>7.75</v>
      </c>
      <c r="K3598">
        <v>3</v>
      </c>
      <c r="L3598">
        <v>7.75</v>
      </c>
      <c r="M3598">
        <v>23.25</v>
      </c>
      <c r="N3598" s="5">
        <v>1.17840851495185</v>
      </c>
      <c r="O3598" t="s">
        <v>101</v>
      </c>
      <c r="P3598" t="s">
        <v>340</v>
      </c>
      <c r="Q3598" s="10" t="s">
        <v>24</v>
      </c>
    </row>
    <row r="3599" spans="1:18" hidden="1" x14ac:dyDescent="0.25">
      <c r="A3599" s="10" t="s">
        <v>1475</v>
      </c>
      <c r="B3599" s="3" t="s">
        <v>1014</v>
      </c>
      <c r="C3599" s="10">
        <v>26</v>
      </c>
      <c r="D3599" s="10">
        <v>3</v>
      </c>
      <c r="E3599" s="10">
        <v>19</v>
      </c>
      <c r="F3599" t="s">
        <v>770</v>
      </c>
      <c r="G3599" t="s">
        <v>31</v>
      </c>
      <c r="H3599" t="s">
        <v>26</v>
      </c>
      <c r="I3599" t="s">
        <v>27</v>
      </c>
      <c r="J3599" s="4">
        <v>7.8</v>
      </c>
      <c r="K3599">
        <v>2</v>
      </c>
      <c r="L3599">
        <v>7.8</v>
      </c>
      <c r="M3599">
        <v>15.6</v>
      </c>
      <c r="N3599" s="5">
        <v>0.79067410035478958</v>
      </c>
      <c r="O3599" t="s">
        <v>101</v>
      </c>
      <c r="P3599" t="s">
        <v>340</v>
      </c>
      <c r="Q3599" s="10" t="s">
        <v>24</v>
      </c>
    </row>
    <row r="3600" spans="1:18" hidden="1" x14ac:dyDescent="0.25">
      <c r="A3600" s="10" t="s">
        <v>1475</v>
      </c>
      <c r="B3600" s="3" t="s">
        <v>1023</v>
      </c>
      <c r="C3600" s="10">
        <v>27</v>
      </c>
      <c r="D3600" s="10">
        <v>3</v>
      </c>
      <c r="E3600" s="10">
        <v>19</v>
      </c>
      <c r="F3600" t="s">
        <v>121</v>
      </c>
      <c r="G3600" t="s">
        <v>889</v>
      </c>
      <c r="H3600" t="s">
        <v>54</v>
      </c>
      <c r="I3600" t="s">
        <v>27</v>
      </c>
      <c r="J3600" s="4">
        <v>22.86</v>
      </c>
      <c r="K3600">
        <v>1.21</v>
      </c>
      <c r="L3600">
        <v>22.86</v>
      </c>
      <c r="M3600">
        <v>27.660599999999999</v>
      </c>
      <c r="N3600" s="5">
        <v>1.4019564115560059</v>
      </c>
      <c r="O3600" t="s">
        <v>1472</v>
      </c>
      <c r="P3600" t="s">
        <v>340</v>
      </c>
      <c r="Q3600" s="10" t="s">
        <v>24</v>
      </c>
    </row>
    <row r="3601" spans="1:17" hidden="1" x14ac:dyDescent="0.25">
      <c r="A3601" s="10" t="s">
        <v>1475</v>
      </c>
      <c r="B3601" s="3" t="s">
        <v>1023</v>
      </c>
      <c r="C3601" s="10">
        <v>27</v>
      </c>
      <c r="D3601" s="10">
        <v>3</v>
      </c>
      <c r="E3601" s="10">
        <v>19</v>
      </c>
      <c r="F3601" t="s">
        <v>1021</v>
      </c>
      <c r="G3601" t="s">
        <v>889</v>
      </c>
      <c r="H3601" t="s">
        <v>54</v>
      </c>
      <c r="I3601" t="s">
        <v>27</v>
      </c>
      <c r="J3601" s="4">
        <v>41.25</v>
      </c>
      <c r="K3601">
        <v>0.61799999999999999</v>
      </c>
      <c r="L3601">
        <v>41.25</v>
      </c>
      <c r="M3601">
        <v>25.4925</v>
      </c>
      <c r="N3601" s="5">
        <v>1.2920679168778511</v>
      </c>
      <c r="O3601" t="s">
        <v>1472</v>
      </c>
      <c r="P3601" t="s">
        <v>340</v>
      </c>
      <c r="Q3601" s="10" t="s">
        <v>24</v>
      </c>
    </row>
    <row r="3602" spans="1:17" hidden="1" x14ac:dyDescent="0.25">
      <c r="A3602" s="10" t="s">
        <v>1475</v>
      </c>
      <c r="B3602" s="3" t="s">
        <v>1023</v>
      </c>
      <c r="C3602" s="10">
        <v>27</v>
      </c>
      <c r="D3602" s="10">
        <v>3</v>
      </c>
      <c r="E3602" s="10">
        <v>19</v>
      </c>
      <c r="F3602" t="s">
        <v>708</v>
      </c>
      <c r="G3602" t="s">
        <v>708</v>
      </c>
      <c r="H3602" t="s">
        <v>131</v>
      </c>
      <c r="I3602" t="s">
        <v>27</v>
      </c>
      <c r="J3602" s="4">
        <v>95</v>
      </c>
      <c r="K3602">
        <v>1</v>
      </c>
      <c r="L3602">
        <v>95</v>
      </c>
      <c r="M3602">
        <v>95</v>
      </c>
      <c r="N3602" s="5">
        <v>4.8150025342118603</v>
      </c>
      <c r="O3602" t="s">
        <v>1472</v>
      </c>
      <c r="P3602" t="s">
        <v>340</v>
      </c>
      <c r="Q3602" s="10" t="s">
        <v>84</v>
      </c>
    </row>
    <row r="3603" spans="1:17" hidden="1" x14ac:dyDescent="0.25">
      <c r="A3603" s="10" t="s">
        <v>1475</v>
      </c>
      <c r="B3603" s="3" t="s">
        <v>1023</v>
      </c>
      <c r="C3603" s="10">
        <v>27</v>
      </c>
      <c r="D3603" s="10">
        <v>3</v>
      </c>
      <c r="E3603" s="10">
        <v>19</v>
      </c>
      <c r="F3603" t="s">
        <v>1022</v>
      </c>
      <c r="G3603" t="s">
        <v>25</v>
      </c>
      <c r="H3603" t="s">
        <v>26</v>
      </c>
      <c r="I3603" t="s">
        <v>27</v>
      </c>
      <c r="J3603" s="4">
        <v>34.9</v>
      </c>
      <c r="K3603">
        <v>1</v>
      </c>
      <c r="L3603">
        <v>34.9</v>
      </c>
      <c r="M3603">
        <v>34.9</v>
      </c>
      <c r="N3603" s="5">
        <v>1.7688798783578306</v>
      </c>
      <c r="O3603" t="s">
        <v>1472</v>
      </c>
      <c r="P3603" t="s">
        <v>340</v>
      </c>
      <c r="Q3603" s="10" t="s">
        <v>24</v>
      </c>
    </row>
    <row r="3604" spans="1:17" hidden="1" x14ac:dyDescent="0.25">
      <c r="A3604" s="10" t="s">
        <v>1475</v>
      </c>
      <c r="B3604" s="3" t="s">
        <v>1023</v>
      </c>
      <c r="C3604" s="10">
        <v>27</v>
      </c>
      <c r="D3604" s="10">
        <v>3</v>
      </c>
      <c r="E3604" s="10">
        <v>19</v>
      </c>
      <c r="F3604" t="s">
        <v>55</v>
      </c>
      <c r="G3604" t="s">
        <v>889</v>
      </c>
      <c r="H3604" t="s">
        <v>56</v>
      </c>
      <c r="I3604" t="s">
        <v>27</v>
      </c>
      <c r="J3604" s="4">
        <v>28.85</v>
      </c>
      <c r="K3604">
        <v>1.3380000000000001</v>
      </c>
      <c r="L3604">
        <v>28.85</v>
      </c>
      <c r="M3604">
        <v>38.601300000000002</v>
      </c>
      <c r="N3604" s="5">
        <v>1.9564774455144451</v>
      </c>
      <c r="O3604" t="s">
        <v>1472</v>
      </c>
      <c r="P3604" t="s">
        <v>340</v>
      </c>
      <c r="Q3604" s="10" t="s">
        <v>24</v>
      </c>
    </row>
    <row r="3605" spans="1:17" hidden="1" x14ac:dyDescent="0.25">
      <c r="A3605" s="10" t="s">
        <v>1475</v>
      </c>
      <c r="B3605" s="3" t="s">
        <v>1023</v>
      </c>
      <c r="C3605" s="10">
        <v>27</v>
      </c>
      <c r="D3605" s="10">
        <v>3</v>
      </c>
      <c r="E3605" s="10">
        <v>19</v>
      </c>
      <c r="F3605" t="s">
        <v>575</v>
      </c>
      <c r="G3605" t="s">
        <v>31</v>
      </c>
      <c r="H3605" t="s">
        <v>26</v>
      </c>
      <c r="I3605" t="s">
        <v>27</v>
      </c>
      <c r="J3605" s="4">
        <v>11.95</v>
      </c>
      <c r="K3605">
        <v>1</v>
      </c>
      <c r="L3605">
        <v>11.95</v>
      </c>
      <c r="M3605">
        <v>11.95</v>
      </c>
      <c r="N3605" s="5">
        <v>0.60567663456664977</v>
      </c>
      <c r="O3605" t="s">
        <v>1472</v>
      </c>
      <c r="P3605" t="s">
        <v>340</v>
      </c>
      <c r="Q3605" s="10" t="s">
        <v>24</v>
      </c>
    </row>
    <row r="3606" spans="1:17" hidden="1" x14ac:dyDescent="0.25">
      <c r="A3606" s="10" t="s">
        <v>1475</v>
      </c>
      <c r="B3606" s="3" t="s">
        <v>1020</v>
      </c>
      <c r="C3606" s="10">
        <v>28</v>
      </c>
      <c r="D3606" s="10">
        <v>3</v>
      </c>
      <c r="E3606" s="10">
        <v>19</v>
      </c>
      <c r="F3606" t="s">
        <v>275</v>
      </c>
      <c r="G3606" t="s">
        <v>889</v>
      </c>
      <c r="H3606" t="s">
        <v>332</v>
      </c>
      <c r="I3606" t="s">
        <v>27</v>
      </c>
      <c r="J3606" s="4">
        <v>4.5</v>
      </c>
      <c r="K3606">
        <v>1</v>
      </c>
      <c r="L3606">
        <v>4.5</v>
      </c>
      <c r="M3606">
        <v>4.5</v>
      </c>
      <c r="N3606" s="5">
        <v>0.22807906741003547</v>
      </c>
      <c r="O3606" t="s">
        <v>1472</v>
      </c>
      <c r="P3606" t="s">
        <v>340</v>
      </c>
      <c r="Q3606" s="10" t="s">
        <v>24</v>
      </c>
    </row>
    <row r="3607" spans="1:17" hidden="1" x14ac:dyDescent="0.25">
      <c r="A3607" s="10" t="s">
        <v>1475</v>
      </c>
      <c r="B3607" s="3" t="s">
        <v>1020</v>
      </c>
      <c r="C3607" s="10">
        <v>28</v>
      </c>
      <c r="D3607" s="10">
        <v>3</v>
      </c>
      <c r="E3607" s="10">
        <v>19</v>
      </c>
      <c r="F3607" t="s">
        <v>384</v>
      </c>
      <c r="G3607" t="s">
        <v>75</v>
      </c>
      <c r="H3607" t="s">
        <v>65</v>
      </c>
      <c r="I3607" t="s">
        <v>27</v>
      </c>
      <c r="J3607" s="4">
        <v>17.600000000000001</v>
      </c>
      <c r="K3607">
        <v>1</v>
      </c>
      <c r="L3607">
        <v>17.600000000000001</v>
      </c>
      <c r="M3607">
        <v>17.600000000000001</v>
      </c>
      <c r="N3607" s="5">
        <v>0.89204257475924997</v>
      </c>
      <c r="O3607" t="s">
        <v>1472</v>
      </c>
      <c r="P3607" t="s">
        <v>340</v>
      </c>
      <c r="Q3607" s="10" t="s">
        <v>24</v>
      </c>
    </row>
    <row r="3608" spans="1:17" hidden="1" x14ac:dyDescent="0.25">
      <c r="A3608" s="10" t="s">
        <v>1475</v>
      </c>
      <c r="B3608" s="3" t="s">
        <v>1020</v>
      </c>
      <c r="C3608" s="10">
        <v>28</v>
      </c>
      <c r="D3608" s="10">
        <v>3</v>
      </c>
      <c r="E3608" s="10">
        <v>19</v>
      </c>
      <c r="F3608" t="s">
        <v>708</v>
      </c>
      <c r="G3608" t="s">
        <v>708</v>
      </c>
      <c r="H3608" t="s">
        <v>131</v>
      </c>
      <c r="I3608" t="s">
        <v>27</v>
      </c>
      <c r="J3608" s="4">
        <v>95</v>
      </c>
      <c r="K3608">
        <v>1</v>
      </c>
      <c r="L3608">
        <v>95</v>
      </c>
      <c r="M3608">
        <v>95</v>
      </c>
      <c r="N3608" s="5">
        <v>4.8150025342118603</v>
      </c>
      <c r="O3608" t="s">
        <v>1472</v>
      </c>
      <c r="P3608" t="s">
        <v>340</v>
      </c>
      <c r="Q3608" s="10" t="s">
        <v>84</v>
      </c>
    </row>
    <row r="3609" spans="1:17" hidden="1" x14ac:dyDescent="0.25">
      <c r="A3609" s="10" t="s">
        <v>1475</v>
      </c>
      <c r="B3609" s="3" t="s">
        <v>1020</v>
      </c>
      <c r="C3609" s="10">
        <v>28</v>
      </c>
      <c r="D3609" s="10">
        <v>3</v>
      </c>
      <c r="E3609" s="10">
        <v>19</v>
      </c>
      <c r="F3609" t="s">
        <v>770</v>
      </c>
      <c r="G3609" t="s">
        <v>31</v>
      </c>
      <c r="H3609" t="s">
        <v>26</v>
      </c>
      <c r="I3609" t="s">
        <v>27</v>
      </c>
      <c r="J3609" s="4">
        <v>7.65</v>
      </c>
      <c r="K3609">
        <v>2</v>
      </c>
      <c r="L3609">
        <v>7.65</v>
      </c>
      <c r="M3609">
        <v>15.3</v>
      </c>
      <c r="N3609" s="5">
        <v>0.77546882919412063</v>
      </c>
      <c r="O3609" t="s">
        <v>1472</v>
      </c>
      <c r="P3609" t="s">
        <v>340</v>
      </c>
      <c r="Q3609" s="10" t="s">
        <v>24</v>
      </c>
    </row>
    <row r="3610" spans="1:17" hidden="1" x14ac:dyDescent="0.25">
      <c r="A3610" s="9" t="s">
        <v>1475</v>
      </c>
      <c r="B3610" s="3" t="s">
        <v>1886</v>
      </c>
      <c r="C3610" s="10">
        <v>29</v>
      </c>
      <c r="D3610" s="10">
        <v>3</v>
      </c>
      <c r="E3610" s="10">
        <v>19</v>
      </c>
      <c r="F3610" t="s">
        <v>958</v>
      </c>
      <c r="G3610" t="s">
        <v>889</v>
      </c>
      <c r="H3610" t="s">
        <v>53</v>
      </c>
      <c r="I3610" t="s">
        <v>27</v>
      </c>
      <c r="J3610" s="4">
        <v>34</v>
      </c>
      <c r="K3610">
        <v>1</v>
      </c>
      <c r="L3610">
        <v>34</v>
      </c>
      <c r="M3610">
        <v>34</v>
      </c>
      <c r="N3610" s="5">
        <v>1.7279615597856217</v>
      </c>
      <c r="O3610" t="s">
        <v>101</v>
      </c>
      <c r="P3610" t="s">
        <v>340</v>
      </c>
      <c r="Q3610" s="10" t="s">
        <v>24</v>
      </c>
    </row>
    <row r="3611" spans="1:17" hidden="1" x14ac:dyDescent="0.25">
      <c r="A3611" s="9" t="s">
        <v>1475</v>
      </c>
      <c r="B3611" s="3" t="s">
        <v>1886</v>
      </c>
      <c r="C3611" s="10">
        <v>29</v>
      </c>
      <c r="D3611" s="10">
        <v>3</v>
      </c>
      <c r="E3611" s="10">
        <v>19</v>
      </c>
      <c r="F3611" t="s">
        <v>770</v>
      </c>
      <c r="G3611" t="s">
        <v>31</v>
      </c>
      <c r="H3611" t="s">
        <v>26</v>
      </c>
      <c r="I3611" t="s">
        <v>27</v>
      </c>
      <c r="J3611" s="4">
        <v>7.75</v>
      </c>
      <c r="K3611">
        <v>3</v>
      </c>
      <c r="L3611">
        <v>7.75</v>
      </c>
      <c r="M3611">
        <v>23.25</v>
      </c>
      <c r="N3611" s="5">
        <v>1.1816207725004619</v>
      </c>
      <c r="O3611" t="s">
        <v>101</v>
      </c>
      <c r="P3611" t="s">
        <v>340</v>
      </c>
      <c r="Q3611" s="10" t="s">
        <v>24</v>
      </c>
    </row>
    <row r="3612" spans="1:17" hidden="1" x14ac:dyDescent="0.25">
      <c r="A3612" s="9" t="s">
        <v>1475</v>
      </c>
      <c r="B3612" s="3" t="s">
        <v>1886</v>
      </c>
      <c r="C3612" s="10">
        <v>29</v>
      </c>
      <c r="D3612" s="10">
        <v>3</v>
      </c>
      <c r="E3612" s="10">
        <v>19</v>
      </c>
      <c r="F3612" t="s">
        <v>974</v>
      </c>
      <c r="G3612" t="s">
        <v>25</v>
      </c>
      <c r="H3612" t="s">
        <v>26</v>
      </c>
      <c r="I3612" t="s">
        <v>27</v>
      </c>
      <c r="J3612" s="4">
        <v>212.5</v>
      </c>
      <c r="K3612">
        <v>0.31</v>
      </c>
      <c r="L3612">
        <v>212.5</v>
      </c>
      <c r="M3612">
        <v>65.875</v>
      </c>
      <c r="N3612" s="5">
        <v>3.3479255220846418</v>
      </c>
      <c r="O3612" t="s">
        <v>100</v>
      </c>
      <c r="P3612" t="s">
        <v>340</v>
      </c>
      <c r="Q3612" s="10" t="s">
        <v>24</v>
      </c>
    </row>
    <row r="3613" spans="1:17" hidden="1" x14ac:dyDescent="0.25">
      <c r="A3613" s="9" t="s">
        <v>1475</v>
      </c>
      <c r="B3613" s="3" t="s">
        <v>1886</v>
      </c>
      <c r="C3613" s="10">
        <v>29</v>
      </c>
      <c r="D3613" s="10">
        <v>3</v>
      </c>
      <c r="E3613" s="10">
        <v>19</v>
      </c>
      <c r="F3613" t="s">
        <v>1185</v>
      </c>
      <c r="G3613" t="s">
        <v>889</v>
      </c>
      <c r="H3613" t="s">
        <v>73</v>
      </c>
      <c r="I3613" t="s">
        <v>27</v>
      </c>
      <c r="J3613" s="4">
        <v>25.5</v>
      </c>
      <c r="K3613">
        <v>1</v>
      </c>
      <c r="L3613">
        <v>25.5</v>
      </c>
      <c r="M3613">
        <v>25.5</v>
      </c>
      <c r="N3613" s="5">
        <v>1.2959711698392162</v>
      </c>
      <c r="O3613" t="s">
        <v>100</v>
      </c>
      <c r="P3613" t="s">
        <v>340</v>
      </c>
      <c r="Q3613" s="10" t="s">
        <v>24</v>
      </c>
    </row>
    <row r="3614" spans="1:17" hidden="1" x14ac:dyDescent="0.25">
      <c r="A3614" s="9" t="s">
        <v>1475</v>
      </c>
      <c r="B3614" s="3" t="s">
        <v>1886</v>
      </c>
      <c r="C3614" s="10">
        <v>29</v>
      </c>
      <c r="D3614" s="10">
        <v>3</v>
      </c>
      <c r="E3614" s="10">
        <v>19</v>
      </c>
      <c r="F3614" t="s">
        <v>99</v>
      </c>
      <c r="G3614" t="s">
        <v>889</v>
      </c>
      <c r="H3614" t="s">
        <v>40</v>
      </c>
      <c r="I3614" t="s">
        <v>27</v>
      </c>
      <c r="J3614" s="4">
        <v>10</v>
      </c>
      <c r="K3614">
        <v>1</v>
      </c>
      <c r="L3614">
        <v>10</v>
      </c>
      <c r="M3614">
        <v>10</v>
      </c>
      <c r="N3614" s="5">
        <v>0.50822398817224168</v>
      </c>
      <c r="O3614" t="s">
        <v>100</v>
      </c>
      <c r="P3614" t="s">
        <v>340</v>
      </c>
      <c r="Q3614" s="10" t="s">
        <v>24</v>
      </c>
    </row>
    <row r="3615" spans="1:17" hidden="1" x14ac:dyDescent="0.25">
      <c r="A3615" s="9" t="s">
        <v>1475</v>
      </c>
      <c r="B3615" s="3" t="s">
        <v>1886</v>
      </c>
      <c r="C3615" s="10">
        <v>29</v>
      </c>
      <c r="D3615" s="10">
        <v>3</v>
      </c>
      <c r="E3615" s="10">
        <v>19</v>
      </c>
      <c r="F3615" t="s">
        <v>212</v>
      </c>
      <c r="G3615" t="s">
        <v>889</v>
      </c>
      <c r="H3615" t="s">
        <v>54</v>
      </c>
      <c r="I3615" t="s">
        <v>27</v>
      </c>
      <c r="J3615" s="4">
        <v>21.7</v>
      </c>
      <c r="K3615">
        <v>1</v>
      </c>
      <c r="L3615">
        <v>21.7</v>
      </c>
      <c r="M3615">
        <v>21.7</v>
      </c>
      <c r="N3615" s="5">
        <v>1.1028460543337644</v>
      </c>
      <c r="O3615" t="s">
        <v>181</v>
      </c>
      <c r="P3615" t="s">
        <v>340</v>
      </c>
      <c r="Q3615" s="10" t="s">
        <v>24</v>
      </c>
    </row>
    <row r="3616" spans="1:17" hidden="1" x14ac:dyDescent="0.25">
      <c r="A3616" s="9" t="s">
        <v>1475</v>
      </c>
      <c r="B3616" s="3" t="s">
        <v>1886</v>
      </c>
      <c r="C3616" s="10">
        <v>29</v>
      </c>
      <c r="D3616" s="10">
        <v>3</v>
      </c>
      <c r="E3616" s="10">
        <v>19</v>
      </c>
      <c r="F3616" t="s">
        <v>202</v>
      </c>
      <c r="G3616" t="s">
        <v>889</v>
      </c>
      <c r="H3616" t="s">
        <v>54</v>
      </c>
      <c r="I3616" t="s">
        <v>27</v>
      </c>
      <c r="J3616" s="4">
        <v>74.900000000000006</v>
      </c>
      <c r="K3616">
        <v>0.246</v>
      </c>
      <c r="L3616">
        <v>74.900000000000006</v>
      </c>
      <c r="M3616">
        <v>18.4254</v>
      </c>
      <c r="N3616" s="5">
        <v>0.93642302716688208</v>
      </c>
      <c r="O3616" t="s">
        <v>181</v>
      </c>
      <c r="P3616" t="s">
        <v>340</v>
      </c>
      <c r="Q3616" s="10" t="s">
        <v>24</v>
      </c>
    </row>
    <row r="3617" spans="1:18" hidden="1" x14ac:dyDescent="0.25">
      <c r="A3617" s="9" t="s">
        <v>1475</v>
      </c>
      <c r="B3617" s="3" t="s">
        <v>1886</v>
      </c>
      <c r="C3617" s="10">
        <v>29</v>
      </c>
      <c r="D3617" s="10">
        <v>3</v>
      </c>
      <c r="E3617" s="10">
        <v>19</v>
      </c>
      <c r="F3617" t="s">
        <v>25</v>
      </c>
      <c r="G3617" t="s">
        <v>25</v>
      </c>
      <c r="H3617" t="s">
        <v>26</v>
      </c>
      <c r="I3617" t="s">
        <v>27</v>
      </c>
      <c r="J3617" s="4">
        <v>45.1</v>
      </c>
      <c r="K3617">
        <v>1</v>
      </c>
      <c r="L3617">
        <v>45.1</v>
      </c>
      <c r="M3617">
        <v>45.1</v>
      </c>
      <c r="N3617" s="5">
        <v>2.29209018665681</v>
      </c>
      <c r="O3617" t="s">
        <v>181</v>
      </c>
      <c r="P3617" t="s">
        <v>340</v>
      </c>
      <c r="Q3617" s="10" t="s">
        <v>24</v>
      </c>
    </row>
    <row r="3618" spans="1:18" hidden="1" x14ac:dyDescent="0.25">
      <c r="A3618" s="9" t="s">
        <v>1475</v>
      </c>
      <c r="B3618" s="3" t="s">
        <v>1886</v>
      </c>
      <c r="C3618" s="10">
        <v>29</v>
      </c>
      <c r="D3618" s="10">
        <v>3</v>
      </c>
      <c r="E3618" s="10">
        <v>19</v>
      </c>
      <c r="F3618" t="s">
        <v>146</v>
      </c>
      <c r="G3618" t="s">
        <v>889</v>
      </c>
      <c r="H3618" t="s">
        <v>49</v>
      </c>
      <c r="I3618" t="s">
        <v>50</v>
      </c>
      <c r="J3618" s="4">
        <v>0.4</v>
      </c>
      <c r="K3618">
        <v>1</v>
      </c>
      <c r="L3618">
        <v>0.4</v>
      </c>
      <c r="M3618">
        <v>0.4</v>
      </c>
      <c r="N3618" s="5">
        <v>2.0328959526889668E-2</v>
      </c>
      <c r="O3618" t="s">
        <v>181</v>
      </c>
      <c r="P3618" t="s">
        <v>340</v>
      </c>
      <c r="Q3618" s="10" t="s">
        <v>24</v>
      </c>
    </row>
    <row r="3619" spans="1:18" hidden="1" x14ac:dyDescent="0.25">
      <c r="A3619" s="9" t="s">
        <v>1475</v>
      </c>
      <c r="B3619" s="3" t="s">
        <v>1886</v>
      </c>
      <c r="C3619" s="10">
        <v>29</v>
      </c>
      <c r="D3619" s="10">
        <v>3</v>
      </c>
      <c r="E3619" s="10">
        <v>19</v>
      </c>
      <c r="F3619" t="s">
        <v>124</v>
      </c>
      <c r="G3619" t="s">
        <v>404</v>
      </c>
      <c r="H3619" t="s">
        <v>54</v>
      </c>
      <c r="I3619" t="s">
        <v>27</v>
      </c>
      <c r="J3619" s="4">
        <v>43.4</v>
      </c>
      <c r="K3619">
        <v>0.86</v>
      </c>
      <c r="L3619">
        <v>43.4</v>
      </c>
      <c r="M3619">
        <v>37.323999999999998</v>
      </c>
      <c r="N3619" s="5">
        <v>1.8968952134540746</v>
      </c>
      <c r="O3619" t="s">
        <v>181</v>
      </c>
      <c r="P3619" t="s">
        <v>340</v>
      </c>
      <c r="Q3619" s="10" t="s">
        <v>24</v>
      </c>
    </row>
    <row r="3620" spans="1:18" hidden="1" x14ac:dyDescent="0.25">
      <c r="A3620" s="9" t="s">
        <v>1475</v>
      </c>
      <c r="B3620" s="3" t="s">
        <v>1886</v>
      </c>
      <c r="C3620" s="10">
        <v>29</v>
      </c>
      <c r="D3620" s="10">
        <v>3</v>
      </c>
      <c r="E3620" s="10">
        <v>19</v>
      </c>
      <c r="F3620" t="s">
        <v>204</v>
      </c>
      <c r="G3620" t="s">
        <v>889</v>
      </c>
      <c r="H3620" t="s">
        <v>54</v>
      </c>
      <c r="I3620" t="s">
        <v>27</v>
      </c>
      <c r="J3620" s="4">
        <v>82.4</v>
      </c>
      <c r="K3620">
        <v>0.14000000000000001</v>
      </c>
      <c r="L3620">
        <v>82.4</v>
      </c>
      <c r="M3620">
        <v>11.536000000000001</v>
      </c>
      <c r="N3620" s="5">
        <v>0.58628719275549801</v>
      </c>
      <c r="O3620" t="s">
        <v>181</v>
      </c>
      <c r="P3620" t="s">
        <v>340</v>
      </c>
      <c r="Q3620" s="10" t="s">
        <v>24</v>
      </c>
    </row>
    <row r="3621" spans="1:18" hidden="1" x14ac:dyDescent="0.25">
      <c r="A3621" s="9" t="s">
        <v>1475</v>
      </c>
      <c r="B3621" s="3" t="s">
        <v>1886</v>
      </c>
      <c r="C3621" s="10">
        <v>29</v>
      </c>
      <c r="D3621" s="10">
        <v>3</v>
      </c>
      <c r="E3621" s="10">
        <v>19</v>
      </c>
      <c r="F3621" t="s">
        <v>81</v>
      </c>
      <c r="G3621" t="s">
        <v>889</v>
      </c>
      <c r="H3621" t="s">
        <v>889</v>
      </c>
      <c r="I3621" t="s">
        <v>39</v>
      </c>
      <c r="J3621" s="4">
        <v>101.5</v>
      </c>
      <c r="K3621">
        <v>1</v>
      </c>
      <c r="L3621">
        <v>101.5</v>
      </c>
      <c r="M3621">
        <v>101.5</v>
      </c>
      <c r="N3621" s="5">
        <v>5.1584734799482526</v>
      </c>
      <c r="O3621" t="s">
        <v>84</v>
      </c>
      <c r="P3621" t="s">
        <v>340</v>
      </c>
      <c r="Q3621" s="10" t="s">
        <v>24</v>
      </c>
      <c r="R3621" t="s">
        <v>1973</v>
      </c>
    </row>
    <row r="3622" spans="1:18" hidden="1" x14ac:dyDescent="0.25">
      <c r="A3622" s="9" t="s">
        <v>1475</v>
      </c>
      <c r="B3622" s="3" t="s">
        <v>1886</v>
      </c>
      <c r="C3622" s="10">
        <v>29</v>
      </c>
      <c r="D3622" s="10">
        <v>3</v>
      </c>
      <c r="E3622" s="10">
        <v>19</v>
      </c>
      <c r="F3622" t="s">
        <v>432</v>
      </c>
      <c r="G3622" t="s">
        <v>889</v>
      </c>
      <c r="H3622" t="s">
        <v>889</v>
      </c>
      <c r="I3622" t="s">
        <v>431</v>
      </c>
      <c r="J3622" s="4">
        <v>85.5</v>
      </c>
      <c r="K3622">
        <v>3</v>
      </c>
      <c r="L3622">
        <v>85.5</v>
      </c>
      <c r="M3622">
        <v>256.5</v>
      </c>
      <c r="N3622" s="5">
        <v>13.035945296617998</v>
      </c>
      <c r="O3622" t="s">
        <v>849</v>
      </c>
      <c r="P3622" t="s">
        <v>340</v>
      </c>
      <c r="Q3622" s="10" t="s">
        <v>84</v>
      </c>
    </row>
    <row r="3623" spans="1:18" hidden="1" x14ac:dyDescent="0.25">
      <c r="A3623" s="9" t="s">
        <v>1475</v>
      </c>
      <c r="B3623" s="3" t="s">
        <v>1886</v>
      </c>
      <c r="C3623" s="10">
        <v>29</v>
      </c>
      <c r="D3623" s="10">
        <v>3</v>
      </c>
      <c r="E3623" s="10">
        <v>19</v>
      </c>
      <c r="F3623" t="s">
        <v>430</v>
      </c>
      <c r="G3623" t="s">
        <v>889</v>
      </c>
      <c r="H3623" t="s">
        <v>889</v>
      </c>
      <c r="I3623" t="s">
        <v>431</v>
      </c>
      <c r="J3623" s="4">
        <v>53.2</v>
      </c>
      <c r="K3623">
        <v>1</v>
      </c>
      <c r="L3623">
        <v>53.2</v>
      </c>
      <c r="M3623">
        <v>53.2</v>
      </c>
      <c r="N3623" s="5">
        <v>2.7037516170763256</v>
      </c>
      <c r="O3623" t="s">
        <v>849</v>
      </c>
      <c r="P3623" t="s">
        <v>340</v>
      </c>
      <c r="Q3623" s="10" t="s">
        <v>24</v>
      </c>
    </row>
    <row r="3624" spans="1:18" hidden="1" x14ac:dyDescent="0.25">
      <c r="A3624" s="9" t="s">
        <v>1475</v>
      </c>
      <c r="B3624" s="3" t="s">
        <v>1476</v>
      </c>
      <c r="C3624" s="10">
        <v>3</v>
      </c>
      <c r="D3624" s="10">
        <v>3</v>
      </c>
      <c r="E3624" s="10">
        <v>19</v>
      </c>
      <c r="F3624" t="s">
        <v>389</v>
      </c>
      <c r="G3624" t="s">
        <v>889</v>
      </c>
      <c r="I3624" t="s">
        <v>39</v>
      </c>
      <c r="J3624" s="4">
        <v>20</v>
      </c>
      <c r="K3624">
        <v>1</v>
      </c>
      <c r="L3624">
        <v>20</v>
      </c>
      <c r="M3624">
        <v>20</v>
      </c>
      <c r="N3624" s="5">
        <v>1.0123734533183351</v>
      </c>
      <c r="O3624" t="s">
        <v>39</v>
      </c>
      <c r="P3624" t="s">
        <v>340</v>
      </c>
      <c r="Q3624" s="10" t="s">
        <v>24</v>
      </c>
      <c r="R3624" t="s">
        <v>1474</v>
      </c>
    </row>
    <row r="3625" spans="1:18" hidden="1" x14ac:dyDescent="0.25">
      <c r="A3625" s="9" t="s">
        <v>1475</v>
      </c>
      <c r="B3625" s="3" t="s">
        <v>1476</v>
      </c>
      <c r="C3625" s="10">
        <v>3</v>
      </c>
      <c r="D3625" s="10">
        <v>3</v>
      </c>
      <c r="E3625" s="10">
        <v>19</v>
      </c>
      <c r="F3625" t="s">
        <v>78</v>
      </c>
      <c r="G3625" t="s">
        <v>889</v>
      </c>
      <c r="H3625" t="s">
        <v>78</v>
      </c>
      <c r="I3625" t="s">
        <v>79</v>
      </c>
      <c r="J3625" s="4">
        <v>18.899999999999999</v>
      </c>
      <c r="K3625">
        <v>10.58</v>
      </c>
      <c r="L3625">
        <v>18.899999999999999</v>
      </c>
      <c r="M3625">
        <v>199.96199999999999</v>
      </c>
      <c r="N3625" s="5">
        <v>10.162548512289778</v>
      </c>
      <c r="O3625" t="s">
        <v>235</v>
      </c>
      <c r="P3625" t="s">
        <v>340</v>
      </c>
      <c r="Q3625" s="10" t="s">
        <v>24</v>
      </c>
    </row>
    <row r="3626" spans="1:18" hidden="1" x14ac:dyDescent="0.25">
      <c r="A3626" s="9" t="s">
        <v>1475</v>
      </c>
      <c r="B3626" s="3" t="s">
        <v>1476</v>
      </c>
      <c r="C3626" s="10">
        <v>3</v>
      </c>
      <c r="D3626" s="10">
        <v>3</v>
      </c>
      <c r="E3626" s="10">
        <v>19</v>
      </c>
      <c r="F3626" t="s">
        <v>86</v>
      </c>
      <c r="G3626" t="s">
        <v>889</v>
      </c>
      <c r="H3626" t="s">
        <v>102</v>
      </c>
      <c r="I3626" t="s">
        <v>27</v>
      </c>
      <c r="J3626" s="4">
        <v>34</v>
      </c>
      <c r="K3626">
        <v>1</v>
      </c>
      <c r="L3626">
        <v>34</v>
      </c>
      <c r="M3626">
        <v>34</v>
      </c>
      <c r="N3626" s="5">
        <v>1.7279615597856217</v>
      </c>
      <c r="O3626" t="s">
        <v>235</v>
      </c>
      <c r="P3626" t="s">
        <v>340</v>
      </c>
      <c r="Q3626" s="10" t="s">
        <v>24</v>
      </c>
    </row>
    <row r="3627" spans="1:18" hidden="1" x14ac:dyDescent="0.25">
      <c r="A3627" s="9" t="s">
        <v>1475</v>
      </c>
      <c r="B3627" s="3" t="s">
        <v>1476</v>
      </c>
      <c r="C3627" s="10">
        <v>3</v>
      </c>
      <c r="D3627" s="10">
        <v>3</v>
      </c>
      <c r="E3627" s="10">
        <v>19</v>
      </c>
      <c r="F3627" t="s">
        <v>1666</v>
      </c>
      <c r="G3627" t="s">
        <v>889</v>
      </c>
      <c r="H3627" t="s">
        <v>889</v>
      </c>
      <c r="I3627" t="s">
        <v>72</v>
      </c>
      <c r="J3627" s="4">
        <v>48.5</v>
      </c>
      <c r="K3627">
        <v>1</v>
      </c>
      <c r="L3627">
        <v>48.5</v>
      </c>
      <c r="M3627">
        <v>48.5</v>
      </c>
      <c r="N3627" s="5">
        <v>2.464886342635372</v>
      </c>
      <c r="O3627" t="s">
        <v>233</v>
      </c>
      <c r="P3627" t="s">
        <v>340</v>
      </c>
      <c r="Q3627" s="10" t="s">
        <v>24</v>
      </c>
      <c r="R3627" t="s">
        <v>1845</v>
      </c>
    </row>
    <row r="3628" spans="1:18" hidden="1" x14ac:dyDescent="0.25">
      <c r="A3628" s="9" t="s">
        <v>1475</v>
      </c>
      <c r="B3628" s="3" t="s">
        <v>1476</v>
      </c>
      <c r="C3628" s="10">
        <v>3</v>
      </c>
      <c r="D3628" s="10">
        <v>3</v>
      </c>
      <c r="E3628" s="10">
        <v>19</v>
      </c>
      <c r="F3628" t="s">
        <v>55</v>
      </c>
      <c r="G3628" t="s">
        <v>889</v>
      </c>
      <c r="H3628" t="s">
        <v>56</v>
      </c>
      <c r="I3628" t="s">
        <v>27</v>
      </c>
      <c r="J3628" s="4">
        <v>36</v>
      </c>
      <c r="K3628">
        <v>0.88200000000000001</v>
      </c>
      <c r="L3628">
        <v>36</v>
      </c>
      <c r="M3628">
        <v>31.751999999999999</v>
      </c>
      <c r="N3628" s="5">
        <v>1.6137128072445017</v>
      </c>
      <c r="O3628" t="s">
        <v>101</v>
      </c>
      <c r="P3628" t="s">
        <v>340</v>
      </c>
      <c r="Q3628" s="10" t="s">
        <v>24</v>
      </c>
    </row>
    <row r="3629" spans="1:18" hidden="1" x14ac:dyDescent="0.25">
      <c r="A3629" s="9" t="s">
        <v>1475</v>
      </c>
      <c r="B3629" s="3" t="s">
        <v>1476</v>
      </c>
      <c r="C3629" s="10">
        <v>3</v>
      </c>
      <c r="D3629" s="10">
        <v>3</v>
      </c>
      <c r="E3629" s="10">
        <v>19</v>
      </c>
      <c r="F3629" t="s">
        <v>52</v>
      </c>
      <c r="G3629" t="s">
        <v>889</v>
      </c>
      <c r="H3629" t="s">
        <v>53</v>
      </c>
      <c r="I3629" t="s">
        <v>27</v>
      </c>
      <c r="J3629" s="4">
        <v>35</v>
      </c>
      <c r="K3629">
        <v>1</v>
      </c>
      <c r="L3629">
        <v>35</v>
      </c>
      <c r="M3629">
        <v>35</v>
      </c>
      <c r="N3629" s="5">
        <v>1.7787839586028458</v>
      </c>
      <c r="O3629" t="s">
        <v>101</v>
      </c>
      <c r="P3629" t="s">
        <v>340</v>
      </c>
      <c r="Q3629" s="10" t="s">
        <v>24</v>
      </c>
    </row>
    <row r="3630" spans="1:18" hidden="1" x14ac:dyDescent="0.25">
      <c r="A3630" s="9" t="s">
        <v>1475</v>
      </c>
      <c r="B3630" s="3" t="s">
        <v>1476</v>
      </c>
      <c r="C3630" s="10">
        <v>3</v>
      </c>
      <c r="D3630" s="10">
        <v>3</v>
      </c>
      <c r="E3630" s="10">
        <v>19</v>
      </c>
      <c r="F3630" t="s">
        <v>39</v>
      </c>
      <c r="G3630" t="s">
        <v>889</v>
      </c>
      <c r="H3630" t="s">
        <v>889</v>
      </c>
      <c r="I3630" t="s">
        <v>39</v>
      </c>
      <c r="J3630" s="4">
        <v>30</v>
      </c>
      <c r="K3630">
        <v>2</v>
      </c>
      <c r="L3630">
        <v>30</v>
      </c>
      <c r="M3630">
        <v>60</v>
      </c>
      <c r="N3630" s="5">
        <v>3.0493439290334501</v>
      </c>
      <c r="O3630" t="s">
        <v>1986</v>
      </c>
      <c r="P3630" t="s">
        <v>340</v>
      </c>
      <c r="Q3630" s="10" t="s">
        <v>24</v>
      </c>
      <c r="R3630" t="s">
        <v>1985</v>
      </c>
    </row>
    <row r="3631" spans="1:18" hidden="1" x14ac:dyDescent="0.25">
      <c r="A3631" s="9" t="s">
        <v>1475</v>
      </c>
      <c r="B3631" s="3" t="s">
        <v>1476</v>
      </c>
      <c r="C3631" s="10">
        <v>3</v>
      </c>
      <c r="D3631" s="10">
        <v>3</v>
      </c>
      <c r="E3631" s="10">
        <v>19</v>
      </c>
      <c r="F3631" t="s">
        <v>39</v>
      </c>
      <c r="G3631" t="s">
        <v>889</v>
      </c>
      <c r="H3631" t="s">
        <v>889</v>
      </c>
      <c r="I3631" t="s">
        <v>39</v>
      </c>
      <c r="J3631" s="4">
        <v>45</v>
      </c>
      <c r="K3631">
        <v>1</v>
      </c>
      <c r="L3631">
        <v>45</v>
      </c>
      <c r="M3631">
        <v>45</v>
      </c>
      <c r="N3631" s="5">
        <v>2.2870079467750872</v>
      </c>
      <c r="O3631" t="s">
        <v>1986</v>
      </c>
      <c r="P3631" t="s">
        <v>340</v>
      </c>
      <c r="Q3631" s="10" t="s">
        <v>84</v>
      </c>
      <c r="R3631" t="s">
        <v>1987</v>
      </c>
    </row>
    <row r="3632" spans="1:18" hidden="1" x14ac:dyDescent="0.25">
      <c r="A3632" s="9" t="s">
        <v>1475</v>
      </c>
      <c r="B3632" s="3" t="s">
        <v>1476</v>
      </c>
      <c r="C3632" s="10">
        <v>3</v>
      </c>
      <c r="D3632" s="10">
        <v>3</v>
      </c>
      <c r="E3632" s="10">
        <v>19</v>
      </c>
      <c r="F3632" t="s">
        <v>39</v>
      </c>
      <c r="G3632" t="s">
        <v>889</v>
      </c>
      <c r="H3632" t="s">
        <v>63</v>
      </c>
      <c r="I3632" t="s">
        <v>50</v>
      </c>
      <c r="J3632" s="4">
        <v>100</v>
      </c>
      <c r="K3632">
        <v>1</v>
      </c>
      <c r="L3632">
        <v>100</v>
      </c>
      <c r="M3632">
        <v>100</v>
      </c>
      <c r="N3632" s="5">
        <v>5.0822398817224164</v>
      </c>
      <c r="O3632" t="s">
        <v>1986</v>
      </c>
      <c r="P3632" t="s">
        <v>340</v>
      </c>
      <c r="Q3632" s="10" t="s">
        <v>24</v>
      </c>
      <c r="R3632" t="s">
        <v>1988</v>
      </c>
    </row>
    <row r="3633" spans="1:18" hidden="1" x14ac:dyDescent="0.25">
      <c r="A3633" s="9" t="s">
        <v>1475</v>
      </c>
      <c r="B3633" s="3" t="s">
        <v>1476</v>
      </c>
      <c r="C3633" s="10">
        <v>3</v>
      </c>
      <c r="D3633" s="10">
        <v>3</v>
      </c>
      <c r="E3633" s="10">
        <v>19</v>
      </c>
      <c r="F3633" t="s">
        <v>328</v>
      </c>
      <c r="G3633" t="s">
        <v>328</v>
      </c>
      <c r="H3633" t="s">
        <v>49</v>
      </c>
      <c r="I3633" t="s">
        <v>50</v>
      </c>
      <c r="J3633" s="4">
        <v>40</v>
      </c>
      <c r="K3633">
        <v>1</v>
      </c>
      <c r="L3633">
        <v>40</v>
      </c>
      <c r="M3633">
        <v>40</v>
      </c>
      <c r="N3633" s="5">
        <v>2.0328959526889667</v>
      </c>
      <c r="O3633" t="s">
        <v>1986</v>
      </c>
      <c r="P3633" t="s">
        <v>340</v>
      </c>
      <c r="Q3633" s="10" t="s">
        <v>24</v>
      </c>
    </row>
    <row r="3634" spans="1:18" hidden="1" x14ac:dyDescent="0.25">
      <c r="A3634" s="9" t="s">
        <v>1475</v>
      </c>
      <c r="B3634" s="3" t="s">
        <v>1476</v>
      </c>
      <c r="C3634" s="10">
        <v>3</v>
      </c>
      <c r="D3634" s="10">
        <v>3</v>
      </c>
      <c r="E3634" s="10">
        <v>19</v>
      </c>
      <c r="F3634" t="s">
        <v>328</v>
      </c>
      <c r="G3634" t="s">
        <v>328</v>
      </c>
      <c r="H3634" t="s">
        <v>49</v>
      </c>
      <c r="I3634" t="s">
        <v>50</v>
      </c>
      <c r="J3634" s="4">
        <v>70</v>
      </c>
      <c r="K3634">
        <v>1</v>
      </c>
      <c r="L3634">
        <v>70</v>
      </c>
      <c r="M3634">
        <v>70</v>
      </c>
      <c r="N3634" s="5">
        <v>3.5575679172056915</v>
      </c>
      <c r="O3634" t="s">
        <v>1986</v>
      </c>
      <c r="P3634" t="s">
        <v>340</v>
      </c>
      <c r="Q3634" s="10" t="s">
        <v>24</v>
      </c>
    </row>
    <row r="3635" spans="1:18" hidden="1" x14ac:dyDescent="0.25">
      <c r="A3635" s="9" t="s">
        <v>1475</v>
      </c>
      <c r="B3635" s="3" t="s">
        <v>1476</v>
      </c>
      <c r="C3635" s="10">
        <v>3</v>
      </c>
      <c r="D3635" s="10">
        <v>3</v>
      </c>
      <c r="E3635" s="10">
        <v>19</v>
      </c>
      <c r="F3635" t="s">
        <v>141</v>
      </c>
      <c r="G3635" t="s">
        <v>889</v>
      </c>
      <c r="H3635" t="s">
        <v>172</v>
      </c>
      <c r="I3635" t="s">
        <v>39</v>
      </c>
      <c r="J3635" s="4">
        <v>2</v>
      </c>
      <c r="K3635">
        <v>2</v>
      </c>
      <c r="L3635">
        <v>2</v>
      </c>
      <c r="M3635">
        <v>4</v>
      </c>
      <c r="N3635" s="5">
        <v>0.20328959526889667</v>
      </c>
      <c r="O3635" t="s">
        <v>39</v>
      </c>
      <c r="P3635" t="s">
        <v>340</v>
      </c>
      <c r="Q3635" s="10" t="s">
        <v>24</v>
      </c>
    </row>
    <row r="3636" spans="1:18" hidden="1" x14ac:dyDescent="0.25">
      <c r="A3636" s="9" t="s">
        <v>1475</v>
      </c>
      <c r="B3636" s="3" t="s">
        <v>1798</v>
      </c>
      <c r="C3636" s="10">
        <v>30</v>
      </c>
      <c r="D3636" s="10">
        <v>3</v>
      </c>
      <c r="E3636" s="10">
        <v>19</v>
      </c>
      <c r="F3636" t="s">
        <v>71</v>
      </c>
      <c r="G3636" t="s">
        <v>889</v>
      </c>
      <c r="H3636" t="s">
        <v>889</v>
      </c>
      <c r="I3636" t="s">
        <v>72</v>
      </c>
      <c r="J3636" s="4">
        <v>540</v>
      </c>
      <c r="K3636">
        <v>1</v>
      </c>
      <c r="L3636">
        <v>540</v>
      </c>
      <c r="M3636">
        <v>540</v>
      </c>
      <c r="N3636" s="5">
        <v>27.444095361301049</v>
      </c>
      <c r="O3636" t="s">
        <v>1055</v>
      </c>
      <c r="P3636" t="s">
        <v>340</v>
      </c>
      <c r="Q3636" s="10" t="s">
        <v>24</v>
      </c>
      <c r="R3636" t="s">
        <v>1788</v>
      </c>
    </row>
    <row r="3637" spans="1:18" hidden="1" x14ac:dyDescent="0.25">
      <c r="A3637" s="9" t="s">
        <v>1475</v>
      </c>
      <c r="B3637" s="3" t="s">
        <v>1798</v>
      </c>
      <c r="C3637" s="10">
        <v>30</v>
      </c>
      <c r="D3637" s="10">
        <v>3</v>
      </c>
      <c r="E3637" s="10">
        <v>19</v>
      </c>
      <c r="F3637" t="s">
        <v>104</v>
      </c>
      <c r="G3637" t="s">
        <v>889</v>
      </c>
      <c r="H3637" t="s">
        <v>889</v>
      </c>
      <c r="I3637" t="s">
        <v>72</v>
      </c>
      <c r="J3637" s="4">
        <v>33.450000000000003</v>
      </c>
      <c r="K3637">
        <v>2</v>
      </c>
      <c r="L3637">
        <v>33.450000000000003</v>
      </c>
      <c r="M3637">
        <v>66.900000000000006</v>
      </c>
      <c r="N3637" s="5">
        <v>3.4000184808722969</v>
      </c>
      <c r="O3637" t="s">
        <v>233</v>
      </c>
      <c r="P3637" t="s">
        <v>340</v>
      </c>
      <c r="Q3637" s="10" t="s">
        <v>24</v>
      </c>
      <c r="R3637" t="s">
        <v>1842</v>
      </c>
    </row>
    <row r="3638" spans="1:18" hidden="1" x14ac:dyDescent="0.25">
      <c r="A3638" s="9" t="s">
        <v>1475</v>
      </c>
      <c r="B3638" s="3" t="s">
        <v>1798</v>
      </c>
      <c r="C3638" s="10">
        <v>30</v>
      </c>
      <c r="D3638" s="10">
        <v>3</v>
      </c>
      <c r="E3638" s="10">
        <v>19</v>
      </c>
      <c r="F3638" t="s">
        <v>1666</v>
      </c>
      <c r="G3638" t="s">
        <v>889</v>
      </c>
      <c r="H3638" t="s">
        <v>889</v>
      </c>
      <c r="I3638" t="s">
        <v>72</v>
      </c>
      <c r="J3638" s="4">
        <v>51.57</v>
      </c>
      <c r="K3638">
        <v>1</v>
      </c>
      <c r="L3638">
        <v>51.57</v>
      </c>
      <c r="M3638">
        <v>51.57</v>
      </c>
      <c r="N3638" s="5">
        <v>2.6209111070042503</v>
      </c>
      <c r="O3638" t="s">
        <v>233</v>
      </c>
      <c r="P3638" t="s">
        <v>340</v>
      </c>
      <c r="Q3638" s="10" t="s">
        <v>24</v>
      </c>
      <c r="R3638" t="s">
        <v>1843</v>
      </c>
    </row>
    <row r="3639" spans="1:18" hidden="1" x14ac:dyDescent="0.25">
      <c r="A3639" s="9" t="s">
        <v>1475</v>
      </c>
      <c r="B3639" s="3" t="s">
        <v>1798</v>
      </c>
      <c r="C3639" s="10">
        <v>30</v>
      </c>
      <c r="D3639" s="10">
        <v>3</v>
      </c>
      <c r="E3639" s="10">
        <v>19</v>
      </c>
      <c r="F3639" t="s">
        <v>372</v>
      </c>
      <c r="G3639" t="s">
        <v>373</v>
      </c>
      <c r="H3639" t="s">
        <v>65</v>
      </c>
      <c r="I3639" t="s">
        <v>27</v>
      </c>
      <c r="J3639" s="4">
        <v>9</v>
      </c>
      <c r="K3639">
        <v>2</v>
      </c>
      <c r="L3639">
        <v>9</v>
      </c>
      <c r="M3639">
        <v>18</v>
      </c>
      <c r="N3639" s="5">
        <v>0.91480317871003503</v>
      </c>
      <c r="O3639" t="s">
        <v>100</v>
      </c>
      <c r="P3639" t="s">
        <v>340</v>
      </c>
      <c r="Q3639" s="10" t="s">
        <v>24</v>
      </c>
    </row>
    <row r="3640" spans="1:18" hidden="1" x14ac:dyDescent="0.25">
      <c r="A3640" s="9" t="s">
        <v>1475</v>
      </c>
      <c r="B3640" s="3" t="s">
        <v>1798</v>
      </c>
      <c r="C3640" s="10">
        <v>30</v>
      </c>
      <c r="D3640" s="10">
        <v>3</v>
      </c>
      <c r="E3640" s="10">
        <v>19</v>
      </c>
      <c r="F3640" t="s">
        <v>1908</v>
      </c>
      <c r="G3640" t="s">
        <v>889</v>
      </c>
      <c r="H3640" t="s">
        <v>35</v>
      </c>
      <c r="I3640" t="s">
        <v>27</v>
      </c>
      <c r="J3640" s="4">
        <v>102.6</v>
      </c>
      <c r="K3640">
        <v>0.51</v>
      </c>
      <c r="L3640">
        <v>102.6</v>
      </c>
      <c r="M3640">
        <v>52.326000000000001</v>
      </c>
      <c r="N3640" s="5">
        <v>2.6593328405100718</v>
      </c>
      <c r="O3640" t="s">
        <v>100</v>
      </c>
      <c r="P3640" t="s">
        <v>340</v>
      </c>
      <c r="Q3640" s="10" t="s">
        <v>24</v>
      </c>
    </row>
    <row r="3641" spans="1:18" hidden="1" x14ac:dyDescent="0.25">
      <c r="A3641" s="9" t="s">
        <v>1475</v>
      </c>
      <c r="B3641" s="3" t="s">
        <v>1798</v>
      </c>
      <c r="C3641" s="10">
        <v>30</v>
      </c>
      <c r="D3641" s="10">
        <v>3</v>
      </c>
      <c r="E3641" s="10">
        <v>19</v>
      </c>
      <c r="F3641" t="s">
        <v>99</v>
      </c>
      <c r="G3641" t="s">
        <v>889</v>
      </c>
      <c r="H3641" t="s">
        <v>40</v>
      </c>
      <c r="I3641" t="s">
        <v>27</v>
      </c>
      <c r="J3641" s="4">
        <v>11</v>
      </c>
      <c r="K3641">
        <v>1</v>
      </c>
      <c r="L3641">
        <v>11</v>
      </c>
      <c r="M3641">
        <v>11</v>
      </c>
      <c r="N3641" s="5">
        <v>0.55904638698946585</v>
      </c>
      <c r="O3641" t="s">
        <v>100</v>
      </c>
      <c r="P3641" t="s">
        <v>340</v>
      </c>
      <c r="Q3641" s="10" t="s">
        <v>24</v>
      </c>
    </row>
    <row r="3642" spans="1:18" hidden="1" x14ac:dyDescent="0.25">
      <c r="A3642" s="9" t="s">
        <v>1475</v>
      </c>
      <c r="B3642" s="3" t="s">
        <v>1798</v>
      </c>
      <c r="C3642" s="10">
        <v>30</v>
      </c>
      <c r="D3642" s="10">
        <v>3</v>
      </c>
      <c r="E3642" s="10">
        <v>19</v>
      </c>
      <c r="F3642" t="s">
        <v>240</v>
      </c>
      <c r="G3642" t="s">
        <v>889</v>
      </c>
      <c r="H3642" t="s">
        <v>54</v>
      </c>
      <c r="I3642" t="s">
        <v>27</v>
      </c>
      <c r="J3642" s="4">
        <v>27.7</v>
      </c>
      <c r="K3642">
        <v>1</v>
      </c>
      <c r="L3642">
        <v>27.7</v>
      </c>
      <c r="M3642">
        <v>27.7</v>
      </c>
      <c r="N3642" s="5">
        <v>1.4077804472371094</v>
      </c>
      <c r="O3642" t="s">
        <v>100</v>
      </c>
      <c r="P3642" t="s">
        <v>340</v>
      </c>
      <c r="Q3642" s="31" t="s">
        <v>24</v>
      </c>
    </row>
    <row r="3643" spans="1:18" hidden="1" x14ac:dyDescent="0.25">
      <c r="A3643" s="9" t="s">
        <v>1475</v>
      </c>
      <c r="B3643" s="3" t="s">
        <v>1798</v>
      </c>
      <c r="C3643" s="10">
        <v>30</v>
      </c>
      <c r="D3643" s="10">
        <v>3</v>
      </c>
      <c r="E3643" s="10">
        <v>19</v>
      </c>
      <c r="F3643" t="s">
        <v>122</v>
      </c>
      <c r="G3643" t="s">
        <v>889</v>
      </c>
      <c r="H3643" t="s">
        <v>54</v>
      </c>
      <c r="I3643" t="s">
        <v>27</v>
      </c>
      <c r="J3643" s="4">
        <v>65</v>
      </c>
      <c r="K3643">
        <v>0.24199999999999999</v>
      </c>
      <c r="L3643">
        <v>65</v>
      </c>
      <c r="M3643">
        <v>15.73</v>
      </c>
      <c r="N3643" s="5">
        <v>0.79943633339493614</v>
      </c>
      <c r="O3643" t="s">
        <v>100</v>
      </c>
      <c r="P3643" t="s">
        <v>340</v>
      </c>
      <c r="Q3643" s="10" t="s">
        <v>24</v>
      </c>
    </row>
    <row r="3644" spans="1:18" hidden="1" x14ac:dyDescent="0.25">
      <c r="A3644" s="9" t="s">
        <v>1475</v>
      </c>
      <c r="B3644" s="3" t="s">
        <v>1798</v>
      </c>
      <c r="C3644" s="10">
        <v>30</v>
      </c>
      <c r="D3644" s="10">
        <v>3</v>
      </c>
      <c r="E3644" s="10">
        <v>19</v>
      </c>
      <c r="F3644" t="s">
        <v>126</v>
      </c>
      <c r="G3644" t="s">
        <v>889</v>
      </c>
      <c r="H3644" t="s">
        <v>63</v>
      </c>
      <c r="I3644" t="s">
        <v>27</v>
      </c>
      <c r="J3644" s="4">
        <v>129.6</v>
      </c>
      <c r="K3644">
        <v>1</v>
      </c>
      <c r="L3644">
        <v>129.6</v>
      </c>
      <c r="M3644">
        <v>129.6</v>
      </c>
      <c r="N3644" s="5">
        <v>6.5865828867122511</v>
      </c>
      <c r="O3644" t="s">
        <v>100</v>
      </c>
      <c r="P3644" t="s">
        <v>340</v>
      </c>
      <c r="Q3644" s="10" t="s">
        <v>24</v>
      </c>
    </row>
    <row r="3645" spans="1:18" hidden="1" x14ac:dyDescent="0.25">
      <c r="A3645" s="9" t="s">
        <v>1475</v>
      </c>
      <c r="B3645" s="3" t="s">
        <v>1798</v>
      </c>
      <c r="C3645" s="10">
        <v>30</v>
      </c>
      <c r="D3645" s="10">
        <v>3</v>
      </c>
      <c r="E3645" s="10">
        <v>19</v>
      </c>
      <c r="F3645" t="s">
        <v>974</v>
      </c>
      <c r="G3645" t="s">
        <v>25</v>
      </c>
      <c r="H3645" t="s">
        <v>26</v>
      </c>
      <c r="I3645" t="s">
        <v>27</v>
      </c>
      <c r="J3645" s="4">
        <v>211.6</v>
      </c>
      <c r="K3645">
        <v>0.29199999999999998</v>
      </c>
      <c r="L3645">
        <v>211.6</v>
      </c>
      <c r="M3645">
        <v>61.787199999999991</v>
      </c>
      <c r="N3645" s="5">
        <v>3.1401737201995923</v>
      </c>
      <c r="O3645" t="s">
        <v>100</v>
      </c>
      <c r="P3645" t="s">
        <v>340</v>
      </c>
      <c r="Q3645" s="10" t="s">
        <v>24</v>
      </c>
    </row>
    <row r="3646" spans="1:18" hidden="1" x14ac:dyDescent="0.25">
      <c r="A3646" s="9" t="s">
        <v>1475</v>
      </c>
      <c r="B3646" s="3" t="s">
        <v>1798</v>
      </c>
      <c r="C3646" s="10">
        <v>30</v>
      </c>
      <c r="D3646" s="10">
        <v>3</v>
      </c>
      <c r="E3646" s="10">
        <v>19</v>
      </c>
      <c r="F3646" t="s">
        <v>364</v>
      </c>
      <c r="G3646" t="s">
        <v>889</v>
      </c>
      <c r="H3646" t="s">
        <v>63</v>
      </c>
      <c r="I3646" t="s">
        <v>27</v>
      </c>
      <c r="J3646" s="4">
        <v>75</v>
      </c>
      <c r="K3646">
        <v>1</v>
      </c>
      <c r="L3646">
        <v>75</v>
      </c>
      <c r="M3646">
        <v>75</v>
      </c>
      <c r="N3646" s="5">
        <v>3.8116799112918125</v>
      </c>
      <c r="O3646" t="s">
        <v>100</v>
      </c>
      <c r="P3646" t="s">
        <v>340</v>
      </c>
      <c r="Q3646" s="10" t="s">
        <v>24</v>
      </c>
      <c r="R3646" t="s">
        <v>1912</v>
      </c>
    </row>
    <row r="3647" spans="1:18" hidden="1" x14ac:dyDescent="0.25">
      <c r="A3647" s="9" t="s">
        <v>1475</v>
      </c>
      <c r="B3647" s="3" t="s">
        <v>1798</v>
      </c>
      <c r="C3647" s="10">
        <v>30</v>
      </c>
      <c r="D3647" s="10">
        <v>3</v>
      </c>
      <c r="E3647" s="10">
        <v>19</v>
      </c>
      <c r="F3647" t="s">
        <v>1793</v>
      </c>
      <c r="G3647" t="s">
        <v>889</v>
      </c>
      <c r="H3647" t="s">
        <v>65</v>
      </c>
      <c r="I3647" t="s">
        <v>27</v>
      </c>
      <c r="J3647" s="4">
        <v>10.75</v>
      </c>
      <c r="K3647">
        <v>4</v>
      </c>
      <c r="L3647">
        <v>10.75</v>
      </c>
      <c r="M3647">
        <v>43</v>
      </c>
      <c r="N3647" s="5">
        <v>2.1853631491406391</v>
      </c>
      <c r="O3647" t="s">
        <v>100</v>
      </c>
      <c r="P3647" t="s">
        <v>340</v>
      </c>
      <c r="Q3647" s="10" t="s">
        <v>24</v>
      </c>
    </row>
    <row r="3648" spans="1:18" hidden="1" x14ac:dyDescent="0.25">
      <c r="A3648" s="9" t="s">
        <v>1475</v>
      </c>
      <c r="B3648" s="3" t="s">
        <v>1798</v>
      </c>
      <c r="C3648" s="10">
        <v>30</v>
      </c>
      <c r="D3648" s="10">
        <v>3</v>
      </c>
      <c r="E3648" s="10">
        <v>19</v>
      </c>
      <c r="F3648" t="s">
        <v>1322</v>
      </c>
      <c r="G3648" t="s">
        <v>889</v>
      </c>
      <c r="H3648" t="s">
        <v>65</v>
      </c>
      <c r="I3648" t="s">
        <v>27</v>
      </c>
      <c r="J3648" s="4">
        <v>4.5999999999999996</v>
      </c>
      <c r="K3648">
        <v>2</v>
      </c>
      <c r="L3648">
        <v>4.5999999999999996</v>
      </c>
      <c r="M3648">
        <v>9.1999999999999993</v>
      </c>
      <c r="N3648" s="5">
        <v>0.46756606911846227</v>
      </c>
      <c r="O3648" t="s">
        <v>100</v>
      </c>
      <c r="P3648" t="s">
        <v>340</v>
      </c>
      <c r="Q3648" s="10" t="s">
        <v>24</v>
      </c>
    </row>
    <row r="3649" spans="1:18" hidden="1" x14ac:dyDescent="0.25">
      <c r="A3649" s="9" t="s">
        <v>1475</v>
      </c>
      <c r="B3649" s="3" t="s">
        <v>1798</v>
      </c>
      <c r="C3649" s="10">
        <v>30</v>
      </c>
      <c r="D3649" s="10">
        <v>3</v>
      </c>
      <c r="E3649" s="10">
        <v>19</v>
      </c>
      <c r="F3649" t="s">
        <v>1036</v>
      </c>
      <c r="G3649" t="s">
        <v>889</v>
      </c>
      <c r="H3649" t="s">
        <v>38</v>
      </c>
      <c r="I3649" t="s">
        <v>27</v>
      </c>
      <c r="J3649" s="4">
        <v>126</v>
      </c>
      <c r="K3649">
        <v>0.26</v>
      </c>
      <c r="L3649">
        <v>126</v>
      </c>
      <c r="M3649">
        <v>32.76</v>
      </c>
      <c r="N3649" s="5">
        <v>1.6649417852522634</v>
      </c>
      <c r="O3649" t="s">
        <v>100</v>
      </c>
      <c r="P3649" t="s">
        <v>340</v>
      </c>
      <c r="Q3649" s="10" t="s">
        <v>24</v>
      </c>
    </row>
    <row r="3650" spans="1:18" hidden="1" x14ac:dyDescent="0.25">
      <c r="A3650" s="9" t="s">
        <v>1475</v>
      </c>
      <c r="B3650" s="3" t="s">
        <v>1798</v>
      </c>
      <c r="C3650" s="10">
        <v>30</v>
      </c>
      <c r="D3650" s="10">
        <v>3</v>
      </c>
      <c r="E3650" s="10">
        <v>19</v>
      </c>
      <c r="F3650" t="s">
        <v>1901</v>
      </c>
      <c r="G3650" t="s">
        <v>889</v>
      </c>
      <c r="H3650" t="s">
        <v>26</v>
      </c>
      <c r="I3650" t="s">
        <v>27</v>
      </c>
      <c r="J3650" s="4">
        <v>76.599999999999994</v>
      </c>
      <c r="K3650">
        <v>1</v>
      </c>
      <c r="L3650">
        <v>76.599999999999994</v>
      </c>
      <c r="M3650">
        <v>76.599999999999994</v>
      </c>
      <c r="N3650" s="5">
        <v>3.8929957493993705</v>
      </c>
      <c r="O3650" t="s">
        <v>100</v>
      </c>
      <c r="P3650" t="s">
        <v>340</v>
      </c>
      <c r="Q3650" s="10" t="s">
        <v>24</v>
      </c>
      <c r="R3650" t="s">
        <v>1896</v>
      </c>
    </row>
    <row r="3651" spans="1:18" hidden="1" x14ac:dyDescent="0.25">
      <c r="A3651" s="9" t="s">
        <v>1475</v>
      </c>
      <c r="B3651" s="3" t="s">
        <v>1798</v>
      </c>
      <c r="C3651" s="10">
        <v>30</v>
      </c>
      <c r="D3651" s="10">
        <v>3</v>
      </c>
      <c r="E3651" s="10">
        <v>19</v>
      </c>
      <c r="F3651" t="s">
        <v>1910</v>
      </c>
      <c r="G3651" t="s">
        <v>889</v>
      </c>
      <c r="H3651" t="s">
        <v>35</v>
      </c>
      <c r="I3651" t="s">
        <v>27</v>
      </c>
      <c r="J3651" s="4">
        <v>140</v>
      </c>
      <c r="K3651">
        <v>1</v>
      </c>
      <c r="L3651">
        <v>140</v>
      </c>
      <c r="M3651">
        <v>140</v>
      </c>
      <c r="N3651" s="5">
        <v>7.1151358344113831</v>
      </c>
      <c r="O3651" t="s">
        <v>100</v>
      </c>
      <c r="P3651" t="s">
        <v>340</v>
      </c>
      <c r="Q3651" s="10" t="s">
        <v>24</v>
      </c>
      <c r="R3651" t="s">
        <v>1913</v>
      </c>
    </row>
    <row r="3652" spans="1:18" hidden="1" x14ac:dyDescent="0.25">
      <c r="A3652" s="9" t="s">
        <v>1475</v>
      </c>
      <c r="B3652" s="3" t="s">
        <v>1798</v>
      </c>
      <c r="C3652" s="10">
        <v>30</v>
      </c>
      <c r="D3652" s="10">
        <v>3</v>
      </c>
      <c r="E3652" s="10">
        <v>19</v>
      </c>
      <c r="F3652" t="s">
        <v>1906</v>
      </c>
      <c r="G3652" t="s">
        <v>889</v>
      </c>
      <c r="H3652" t="s">
        <v>65</v>
      </c>
      <c r="I3652" t="s">
        <v>27</v>
      </c>
      <c r="J3652" s="4">
        <v>13</v>
      </c>
      <c r="K3652">
        <v>1</v>
      </c>
      <c r="L3652">
        <v>13</v>
      </c>
      <c r="M3652">
        <v>13</v>
      </c>
      <c r="N3652" s="5">
        <v>0.66069118462391419</v>
      </c>
      <c r="O3652" t="s">
        <v>100</v>
      </c>
      <c r="P3652" t="s">
        <v>340</v>
      </c>
      <c r="Q3652" s="10" t="s">
        <v>24</v>
      </c>
    </row>
    <row r="3653" spans="1:18" hidden="1" x14ac:dyDescent="0.25">
      <c r="A3653" s="9" t="s">
        <v>1475</v>
      </c>
      <c r="B3653" s="3" t="s">
        <v>1798</v>
      </c>
      <c r="C3653" s="10">
        <v>30</v>
      </c>
      <c r="D3653" s="10">
        <v>3</v>
      </c>
      <c r="E3653" s="10">
        <v>19</v>
      </c>
      <c r="F3653" t="s">
        <v>1468</v>
      </c>
      <c r="G3653" t="s">
        <v>889</v>
      </c>
      <c r="H3653" t="s">
        <v>56</v>
      </c>
      <c r="I3653" t="s">
        <v>27</v>
      </c>
      <c r="J3653" s="4">
        <v>12.3</v>
      </c>
      <c r="K3653">
        <v>2</v>
      </c>
      <c r="L3653">
        <v>12.3</v>
      </c>
      <c r="M3653">
        <v>24.6</v>
      </c>
      <c r="N3653" s="5">
        <v>1.2502310109037145</v>
      </c>
      <c r="O3653" t="s">
        <v>100</v>
      </c>
      <c r="P3653" t="s">
        <v>340</v>
      </c>
      <c r="Q3653" s="10" t="s">
        <v>24</v>
      </c>
    </row>
    <row r="3654" spans="1:18" hidden="1" x14ac:dyDescent="0.25">
      <c r="A3654" s="9" t="s">
        <v>1475</v>
      </c>
      <c r="B3654" s="3" t="s">
        <v>1798</v>
      </c>
      <c r="C3654" s="10">
        <v>30</v>
      </c>
      <c r="D3654" s="10">
        <v>3</v>
      </c>
      <c r="E3654" s="10">
        <v>19</v>
      </c>
      <c r="F3654" t="s">
        <v>580</v>
      </c>
      <c r="G3654" t="s">
        <v>889</v>
      </c>
      <c r="H3654" t="s">
        <v>54</v>
      </c>
      <c r="I3654" t="s">
        <v>27</v>
      </c>
      <c r="J3654" s="4">
        <v>13.75</v>
      </c>
      <c r="K3654">
        <v>1</v>
      </c>
      <c r="L3654">
        <v>13.75</v>
      </c>
      <c r="M3654">
        <v>13.75</v>
      </c>
      <c r="N3654" s="5">
        <v>0.69880798373683228</v>
      </c>
      <c r="O3654" t="s">
        <v>39</v>
      </c>
      <c r="P3654" t="s">
        <v>340</v>
      </c>
      <c r="Q3654" s="10" t="s">
        <v>24</v>
      </c>
      <c r="R3654" t="s">
        <v>1978</v>
      </c>
    </row>
    <row r="3655" spans="1:18" hidden="1" x14ac:dyDescent="0.25">
      <c r="A3655" s="9" t="s">
        <v>1475</v>
      </c>
      <c r="B3655" s="3" t="s">
        <v>1798</v>
      </c>
      <c r="C3655" s="10">
        <v>30</v>
      </c>
      <c r="D3655" s="10">
        <v>3</v>
      </c>
      <c r="E3655" s="10">
        <v>19</v>
      </c>
      <c r="F3655" t="s">
        <v>54</v>
      </c>
      <c r="G3655" t="s">
        <v>889</v>
      </c>
      <c r="H3655" t="s">
        <v>54</v>
      </c>
      <c r="I3655" t="s">
        <v>27</v>
      </c>
      <c r="J3655" s="4">
        <v>15.6</v>
      </c>
      <c r="K3655">
        <v>1</v>
      </c>
      <c r="L3655">
        <v>15.6</v>
      </c>
      <c r="M3655">
        <v>15.6</v>
      </c>
      <c r="N3655" s="5">
        <v>0.79282942154869696</v>
      </c>
      <c r="O3655" t="s">
        <v>39</v>
      </c>
      <c r="P3655" t="s">
        <v>340</v>
      </c>
      <c r="Q3655" s="10" t="s">
        <v>24</v>
      </c>
      <c r="R3655" t="s">
        <v>1978</v>
      </c>
    </row>
    <row r="3656" spans="1:18" hidden="1" x14ac:dyDescent="0.25">
      <c r="A3656" s="9" t="s">
        <v>1475</v>
      </c>
      <c r="B3656" s="3" t="s">
        <v>1798</v>
      </c>
      <c r="C3656" s="10">
        <v>30</v>
      </c>
      <c r="D3656" s="10">
        <v>3</v>
      </c>
      <c r="E3656" s="10">
        <v>19</v>
      </c>
      <c r="F3656" t="s">
        <v>1078</v>
      </c>
      <c r="G3656" t="s">
        <v>889</v>
      </c>
      <c r="H3656" t="s">
        <v>65</v>
      </c>
      <c r="I3656" t="s">
        <v>27</v>
      </c>
      <c r="J3656" s="4">
        <v>132.6</v>
      </c>
      <c r="K3656">
        <v>1</v>
      </c>
      <c r="L3656">
        <v>132.6</v>
      </c>
      <c r="M3656">
        <v>132.6</v>
      </c>
      <c r="N3656" s="5">
        <v>6.7390500831639244</v>
      </c>
      <c r="O3656" t="s">
        <v>39</v>
      </c>
      <c r="P3656" t="s">
        <v>340</v>
      </c>
      <c r="Q3656" s="10" t="s">
        <v>24</v>
      </c>
      <c r="R3656" t="s">
        <v>1978</v>
      </c>
    </row>
    <row r="3657" spans="1:18" hidden="1" x14ac:dyDescent="0.25">
      <c r="A3657" s="9" t="s">
        <v>1475</v>
      </c>
      <c r="B3657" s="3" t="s">
        <v>1798</v>
      </c>
      <c r="C3657" s="10">
        <v>30</v>
      </c>
      <c r="D3657" s="10">
        <v>3</v>
      </c>
      <c r="E3657" s="10">
        <v>19</v>
      </c>
      <c r="F3657" t="s">
        <v>2010</v>
      </c>
      <c r="G3657" t="s">
        <v>889</v>
      </c>
      <c r="H3657" t="s">
        <v>102</v>
      </c>
      <c r="I3657" t="s">
        <v>27</v>
      </c>
      <c r="J3657" s="4">
        <v>40</v>
      </c>
      <c r="K3657">
        <v>1</v>
      </c>
      <c r="L3657">
        <v>40</v>
      </c>
      <c r="M3657">
        <v>40</v>
      </c>
      <c r="N3657" s="5">
        <v>2.0328959526889667</v>
      </c>
      <c r="O3657" t="s">
        <v>39</v>
      </c>
      <c r="P3657" t="s">
        <v>340</v>
      </c>
      <c r="Q3657" s="10" t="s">
        <v>24</v>
      </c>
      <c r="R3657" t="s">
        <v>2011</v>
      </c>
    </row>
    <row r="3658" spans="1:18" hidden="1" x14ac:dyDescent="0.25">
      <c r="A3658" s="9" t="s">
        <v>1475</v>
      </c>
      <c r="B3658" s="3" t="s">
        <v>1887</v>
      </c>
      <c r="C3658" s="10">
        <v>31</v>
      </c>
      <c r="D3658" s="10">
        <v>3</v>
      </c>
      <c r="E3658" s="10">
        <v>19</v>
      </c>
      <c r="F3658" t="s">
        <v>958</v>
      </c>
      <c r="G3658" t="s">
        <v>889</v>
      </c>
      <c r="H3658" t="s">
        <v>53</v>
      </c>
      <c r="I3658" t="s">
        <v>27</v>
      </c>
      <c r="J3658" s="4">
        <v>34</v>
      </c>
      <c r="K3658">
        <v>2</v>
      </c>
      <c r="L3658">
        <v>34</v>
      </c>
      <c r="M3658">
        <v>68</v>
      </c>
      <c r="N3658" s="5">
        <v>3.4559231195712434</v>
      </c>
      <c r="O3658" t="s">
        <v>101</v>
      </c>
      <c r="P3658" t="s">
        <v>340</v>
      </c>
      <c r="Q3658" s="10" t="s">
        <v>24</v>
      </c>
    </row>
    <row r="3659" spans="1:18" hidden="1" x14ac:dyDescent="0.25">
      <c r="A3659" s="9" t="s">
        <v>1475</v>
      </c>
      <c r="B3659" s="3" t="s">
        <v>1887</v>
      </c>
      <c r="C3659" s="10">
        <v>31</v>
      </c>
      <c r="D3659" s="10">
        <v>3</v>
      </c>
      <c r="E3659" s="10">
        <v>19</v>
      </c>
      <c r="F3659" t="s">
        <v>94</v>
      </c>
      <c r="G3659" t="s">
        <v>889</v>
      </c>
      <c r="H3659" t="s">
        <v>889</v>
      </c>
      <c r="I3659" t="s">
        <v>87</v>
      </c>
      <c r="J3659" s="4">
        <v>432</v>
      </c>
      <c r="K3659">
        <v>1</v>
      </c>
      <c r="L3659">
        <v>432</v>
      </c>
      <c r="M3659">
        <v>432</v>
      </c>
      <c r="N3659" s="5">
        <v>21.955276289040839</v>
      </c>
      <c r="O3659" t="s">
        <v>39</v>
      </c>
      <c r="P3659" t="s">
        <v>340</v>
      </c>
      <c r="Q3659" s="10" t="s">
        <v>24</v>
      </c>
      <c r="R3659" t="s">
        <v>2003</v>
      </c>
    </row>
    <row r="3660" spans="1:18" hidden="1" x14ac:dyDescent="0.25">
      <c r="A3660" s="9" t="s">
        <v>1475</v>
      </c>
      <c r="B3660" s="3" t="s">
        <v>1781</v>
      </c>
      <c r="C3660" s="10">
        <v>4</v>
      </c>
      <c r="D3660" s="10">
        <v>3</v>
      </c>
      <c r="E3660" s="10">
        <v>19</v>
      </c>
      <c r="F3660" t="s">
        <v>104</v>
      </c>
      <c r="G3660" t="s">
        <v>889</v>
      </c>
      <c r="H3660" t="s">
        <v>889</v>
      </c>
      <c r="I3660" t="s">
        <v>72</v>
      </c>
      <c r="J3660" s="4">
        <v>233.42000000000002</v>
      </c>
      <c r="K3660">
        <v>1</v>
      </c>
      <c r="L3660">
        <v>233.42000000000002</v>
      </c>
      <c r="M3660">
        <v>233.42000000000002</v>
      </c>
      <c r="N3660" s="5">
        <v>11.862964331916466</v>
      </c>
      <c r="O3660" t="s">
        <v>629</v>
      </c>
      <c r="P3660" t="s">
        <v>340</v>
      </c>
      <c r="Q3660" s="10" t="s">
        <v>24</v>
      </c>
      <c r="R3660" t="s">
        <v>1778</v>
      </c>
    </row>
    <row r="3661" spans="1:18" hidden="1" x14ac:dyDescent="0.25">
      <c r="A3661" s="9" t="s">
        <v>1475</v>
      </c>
      <c r="B3661" s="3" t="s">
        <v>1781</v>
      </c>
      <c r="C3661" s="10">
        <v>4</v>
      </c>
      <c r="D3661" s="10">
        <v>3</v>
      </c>
      <c r="E3661" s="10">
        <v>19</v>
      </c>
      <c r="F3661" t="s">
        <v>104</v>
      </c>
      <c r="G3661" t="s">
        <v>889</v>
      </c>
      <c r="H3661" t="s">
        <v>889</v>
      </c>
      <c r="I3661" t="s">
        <v>72</v>
      </c>
      <c r="J3661" s="4">
        <v>34.82</v>
      </c>
      <c r="K3661">
        <v>1</v>
      </c>
      <c r="L3661">
        <v>34.82</v>
      </c>
      <c r="M3661">
        <v>34.82</v>
      </c>
      <c r="N3661" s="5">
        <v>1.7696359268157456</v>
      </c>
      <c r="O3661" t="s">
        <v>629</v>
      </c>
      <c r="P3661" t="s">
        <v>340</v>
      </c>
      <c r="Q3661" s="10" t="s">
        <v>24</v>
      </c>
      <c r="R3661" t="s">
        <v>1779</v>
      </c>
    </row>
    <row r="3662" spans="1:18" hidden="1" x14ac:dyDescent="0.25">
      <c r="A3662" s="9" t="s">
        <v>1475</v>
      </c>
      <c r="B3662" s="3" t="s">
        <v>1781</v>
      </c>
      <c r="C3662" s="10">
        <v>4</v>
      </c>
      <c r="D3662" s="10">
        <v>3</v>
      </c>
      <c r="E3662" s="10">
        <v>19</v>
      </c>
      <c r="F3662" t="s">
        <v>1784</v>
      </c>
      <c r="G3662" t="s">
        <v>889</v>
      </c>
      <c r="H3662" t="s">
        <v>889</v>
      </c>
      <c r="I3662" t="s">
        <v>79</v>
      </c>
      <c r="J3662" s="4">
        <v>45</v>
      </c>
      <c r="K3662">
        <v>1</v>
      </c>
      <c r="L3662">
        <v>45</v>
      </c>
      <c r="M3662">
        <v>45</v>
      </c>
      <c r="N3662" s="5">
        <v>2.2870079467750872</v>
      </c>
      <c r="O3662" t="s">
        <v>1785</v>
      </c>
      <c r="P3662" t="s">
        <v>340</v>
      </c>
      <c r="Q3662" s="10" t="s">
        <v>24</v>
      </c>
    </row>
    <row r="3663" spans="1:18" hidden="1" x14ac:dyDescent="0.25">
      <c r="A3663" s="9" t="s">
        <v>1475</v>
      </c>
      <c r="B3663" s="3" t="s">
        <v>1781</v>
      </c>
      <c r="C3663" s="10">
        <v>4</v>
      </c>
      <c r="D3663" s="10">
        <v>3</v>
      </c>
      <c r="E3663" s="10">
        <v>19</v>
      </c>
      <c r="F3663" t="s">
        <v>39</v>
      </c>
      <c r="G3663" t="s">
        <v>889</v>
      </c>
      <c r="H3663" t="s">
        <v>889</v>
      </c>
      <c r="I3663" t="s">
        <v>79</v>
      </c>
      <c r="J3663" s="4">
        <v>55</v>
      </c>
      <c r="K3663">
        <v>1</v>
      </c>
      <c r="L3663">
        <v>55</v>
      </c>
      <c r="M3663">
        <v>55</v>
      </c>
      <c r="N3663" s="5">
        <v>2.7952319349473291</v>
      </c>
      <c r="O3663" t="s">
        <v>1785</v>
      </c>
      <c r="P3663" t="s">
        <v>340</v>
      </c>
      <c r="Q3663" s="10" t="s">
        <v>24</v>
      </c>
    </row>
    <row r="3664" spans="1:18" hidden="1" x14ac:dyDescent="0.25">
      <c r="A3664" s="9" t="s">
        <v>1475</v>
      </c>
      <c r="B3664" s="3" t="s">
        <v>1781</v>
      </c>
      <c r="C3664" s="10">
        <v>4</v>
      </c>
      <c r="D3664" s="10">
        <v>3</v>
      </c>
      <c r="E3664" s="10">
        <v>19</v>
      </c>
      <c r="F3664" t="s">
        <v>426</v>
      </c>
      <c r="G3664" t="s">
        <v>889</v>
      </c>
      <c r="H3664" t="s">
        <v>54</v>
      </c>
      <c r="I3664" t="s">
        <v>27</v>
      </c>
      <c r="J3664" s="4">
        <v>35</v>
      </c>
      <c r="K3664">
        <v>0.7</v>
      </c>
      <c r="L3664">
        <v>35</v>
      </c>
      <c r="M3664">
        <v>24.5</v>
      </c>
      <c r="N3664" s="5">
        <v>1.245148771021992</v>
      </c>
      <c r="O3664" t="s">
        <v>593</v>
      </c>
      <c r="P3664" t="s">
        <v>340</v>
      </c>
      <c r="Q3664" s="10" t="s">
        <v>24</v>
      </c>
    </row>
    <row r="3665" spans="1:18" hidden="1" x14ac:dyDescent="0.25">
      <c r="A3665" s="9" t="s">
        <v>1475</v>
      </c>
      <c r="B3665" s="3" t="s">
        <v>1781</v>
      </c>
      <c r="C3665" s="10">
        <v>4</v>
      </c>
      <c r="D3665" s="10">
        <v>3</v>
      </c>
      <c r="E3665" s="10">
        <v>19</v>
      </c>
      <c r="F3665" t="s">
        <v>878</v>
      </c>
      <c r="G3665" t="s">
        <v>889</v>
      </c>
      <c r="H3665" t="s">
        <v>53</v>
      </c>
      <c r="I3665" t="s">
        <v>27</v>
      </c>
      <c r="J3665" s="4">
        <v>9</v>
      </c>
      <c r="K3665">
        <v>1</v>
      </c>
      <c r="L3665">
        <v>9</v>
      </c>
      <c r="M3665">
        <v>9</v>
      </c>
      <c r="N3665" s="5">
        <v>0.45740158935501751</v>
      </c>
      <c r="O3665" t="s">
        <v>39</v>
      </c>
      <c r="P3665" t="s">
        <v>340</v>
      </c>
      <c r="Q3665" s="10" t="s">
        <v>24</v>
      </c>
      <c r="R3665" t="s">
        <v>1977</v>
      </c>
    </row>
    <row r="3666" spans="1:18" hidden="1" x14ac:dyDescent="0.25">
      <c r="A3666" s="9" t="s">
        <v>1475</v>
      </c>
      <c r="B3666" s="3" t="s">
        <v>1781</v>
      </c>
      <c r="C3666" s="10">
        <v>4</v>
      </c>
      <c r="D3666" s="10">
        <v>3</v>
      </c>
      <c r="E3666" s="10">
        <v>19</v>
      </c>
      <c r="F3666" t="s">
        <v>41</v>
      </c>
      <c r="G3666" t="s">
        <v>889</v>
      </c>
      <c r="H3666" t="s">
        <v>39</v>
      </c>
      <c r="I3666" t="s">
        <v>27</v>
      </c>
      <c r="J3666" s="4">
        <v>12</v>
      </c>
      <c r="K3666">
        <v>2</v>
      </c>
      <c r="L3666">
        <v>12</v>
      </c>
      <c r="M3666">
        <v>24</v>
      </c>
      <c r="N3666" s="5">
        <v>1.21973757161338</v>
      </c>
      <c r="O3666" t="s">
        <v>39</v>
      </c>
      <c r="P3666" t="s">
        <v>340</v>
      </c>
      <c r="Q3666" s="10" t="s">
        <v>24</v>
      </c>
    </row>
    <row r="3667" spans="1:18" hidden="1" x14ac:dyDescent="0.25">
      <c r="A3667" s="9" t="s">
        <v>1475</v>
      </c>
      <c r="B3667" s="3" t="s">
        <v>1923</v>
      </c>
      <c r="C3667" s="10">
        <v>5</v>
      </c>
      <c r="D3667" s="10">
        <v>3</v>
      </c>
      <c r="E3667" s="10">
        <v>19</v>
      </c>
      <c r="F3667" t="s">
        <v>802</v>
      </c>
      <c r="G3667" t="s">
        <v>708</v>
      </c>
      <c r="H3667" t="s">
        <v>1612</v>
      </c>
      <c r="I3667" t="s">
        <v>27</v>
      </c>
      <c r="J3667" s="4">
        <v>128</v>
      </c>
      <c r="K3667">
        <v>0.15</v>
      </c>
      <c r="L3667">
        <v>128</v>
      </c>
      <c r="M3667">
        <v>19.2</v>
      </c>
      <c r="N3667" s="5">
        <v>0.97579005729070389</v>
      </c>
      <c r="O3667" t="s">
        <v>100</v>
      </c>
      <c r="P3667" t="s">
        <v>340</v>
      </c>
      <c r="Q3667" s="10" t="s">
        <v>24</v>
      </c>
    </row>
    <row r="3668" spans="1:18" hidden="1" x14ac:dyDescent="0.25">
      <c r="A3668" s="9" t="s">
        <v>1475</v>
      </c>
      <c r="B3668" s="3" t="s">
        <v>1923</v>
      </c>
      <c r="C3668" s="10">
        <v>5</v>
      </c>
      <c r="D3668" s="10">
        <v>3</v>
      </c>
      <c r="E3668" s="10">
        <v>19</v>
      </c>
      <c r="F3668" t="s">
        <v>292</v>
      </c>
      <c r="G3668" t="s">
        <v>889</v>
      </c>
      <c r="H3668" t="s">
        <v>40</v>
      </c>
      <c r="I3668" t="s">
        <v>27</v>
      </c>
      <c r="J3668" s="4">
        <v>17</v>
      </c>
      <c r="K3668">
        <v>1</v>
      </c>
      <c r="L3668">
        <v>17</v>
      </c>
      <c r="M3668">
        <v>17</v>
      </c>
      <c r="N3668" s="5">
        <v>0.86398077989281086</v>
      </c>
      <c r="O3668" t="s">
        <v>100</v>
      </c>
      <c r="P3668" t="s">
        <v>340</v>
      </c>
      <c r="Q3668" s="10" t="s">
        <v>24</v>
      </c>
    </row>
    <row r="3669" spans="1:18" hidden="1" x14ac:dyDescent="0.25">
      <c r="A3669" s="9" t="s">
        <v>1475</v>
      </c>
      <c r="B3669" s="3" t="s">
        <v>1883</v>
      </c>
      <c r="C3669" s="10">
        <v>6</v>
      </c>
      <c r="D3669" s="10">
        <v>3</v>
      </c>
      <c r="E3669" s="10">
        <v>19</v>
      </c>
      <c r="F3669" t="s">
        <v>52</v>
      </c>
      <c r="G3669" t="s">
        <v>889</v>
      </c>
      <c r="H3669" t="s">
        <v>53</v>
      </c>
      <c r="I3669" t="s">
        <v>27</v>
      </c>
      <c r="J3669" s="4">
        <v>35</v>
      </c>
      <c r="K3669">
        <v>2</v>
      </c>
      <c r="L3669">
        <v>35</v>
      </c>
      <c r="M3669">
        <v>70</v>
      </c>
      <c r="N3669" s="5">
        <v>3.5575679172056915</v>
      </c>
      <c r="O3669" t="s">
        <v>101</v>
      </c>
      <c r="P3669" t="s">
        <v>340</v>
      </c>
      <c r="Q3669" s="10" t="s">
        <v>24</v>
      </c>
    </row>
    <row r="3670" spans="1:18" hidden="1" x14ac:dyDescent="0.25">
      <c r="A3670" s="9" t="s">
        <v>1475</v>
      </c>
      <c r="B3670" s="3" t="s">
        <v>1883</v>
      </c>
      <c r="C3670" s="10">
        <v>6</v>
      </c>
      <c r="D3670" s="10">
        <v>3</v>
      </c>
      <c r="E3670" s="10">
        <v>19</v>
      </c>
      <c r="F3670" t="s">
        <v>1322</v>
      </c>
      <c r="G3670" t="s">
        <v>889</v>
      </c>
      <c r="H3670" t="s">
        <v>65</v>
      </c>
      <c r="I3670" t="s">
        <v>27</v>
      </c>
      <c r="J3670" s="4">
        <v>22</v>
      </c>
      <c r="K3670">
        <v>1</v>
      </c>
      <c r="L3670">
        <v>22</v>
      </c>
      <c r="M3670">
        <v>22</v>
      </c>
      <c r="N3670" s="5">
        <v>1.1180927739789317</v>
      </c>
      <c r="O3670" t="s">
        <v>101</v>
      </c>
      <c r="P3670" t="s">
        <v>340</v>
      </c>
      <c r="Q3670" s="10" t="s">
        <v>24</v>
      </c>
    </row>
    <row r="3671" spans="1:18" hidden="1" x14ac:dyDescent="0.25">
      <c r="A3671" s="9" t="s">
        <v>1475</v>
      </c>
      <c r="B3671" s="3" t="s">
        <v>1883</v>
      </c>
      <c r="C3671" s="10">
        <v>6</v>
      </c>
      <c r="D3671" s="10">
        <v>3</v>
      </c>
      <c r="E3671" s="10">
        <v>19</v>
      </c>
      <c r="F3671" t="s">
        <v>58</v>
      </c>
      <c r="G3671" t="s">
        <v>889</v>
      </c>
      <c r="H3671" t="s">
        <v>59</v>
      </c>
      <c r="I3671" t="s">
        <v>27</v>
      </c>
      <c r="J3671" s="4">
        <v>64.650000000000006</v>
      </c>
      <c r="K3671">
        <v>2</v>
      </c>
      <c r="L3671">
        <v>64.650000000000006</v>
      </c>
      <c r="M3671">
        <v>129.30000000000001</v>
      </c>
      <c r="N3671" s="5">
        <v>6.5713361670670851</v>
      </c>
      <c r="O3671" t="s">
        <v>181</v>
      </c>
      <c r="P3671" t="s">
        <v>340</v>
      </c>
      <c r="Q3671" s="10" t="s">
        <v>24</v>
      </c>
      <c r="R3671" t="s">
        <v>700</v>
      </c>
    </row>
    <row r="3672" spans="1:18" hidden="1" x14ac:dyDescent="0.25">
      <c r="A3672" s="9" t="s">
        <v>1475</v>
      </c>
      <c r="B3672" s="3" t="s">
        <v>1883</v>
      </c>
      <c r="C3672" s="10">
        <v>6</v>
      </c>
      <c r="D3672" s="10">
        <v>3</v>
      </c>
      <c r="E3672" s="10">
        <v>19</v>
      </c>
      <c r="F3672" t="s">
        <v>744</v>
      </c>
      <c r="G3672" t="s">
        <v>889</v>
      </c>
      <c r="H3672" t="s">
        <v>54</v>
      </c>
      <c r="I3672" t="s">
        <v>27</v>
      </c>
      <c r="J3672" s="4">
        <v>9.9</v>
      </c>
      <c r="K3672">
        <v>0.70599999999999996</v>
      </c>
      <c r="L3672">
        <v>9.9</v>
      </c>
      <c r="M3672">
        <v>6.9893999999999998</v>
      </c>
      <c r="N3672" s="5">
        <v>0.35521807429310659</v>
      </c>
      <c r="O3672" t="s">
        <v>181</v>
      </c>
      <c r="P3672" t="s">
        <v>340</v>
      </c>
      <c r="Q3672" s="10" t="s">
        <v>24</v>
      </c>
    </row>
    <row r="3673" spans="1:18" hidden="1" x14ac:dyDescent="0.25">
      <c r="A3673" s="9" t="s">
        <v>1475</v>
      </c>
      <c r="B3673" s="3" t="s">
        <v>1883</v>
      </c>
      <c r="C3673" s="10">
        <v>6</v>
      </c>
      <c r="D3673" s="10">
        <v>3</v>
      </c>
      <c r="E3673" s="10">
        <v>19</v>
      </c>
      <c r="F3673" t="s">
        <v>106</v>
      </c>
      <c r="G3673" t="s">
        <v>889</v>
      </c>
      <c r="H3673" t="s">
        <v>56</v>
      </c>
      <c r="I3673" t="s">
        <v>27</v>
      </c>
      <c r="J3673" s="4">
        <v>24.9</v>
      </c>
      <c r="K3673">
        <v>2.298</v>
      </c>
      <c r="L3673">
        <v>24.9</v>
      </c>
      <c r="M3673">
        <v>57.220199999999998</v>
      </c>
      <c r="N3673" s="5">
        <v>2.9080678248013303</v>
      </c>
      <c r="O3673" t="s">
        <v>181</v>
      </c>
      <c r="P3673" t="s">
        <v>340</v>
      </c>
      <c r="Q3673" s="10" t="s">
        <v>24</v>
      </c>
    </row>
    <row r="3674" spans="1:18" hidden="1" x14ac:dyDescent="0.25">
      <c r="A3674" s="9" t="s">
        <v>1475</v>
      </c>
      <c r="B3674" s="3" t="s">
        <v>1883</v>
      </c>
      <c r="C3674" s="10">
        <v>6</v>
      </c>
      <c r="D3674" s="10">
        <v>3</v>
      </c>
      <c r="E3674" s="10">
        <v>19</v>
      </c>
      <c r="F3674" t="s">
        <v>25</v>
      </c>
      <c r="G3674" t="s">
        <v>25</v>
      </c>
      <c r="H3674" t="s">
        <v>26</v>
      </c>
      <c r="I3674" t="s">
        <v>27</v>
      </c>
      <c r="J3674" s="4">
        <v>127.5</v>
      </c>
      <c r="K3674">
        <v>0.60599999999999998</v>
      </c>
      <c r="L3674">
        <v>127.5</v>
      </c>
      <c r="M3674">
        <v>77.265000000000001</v>
      </c>
      <c r="N3674" s="5">
        <v>3.9267926446128252</v>
      </c>
      <c r="O3674" t="s">
        <v>181</v>
      </c>
      <c r="P3674" t="s">
        <v>340</v>
      </c>
      <c r="Q3674" s="10" t="s">
        <v>24</v>
      </c>
    </row>
    <row r="3675" spans="1:18" hidden="1" x14ac:dyDescent="0.25">
      <c r="A3675" s="9" t="s">
        <v>1475</v>
      </c>
      <c r="B3675" s="3" t="s">
        <v>1883</v>
      </c>
      <c r="C3675" s="10">
        <v>6</v>
      </c>
      <c r="D3675" s="10">
        <v>3</v>
      </c>
      <c r="E3675" s="10">
        <v>19</v>
      </c>
      <c r="F3675" t="s">
        <v>212</v>
      </c>
      <c r="G3675" t="s">
        <v>889</v>
      </c>
      <c r="H3675" t="s">
        <v>54</v>
      </c>
      <c r="I3675" t="s">
        <v>27</v>
      </c>
      <c r="J3675" s="4">
        <v>22.8</v>
      </c>
      <c r="K3675">
        <v>1</v>
      </c>
      <c r="L3675">
        <v>22.8</v>
      </c>
      <c r="M3675">
        <v>22.8</v>
      </c>
      <c r="N3675" s="5">
        <v>1.1587506930327109</v>
      </c>
      <c r="O3675" t="s">
        <v>181</v>
      </c>
      <c r="P3675" t="s">
        <v>340</v>
      </c>
      <c r="Q3675" s="10" t="s">
        <v>24</v>
      </c>
    </row>
    <row r="3676" spans="1:18" hidden="1" x14ac:dyDescent="0.25">
      <c r="A3676" s="9" t="s">
        <v>1475</v>
      </c>
      <c r="B3676" s="3" t="s">
        <v>1883</v>
      </c>
      <c r="C3676" s="10">
        <v>6</v>
      </c>
      <c r="D3676" s="10">
        <v>3</v>
      </c>
      <c r="E3676" s="10">
        <v>19</v>
      </c>
      <c r="F3676" t="s">
        <v>121</v>
      </c>
      <c r="G3676" t="s">
        <v>889</v>
      </c>
      <c r="H3676" t="s">
        <v>54</v>
      </c>
      <c r="I3676" t="s">
        <v>27</v>
      </c>
      <c r="J3676" s="4">
        <v>21.8</v>
      </c>
      <c r="K3676">
        <v>0.61199999999999999</v>
      </c>
      <c r="L3676">
        <v>21.8</v>
      </c>
      <c r="M3676">
        <v>13.3416</v>
      </c>
      <c r="N3676" s="5">
        <v>0.67805211605987792</v>
      </c>
      <c r="O3676" t="s">
        <v>181</v>
      </c>
      <c r="P3676" t="s">
        <v>340</v>
      </c>
      <c r="Q3676" s="10" t="s">
        <v>24</v>
      </c>
    </row>
    <row r="3677" spans="1:18" hidden="1" x14ac:dyDescent="0.25">
      <c r="A3677" s="9" t="s">
        <v>1475</v>
      </c>
      <c r="B3677" s="3" t="s">
        <v>1883</v>
      </c>
      <c r="C3677" s="10">
        <v>6</v>
      </c>
      <c r="D3677" s="10">
        <v>3</v>
      </c>
      <c r="E3677" s="10">
        <v>19</v>
      </c>
      <c r="F3677" t="s">
        <v>25</v>
      </c>
      <c r="G3677" t="s">
        <v>25</v>
      </c>
      <c r="H3677" t="s">
        <v>26</v>
      </c>
      <c r="I3677" t="s">
        <v>27</v>
      </c>
      <c r="J3677" s="4">
        <v>247.3</v>
      </c>
      <c r="K3677">
        <v>0.14799999999999999</v>
      </c>
      <c r="L3677">
        <v>247.3</v>
      </c>
      <c r="M3677">
        <v>36.6004</v>
      </c>
      <c r="N3677" s="5">
        <v>1.8601201256699313</v>
      </c>
      <c r="O3677" t="s">
        <v>181</v>
      </c>
      <c r="P3677" t="s">
        <v>340</v>
      </c>
      <c r="Q3677" s="10" t="s">
        <v>24</v>
      </c>
    </row>
    <row r="3678" spans="1:18" hidden="1" x14ac:dyDescent="0.25">
      <c r="A3678" s="9" t="s">
        <v>1475</v>
      </c>
      <c r="B3678" s="3" t="s">
        <v>1883</v>
      </c>
      <c r="C3678" s="10">
        <v>6</v>
      </c>
      <c r="D3678" s="10">
        <v>3</v>
      </c>
      <c r="E3678" s="10">
        <v>19</v>
      </c>
      <c r="F3678" t="s">
        <v>55</v>
      </c>
      <c r="G3678" t="s">
        <v>889</v>
      </c>
      <c r="H3678" t="s">
        <v>56</v>
      </c>
      <c r="I3678" t="s">
        <v>27</v>
      </c>
      <c r="J3678" s="4">
        <v>23.9</v>
      </c>
      <c r="K3678">
        <v>0.98</v>
      </c>
      <c r="L3678">
        <v>23.9</v>
      </c>
      <c r="M3678">
        <v>23.421999999999997</v>
      </c>
      <c r="N3678" s="5">
        <v>1.1903622250970243</v>
      </c>
      <c r="O3678" t="s">
        <v>181</v>
      </c>
      <c r="P3678" t="s">
        <v>340</v>
      </c>
      <c r="Q3678" s="10" t="s">
        <v>24</v>
      </c>
    </row>
    <row r="3679" spans="1:18" hidden="1" x14ac:dyDescent="0.25">
      <c r="A3679" s="9" t="s">
        <v>1475</v>
      </c>
      <c r="B3679" s="3" t="s">
        <v>1883</v>
      </c>
      <c r="C3679" s="10">
        <v>6</v>
      </c>
      <c r="D3679" s="10">
        <v>3</v>
      </c>
      <c r="E3679" s="10">
        <v>19</v>
      </c>
      <c r="F3679" t="s">
        <v>109</v>
      </c>
      <c r="G3679" t="s">
        <v>889</v>
      </c>
      <c r="H3679" t="s">
        <v>54</v>
      </c>
      <c r="I3679" t="s">
        <v>27</v>
      </c>
      <c r="J3679" s="4">
        <v>38.799999999999997</v>
      </c>
      <c r="K3679">
        <v>0.218</v>
      </c>
      <c r="L3679">
        <v>38.799999999999997</v>
      </c>
      <c r="M3679">
        <v>8.4583999999999993</v>
      </c>
      <c r="N3679" s="5">
        <v>0.42987617815560886</v>
      </c>
      <c r="O3679" t="s">
        <v>181</v>
      </c>
      <c r="P3679" t="s">
        <v>340</v>
      </c>
      <c r="Q3679" s="10" t="s">
        <v>24</v>
      </c>
    </row>
    <row r="3680" spans="1:18" hidden="1" x14ac:dyDescent="0.25">
      <c r="A3680" s="9" t="s">
        <v>1475</v>
      </c>
      <c r="B3680" s="3" t="s">
        <v>1883</v>
      </c>
      <c r="C3680" s="10">
        <v>6</v>
      </c>
      <c r="D3680" s="10">
        <v>3</v>
      </c>
      <c r="E3680" s="10">
        <v>19</v>
      </c>
      <c r="F3680" t="s">
        <v>40</v>
      </c>
      <c r="G3680" t="s">
        <v>889</v>
      </c>
      <c r="H3680" t="s">
        <v>40</v>
      </c>
      <c r="I3680" t="s">
        <v>27</v>
      </c>
      <c r="J3680" s="4">
        <v>8</v>
      </c>
      <c r="K3680">
        <v>1</v>
      </c>
      <c r="L3680">
        <v>8</v>
      </c>
      <c r="M3680">
        <v>8</v>
      </c>
      <c r="N3680" s="5">
        <v>0.40657919053779334</v>
      </c>
      <c r="O3680" t="s">
        <v>181</v>
      </c>
      <c r="P3680" t="s">
        <v>340</v>
      </c>
      <c r="Q3680" s="10" t="s">
        <v>24</v>
      </c>
    </row>
    <row r="3681" spans="1:18" hidden="1" x14ac:dyDescent="0.25">
      <c r="A3681" s="9" t="s">
        <v>1475</v>
      </c>
      <c r="B3681" s="3" t="s">
        <v>1831</v>
      </c>
      <c r="C3681" s="10">
        <v>7</v>
      </c>
      <c r="D3681" s="10">
        <v>3</v>
      </c>
      <c r="E3681" s="10">
        <v>19</v>
      </c>
      <c r="F3681" t="s">
        <v>523</v>
      </c>
      <c r="G3681" t="s">
        <v>889</v>
      </c>
      <c r="H3681" t="s">
        <v>73</v>
      </c>
      <c r="I3681" t="s">
        <v>27</v>
      </c>
      <c r="J3681" s="4">
        <v>20.5</v>
      </c>
      <c r="K3681">
        <v>1</v>
      </c>
      <c r="L3681">
        <v>20.5</v>
      </c>
      <c r="M3681">
        <v>20.5</v>
      </c>
      <c r="N3681" s="5">
        <v>1.0418591757530953</v>
      </c>
      <c r="O3681" t="s">
        <v>1472</v>
      </c>
      <c r="P3681" t="s">
        <v>340</v>
      </c>
      <c r="Q3681" s="10" t="s">
        <v>24</v>
      </c>
    </row>
    <row r="3682" spans="1:18" hidden="1" x14ac:dyDescent="0.25">
      <c r="A3682" s="9" t="s">
        <v>1475</v>
      </c>
      <c r="B3682" s="3" t="s">
        <v>1831</v>
      </c>
      <c r="C3682" s="10">
        <v>7</v>
      </c>
      <c r="D3682" s="10">
        <v>3</v>
      </c>
      <c r="E3682" s="10">
        <v>19</v>
      </c>
      <c r="F3682" t="s">
        <v>1826</v>
      </c>
      <c r="G3682" t="s">
        <v>889</v>
      </c>
      <c r="H3682" t="s">
        <v>131</v>
      </c>
      <c r="I3682" t="s">
        <v>27</v>
      </c>
      <c r="J3682" s="4">
        <v>69.989999999999995</v>
      </c>
      <c r="K3682">
        <v>1</v>
      </c>
      <c r="L3682">
        <v>69.989999999999995</v>
      </c>
      <c r="M3682">
        <v>69.989999999999995</v>
      </c>
      <c r="N3682" s="5">
        <v>3.5570596932175191</v>
      </c>
      <c r="O3682" t="s">
        <v>1472</v>
      </c>
      <c r="P3682" t="s">
        <v>340</v>
      </c>
      <c r="Q3682" s="10" t="s">
        <v>24</v>
      </c>
    </row>
    <row r="3683" spans="1:18" hidden="1" x14ac:dyDescent="0.25">
      <c r="A3683" s="9" t="s">
        <v>1475</v>
      </c>
      <c r="B3683" s="3" t="s">
        <v>1867</v>
      </c>
      <c r="C3683" s="10">
        <v>8</v>
      </c>
      <c r="D3683" s="10">
        <v>3</v>
      </c>
      <c r="E3683" s="10">
        <v>19</v>
      </c>
      <c r="F3683" t="s">
        <v>104</v>
      </c>
      <c r="G3683" t="s">
        <v>889</v>
      </c>
      <c r="H3683" t="s">
        <v>889</v>
      </c>
      <c r="I3683" t="s">
        <v>72</v>
      </c>
      <c r="J3683" s="4">
        <v>122.43</v>
      </c>
      <c r="K3683">
        <v>2</v>
      </c>
      <c r="L3683">
        <v>122.43</v>
      </c>
      <c r="M3683">
        <v>244.86</v>
      </c>
      <c r="N3683" s="5">
        <v>12.444372574385509</v>
      </c>
      <c r="O3683" t="s">
        <v>233</v>
      </c>
      <c r="P3683" t="s">
        <v>340</v>
      </c>
      <c r="Q3683" s="10" t="s">
        <v>24</v>
      </c>
      <c r="R3683" t="s">
        <v>1778</v>
      </c>
    </row>
    <row r="3684" spans="1:18" hidden="1" x14ac:dyDescent="0.25">
      <c r="A3684" s="9" t="s">
        <v>1475</v>
      </c>
      <c r="B3684" s="3" t="s">
        <v>1867</v>
      </c>
      <c r="C3684" s="10">
        <v>8</v>
      </c>
      <c r="D3684" s="10">
        <v>3</v>
      </c>
      <c r="E3684" s="10">
        <v>19</v>
      </c>
      <c r="F3684" t="s">
        <v>104</v>
      </c>
      <c r="G3684" t="s">
        <v>889</v>
      </c>
      <c r="H3684" t="s">
        <v>889</v>
      </c>
      <c r="I3684" t="s">
        <v>72</v>
      </c>
      <c r="J3684" s="4">
        <v>20.399999999999999</v>
      </c>
      <c r="K3684">
        <v>4</v>
      </c>
      <c r="L3684">
        <v>20.399999999999999</v>
      </c>
      <c r="M3684">
        <v>81.599999999999994</v>
      </c>
      <c r="N3684" s="5">
        <v>4.1471077434854919</v>
      </c>
      <c r="O3684" t="s">
        <v>233</v>
      </c>
      <c r="P3684" t="s">
        <v>340</v>
      </c>
      <c r="Q3684" s="10" t="s">
        <v>24</v>
      </c>
      <c r="R3684" t="s">
        <v>1844</v>
      </c>
    </row>
    <row r="3685" spans="1:18" hidden="1" x14ac:dyDescent="0.25">
      <c r="A3685" s="9" t="s">
        <v>1475</v>
      </c>
      <c r="B3685" s="3" t="s">
        <v>1867</v>
      </c>
      <c r="C3685" s="10">
        <v>8</v>
      </c>
      <c r="D3685" s="10">
        <v>3</v>
      </c>
      <c r="E3685" s="10">
        <v>19</v>
      </c>
      <c r="F3685" t="s">
        <v>1846</v>
      </c>
      <c r="G3685" t="s">
        <v>889</v>
      </c>
      <c r="H3685" t="s">
        <v>102</v>
      </c>
      <c r="I3685" t="s">
        <v>27</v>
      </c>
      <c r="J3685" s="4">
        <v>49.98</v>
      </c>
      <c r="K3685">
        <v>2</v>
      </c>
      <c r="L3685">
        <v>49.98</v>
      </c>
      <c r="M3685">
        <v>99.96</v>
      </c>
      <c r="N3685" s="5">
        <v>5.0802069857697276</v>
      </c>
      <c r="O3685" t="s">
        <v>233</v>
      </c>
      <c r="P3685" t="s">
        <v>340</v>
      </c>
      <c r="Q3685" s="10" t="s">
        <v>24</v>
      </c>
      <c r="R3685" t="s">
        <v>1848</v>
      </c>
    </row>
    <row r="3686" spans="1:18" hidden="1" x14ac:dyDescent="0.25">
      <c r="A3686" s="9" t="s">
        <v>1475</v>
      </c>
      <c r="B3686" s="3" t="s">
        <v>1867</v>
      </c>
      <c r="C3686" s="10">
        <v>8</v>
      </c>
      <c r="D3686" s="10">
        <v>3</v>
      </c>
      <c r="E3686" s="10">
        <v>19</v>
      </c>
      <c r="F3686" t="s">
        <v>39</v>
      </c>
      <c r="G3686" t="s">
        <v>889</v>
      </c>
      <c r="H3686" t="s">
        <v>889</v>
      </c>
      <c r="I3686" t="s">
        <v>72</v>
      </c>
      <c r="J3686" s="4">
        <v>17.84</v>
      </c>
      <c r="K3686">
        <v>2</v>
      </c>
      <c r="L3686">
        <v>17.84</v>
      </c>
      <c r="M3686">
        <v>35.68</v>
      </c>
      <c r="N3686" s="5">
        <v>1.8133431897985581</v>
      </c>
      <c r="O3686" t="s">
        <v>233</v>
      </c>
      <c r="P3686" t="s">
        <v>340</v>
      </c>
      <c r="Q3686" s="10" t="s">
        <v>24</v>
      </c>
      <c r="R3686" t="s">
        <v>1847</v>
      </c>
    </row>
    <row r="3687" spans="1:18" hidden="1" x14ac:dyDescent="0.25">
      <c r="A3687" s="9" t="s">
        <v>1475</v>
      </c>
      <c r="B3687" s="3" t="s">
        <v>1867</v>
      </c>
      <c r="C3687" s="10">
        <v>8</v>
      </c>
      <c r="D3687" s="10">
        <v>3</v>
      </c>
      <c r="E3687" s="10">
        <v>19</v>
      </c>
      <c r="F3687" t="s">
        <v>146</v>
      </c>
      <c r="G3687" t="s">
        <v>889</v>
      </c>
      <c r="H3687" t="s">
        <v>49</v>
      </c>
      <c r="I3687" t="s">
        <v>50</v>
      </c>
      <c r="J3687" s="4">
        <v>0.3</v>
      </c>
      <c r="K3687">
        <v>1</v>
      </c>
      <c r="L3687">
        <v>0.3</v>
      </c>
      <c r="M3687">
        <v>0.3</v>
      </c>
      <c r="N3687" s="5">
        <v>1.5246719645167248E-2</v>
      </c>
      <c r="O3687" t="s">
        <v>233</v>
      </c>
      <c r="P3687" t="s">
        <v>340</v>
      </c>
      <c r="Q3687" s="10" t="s">
        <v>24</v>
      </c>
    </row>
    <row r="3688" spans="1:18" hidden="1" x14ac:dyDescent="0.25">
      <c r="A3688" s="9" t="s">
        <v>1475</v>
      </c>
      <c r="B3688" s="3" t="s">
        <v>1867</v>
      </c>
      <c r="C3688" s="10">
        <v>8</v>
      </c>
      <c r="D3688" s="10">
        <v>3</v>
      </c>
      <c r="E3688" s="10">
        <v>19</v>
      </c>
      <c r="F3688" t="s">
        <v>52</v>
      </c>
      <c r="G3688" t="s">
        <v>889</v>
      </c>
      <c r="H3688" t="s">
        <v>53</v>
      </c>
      <c r="I3688" t="s">
        <v>27</v>
      </c>
      <c r="J3688" s="4">
        <v>35</v>
      </c>
      <c r="K3688">
        <v>1</v>
      </c>
      <c r="L3688">
        <v>35</v>
      </c>
      <c r="M3688">
        <v>35</v>
      </c>
      <c r="N3688" s="5">
        <v>1.7787839586028458</v>
      </c>
      <c r="O3688" t="s">
        <v>101</v>
      </c>
      <c r="P3688" t="s">
        <v>340</v>
      </c>
      <c r="Q3688" s="10" t="s">
        <v>24</v>
      </c>
    </row>
    <row r="3689" spans="1:18" hidden="1" x14ac:dyDescent="0.25">
      <c r="A3689" s="9" t="s">
        <v>1475</v>
      </c>
      <c r="B3689" s="3" t="s">
        <v>1867</v>
      </c>
      <c r="C3689" s="10">
        <v>8</v>
      </c>
      <c r="D3689" s="10">
        <v>3</v>
      </c>
      <c r="E3689" s="10">
        <v>19</v>
      </c>
      <c r="F3689" t="s">
        <v>1793</v>
      </c>
      <c r="G3689" t="s">
        <v>889</v>
      </c>
      <c r="H3689" t="s">
        <v>65</v>
      </c>
      <c r="I3689" t="s">
        <v>27</v>
      </c>
      <c r="J3689" s="4">
        <v>2.75</v>
      </c>
      <c r="K3689">
        <v>1</v>
      </c>
      <c r="L3689">
        <v>2.75</v>
      </c>
      <c r="M3689">
        <v>2.75</v>
      </c>
      <c r="N3689" s="5">
        <v>0.13976159674736646</v>
      </c>
      <c r="O3689" t="s">
        <v>101</v>
      </c>
      <c r="P3689" t="s">
        <v>340</v>
      </c>
      <c r="Q3689" s="10" t="s">
        <v>24</v>
      </c>
      <c r="R3689" t="s">
        <v>241</v>
      </c>
    </row>
    <row r="3690" spans="1:18" hidden="1" x14ac:dyDescent="0.25">
      <c r="A3690" s="9" t="s">
        <v>1475</v>
      </c>
      <c r="B3690" s="3" t="s">
        <v>1867</v>
      </c>
      <c r="C3690" s="10">
        <v>8</v>
      </c>
      <c r="D3690" s="10">
        <v>3</v>
      </c>
      <c r="E3690" s="10">
        <v>19</v>
      </c>
      <c r="F3690" t="s">
        <v>1793</v>
      </c>
      <c r="G3690" t="s">
        <v>889</v>
      </c>
      <c r="H3690" t="s">
        <v>65</v>
      </c>
      <c r="I3690" t="s">
        <v>27</v>
      </c>
      <c r="J3690" s="4">
        <v>12.5</v>
      </c>
      <c r="K3690">
        <v>2</v>
      </c>
      <c r="L3690">
        <v>12.5</v>
      </c>
      <c r="M3690">
        <v>25</v>
      </c>
      <c r="N3690" s="5">
        <v>1.2705599704306041</v>
      </c>
      <c r="O3690" t="s">
        <v>101</v>
      </c>
      <c r="P3690" t="s">
        <v>340</v>
      </c>
      <c r="Q3690" s="10" t="s">
        <v>24</v>
      </c>
      <c r="R3690" t="s">
        <v>76</v>
      </c>
    </row>
    <row r="3691" spans="1:18" hidden="1" x14ac:dyDescent="0.25">
      <c r="A3691" s="9" t="s">
        <v>1475</v>
      </c>
      <c r="B3691" s="3" t="s">
        <v>1882</v>
      </c>
      <c r="C3691" s="10">
        <v>9</v>
      </c>
      <c r="D3691" s="10">
        <v>3</v>
      </c>
      <c r="E3691" s="10">
        <v>19</v>
      </c>
      <c r="F3691" t="s">
        <v>1873</v>
      </c>
      <c r="G3691" t="s">
        <v>304</v>
      </c>
      <c r="H3691" t="s">
        <v>1695</v>
      </c>
      <c r="I3691" t="s">
        <v>79</v>
      </c>
      <c r="J3691" s="4">
        <v>350</v>
      </c>
      <c r="K3691">
        <v>1</v>
      </c>
      <c r="L3691">
        <v>350</v>
      </c>
      <c r="M3691">
        <v>350</v>
      </c>
      <c r="N3691" s="5">
        <v>17.787839586028458</v>
      </c>
      <c r="O3691" t="s">
        <v>39</v>
      </c>
      <c r="P3691" t="s">
        <v>340</v>
      </c>
      <c r="Q3691" s="10" t="s">
        <v>24</v>
      </c>
    </row>
    <row r="3692" spans="1:18" hidden="1" x14ac:dyDescent="0.25">
      <c r="A3692" s="9" t="s">
        <v>1475</v>
      </c>
      <c r="B3692" s="3" t="s">
        <v>1882</v>
      </c>
      <c r="C3692" s="10">
        <v>9</v>
      </c>
      <c r="D3692" s="10">
        <v>3</v>
      </c>
      <c r="E3692" s="10">
        <v>19</v>
      </c>
      <c r="F3692" t="s">
        <v>146</v>
      </c>
      <c r="G3692" t="s">
        <v>889</v>
      </c>
      <c r="H3692" t="s">
        <v>49</v>
      </c>
      <c r="I3692" t="s">
        <v>50</v>
      </c>
      <c r="J3692" s="4">
        <v>0.75</v>
      </c>
      <c r="K3692">
        <v>1</v>
      </c>
      <c r="L3692">
        <v>0.75</v>
      </c>
      <c r="M3692">
        <v>0.75</v>
      </c>
      <c r="N3692" s="5">
        <v>3.8116799112918126E-2</v>
      </c>
      <c r="O3692" t="s">
        <v>100</v>
      </c>
      <c r="P3692" t="s">
        <v>340</v>
      </c>
      <c r="Q3692" s="10" t="s">
        <v>24</v>
      </c>
    </row>
    <row r="3693" spans="1:18" hidden="1" x14ac:dyDescent="0.25">
      <c r="A3693" s="9" t="s">
        <v>1475</v>
      </c>
      <c r="B3693" s="3" t="s">
        <v>1882</v>
      </c>
      <c r="C3693" s="10">
        <v>9</v>
      </c>
      <c r="D3693" s="10">
        <v>3</v>
      </c>
      <c r="E3693" s="10">
        <v>19</v>
      </c>
      <c r="F3693" t="s">
        <v>373</v>
      </c>
      <c r="G3693" t="s">
        <v>889</v>
      </c>
      <c r="H3693" t="s">
        <v>65</v>
      </c>
      <c r="I3693" t="s">
        <v>27</v>
      </c>
      <c r="J3693" s="4">
        <v>13</v>
      </c>
      <c r="K3693">
        <v>1</v>
      </c>
      <c r="L3693">
        <v>13</v>
      </c>
      <c r="M3693">
        <v>13</v>
      </c>
      <c r="N3693" s="5">
        <v>0.66069118462391419</v>
      </c>
      <c r="O3693" t="s">
        <v>100</v>
      </c>
      <c r="P3693" t="s">
        <v>340</v>
      </c>
      <c r="Q3693" s="10" t="s">
        <v>24</v>
      </c>
    </row>
    <row r="3694" spans="1:18" hidden="1" x14ac:dyDescent="0.25">
      <c r="A3694" s="9" t="s">
        <v>1475</v>
      </c>
      <c r="B3694" s="3" t="s">
        <v>1882</v>
      </c>
      <c r="C3694" s="10">
        <v>9</v>
      </c>
      <c r="D3694" s="10">
        <v>3</v>
      </c>
      <c r="E3694" s="10">
        <v>19</v>
      </c>
      <c r="F3694" t="s">
        <v>373</v>
      </c>
      <c r="G3694" t="s">
        <v>889</v>
      </c>
      <c r="H3694" t="s">
        <v>65</v>
      </c>
      <c r="I3694" t="s">
        <v>27</v>
      </c>
      <c r="J3694" s="4">
        <v>9</v>
      </c>
      <c r="K3694">
        <v>2</v>
      </c>
      <c r="L3694">
        <v>9</v>
      </c>
      <c r="M3694">
        <v>18</v>
      </c>
      <c r="N3694" s="5">
        <v>0.91480317871003503</v>
      </c>
      <c r="O3694" t="s">
        <v>100</v>
      </c>
      <c r="P3694" t="s">
        <v>340</v>
      </c>
      <c r="Q3694" s="10" t="s">
        <v>24</v>
      </c>
    </row>
    <row r="3695" spans="1:18" hidden="1" x14ac:dyDescent="0.25">
      <c r="A3695" s="9" t="s">
        <v>1475</v>
      </c>
      <c r="B3695" s="3" t="s">
        <v>1882</v>
      </c>
      <c r="C3695" s="10">
        <v>9</v>
      </c>
      <c r="D3695" s="10">
        <v>3</v>
      </c>
      <c r="E3695" s="10">
        <v>19</v>
      </c>
      <c r="F3695" t="s">
        <v>1036</v>
      </c>
      <c r="G3695" t="s">
        <v>889</v>
      </c>
      <c r="H3695" t="s">
        <v>38</v>
      </c>
      <c r="I3695" t="s">
        <v>27</v>
      </c>
      <c r="J3695" s="4">
        <v>113.6</v>
      </c>
      <c r="K3695">
        <v>0.28199999999999997</v>
      </c>
      <c r="L3695">
        <v>113.6</v>
      </c>
      <c r="M3695">
        <v>32.035199999999996</v>
      </c>
      <c r="N3695" s="5">
        <v>1.6281057105895393</v>
      </c>
      <c r="O3695" t="s">
        <v>100</v>
      </c>
      <c r="P3695" t="s">
        <v>340</v>
      </c>
      <c r="Q3695" s="10" t="s">
        <v>24</v>
      </c>
    </row>
    <row r="3696" spans="1:18" hidden="1" x14ac:dyDescent="0.25">
      <c r="A3696" s="9" t="s">
        <v>1475</v>
      </c>
      <c r="B3696" s="3" t="s">
        <v>1882</v>
      </c>
      <c r="C3696" s="10">
        <v>9</v>
      </c>
      <c r="D3696" s="10">
        <v>3</v>
      </c>
      <c r="E3696" s="10">
        <v>19</v>
      </c>
      <c r="F3696" t="s">
        <v>1897</v>
      </c>
      <c r="H3696" t="s">
        <v>62</v>
      </c>
      <c r="I3696" t="s">
        <v>27</v>
      </c>
      <c r="J3696" s="4">
        <v>48.7</v>
      </c>
      <c r="K3696">
        <v>1</v>
      </c>
      <c r="L3696">
        <v>48.7</v>
      </c>
      <c r="M3696">
        <v>48.7</v>
      </c>
      <c r="N3696" s="5">
        <v>2.475050822398817</v>
      </c>
      <c r="O3696" t="s">
        <v>100</v>
      </c>
      <c r="P3696" t="s">
        <v>340</v>
      </c>
      <c r="Q3696" s="10" t="s">
        <v>24</v>
      </c>
    </row>
    <row r="3697" spans="1:17" hidden="1" x14ac:dyDescent="0.25">
      <c r="A3697" s="9" t="s">
        <v>1475</v>
      </c>
      <c r="B3697" s="3" t="s">
        <v>1882</v>
      </c>
      <c r="C3697" s="10">
        <v>9</v>
      </c>
      <c r="D3697" s="10">
        <v>3</v>
      </c>
      <c r="E3697" s="10">
        <v>19</v>
      </c>
      <c r="F3697" t="s">
        <v>656</v>
      </c>
      <c r="G3697" t="s">
        <v>33</v>
      </c>
      <c r="H3697" t="s">
        <v>35</v>
      </c>
      <c r="I3697" t="s">
        <v>27</v>
      </c>
      <c r="J3697" s="4">
        <v>103.6</v>
      </c>
      <c r="K3697">
        <v>0.57999999999999996</v>
      </c>
      <c r="L3697">
        <v>103.6</v>
      </c>
      <c r="M3697">
        <v>60.087999999999994</v>
      </c>
      <c r="N3697" s="5">
        <v>3.0538163001293652</v>
      </c>
      <c r="O3697" t="s">
        <v>100</v>
      </c>
      <c r="P3697" t="s">
        <v>340</v>
      </c>
      <c r="Q3697" s="10" t="s">
        <v>24</v>
      </c>
    </row>
    <row r="3698" spans="1:17" hidden="1" x14ac:dyDescent="0.25">
      <c r="A3698" s="9" t="s">
        <v>1475</v>
      </c>
      <c r="B3698" s="3" t="s">
        <v>1882</v>
      </c>
      <c r="C3698" s="10">
        <v>9</v>
      </c>
      <c r="D3698" s="10">
        <v>3</v>
      </c>
      <c r="E3698" s="10">
        <v>19</v>
      </c>
      <c r="F3698" t="s">
        <v>802</v>
      </c>
      <c r="G3698" t="s">
        <v>708</v>
      </c>
      <c r="H3698" t="s">
        <v>1612</v>
      </c>
      <c r="I3698" t="s">
        <v>27</v>
      </c>
      <c r="J3698" s="4">
        <v>128</v>
      </c>
      <c r="K3698">
        <v>0.29399999999999998</v>
      </c>
      <c r="L3698">
        <v>128</v>
      </c>
      <c r="M3698">
        <v>37.631999999999998</v>
      </c>
      <c r="N3698" s="5">
        <v>1.9125485122897796</v>
      </c>
      <c r="O3698" t="s">
        <v>100</v>
      </c>
      <c r="P3698" t="s">
        <v>340</v>
      </c>
      <c r="Q3698" s="10" t="s">
        <v>24</v>
      </c>
    </row>
    <row r="3699" spans="1:17" hidden="1" x14ac:dyDescent="0.25">
      <c r="A3699" s="9" t="s">
        <v>1475</v>
      </c>
      <c r="B3699" s="3" t="s">
        <v>1882</v>
      </c>
      <c r="C3699" s="10">
        <v>9</v>
      </c>
      <c r="D3699" s="10">
        <v>3</v>
      </c>
      <c r="E3699" s="10">
        <v>19</v>
      </c>
      <c r="F3699" t="s">
        <v>292</v>
      </c>
      <c r="G3699" t="s">
        <v>889</v>
      </c>
      <c r="H3699" t="s">
        <v>40</v>
      </c>
      <c r="I3699" t="s">
        <v>27</v>
      </c>
      <c r="J3699" s="4">
        <v>17</v>
      </c>
      <c r="K3699">
        <v>1</v>
      </c>
      <c r="L3699">
        <v>17</v>
      </c>
      <c r="M3699">
        <v>17</v>
      </c>
      <c r="N3699" s="5">
        <v>0.86398077989281086</v>
      </c>
      <c r="O3699" t="s">
        <v>100</v>
      </c>
      <c r="P3699" t="s">
        <v>340</v>
      </c>
      <c r="Q3699" s="10" t="s">
        <v>24</v>
      </c>
    </row>
    <row r="3700" spans="1:17" hidden="1" x14ac:dyDescent="0.25">
      <c r="A3700" s="9" t="s">
        <v>1475</v>
      </c>
      <c r="B3700" s="3" t="s">
        <v>1882</v>
      </c>
      <c r="C3700" s="10">
        <v>9</v>
      </c>
      <c r="D3700" s="10">
        <v>3</v>
      </c>
      <c r="E3700" s="10">
        <v>19</v>
      </c>
      <c r="F3700" t="s">
        <v>1389</v>
      </c>
      <c r="G3700" t="s">
        <v>889</v>
      </c>
      <c r="H3700" t="s">
        <v>49</v>
      </c>
      <c r="I3700" t="s">
        <v>50</v>
      </c>
      <c r="J3700" s="4">
        <v>85.62</v>
      </c>
      <c r="K3700">
        <v>2</v>
      </c>
      <c r="L3700">
        <v>85.62</v>
      </c>
      <c r="M3700">
        <v>162.67000000000002</v>
      </c>
      <c r="N3700" s="5">
        <v>8.2672796155978556</v>
      </c>
      <c r="O3700" t="s">
        <v>51</v>
      </c>
      <c r="P3700" t="s">
        <v>340</v>
      </c>
      <c r="Q3700" s="10" t="s">
        <v>24</v>
      </c>
    </row>
    <row r="3701" spans="1:17" hidden="1" x14ac:dyDescent="0.25">
      <c r="A3701" s="9" t="s">
        <v>1475</v>
      </c>
      <c r="B3701" s="3" t="s">
        <v>1882</v>
      </c>
      <c r="C3701" s="10">
        <v>9</v>
      </c>
      <c r="D3701" s="10">
        <v>3</v>
      </c>
      <c r="E3701" s="10">
        <v>19</v>
      </c>
      <c r="F3701" t="s">
        <v>107</v>
      </c>
      <c r="G3701" t="s">
        <v>889</v>
      </c>
      <c r="H3701" t="s">
        <v>53</v>
      </c>
      <c r="I3701" t="s">
        <v>27</v>
      </c>
      <c r="J3701" s="4">
        <v>59.5</v>
      </c>
      <c r="K3701">
        <v>2</v>
      </c>
      <c r="L3701">
        <v>59.5</v>
      </c>
      <c r="M3701">
        <v>119</v>
      </c>
      <c r="N3701" s="5">
        <v>6.0478654592496754</v>
      </c>
      <c r="O3701" t="s">
        <v>51</v>
      </c>
      <c r="P3701" t="s">
        <v>340</v>
      </c>
      <c r="Q3701" s="10" t="s">
        <v>24</v>
      </c>
    </row>
    <row r="3702" spans="1:17" hidden="1" x14ac:dyDescent="0.25">
      <c r="A3702" s="9" t="s">
        <v>1475</v>
      </c>
      <c r="B3702" s="3" t="s">
        <v>1882</v>
      </c>
      <c r="C3702" s="10">
        <v>9</v>
      </c>
      <c r="D3702" s="10">
        <v>3</v>
      </c>
      <c r="E3702" s="10">
        <v>19</v>
      </c>
      <c r="F3702" t="s">
        <v>898</v>
      </c>
      <c r="G3702" t="s">
        <v>889</v>
      </c>
      <c r="H3702" t="s">
        <v>39</v>
      </c>
      <c r="I3702" t="s">
        <v>27</v>
      </c>
      <c r="J3702" s="4">
        <v>25.9</v>
      </c>
      <c r="K3702">
        <v>1</v>
      </c>
      <c r="L3702">
        <v>25.9</v>
      </c>
      <c r="M3702">
        <v>25.9</v>
      </c>
      <c r="N3702" s="5">
        <v>1.3163001293661059</v>
      </c>
      <c r="O3702" t="s">
        <v>51</v>
      </c>
      <c r="P3702" t="s">
        <v>340</v>
      </c>
      <c r="Q3702" s="10" t="s">
        <v>24</v>
      </c>
    </row>
    <row r="3703" spans="1:17" hidden="1" x14ac:dyDescent="0.25">
      <c r="A3703" s="9" t="s">
        <v>1475</v>
      </c>
      <c r="B3703" s="3" t="s">
        <v>1882</v>
      </c>
      <c r="C3703" s="10">
        <v>9</v>
      </c>
      <c r="D3703" s="10">
        <v>3</v>
      </c>
      <c r="E3703" s="10">
        <v>19</v>
      </c>
      <c r="F3703" t="s">
        <v>1294</v>
      </c>
      <c r="G3703" t="s">
        <v>889</v>
      </c>
      <c r="H3703" t="s">
        <v>131</v>
      </c>
      <c r="I3703" t="s">
        <v>27</v>
      </c>
      <c r="J3703" s="4">
        <v>9.9</v>
      </c>
      <c r="K3703">
        <v>2</v>
      </c>
      <c r="L3703">
        <v>9.9</v>
      </c>
      <c r="M3703">
        <v>19.8</v>
      </c>
      <c r="N3703" s="5">
        <v>1.0062834965810386</v>
      </c>
      <c r="O3703" t="s">
        <v>51</v>
      </c>
      <c r="P3703" t="s">
        <v>340</v>
      </c>
      <c r="Q3703" s="10" t="s">
        <v>24</v>
      </c>
    </row>
    <row r="3704" spans="1:17" hidden="1" x14ac:dyDescent="0.25">
      <c r="A3704" s="9" t="s">
        <v>1475</v>
      </c>
      <c r="B3704" s="3" t="s">
        <v>1882</v>
      </c>
      <c r="C3704" s="10">
        <v>9</v>
      </c>
      <c r="D3704" s="10">
        <v>3</v>
      </c>
      <c r="E3704" s="10">
        <v>19</v>
      </c>
      <c r="F3704" t="s">
        <v>1942</v>
      </c>
      <c r="G3704" t="s">
        <v>889</v>
      </c>
      <c r="H3704" t="s">
        <v>131</v>
      </c>
      <c r="I3704" t="s">
        <v>27</v>
      </c>
      <c r="J3704" s="4">
        <v>7.39</v>
      </c>
      <c r="K3704">
        <v>1</v>
      </c>
      <c r="L3704">
        <v>7.39</v>
      </c>
      <c r="M3704">
        <v>7.39</v>
      </c>
      <c r="N3704" s="5">
        <v>0.37557752725928656</v>
      </c>
      <c r="O3704" t="s">
        <v>51</v>
      </c>
      <c r="P3704" t="s">
        <v>340</v>
      </c>
      <c r="Q3704" s="10" t="s">
        <v>24</v>
      </c>
    </row>
    <row r="3705" spans="1:17" hidden="1" x14ac:dyDescent="0.25">
      <c r="A3705" s="9" t="s">
        <v>1475</v>
      </c>
      <c r="B3705" s="3" t="s">
        <v>1882</v>
      </c>
      <c r="C3705" s="10">
        <v>9</v>
      </c>
      <c r="D3705" s="10">
        <v>3</v>
      </c>
      <c r="E3705" s="10">
        <v>19</v>
      </c>
      <c r="F3705" t="s">
        <v>55</v>
      </c>
      <c r="G3705" t="s">
        <v>889</v>
      </c>
      <c r="H3705" t="s">
        <v>56</v>
      </c>
      <c r="I3705" t="s">
        <v>27</v>
      </c>
      <c r="J3705" s="4">
        <v>20.9</v>
      </c>
      <c r="K3705">
        <v>0.96199999999999997</v>
      </c>
      <c r="L3705">
        <v>20.9</v>
      </c>
      <c r="M3705">
        <v>20.105799999999999</v>
      </c>
      <c r="N3705" s="5">
        <v>1.0218249861393456</v>
      </c>
      <c r="O3705" t="s">
        <v>51</v>
      </c>
      <c r="P3705" t="s">
        <v>340</v>
      </c>
      <c r="Q3705" s="10" t="s">
        <v>24</v>
      </c>
    </row>
    <row r="3706" spans="1:17" hidden="1" x14ac:dyDescent="0.25">
      <c r="A3706" s="9" t="s">
        <v>1475</v>
      </c>
      <c r="B3706" s="3" t="s">
        <v>1882</v>
      </c>
      <c r="C3706" s="10">
        <v>9</v>
      </c>
      <c r="D3706" s="10">
        <v>3</v>
      </c>
      <c r="E3706" s="10">
        <v>19</v>
      </c>
      <c r="F3706" t="s">
        <v>595</v>
      </c>
      <c r="G3706" t="s">
        <v>889</v>
      </c>
      <c r="H3706" t="s">
        <v>54</v>
      </c>
      <c r="I3706" t="s">
        <v>27</v>
      </c>
      <c r="J3706" s="4">
        <v>9.98</v>
      </c>
      <c r="K3706">
        <v>1</v>
      </c>
      <c r="L3706">
        <v>9.98</v>
      </c>
      <c r="M3706">
        <v>9.98</v>
      </c>
      <c r="N3706" s="5">
        <v>0.5072075401958972</v>
      </c>
      <c r="O3706" t="s">
        <v>51</v>
      </c>
      <c r="P3706" t="s">
        <v>340</v>
      </c>
      <c r="Q3706" s="10" t="s">
        <v>24</v>
      </c>
    </row>
    <row r="3707" spans="1:17" hidden="1" x14ac:dyDescent="0.25">
      <c r="A3707" s="9" t="s">
        <v>1475</v>
      </c>
      <c r="B3707" s="3" t="s">
        <v>1882</v>
      </c>
      <c r="C3707" s="10">
        <v>9</v>
      </c>
      <c r="D3707" s="10">
        <v>3</v>
      </c>
      <c r="E3707" s="10">
        <v>19</v>
      </c>
      <c r="F3707" t="s">
        <v>523</v>
      </c>
      <c r="G3707" t="s">
        <v>889</v>
      </c>
      <c r="H3707" t="s">
        <v>73</v>
      </c>
      <c r="I3707" t="s">
        <v>27</v>
      </c>
      <c r="J3707" s="4">
        <v>20.76</v>
      </c>
      <c r="K3707">
        <v>1</v>
      </c>
      <c r="L3707">
        <v>20.76</v>
      </c>
      <c r="M3707">
        <v>20.76</v>
      </c>
      <c r="N3707" s="5">
        <v>1.0550729994455736</v>
      </c>
      <c r="O3707" t="s">
        <v>51</v>
      </c>
      <c r="P3707" t="s">
        <v>340</v>
      </c>
      <c r="Q3707" s="10" t="s">
        <v>24</v>
      </c>
    </row>
    <row r="3708" spans="1:17" hidden="1" x14ac:dyDescent="0.25">
      <c r="A3708" s="9" t="s">
        <v>1475</v>
      </c>
      <c r="B3708" s="3" t="s">
        <v>1882</v>
      </c>
      <c r="C3708" s="10">
        <v>9</v>
      </c>
      <c r="D3708" s="10">
        <v>3</v>
      </c>
      <c r="E3708" s="10">
        <v>19</v>
      </c>
      <c r="F3708" t="s">
        <v>211</v>
      </c>
      <c r="G3708" t="s">
        <v>889</v>
      </c>
      <c r="H3708" t="s">
        <v>56</v>
      </c>
      <c r="I3708" t="s">
        <v>27</v>
      </c>
      <c r="J3708" s="4">
        <v>18.899999999999999</v>
      </c>
      <c r="K3708">
        <v>1.04</v>
      </c>
      <c r="L3708">
        <v>18.899999999999999</v>
      </c>
      <c r="M3708">
        <v>19.655999999999999</v>
      </c>
      <c r="N3708" s="5">
        <v>0.99896507115135813</v>
      </c>
      <c r="O3708" t="s">
        <v>51</v>
      </c>
      <c r="P3708" t="s">
        <v>340</v>
      </c>
      <c r="Q3708" s="10" t="s">
        <v>24</v>
      </c>
    </row>
    <row r="3709" spans="1:17" hidden="1" x14ac:dyDescent="0.25">
      <c r="A3709" s="9" t="s">
        <v>1475</v>
      </c>
      <c r="B3709" s="3" t="s">
        <v>1882</v>
      </c>
      <c r="C3709" s="10">
        <v>9</v>
      </c>
      <c r="D3709" s="10">
        <v>3</v>
      </c>
      <c r="E3709" s="10">
        <v>19</v>
      </c>
      <c r="F3709" t="s">
        <v>839</v>
      </c>
      <c r="G3709" t="s">
        <v>889</v>
      </c>
      <c r="H3709" t="s">
        <v>56</v>
      </c>
      <c r="I3709" t="s">
        <v>27</v>
      </c>
      <c r="J3709" s="4">
        <v>39.49</v>
      </c>
      <c r="K3709">
        <v>1.1279999999999999</v>
      </c>
      <c r="L3709">
        <v>39.49</v>
      </c>
      <c r="M3709">
        <v>44.544719999999998</v>
      </c>
      <c r="N3709" s="5">
        <v>2.2638695250415815</v>
      </c>
      <c r="O3709" t="s">
        <v>51</v>
      </c>
      <c r="P3709" t="s">
        <v>340</v>
      </c>
      <c r="Q3709" s="10" t="s">
        <v>24</v>
      </c>
    </row>
    <row r="3710" spans="1:17" hidden="1" x14ac:dyDescent="0.25">
      <c r="A3710" s="9" t="s">
        <v>1475</v>
      </c>
      <c r="B3710" s="3" t="s">
        <v>1882</v>
      </c>
      <c r="C3710" s="10">
        <v>9</v>
      </c>
      <c r="D3710" s="10">
        <v>3</v>
      </c>
      <c r="E3710" s="10">
        <v>19</v>
      </c>
      <c r="F3710" t="s">
        <v>644</v>
      </c>
      <c r="G3710" t="s">
        <v>67</v>
      </c>
      <c r="H3710" t="s">
        <v>59</v>
      </c>
      <c r="I3710" t="s">
        <v>27</v>
      </c>
      <c r="J3710" s="4">
        <v>86.9</v>
      </c>
      <c r="K3710">
        <v>4</v>
      </c>
      <c r="L3710">
        <v>86.9</v>
      </c>
      <c r="M3710">
        <v>347.6</v>
      </c>
      <c r="N3710" s="5">
        <v>17.665865828867123</v>
      </c>
      <c r="O3710" t="s">
        <v>51</v>
      </c>
      <c r="P3710" t="s">
        <v>340</v>
      </c>
      <c r="Q3710" s="10" t="s">
        <v>84</v>
      </c>
    </row>
    <row r="3711" spans="1:17" hidden="1" x14ac:dyDescent="0.25">
      <c r="A3711" s="9" t="s">
        <v>1475</v>
      </c>
      <c r="B3711" s="3" t="s">
        <v>1882</v>
      </c>
      <c r="C3711" s="10">
        <v>9</v>
      </c>
      <c r="D3711" s="10">
        <v>3</v>
      </c>
      <c r="E3711" s="10">
        <v>19</v>
      </c>
      <c r="F3711" t="s">
        <v>44</v>
      </c>
      <c r="G3711" t="s">
        <v>889</v>
      </c>
      <c r="H3711" t="s">
        <v>44</v>
      </c>
      <c r="I3711" t="s">
        <v>27</v>
      </c>
      <c r="J3711" s="4">
        <v>29.35</v>
      </c>
      <c r="K3711">
        <v>2</v>
      </c>
      <c r="L3711">
        <v>29.35</v>
      </c>
      <c r="M3711">
        <v>58.7</v>
      </c>
      <c r="N3711" s="5">
        <v>2.9832748105710585</v>
      </c>
      <c r="O3711" t="s">
        <v>51</v>
      </c>
      <c r="P3711" t="s">
        <v>340</v>
      </c>
      <c r="Q3711" s="10" t="s">
        <v>24</v>
      </c>
    </row>
    <row r="3712" spans="1:17" hidden="1" x14ac:dyDescent="0.25">
      <c r="A3712" s="9" t="s">
        <v>1475</v>
      </c>
      <c r="B3712" s="3" t="s">
        <v>1882</v>
      </c>
      <c r="C3712" s="10">
        <v>9</v>
      </c>
      <c r="D3712" s="10">
        <v>3</v>
      </c>
      <c r="E3712" s="10">
        <v>19</v>
      </c>
      <c r="F3712" t="s">
        <v>1943</v>
      </c>
      <c r="G3712" t="s">
        <v>889</v>
      </c>
      <c r="H3712" t="s">
        <v>63</v>
      </c>
      <c r="I3712" t="s">
        <v>50</v>
      </c>
      <c r="J3712" s="4">
        <v>184.68</v>
      </c>
      <c r="K3712">
        <v>1</v>
      </c>
      <c r="L3712">
        <v>184.68</v>
      </c>
      <c r="M3712">
        <v>184.68</v>
      </c>
      <c r="N3712" s="5">
        <v>9.3858806135649591</v>
      </c>
      <c r="O3712" t="s">
        <v>51</v>
      </c>
      <c r="P3712" t="s">
        <v>340</v>
      </c>
      <c r="Q3712" s="10" t="s">
        <v>84</v>
      </c>
    </row>
    <row r="3713" spans="1:18" hidden="1" x14ac:dyDescent="0.25">
      <c r="A3713" s="9" t="s">
        <v>1475</v>
      </c>
      <c r="B3713" s="3" t="s">
        <v>1882</v>
      </c>
      <c r="C3713" s="10">
        <v>9</v>
      </c>
      <c r="D3713" s="10">
        <v>3</v>
      </c>
      <c r="E3713" s="10">
        <v>19</v>
      </c>
      <c r="F3713" t="s">
        <v>75</v>
      </c>
      <c r="G3713" t="s">
        <v>889</v>
      </c>
      <c r="H3713" t="s">
        <v>65</v>
      </c>
      <c r="I3713" t="s">
        <v>27</v>
      </c>
      <c r="J3713" s="4">
        <v>8.69</v>
      </c>
      <c r="K3713">
        <v>16</v>
      </c>
      <c r="L3713">
        <v>8.69</v>
      </c>
      <c r="M3713">
        <v>127.89999999999999</v>
      </c>
      <c r="N3713" s="5">
        <v>6.5001848087229703</v>
      </c>
      <c r="O3713" t="s">
        <v>51</v>
      </c>
      <c r="P3713" t="s">
        <v>340</v>
      </c>
      <c r="Q3713" s="10" t="s">
        <v>24</v>
      </c>
    </row>
    <row r="3714" spans="1:18" hidden="1" x14ac:dyDescent="0.25">
      <c r="A3714" s="9" t="s">
        <v>1475</v>
      </c>
      <c r="B3714" s="3" t="s">
        <v>1882</v>
      </c>
      <c r="C3714" s="10">
        <v>9</v>
      </c>
      <c r="D3714" s="10">
        <v>3</v>
      </c>
      <c r="E3714" s="10">
        <v>19</v>
      </c>
      <c r="F3714" t="s">
        <v>1944</v>
      </c>
      <c r="G3714" t="s">
        <v>889</v>
      </c>
      <c r="H3714" t="s">
        <v>63</v>
      </c>
      <c r="I3714" t="s">
        <v>50</v>
      </c>
      <c r="J3714" s="4">
        <v>13.79</v>
      </c>
      <c r="K3714">
        <v>1</v>
      </c>
      <c r="L3714">
        <v>13.79</v>
      </c>
      <c r="M3714">
        <v>13.79</v>
      </c>
      <c r="N3714" s="5">
        <v>0.70084087968952125</v>
      </c>
      <c r="O3714" t="s">
        <v>51</v>
      </c>
      <c r="P3714" t="s">
        <v>340</v>
      </c>
      <c r="Q3714" s="10" t="s">
        <v>24</v>
      </c>
    </row>
    <row r="3715" spans="1:18" hidden="1" x14ac:dyDescent="0.25">
      <c r="A3715" s="9" t="s">
        <v>1475</v>
      </c>
      <c r="B3715" s="3" t="s">
        <v>1882</v>
      </c>
      <c r="C3715" s="10">
        <v>9</v>
      </c>
      <c r="D3715" s="10">
        <v>3</v>
      </c>
      <c r="E3715" s="10">
        <v>19</v>
      </c>
      <c r="F3715" t="s">
        <v>1945</v>
      </c>
      <c r="G3715" t="s">
        <v>889</v>
      </c>
      <c r="H3715" t="s">
        <v>63</v>
      </c>
      <c r="I3715" t="s">
        <v>50</v>
      </c>
      <c r="J3715" s="4">
        <v>160</v>
      </c>
      <c r="K3715">
        <v>1</v>
      </c>
      <c r="L3715">
        <v>160</v>
      </c>
      <c r="M3715">
        <v>160</v>
      </c>
      <c r="N3715" s="5">
        <v>8.1315838107558669</v>
      </c>
      <c r="O3715" t="s">
        <v>51</v>
      </c>
      <c r="P3715" t="s">
        <v>340</v>
      </c>
      <c r="Q3715" s="10" t="s">
        <v>24</v>
      </c>
    </row>
    <row r="3716" spans="1:18" hidden="1" x14ac:dyDescent="0.25">
      <c r="A3716" s="9" t="s">
        <v>1475</v>
      </c>
      <c r="B3716" s="3" t="s">
        <v>1882</v>
      </c>
      <c r="C3716" s="10">
        <v>9</v>
      </c>
      <c r="D3716" s="10">
        <v>3</v>
      </c>
      <c r="E3716" s="10">
        <v>19</v>
      </c>
      <c r="F3716" t="s">
        <v>364</v>
      </c>
      <c r="G3716" t="s">
        <v>889</v>
      </c>
      <c r="H3716" t="s">
        <v>63</v>
      </c>
      <c r="I3716" t="s">
        <v>27</v>
      </c>
      <c r="J3716" s="4">
        <v>24.9</v>
      </c>
      <c r="K3716">
        <v>1</v>
      </c>
      <c r="L3716">
        <v>24.9</v>
      </c>
      <c r="M3716">
        <v>24.9</v>
      </c>
      <c r="N3716" s="5">
        <v>1.2654777305488816</v>
      </c>
      <c r="O3716" t="s">
        <v>51</v>
      </c>
      <c r="P3716" t="s">
        <v>340</v>
      </c>
      <c r="Q3716" s="10" t="s">
        <v>24</v>
      </c>
    </row>
    <row r="3717" spans="1:18" hidden="1" x14ac:dyDescent="0.25">
      <c r="A3717" s="9" t="s">
        <v>1475</v>
      </c>
      <c r="B3717" s="3" t="s">
        <v>1882</v>
      </c>
      <c r="C3717" s="10">
        <v>9</v>
      </c>
      <c r="D3717" s="10">
        <v>3</v>
      </c>
      <c r="E3717" s="10">
        <v>19</v>
      </c>
      <c r="F3717" t="s">
        <v>475</v>
      </c>
      <c r="G3717" t="s">
        <v>889</v>
      </c>
      <c r="H3717" t="s">
        <v>62</v>
      </c>
      <c r="I3717" t="s">
        <v>27</v>
      </c>
      <c r="J3717" s="4">
        <v>25.9</v>
      </c>
      <c r="K3717">
        <v>1</v>
      </c>
      <c r="L3717">
        <v>25.9</v>
      </c>
      <c r="M3717">
        <v>25.9</v>
      </c>
      <c r="N3717" s="5">
        <v>1.3163001293661059</v>
      </c>
      <c r="O3717" t="s">
        <v>51</v>
      </c>
      <c r="P3717" t="s">
        <v>340</v>
      </c>
      <c r="Q3717" s="10" t="s">
        <v>24</v>
      </c>
    </row>
    <row r="3718" spans="1:18" hidden="1" x14ac:dyDescent="0.25">
      <c r="A3718" s="9" t="s">
        <v>1475</v>
      </c>
      <c r="B3718" s="3" t="s">
        <v>1882</v>
      </c>
      <c r="C3718" s="10">
        <v>9</v>
      </c>
      <c r="D3718" s="10">
        <v>3</v>
      </c>
      <c r="E3718" s="10">
        <v>19</v>
      </c>
      <c r="F3718" t="s">
        <v>203</v>
      </c>
      <c r="G3718" t="s">
        <v>889</v>
      </c>
      <c r="H3718" t="s">
        <v>54</v>
      </c>
      <c r="I3718" t="s">
        <v>27</v>
      </c>
      <c r="J3718" s="4">
        <v>43.9</v>
      </c>
      <c r="K3718">
        <v>0.86199999999999999</v>
      </c>
      <c r="L3718">
        <v>43.9</v>
      </c>
      <c r="M3718">
        <v>37.841799999999999</v>
      </c>
      <c r="N3718" s="5">
        <v>1.9232110515616334</v>
      </c>
      <c r="O3718" t="s">
        <v>51</v>
      </c>
      <c r="P3718" t="s">
        <v>340</v>
      </c>
      <c r="Q3718" s="10" t="s">
        <v>24</v>
      </c>
    </row>
    <row r="3719" spans="1:18" hidden="1" x14ac:dyDescent="0.25">
      <c r="A3719" s="9" t="s">
        <v>1475</v>
      </c>
      <c r="B3719" s="3" t="s">
        <v>1882</v>
      </c>
      <c r="C3719" s="10">
        <v>9</v>
      </c>
      <c r="D3719" s="10">
        <v>3</v>
      </c>
      <c r="E3719" s="10">
        <v>19</v>
      </c>
      <c r="F3719" t="s">
        <v>108</v>
      </c>
      <c r="G3719" t="s">
        <v>889</v>
      </c>
      <c r="H3719" t="s">
        <v>54</v>
      </c>
      <c r="I3719" t="s">
        <v>27</v>
      </c>
      <c r="J3719" s="4">
        <v>59.9</v>
      </c>
      <c r="K3719">
        <v>1</v>
      </c>
      <c r="L3719">
        <v>59.9</v>
      </c>
      <c r="M3719">
        <v>59.9</v>
      </c>
      <c r="N3719" s="5">
        <v>3.0442616891517273</v>
      </c>
      <c r="O3719" t="s">
        <v>51</v>
      </c>
      <c r="P3719" t="s">
        <v>340</v>
      </c>
      <c r="Q3719" s="10" t="s">
        <v>24</v>
      </c>
    </row>
    <row r="3720" spans="1:18" hidden="1" x14ac:dyDescent="0.25">
      <c r="A3720" s="9" t="s">
        <v>1475</v>
      </c>
      <c r="B3720" s="3" t="s">
        <v>1882</v>
      </c>
      <c r="C3720" s="10">
        <v>9</v>
      </c>
      <c r="D3720" s="10">
        <v>3</v>
      </c>
      <c r="E3720" s="10">
        <v>19</v>
      </c>
      <c r="F3720" t="s">
        <v>1461</v>
      </c>
      <c r="G3720" t="s">
        <v>889</v>
      </c>
      <c r="H3720" t="s">
        <v>63</v>
      </c>
      <c r="I3720" t="s">
        <v>50</v>
      </c>
      <c r="J3720" s="4">
        <v>48.23</v>
      </c>
      <c r="K3720">
        <v>4</v>
      </c>
      <c r="L3720">
        <v>48.23</v>
      </c>
      <c r="M3720">
        <v>192.92</v>
      </c>
      <c r="N3720" s="5">
        <v>9.8046571798188857</v>
      </c>
      <c r="O3720" t="s">
        <v>51</v>
      </c>
      <c r="P3720" t="s">
        <v>340</v>
      </c>
      <c r="Q3720" s="10" t="s">
        <v>24</v>
      </c>
    </row>
    <row r="3721" spans="1:18" hidden="1" x14ac:dyDescent="0.25">
      <c r="A3721" s="9" t="s">
        <v>1475</v>
      </c>
      <c r="B3721" s="3" t="s">
        <v>1882</v>
      </c>
      <c r="C3721" s="10">
        <v>9</v>
      </c>
      <c r="D3721" s="10">
        <v>3</v>
      </c>
      <c r="E3721" s="10">
        <v>19</v>
      </c>
      <c r="F3721" t="s">
        <v>202</v>
      </c>
      <c r="G3721" t="s">
        <v>889</v>
      </c>
      <c r="H3721" t="s">
        <v>54</v>
      </c>
      <c r="I3721" t="s">
        <v>27</v>
      </c>
      <c r="J3721" s="4">
        <v>83</v>
      </c>
      <c r="K3721">
        <v>0.3</v>
      </c>
      <c r="L3721">
        <v>83</v>
      </c>
      <c r="M3721">
        <v>24.9</v>
      </c>
      <c r="N3721" s="5">
        <v>1.2654777305488816</v>
      </c>
      <c r="O3721" t="s">
        <v>51</v>
      </c>
      <c r="P3721" t="s">
        <v>340</v>
      </c>
      <c r="Q3721" s="10" t="s">
        <v>24</v>
      </c>
    </row>
    <row r="3722" spans="1:18" hidden="1" x14ac:dyDescent="0.25">
      <c r="A3722" s="9" t="s">
        <v>1475</v>
      </c>
      <c r="B3722" s="3" t="s">
        <v>1882</v>
      </c>
      <c r="C3722" s="10">
        <v>9</v>
      </c>
      <c r="D3722" s="10">
        <v>3</v>
      </c>
      <c r="E3722" s="10">
        <v>19</v>
      </c>
      <c r="F3722" t="s">
        <v>576</v>
      </c>
      <c r="G3722" t="s">
        <v>889</v>
      </c>
      <c r="H3722" t="s">
        <v>63</v>
      </c>
      <c r="I3722" t="s">
        <v>50</v>
      </c>
      <c r="J3722" s="4">
        <v>89.9</v>
      </c>
      <c r="K3722">
        <v>1</v>
      </c>
      <c r="L3722">
        <v>89.9</v>
      </c>
      <c r="M3722">
        <v>89.9</v>
      </c>
      <c r="N3722" s="5">
        <v>4.5689336536684531</v>
      </c>
      <c r="O3722" t="s">
        <v>51</v>
      </c>
      <c r="P3722" t="s">
        <v>340</v>
      </c>
      <c r="Q3722" s="10" t="s">
        <v>24</v>
      </c>
    </row>
    <row r="3723" spans="1:18" hidden="1" x14ac:dyDescent="0.25">
      <c r="A3723" s="9" t="s">
        <v>1475</v>
      </c>
      <c r="B3723" s="3" t="s">
        <v>1882</v>
      </c>
      <c r="C3723" s="10">
        <v>9</v>
      </c>
      <c r="D3723" s="10">
        <v>3</v>
      </c>
      <c r="E3723" s="10">
        <v>19</v>
      </c>
      <c r="F3723" t="s">
        <v>1075</v>
      </c>
      <c r="G3723" t="s">
        <v>889</v>
      </c>
      <c r="H3723" t="s">
        <v>56</v>
      </c>
      <c r="I3723" t="s">
        <v>27</v>
      </c>
      <c r="J3723" s="4">
        <v>85</v>
      </c>
      <c r="K3723">
        <v>0.112</v>
      </c>
      <c r="L3723">
        <v>85</v>
      </c>
      <c r="M3723">
        <v>9.52</v>
      </c>
      <c r="N3723" s="5">
        <v>0.48382923673997402</v>
      </c>
      <c r="O3723" t="s">
        <v>51</v>
      </c>
      <c r="P3723" t="s">
        <v>340</v>
      </c>
      <c r="Q3723" s="10" t="s">
        <v>24</v>
      </c>
    </row>
    <row r="3724" spans="1:18" hidden="1" x14ac:dyDescent="0.25">
      <c r="A3724" s="9" t="s">
        <v>1475</v>
      </c>
      <c r="B3724" s="3" t="s">
        <v>1882</v>
      </c>
      <c r="C3724" s="10">
        <v>9</v>
      </c>
      <c r="D3724" s="10">
        <v>3</v>
      </c>
      <c r="E3724" s="10">
        <v>19</v>
      </c>
      <c r="F3724" t="s">
        <v>58</v>
      </c>
      <c r="G3724" t="s">
        <v>889</v>
      </c>
      <c r="H3724" t="s">
        <v>59</v>
      </c>
      <c r="I3724" t="s">
        <v>27</v>
      </c>
      <c r="J3724" s="4">
        <v>112.9</v>
      </c>
      <c r="K3724">
        <v>1</v>
      </c>
      <c r="L3724">
        <v>112.9</v>
      </c>
      <c r="M3724">
        <v>112.9</v>
      </c>
      <c r="N3724" s="5">
        <v>5.7378488264646084</v>
      </c>
      <c r="O3724" t="s">
        <v>51</v>
      </c>
      <c r="P3724" t="s">
        <v>340</v>
      </c>
      <c r="Q3724" s="10" t="s">
        <v>24</v>
      </c>
      <c r="R3724" t="s">
        <v>1946</v>
      </c>
    </row>
    <row r="3725" spans="1:18" hidden="1" x14ac:dyDescent="0.25">
      <c r="A3725" s="9" t="s">
        <v>1475</v>
      </c>
      <c r="B3725" s="3" t="s">
        <v>1882</v>
      </c>
      <c r="C3725" s="10">
        <v>9</v>
      </c>
      <c r="D3725" s="10">
        <v>3</v>
      </c>
      <c r="E3725" s="10">
        <v>19</v>
      </c>
      <c r="F3725" t="s">
        <v>67</v>
      </c>
      <c r="G3725" t="s">
        <v>67</v>
      </c>
      <c r="H3725" t="s">
        <v>59</v>
      </c>
      <c r="I3725" t="s">
        <v>27</v>
      </c>
      <c r="J3725" s="4">
        <v>232.9</v>
      </c>
      <c r="K3725">
        <v>1</v>
      </c>
      <c r="L3725">
        <v>232.9</v>
      </c>
      <c r="M3725">
        <v>232.9</v>
      </c>
      <c r="N3725" s="5">
        <v>11.836536684531508</v>
      </c>
      <c r="O3725" t="s">
        <v>51</v>
      </c>
      <c r="P3725" t="s">
        <v>340</v>
      </c>
      <c r="Q3725" s="10" t="s">
        <v>24</v>
      </c>
    </row>
    <row r="3726" spans="1:18" hidden="1" x14ac:dyDescent="0.25">
      <c r="A3726" s="9" t="s">
        <v>1475</v>
      </c>
      <c r="B3726" s="3" t="s">
        <v>1882</v>
      </c>
      <c r="C3726" s="10">
        <v>9</v>
      </c>
      <c r="D3726" s="10">
        <v>3</v>
      </c>
      <c r="E3726" s="10">
        <v>19</v>
      </c>
      <c r="F3726" t="s">
        <v>58</v>
      </c>
      <c r="G3726" t="s">
        <v>889</v>
      </c>
      <c r="H3726" t="s">
        <v>59</v>
      </c>
      <c r="I3726" t="s">
        <v>27</v>
      </c>
      <c r="J3726" s="4">
        <v>73.900000000000006</v>
      </c>
      <c r="K3726">
        <v>1</v>
      </c>
      <c r="L3726">
        <v>73.900000000000006</v>
      </c>
      <c r="M3726">
        <v>73.900000000000006</v>
      </c>
      <c r="N3726" s="5">
        <v>3.7557752725928659</v>
      </c>
      <c r="O3726" t="s">
        <v>51</v>
      </c>
      <c r="P3726" t="s">
        <v>340</v>
      </c>
      <c r="Q3726" s="10" t="s">
        <v>24</v>
      </c>
      <c r="R3726" t="s">
        <v>1947</v>
      </c>
    </row>
    <row r="3727" spans="1:18" hidden="1" x14ac:dyDescent="0.25">
      <c r="A3727" s="9" t="s">
        <v>1475</v>
      </c>
      <c r="B3727" s="3" t="s">
        <v>1882</v>
      </c>
      <c r="C3727" s="10">
        <v>9</v>
      </c>
      <c r="D3727" s="10">
        <v>3</v>
      </c>
      <c r="E3727" s="10">
        <v>19</v>
      </c>
      <c r="F3727" t="s">
        <v>58</v>
      </c>
      <c r="G3727" t="s">
        <v>889</v>
      </c>
      <c r="H3727" t="s">
        <v>59</v>
      </c>
      <c r="I3727" t="s">
        <v>27</v>
      </c>
      <c r="J3727" s="4">
        <v>68.989999999999995</v>
      </c>
      <c r="K3727">
        <v>2</v>
      </c>
      <c r="L3727">
        <v>68.989999999999995</v>
      </c>
      <c r="M3727">
        <v>137.97999999999999</v>
      </c>
      <c r="N3727" s="5">
        <v>7.0124745888005897</v>
      </c>
      <c r="O3727" t="s">
        <v>51</v>
      </c>
      <c r="P3727" t="s">
        <v>340</v>
      </c>
      <c r="Q3727" s="10" t="s">
        <v>24</v>
      </c>
      <c r="R3727" t="s">
        <v>1948</v>
      </c>
    </row>
    <row r="3728" spans="1:18" hidden="1" x14ac:dyDescent="0.25">
      <c r="A3728" s="9" t="s">
        <v>1802</v>
      </c>
      <c r="B3728" s="3" t="s">
        <v>1033</v>
      </c>
      <c r="C3728" s="10">
        <v>1</v>
      </c>
      <c r="D3728" s="10">
        <v>4</v>
      </c>
      <c r="E3728" s="10">
        <v>19</v>
      </c>
      <c r="F3728" t="s">
        <v>1675</v>
      </c>
      <c r="G3728" t="s">
        <v>889</v>
      </c>
      <c r="H3728" t="s">
        <v>889</v>
      </c>
      <c r="I3728" t="s">
        <v>96</v>
      </c>
      <c r="J3728" s="4">
        <v>228</v>
      </c>
      <c r="K3728">
        <v>1</v>
      </c>
      <c r="L3728">
        <v>3921.03</v>
      </c>
      <c r="M3728">
        <v>3921.03</v>
      </c>
      <c r="N3728" s="5">
        <v>198.73441459706032</v>
      </c>
      <c r="O3728" t="s">
        <v>530</v>
      </c>
      <c r="P3728" t="s">
        <v>651</v>
      </c>
      <c r="Q3728" s="10" t="s">
        <v>24</v>
      </c>
      <c r="R3728" t="s">
        <v>1676</v>
      </c>
    </row>
    <row r="3729" spans="1:18" hidden="1" x14ac:dyDescent="0.25">
      <c r="A3729" s="9" t="s">
        <v>1802</v>
      </c>
      <c r="B3729" s="3" t="s">
        <v>1033</v>
      </c>
      <c r="C3729" s="10">
        <v>1</v>
      </c>
      <c r="D3729" s="10">
        <v>4</v>
      </c>
      <c r="E3729" s="10">
        <v>19</v>
      </c>
      <c r="F3729" t="s">
        <v>176</v>
      </c>
      <c r="G3729" t="s">
        <v>889</v>
      </c>
      <c r="H3729" t="s">
        <v>176</v>
      </c>
      <c r="I3729" t="s">
        <v>105</v>
      </c>
      <c r="J3729" s="4">
        <v>212</v>
      </c>
      <c r="K3729">
        <v>1</v>
      </c>
      <c r="L3729">
        <v>212</v>
      </c>
      <c r="M3729">
        <v>212</v>
      </c>
      <c r="N3729" s="5">
        <v>10.745058286872782</v>
      </c>
      <c r="O3729" t="s">
        <v>39</v>
      </c>
      <c r="P3729" t="s">
        <v>340</v>
      </c>
      <c r="Q3729" s="10" t="s">
        <v>24</v>
      </c>
    </row>
    <row r="3730" spans="1:18" hidden="1" x14ac:dyDescent="0.25">
      <c r="A3730" s="9" t="s">
        <v>1802</v>
      </c>
      <c r="B3730" s="3" t="s">
        <v>1033</v>
      </c>
      <c r="C3730" s="10">
        <v>1</v>
      </c>
      <c r="D3730" s="10">
        <v>4</v>
      </c>
      <c r="E3730" s="10">
        <v>19</v>
      </c>
      <c r="F3730" t="s">
        <v>169</v>
      </c>
      <c r="G3730" t="s">
        <v>889</v>
      </c>
      <c r="H3730" t="s">
        <v>170</v>
      </c>
      <c r="I3730" t="s">
        <v>105</v>
      </c>
      <c r="J3730" s="4">
        <v>210</v>
      </c>
      <c r="K3730">
        <v>1</v>
      </c>
      <c r="L3730">
        <v>210</v>
      </c>
      <c r="M3730">
        <v>210</v>
      </c>
      <c r="N3730" s="5">
        <v>10.643689812468322</v>
      </c>
      <c r="O3730" t="s">
        <v>39</v>
      </c>
      <c r="P3730" t="s">
        <v>340</v>
      </c>
      <c r="Q3730" s="10" t="s">
        <v>24</v>
      </c>
    </row>
    <row r="3731" spans="1:18" hidden="1" x14ac:dyDescent="0.25">
      <c r="A3731" s="36" t="str">
        <f>IF(D3731=1,"Jan-18",IF(D3731=2,"Feb-18",IF(D3731=3,"Mar-18",IF(D3731=4,"Apr-18",IF(D3731=5,"May-18",IF(D3731=6,"Jun-18",(IF(D3731=7,"Jul-18",IF(D3731=8,"Aug-18",IF(D3731=9,"Sep-18",IF(D3731=10,"Oct-18",IF(D3731=11,"Nov-18",IF(D3731=12,"Dec-18","...")))))))))))))</f>
        <v>Apr-18</v>
      </c>
      <c r="B3731" s="3" t="s">
        <v>1299</v>
      </c>
      <c r="C3731" s="10">
        <v>10</v>
      </c>
      <c r="D3731" s="10">
        <v>4</v>
      </c>
      <c r="E3731" s="10">
        <v>18</v>
      </c>
      <c r="F3731" t="s">
        <v>1293</v>
      </c>
      <c r="G3731" t="s">
        <v>889</v>
      </c>
      <c r="H3731" t="s">
        <v>63</v>
      </c>
      <c r="I3731" t="s">
        <v>50</v>
      </c>
      <c r="J3731" s="4">
        <v>99.9</v>
      </c>
      <c r="K3731">
        <v>1</v>
      </c>
      <c r="L3731">
        <v>99.9</v>
      </c>
      <c r="M3731">
        <v>99.9</v>
      </c>
      <c r="N3731" s="5">
        <v>5.0568053993250848</v>
      </c>
      <c r="O3731" t="s">
        <v>51</v>
      </c>
      <c r="P3731" t="s">
        <v>340</v>
      </c>
      <c r="Q3731" s="10" t="s">
        <v>84</v>
      </c>
    </row>
    <row r="3732" spans="1:18" hidden="1" x14ac:dyDescent="0.25">
      <c r="A3732" s="9" t="s">
        <v>1802</v>
      </c>
      <c r="B3732" s="3" t="s">
        <v>1299</v>
      </c>
      <c r="C3732" s="10">
        <v>10</v>
      </c>
      <c r="D3732" s="10">
        <v>4</v>
      </c>
      <c r="E3732" s="10">
        <v>19</v>
      </c>
      <c r="F3732" t="s">
        <v>1963</v>
      </c>
      <c r="G3732" t="s">
        <v>889</v>
      </c>
      <c r="H3732" t="s">
        <v>131</v>
      </c>
      <c r="I3732" t="s">
        <v>27</v>
      </c>
      <c r="J3732" s="4">
        <v>46.7</v>
      </c>
      <c r="K3732">
        <v>1</v>
      </c>
      <c r="L3732">
        <v>46.7</v>
      </c>
      <c r="M3732">
        <v>46.7</v>
      </c>
      <c r="N3732" s="5">
        <v>2.3734060247643685</v>
      </c>
      <c r="O3732" t="s">
        <v>654</v>
      </c>
      <c r="P3732" t="s">
        <v>340</v>
      </c>
      <c r="Q3732" s="10" t="s">
        <v>24</v>
      </c>
      <c r="R3732" t="s">
        <v>1964</v>
      </c>
    </row>
    <row r="3733" spans="1:18" hidden="1" x14ac:dyDescent="0.25">
      <c r="A3733" s="9" t="s">
        <v>1802</v>
      </c>
      <c r="B3733" s="3" t="s">
        <v>1299</v>
      </c>
      <c r="C3733" s="10">
        <v>10</v>
      </c>
      <c r="D3733" s="10">
        <v>4</v>
      </c>
      <c r="E3733" s="10">
        <v>19</v>
      </c>
      <c r="F3733" t="s">
        <v>81</v>
      </c>
      <c r="G3733" t="s">
        <v>889</v>
      </c>
      <c r="H3733" t="s">
        <v>889</v>
      </c>
      <c r="I3733" t="s">
        <v>39</v>
      </c>
      <c r="J3733" s="4">
        <v>305</v>
      </c>
      <c r="K3733">
        <v>1</v>
      </c>
      <c r="L3733">
        <v>305</v>
      </c>
      <c r="M3733">
        <v>305</v>
      </c>
      <c r="N3733" s="5">
        <v>15.50083163925337</v>
      </c>
      <c r="O3733" t="s">
        <v>84</v>
      </c>
      <c r="P3733" t="s">
        <v>340</v>
      </c>
      <c r="Q3733" s="10" t="s">
        <v>24</v>
      </c>
      <c r="R3733" t="s">
        <v>1966</v>
      </c>
    </row>
    <row r="3734" spans="1:18" hidden="1" x14ac:dyDescent="0.25">
      <c r="A3734" s="9" t="s">
        <v>1802</v>
      </c>
      <c r="B3734" s="3" t="s">
        <v>1299</v>
      </c>
      <c r="C3734" s="10">
        <v>10</v>
      </c>
      <c r="D3734" s="10">
        <v>4</v>
      </c>
      <c r="E3734" s="10">
        <v>19</v>
      </c>
      <c r="F3734" t="s">
        <v>81</v>
      </c>
      <c r="G3734" t="s">
        <v>889</v>
      </c>
      <c r="H3734" t="s">
        <v>889</v>
      </c>
      <c r="I3734" t="s">
        <v>39</v>
      </c>
      <c r="J3734" s="4">
        <v>327.5</v>
      </c>
      <c r="K3734">
        <v>1</v>
      </c>
      <c r="L3734">
        <v>327.5</v>
      </c>
      <c r="M3734">
        <v>327.5</v>
      </c>
      <c r="N3734" s="5">
        <v>16.644335612640916</v>
      </c>
      <c r="O3734" t="s">
        <v>39</v>
      </c>
      <c r="P3734" t="s">
        <v>340</v>
      </c>
      <c r="Q3734" s="10" t="s">
        <v>84</v>
      </c>
      <c r="R3734" t="s">
        <v>1981</v>
      </c>
    </row>
    <row r="3735" spans="1:18" hidden="1" x14ac:dyDescent="0.25">
      <c r="A3735" s="9" t="s">
        <v>1802</v>
      </c>
      <c r="B3735" s="3" t="s">
        <v>1991</v>
      </c>
      <c r="C3735" s="10">
        <v>11</v>
      </c>
      <c r="D3735" s="10">
        <v>4</v>
      </c>
      <c r="E3735" s="10">
        <v>19</v>
      </c>
      <c r="F3735" t="s">
        <v>41</v>
      </c>
      <c r="G3735" t="s">
        <v>889</v>
      </c>
      <c r="H3735" t="s">
        <v>39</v>
      </c>
      <c r="I3735" t="s">
        <v>27</v>
      </c>
      <c r="J3735" s="4">
        <v>336</v>
      </c>
      <c r="K3735">
        <v>1</v>
      </c>
      <c r="L3735">
        <v>336</v>
      </c>
      <c r="M3735">
        <v>336</v>
      </c>
      <c r="N3735" s="5">
        <v>17.076326002587319</v>
      </c>
      <c r="O3735" t="s">
        <v>42</v>
      </c>
      <c r="P3735" t="s">
        <v>340</v>
      </c>
      <c r="Q3735" s="10" t="s">
        <v>24</v>
      </c>
      <c r="R3735" t="s">
        <v>1962</v>
      </c>
    </row>
    <row r="3736" spans="1:18" hidden="1" x14ac:dyDescent="0.25">
      <c r="A3736" s="9" t="s">
        <v>1802</v>
      </c>
      <c r="B3736" s="3" t="s">
        <v>1991</v>
      </c>
      <c r="C3736" s="10">
        <v>11</v>
      </c>
      <c r="D3736" s="10">
        <v>4</v>
      </c>
      <c r="E3736" s="10">
        <v>19</v>
      </c>
      <c r="F3736" t="s">
        <v>1963</v>
      </c>
      <c r="G3736" t="s">
        <v>889</v>
      </c>
      <c r="H3736" t="s">
        <v>131</v>
      </c>
      <c r="I3736" t="s">
        <v>27</v>
      </c>
      <c r="J3736" s="4">
        <v>168.2</v>
      </c>
      <c r="K3736">
        <v>1</v>
      </c>
      <c r="L3736">
        <v>168.2</v>
      </c>
      <c r="M3736">
        <v>168.2</v>
      </c>
      <c r="N3736" s="5">
        <v>8.5483274810571039</v>
      </c>
      <c r="O3736" t="s">
        <v>654</v>
      </c>
      <c r="P3736" t="s">
        <v>340</v>
      </c>
      <c r="Q3736" s="10" t="s">
        <v>24</v>
      </c>
      <c r="R3736" t="s">
        <v>1962</v>
      </c>
    </row>
    <row r="3737" spans="1:18" hidden="1" x14ac:dyDescent="0.25">
      <c r="A3737" s="9" t="s">
        <v>1802</v>
      </c>
      <c r="B3737" s="3" t="s">
        <v>1991</v>
      </c>
      <c r="C3737" s="10">
        <v>11</v>
      </c>
      <c r="D3737" s="10">
        <v>4</v>
      </c>
      <c r="E3737" s="10">
        <v>19</v>
      </c>
      <c r="F3737" t="s">
        <v>1997</v>
      </c>
      <c r="G3737" t="s">
        <v>889</v>
      </c>
      <c r="H3737" t="s">
        <v>69</v>
      </c>
      <c r="I3737" t="s">
        <v>27</v>
      </c>
      <c r="J3737" s="4">
        <v>650</v>
      </c>
      <c r="K3737">
        <v>0.124</v>
      </c>
      <c r="L3737">
        <v>650</v>
      </c>
      <c r="M3737">
        <v>80.599999999999994</v>
      </c>
      <c r="N3737" s="5">
        <v>4.0962853446682672</v>
      </c>
      <c r="O3737" t="s">
        <v>767</v>
      </c>
      <c r="P3737" t="s">
        <v>340</v>
      </c>
      <c r="Q3737" s="10" t="s">
        <v>24</v>
      </c>
    </row>
    <row r="3738" spans="1:18" hidden="1" x14ac:dyDescent="0.25">
      <c r="A3738" s="9" t="s">
        <v>1802</v>
      </c>
      <c r="B3738" s="3" t="s">
        <v>1991</v>
      </c>
      <c r="C3738" s="10">
        <v>11</v>
      </c>
      <c r="D3738" s="10">
        <v>4</v>
      </c>
      <c r="E3738" s="10">
        <v>19</v>
      </c>
      <c r="F3738" t="s">
        <v>1996</v>
      </c>
      <c r="G3738" t="s">
        <v>889</v>
      </c>
      <c r="H3738" t="s">
        <v>69</v>
      </c>
      <c r="I3738" t="s">
        <v>27</v>
      </c>
      <c r="J3738" s="4">
        <v>399</v>
      </c>
      <c r="K3738">
        <v>1.38</v>
      </c>
      <c r="L3738">
        <v>399</v>
      </c>
      <c r="M3738">
        <v>550.62</v>
      </c>
      <c r="N3738" s="5">
        <v>27.983829236739972</v>
      </c>
      <c r="O3738" t="s">
        <v>767</v>
      </c>
      <c r="P3738" t="s">
        <v>340</v>
      </c>
      <c r="Q3738" s="10" t="s">
        <v>24</v>
      </c>
    </row>
    <row r="3739" spans="1:18" hidden="1" x14ac:dyDescent="0.25">
      <c r="A3739" s="9" t="s">
        <v>1802</v>
      </c>
      <c r="B3739" s="3" t="s">
        <v>1991</v>
      </c>
      <c r="C3739" s="10">
        <v>11</v>
      </c>
      <c r="D3739" s="10">
        <v>4</v>
      </c>
      <c r="E3739" s="10">
        <v>19</v>
      </c>
      <c r="F3739" t="s">
        <v>92</v>
      </c>
      <c r="G3739" t="s">
        <v>889</v>
      </c>
      <c r="H3739" t="s">
        <v>69</v>
      </c>
      <c r="I3739" t="s">
        <v>27</v>
      </c>
      <c r="J3739" s="4">
        <v>270</v>
      </c>
      <c r="K3739">
        <v>0.372</v>
      </c>
      <c r="L3739">
        <v>270</v>
      </c>
      <c r="M3739">
        <v>100.44</v>
      </c>
      <c r="N3739" s="5">
        <v>5.1046017372019952</v>
      </c>
      <c r="O3739" t="s">
        <v>767</v>
      </c>
      <c r="P3739" t="s">
        <v>340</v>
      </c>
      <c r="Q3739" s="10" t="s">
        <v>24</v>
      </c>
    </row>
    <row r="3740" spans="1:18" hidden="1" x14ac:dyDescent="0.25">
      <c r="A3740" s="9" t="s">
        <v>1802</v>
      </c>
      <c r="B3740" s="3" t="s">
        <v>2034</v>
      </c>
      <c r="C3740" s="10">
        <v>12</v>
      </c>
      <c r="D3740" s="10">
        <v>4</v>
      </c>
      <c r="E3740" s="10">
        <v>19</v>
      </c>
      <c r="F3740" t="s">
        <v>86</v>
      </c>
      <c r="G3740" t="s">
        <v>889</v>
      </c>
      <c r="H3740" t="s">
        <v>102</v>
      </c>
      <c r="I3740" t="s">
        <v>27</v>
      </c>
      <c r="J3740" s="4">
        <v>35</v>
      </c>
      <c r="K3740">
        <v>1</v>
      </c>
      <c r="L3740">
        <v>35</v>
      </c>
      <c r="M3740">
        <v>28</v>
      </c>
      <c r="N3740" s="5">
        <v>1.4230271668822767</v>
      </c>
      <c r="O3740" t="s">
        <v>143</v>
      </c>
      <c r="P3740" t="s">
        <v>340</v>
      </c>
      <c r="Q3740" s="10" t="s">
        <v>24</v>
      </c>
    </row>
    <row r="3741" spans="1:18" hidden="1" x14ac:dyDescent="0.25">
      <c r="A3741" s="9" t="s">
        <v>1802</v>
      </c>
      <c r="B3741" s="3" t="s">
        <v>2034</v>
      </c>
      <c r="C3741" s="10">
        <v>12</v>
      </c>
      <c r="D3741" s="10">
        <v>4</v>
      </c>
      <c r="E3741" s="10">
        <v>19</v>
      </c>
      <c r="F3741" t="s">
        <v>86</v>
      </c>
      <c r="G3741" t="s">
        <v>889</v>
      </c>
      <c r="H3741" t="s">
        <v>102</v>
      </c>
      <c r="I3741" t="s">
        <v>27</v>
      </c>
      <c r="J3741" s="4">
        <v>39</v>
      </c>
      <c r="K3741">
        <v>1</v>
      </c>
      <c r="L3741">
        <v>39</v>
      </c>
      <c r="M3741">
        <v>31.2</v>
      </c>
      <c r="N3741" s="5">
        <v>1.5856588430973939</v>
      </c>
      <c r="O3741" t="s">
        <v>143</v>
      </c>
      <c r="P3741" t="s">
        <v>340</v>
      </c>
      <c r="Q3741" s="10" t="s">
        <v>24</v>
      </c>
    </row>
    <row r="3742" spans="1:18" hidden="1" x14ac:dyDescent="0.25">
      <c r="A3742" s="9" t="s">
        <v>1802</v>
      </c>
      <c r="B3742" s="3" t="s">
        <v>1070</v>
      </c>
      <c r="C3742" s="10">
        <v>13</v>
      </c>
      <c r="D3742" s="10">
        <v>4</v>
      </c>
      <c r="E3742" s="10">
        <v>19</v>
      </c>
      <c r="F3742" t="s">
        <v>372</v>
      </c>
      <c r="G3742" t="s">
        <v>373</v>
      </c>
      <c r="H3742" t="s">
        <v>65</v>
      </c>
      <c r="I3742" t="s">
        <v>27</v>
      </c>
      <c r="J3742" s="4">
        <v>9</v>
      </c>
      <c r="K3742">
        <v>1</v>
      </c>
      <c r="L3742">
        <v>9</v>
      </c>
      <c r="M3742">
        <v>9</v>
      </c>
      <c r="N3742" s="5">
        <v>0.45792205149079068</v>
      </c>
      <c r="O3742" t="s">
        <v>100</v>
      </c>
      <c r="P3742" t="s">
        <v>340</v>
      </c>
      <c r="Q3742" s="10" t="s">
        <v>24</v>
      </c>
    </row>
    <row r="3743" spans="1:18" hidden="1" x14ac:dyDescent="0.25">
      <c r="A3743" s="9" t="s">
        <v>1802</v>
      </c>
      <c r="B3743" s="3" t="s">
        <v>1070</v>
      </c>
      <c r="C3743" s="10">
        <v>13</v>
      </c>
      <c r="D3743" s="10">
        <v>4</v>
      </c>
      <c r="E3743" s="10">
        <v>19</v>
      </c>
      <c r="F3743" t="s">
        <v>292</v>
      </c>
      <c r="H3743" t="s">
        <v>40</v>
      </c>
      <c r="I3743" t="s">
        <v>27</v>
      </c>
      <c r="J3743" s="4">
        <v>17</v>
      </c>
      <c r="K3743">
        <v>1</v>
      </c>
      <c r="L3743">
        <v>17</v>
      </c>
      <c r="M3743">
        <v>17</v>
      </c>
      <c r="N3743" s="5">
        <v>0.86496387503816019</v>
      </c>
      <c r="O3743" t="s">
        <v>100</v>
      </c>
      <c r="P3743" t="s">
        <v>340</v>
      </c>
      <c r="Q3743" s="10" t="s">
        <v>24</v>
      </c>
    </row>
    <row r="3744" spans="1:18" hidden="1" x14ac:dyDescent="0.25">
      <c r="A3744" s="9" t="s">
        <v>1802</v>
      </c>
      <c r="B3744" s="3" t="s">
        <v>1070</v>
      </c>
      <c r="C3744" s="10">
        <v>13</v>
      </c>
      <c r="D3744" s="10">
        <v>4</v>
      </c>
      <c r="E3744" s="10">
        <v>19</v>
      </c>
      <c r="F3744" t="s">
        <v>1666</v>
      </c>
      <c r="G3744" t="s">
        <v>889</v>
      </c>
      <c r="H3744" t="s">
        <v>889</v>
      </c>
      <c r="I3744" t="s">
        <v>72</v>
      </c>
      <c r="J3744" s="4">
        <v>333.87</v>
      </c>
      <c r="K3744">
        <v>1</v>
      </c>
      <c r="L3744">
        <v>333.87</v>
      </c>
      <c r="M3744">
        <v>333.87</v>
      </c>
      <c r="N3744" s="5">
        <v>16.968074293106632</v>
      </c>
      <c r="O3744" t="s">
        <v>233</v>
      </c>
      <c r="P3744" t="s">
        <v>340</v>
      </c>
      <c r="Q3744" s="10" t="s">
        <v>24</v>
      </c>
      <c r="R3744" t="s">
        <v>1853</v>
      </c>
    </row>
    <row r="3745" spans="1:18" hidden="1" x14ac:dyDescent="0.25">
      <c r="A3745" s="9" t="s">
        <v>1802</v>
      </c>
      <c r="B3745" s="3" t="s">
        <v>1833</v>
      </c>
      <c r="C3745" s="10">
        <v>14</v>
      </c>
      <c r="D3745" s="10">
        <v>4</v>
      </c>
      <c r="E3745" s="10">
        <v>19</v>
      </c>
      <c r="F3745" t="s">
        <v>770</v>
      </c>
      <c r="G3745" t="s">
        <v>31</v>
      </c>
      <c r="H3745" t="s">
        <v>26</v>
      </c>
      <c r="I3745" t="s">
        <v>27</v>
      </c>
      <c r="J3745" s="4">
        <v>7.65</v>
      </c>
      <c r="K3745">
        <v>2</v>
      </c>
      <c r="L3745">
        <v>7.65</v>
      </c>
      <c r="M3745">
        <v>15.3</v>
      </c>
      <c r="N3745" s="5">
        <v>0.77758270190352974</v>
      </c>
      <c r="O3745" t="s">
        <v>1472</v>
      </c>
      <c r="P3745" t="s">
        <v>340</v>
      </c>
      <c r="Q3745" s="10" t="s">
        <v>24</v>
      </c>
    </row>
    <row r="3746" spans="1:18" hidden="1" x14ac:dyDescent="0.25">
      <c r="A3746" s="9" t="s">
        <v>1802</v>
      </c>
      <c r="B3746" s="3" t="s">
        <v>1833</v>
      </c>
      <c r="C3746" s="10">
        <v>14</v>
      </c>
      <c r="D3746" s="10">
        <v>4</v>
      </c>
      <c r="E3746" s="10">
        <v>19</v>
      </c>
      <c r="F3746" t="s">
        <v>208</v>
      </c>
      <c r="G3746" t="s">
        <v>889</v>
      </c>
      <c r="H3746" t="s">
        <v>56</v>
      </c>
      <c r="I3746" t="s">
        <v>27</v>
      </c>
      <c r="J3746" s="4">
        <v>95.05</v>
      </c>
      <c r="K3746">
        <v>0.22800000000000001</v>
      </c>
      <c r="L3746">
        <v>95.05</v>
      </c>
      <c r="M3746">
        <v>21.671399999999998</v>
      </c>
      <c r="N3746" s="5">
        <v>1.1013925337275916</v>
      </c>
      <c r="O3746" t="s">
        <v>1472</v>
      </c>
      <c r="P3746" t="s">
        <v>340</v>
      </c>
      <c r="Q3746" s="10" t="s">
        <v>24</v>
      </c>
    </row>
    <row r="3747" spans="1:18" hidden="1" x14ac:dyDescent="0.25">
      <c r="A3747" s="9" t="s">
        <v>1802</v>
      </c>
      <c r="B3747" s="3" t="s">
        <v>1833</v>
      </c>
      <c r="C3747" s="10">
        <v>14</v>
      </c>
      <c r="D3747" s="10">
        <v>4</v>
      </c>
      <c r="E3747" s="10">
        <v>19</v>
      </c>
      <c r="F3747" t="s">
        <v>1829</v>
      </c>
      <c r="G3747" t="s">
        <v>889</v>
      </c>
      <c r="H3747" t="s">
        <v>54</v>
      </c>
      <c r="I3747" t="s">
        <v>27</v>
      </c>
      <c r="J3747" s="4">
        <v>66.05</v>
      </c>
      <c r="K3747">
        <v>0.246</v>
      </c>
      <c r="L3747">
        <v>66.05</v>
      </c>
      <c r="M3747">
        <v>16.2483</v>
      </c>
      <c r="N3747" s="5">
        <v>0.82577758270190338</v>
      </c>
      <c r="O3747" t="s">
        <v>1472</v>
      </c>
      <c r="P3747" t="s">
        <v>340</v>
      </c>
      <c r="Q3747" s="10" t="s">
        <v>24</v>
      </c>
    </row>
    <row r="3748" spans="1:18" hidden="1" x14ac:dyDescent="0.25">
      <c r="A3748" s="9" t="s">
        <v>1802</v>
      </c>
      <c r="B3748" s="3" t="s">
        <v>1833</v>
      </c>
      <c r="C3748" s="10">
        <v>14</v>
      </c>
      <c r="D3748" s="10">
        <v>4</v>
      </c>
      <c r="E3748" s="10">
        <v>19</v>
      </c>
      <c r="F3748" t="s">
        <v>109</v>
      </c>
      <c r="G3748" t="s">
        <v>889</v>
      </c>
      <c r="H3748" t="s">
        <v>54</v>
      </c>
      <c r="I3748" t="s">
        <v>27</v>
      </c>
      <c r="J3748" s="4">
        <v>42</v>
      </c>
      <c r="K3748">
        <v>0.186</v>
      </c>
      <c r="L3748">
        <v>42</v>
      </c>
      <c r="M3748">
        <v>7.8120000000000003</v>
      </c>
      <c r="N3748" s="5">
        <v>0.39702457956015519</v>
      </c>
      <c r="O3748" t="s">
        <v>1472</v>
      </c>
      <c r="P3748" t="s">
        <v>340</v>
      </c>
      <c r="Q3748" s="10" t="s">
        <v>24</v>
      </c>
    </row>
    <row r="3749" spans="1:18" hidden="1" x14ac:dyDescent="0.25">
      <c r="A3749" s="9" t="s">
        <v>1802</v>
      </c>
      <c r="B3749" s="3" t="s">
        <v>1833</v>
      </c>
      <c r="C3749" s="10">
        <v>14</v>
      </c>
      <c r="D3749" s="10">
        <v>4</v>
      </c>
      <c r="E3749" s="10">
        <v>19</v>
      </c>
      <c r="F3749" t="s">
        <v>212</v>
      </c>
      <c r="G3749" t="s">
        <v>889</v>
      </c>
      <c r="H3749" t="s">
        <v>54</v>
      </c>
      <c r="I3749" t="s">
        <v>27</v>
      </c>
      <c r="J3749" s="4">
        <v>27.7</v>
      </c>
      <c r="K3749">
        <v>1</v>
      </c>
      <c r="L3749">
        <v>27.7</v>
      </c>
      <c r="M3749">
        <v>27.7</v>
      </c>
      <c r="N3749" s="5">
        <v>1.4077804472371094</v>
      </c>
      <c r="O3749" t="s">
        <v>1472</v>
      </c>
      <c r="P3749" t="s">
        <v>340</v>
      </c>
      <c r="Q3749" s="10" t="s">
        <v>24</v>
      </c>
    </row>
    <row r="3750" spans="1:18" hidden="1" x14ac:dyDescent="0.25">
      <c r="A3750" s="9" t="s">
        <v>1802</v>
      </c>
      <c r="B3750" s="3" t="s">
        <v>1833</v>
      </c>
      <c r="C3750" s="10">
        <v>14</v>
      </c>
      <c r="D3750" s="10">
        <v>4</v>
      </c>
      <c r="E3750" s="10">
        <v>19</v>
      </c>
      <c r="F3750" t="s">
        <v>1197</v>
      </c>
      <c r="G3750" t="s">
        <v>889</v>
      </c>
      <c r="H3750" t="s">
        <v>403</v>
      </c>
      <c r="I3750" t="s">
        <v>27</v>
      </c>
      <c r="J3750" s="4">
        <v>66.05</v>
      </c>
      <c r="K3750">
        <v>0.76600000000000001</v>
      </c>
      <c r="L3750">
        <v>66.05</v>
      </c>
      <c r="M3750">
        <v>50.594299999999997</v>
      </c>
      <c r="N3750" s="5">
        <v>2.5713236924782845</v>
      </c>
      <c r="O3750" t="s">
        <v>1472</v>
      </c>
      <c r="P3750" t="s">
        <v>340</v>
      </c>
      <c r="Q3750" s="10" t="s">
        <v>24</v>
      </c>
    </row>
    <row r="3751" spans="1:18" hidden="1" x14ac:dyDescent="0.25">
      <c r="A3751" s="9" t="s">
        <v>1802</v>
      </c>
      <c r="B3751" s="3" t="s">
        <v>1833</v>
      </c>
      <c r="C3751" s="10">
        <v>14</v>
      </c>
      <c r="D3751" s="10">
        <v>4</v>
      </c>
      <c r="E3751" s="10">
        <v>19</v>
      </c>
      <c r="F3751" t="s">
        <v>840</v>
      </c>
      <c r="G3751" t="s">
        <v>840</v>
      </c>
      <c r="H3751" t="s">
        <v>56</v>
      </c>
      <c r="I3751" t="s">
        <v>27</v>
      </c>
      <c r="J3751" s="4">
        <v>27.5</v>
      </c>
      <c r="K3751">
        <v>0.48399999999999999</v>
      </c>
      <c r="L3751">
        <v>27.5</v>
      </c>
      <c r="M3751">
        <v>13.309999999999999</v>
      </c>
      <c r="N3751" s="5">
        <v>0.67644612825725359</v>
      </c>
      <c r="O3751" t="s">
        <v>1472</v>
      </c>
      <c r="P3751" t="s">
        <v>340</v>
      </c>
      <c r="Q3751" s="10" t="s">
        <v>24</v>
      </c>
    </row>
    <row r="3752" spans="1:18" hidden="1" x14ac:dyDescent="0.25">
      <c r="A3752" s="9" t="s">
        <v>1802</v>
      </c>
      <c r="B3752" s="3" t="s">
        <v>1832</v>
      </c>
      <c r="C3752" s="10">
        <v>16</v>
      </c>
      <c r="D3752" s="10">
        <v>4</v>
      </c>
      <c r="E3752" s="10">
        <v>19</v>
      </c>
      <c r="F3752" t="s">
        <v>155</v>
      </c>
      <c r="G3752" t="s">
        <v>155</v>
      </c>
      <c r="H3752" t="s">
        <v>131</v>
      </c>
      <c r="I3752" t="s">
        <v>27</v>
      </c>
      <c r="J3752" s="4">
        <v>26.3</v>
      </c>
      <c r="K3752">
        <v>2</v>
      </c>
      <c r="L3752">
        <v>26.3</v>
      </c>
      <c r="M3752">
        <v>52.6</v>
      </c>
      <c r="N3752" s="5">
        <v>2.673258177785991</v>
      </c>
      <c r="O3752" t="s">
        <v>1472</v>
      </c>
      <c r="P3752" t="s">
        <v>340</v>
      </c>
      <c r="Q3752" s="10" t="s">
        <v>24</v>
      </c>
    </row>
    <row r="3753" spans="1:18" hidden="1" x14ac:dyDescent="0.25">
      <c r="A3753" s="9" t="s">
        <v>1802</v>
      </c>
      <c r="B3753" s="3" t="s">
        <v>1832</v>
      </c>
      <c r="C3753" s="10">
        <v>16</v>
      </c>
      <c r="D3753" s="10">
        <v>4</v>
      </c>
      <c r="E3753" s="10">
        <v>19</v>
      </c>
      <c r="F3753" t="s">
        <v>112</v>
      </c>
      <c r="G3753" t="s">
        <v>889</v>
      </c>
      <c r="H3753" t="s">
        <v>56</v>
      </c>
      <c r="I3753" t="s">
        <v>27</v>
      </c>
      <c r="J3753" s="4">
        <v>28.8</v>
      </c>
      <c r="K3753">
        <v>0.35799999999999998</v>
      </c>
      <c r="L3753">
        <v>28.8</v>
      </c>
      <c r="M3753">
        <v>10.3104</v>
      </c>
      <c r="N3753" s="5">
        <v>0.52399926076510805</v>
      </c>
      <c r="O3753" t="s">
        <v>1472</v>
      </c>
      <c r="P3753" t="s">
        <v>340</v>
      </c>
      <c r="Q3753" s="10" t="s">
        <v>24</v>
      </c>
    </row>
    <row r="3754" spans="1:18" hidden="1" x14ac:dyDescent="0.25">
      <c r="A3754" s="9" t="s">
        <v>1802</v>
      </c>
      <c r="B3754" s="3" t="s">
        <v>1832</v>
      </c>
      <c r="C3754" s="10">
        <v>16</v>
      </c>
      <c r="D3754" s="10">
        <v>4</v>
      </c>
      <c r="E3754" s="10">
        <v>19</v>
      </c>
      <c r="F3754" t="s">
        <v>58</v>
      </c>
      <c r="G3754" t="s">
        <v>889</v>
      </c>
      <c r="H3754" t="s">
        <v>39</v>
      </c>
      <c r="I3754" t="s">
        <v>27</v>
      </c>
      <c r="J3754" s="4">
        <v>55.4</v>
      </c>
      <c r="K3754">
        <v>1</v>
      </c>
      <c r="L3754">
        <v>55.4</v>
      </c>
      <c r="M3754">
        <v>55.4</v>
      </c>
      <c r="N3754" s="5">
        <v>2.8155608944742188</v>
      </c>
      <c r="O3754" t="s">
        <v>1472</v>
      </c>
      <c r="P3754" t="s">
        <v>340</v>
      </c>
      <c r="Q3754" s="10" t="s">
        <v>24</v>
      </c>
      <c r="R3754" t="s">
        <v>1828</v>
      </c>
    </row>
    <row r="3755" spans="1:18" hidden="1" x14ac:dyDescent="0.25">
      <c r="A3755" s="9" t="s">
        <v>1802</v>
      </c>
      <c r="B3755" s="3" t="s">
        <v>1832</v>
      </c>
      <c r="C3755" s="10">
        <v>16</v>
      </c>
      <c r="D3755" s="10">
        <v>4</v>
      </c>
      <c r="E3755" s="10">
        <v>19</v>
      </c>
      <c r="F3755" t="s">
        <v>840</v>
      </c>
      <c r="G3755" t="s">
        <v>840</v>
      </c>
      <c r="H3755" t="s">
        <v>56</v>
      </c>
      <c r="I3755" t="s">
        <v>27</v>
      </c>
      <c r="J3755" s="4">
        <v>27.5</v>
      </c>
      <c r="K3755">
        <v>0.16200000000000001</v>
      </c>
      <c r="L3755">
        <v>27.5</v>
      </c>
      <c r="M3755">
        <v>4.4550000000000001</v>
      </c>
      <c r="N3755" s="5">
        <v>0.22641378673073365</v>
      </c>
      <c r="O3755" t="s">
        <v>1472</v>
      </c>
      <c r="P3755" t="s">
        <v>340</v>
      </c>
      <c r="Q3755" s="10" t="s">
        <v>24</v>
      </c>
    </row>
    <row r="3756" spans="1:18" hidden="1" x14ac:dyDescent="0.25">
      <c r="A3756" s="9" t="s">
        <v>1802</v>
      </c>
      <c r="B3756" s="3" t="s">
        <v>1832</v>
      </c>
      <c r="C3756" s="10">
        <v>16</v>
      </c>
      <c r="D3756" s="10">
        <v>4</v>
      </c>
      <c r="E3756" s="10">
        <v>19</v>
      </c>
      <c r="F3756" t="s">
        <v>212</v>
      </c>
      <c r="G3756" t="s">
        <v>889</v>
      </c>
      <c r="H3756" t="s">
        <v>54</v>
      </c>
      <c r="I3756" t="s">
        <v>27</v>
      </c>
      <c r="J3756" s="4">
        <v>21.3</v>
      </c>
      <c r="K3756">
        <v>1</v>
      </c>
      <c r="L3756">
        <v>21.3</v>
      </c>
      <c r="M3756">
        <v>21.3</v>
      </c>
      <c r="N3756" s="5">
        <v>1.0825170948068747</v>
      </c>
      <c r="O3756" t="s">
        <v>1472</v>
      </c>
      <c r="P3756" t="s">
        <v>340</v>
      </c>
      <c r="Q3756" s="10" t="s">
        <v>24</v>
      </c>
    </row>
    <row r="3757" spans="1:18" hidden="1" x14ac:dyDescent="0.25">
      <c r="A3757" s="9" t="s">
        <v>1802</v>
      </c>
      <c r="B3757" s="3" t="s">
        <v>1832</v>
      </c>
      <c r="C3757" s="10">
        <v>16</v>
      </c>
      <c r="D3757" s="10">
        <v>4</v>
      </c>
      <c r="E3757" s="10">
        <v>19</v>
      </c>
      <c r="F3757" t="s">
        <v>1185</v>
      </c>
      <c r="G3757" t="s">
        <v>889</v>
      </c>
      <c r="H3757" t="s">
        <v>73</v>
      </c>
      <c r="I3757" t="s">
        <v>27</v>
      </c>
      <c r="J3757" s="4">
        <v>28.1</v>
      </c>
      <c r="K3757">
        <v>1</v>
      </c>
      <c r="L3757">
        <v>28.1</v>
      </c>
      <c r="M3757">
        <v>28.1</v>
      </c>
      <c r="N3757" s="5">
        <v>1.4281094067639992</v>
      </c>
      <c r="O3757" t="s">
        <v>1472</v>
      </c>
      <c r="P3757" t="s">
        <v>340</v>
      </c>
      <c r="Q3757" s="10" t="s">
        <v>24</v>
      </c>
    </row>
    <row r="3758" spans="1:18" hidden="1" x14ac:dyDescent="0.25">
      <c r="A3758" s="9" t="s">
        <v>1802</v>
      </c>
      <c r="B3758" s="3" t="s">
        <v>1832</v>
      </c>
      <c r="C3758" s="10">
        <v>16</v>
      </c>
      <c r="D3758" s="10">
        <v>4</v>
      </c>
      <c r="E3758" s="10">
        <v>19</v>
      </c>
      <c r="F3758" t="s">
        <v>108</v>
      </c>
      <c r="G3758" t="s">
        <v>889</v>
      </c>
      <c r="H3758" t="s">
        <v>54</v>
      </c>
      <c r="I3758" t="s">
        <v>27</v>
      </c>
      <c r="J3758" s="4">
        <v>49.25</v>
      </c>
      <c r="K3758">
        <v>0.42399999999999999</v>
      </c>
      <c r="L3758">
        <v>49.25</v>
      </c>
      <c r="M3758">
        <v>20.881999999999998</v>
      </c>
      <c r="N3758" s="5">
        <v>1.0612733321012748</v>
      </c>
      <c r="O3758" t="s">
        <v>1472</v>
      </c>
      <c r="P3758" t="s">
        <v>340</v>
      </c>
      <c r="Q3758" s="10" t="s">
        <v>24</v>
      </c>
    </row>
    <row r="3759" spans="1:18" hidden="1" x14ac:dyDescent="0.25">
      <c r="A3759" s="9" t="s">
        <v>1802</v>
      </c>
      <c r="B3759" s="3" t="s">
        <v>1832</v>
      </c>
      <c r="C3759" s="10">
        <v>16</v>
      </c>
      <c r="D3759" s="10">
        <v>4</v>
      </c>
      <c r="E3759" s="10">
        <v>19</v>
      </c>
      <c r="F3759" t="s">
        <v>211</v>
      </c>
      <c r="G3759" t="s">
        <v>889</v>
      </c>
      <c r="H3759" t="s">
        <v>56</v>
      </c>
      <c r="I3759" t="s">
        <v>27</v>
      </c>
      <c r="J3759" s="4">
        <v>36.299999999999997</v>
      </c>
      <c r="K3759">
        <v>0.28799999999999998</v>
      </c>
      <c r="L3759">
        <v>36.299999999999997</v>
      </c>
      <c r="M3759">
        <v>10.454399999999998</v>
      </c>
      <c r="N3759" s="5">
        <v>0.53131768619478825</v>
      </c>
      <c r="O3759" t="s">
        <v>1472</v>
      </c>
      <c r="P3759" t="s">
        <v>340</v>
      </c>
      <c r="Q3759" s="10" t="s">
        <v>24</v>
      </c>
    </row>
    <row r="3760" spans="1:18" hidden="1" x14ac:dyDescent="0.25">
      <c r="A3760" s="9" t="s">
        <v>1802</v>
      </c>
      <c r="B3760" s="3" t="s">
        <v>1832</v>
      </c>
      <c r="C3760" s="10">
        <v>16</v>
      </c>
      <c r="D3760" s="10">
        <v>4</v>
      </c>
      <c r="E3760" s="10">
        <v>19</v>
      </c>
      <c r="F3760" t="s">
        <v>1770</v>
      </c>
      <c r="G3760" t="s">
        <v>889</v>
      </c>
      <c r="H3760" t="s">
        <v>26</v>
      </c>
      <c r="I3760" t="s">
        <v>27</v>
      </c>
      <c r="J3760" s="4">
        <v>35</v>
      </c>
      <c r="K3760">
        <v>1</v>
      </c>
      <c r="L3760">
        <v>35</v>
      </c>
      <c r="M3760">
        <v>35</v>
      </c>
      <c r="N3760" s="5">
        <v>1.7787839586028458</v>
      </c>
      <c r="O3760" t="s">
        <v>1472</v>
      </c>
      <c r="P3760" t="s">
        <v>340</v>
      </c>
      <c r="Q3760" s="10" t="s">
        <v>24</v>
      </c>
    </row>
    <row r="3761" spans="1:18" hidden="1" x14ac:dyDescent="0.25">
      <c r="A3761" s="9" t="s">
        <v>1802</v>
      </c>
      <c r="B3761" s="3" t="s">
        <v>1832</v>
      </c>
      <c r="C3761" s="10">
        <v>16</v>
      </c>
      <c r="D3761" s="10">
        <v>4</v>
      </c>
      <c r="E3761" s="10">
        <v>19</v>
      </c>
      <c r="F3761" t="s">
        <v>1827</v>
      </c>
      <c r="G3761" t="s">
        <v>25</v>
      </c>
      <c r="H3761" t="s">
        <v>26</v>
      </c>
      <c r="I3761" t="s">
        <v>27</v>
      </c>
      <c r="J3761" s="4">
        <v>30.95</v>
      </c>
      <c r="K3761">
        <v>1</v>
      </c>
      <c r="L3761">
        <v>30.95</v>
      </c>
      <c r="M3761">
        <v>30.95</v>
      </c>
      <c r="N3761" s="5">
        <v>1.572953243393088</v>
      </c>
      <c r="O3761" t="s">
        <v>1472</v>
      </c>
      <c r="P3761" t="s">
        <v>340</v>
      </c>
      <c r="Q3761" s="10" t="s">
        <v>24</v>
      </c>
    </row>
    <row r="3762" spans="1:18" hidden="1" x14ac:dyDescent="0.25">
      <c r="A3762" s="9" t="s">
        <v>1802</v>
      </c>
      <c r="B3762" s="3" t="s">
        <v>1832</v>
      </c>
      <c r="C3762" s="10">
        <v>16</v>
      </c>
      <c r="D3762" s="10">
        <v>4</v>
      </c>
      <c r="E3762" s="10">
        <v>19</v>
      </c>
      <c r="F3762" t="s">
        <v>910</v>
      </c>
      <c r="G3762" t="s">
        <v>889</v>
      </c>
      <c r="H3762" t="s">
        <v>131</v>
      </c>
      <c r="I3762" t="s">
        <v>27</v>
      </c>
      <c r="J3762" s="4">
        <v>95</v>
      </c>
      <c r="K3762">
        <v>1</v>
      </c>
      <c r="L3762">
        <v>95</v>
      </c>
      <c r="M3762">
        <v>95</v>
      </c>
      <c r="N3762" s="5">
        <v>4.8281278876362954</v>
      </c>
      <c r="O3762" t="s">
        <v>1472</v>
      </c>
      <c r="P3762" t="s">
        <v>340</v>
      </c>
      <c r="Q3762" s="10" t="s">
        <v>24</v>
      </c>
      <c r="R3762" t="s">
        <v>1039</v>
      </c>
    </row>
    <row r="3763" spans="1:18" hidden="1" x14ac:dyDescent="0.25">
      <c r="A3763" s="9" t="s">
        <v>1802</v>
      </c>
      <c r="B3763" s="3" t="s">
        <v>1832</v>
      </c>
      <c r="C3763" s="10">
        <v>16</v>
      </c>
      <c r="D3763" s="10">
        <v>4</v>
      </c>
      <c r="E3763" s="10">
        <v>19</v>
      </c>
      <c r="F3763" t="s">
        <v>561</v>
      </c>
      <c r="G3763" t="s">
        <v>889</v>
      </c>
      <c r="H3763" t="s">
        <v>21</v>
      </c>
      <c r="I3763" t="s">
        <v>22</v>
      </c>
      <c r="J3763" s="4">
        <v>50</v>
      </c>
      <c r="K3763">
        <v>1</v>
      </c>
      <c r="L3763">
        <v>50</v>
      </c>
      <c r="M3763">
        <v>50</v>
      </c>
      <c r="N3763" s="5">
        <v>2.5411199408612082</v>
      </c>
      <c r="O3763" t="s">
        <v>39</v>
      </c>
      <c r="P3763" t="s">
        <v>340</v>
      </c>
      <c r="Q3763" s="10" t="s">
        <v>24</v>
      </c>
    </row>
    <row r="3764" spans="1:18" hidden="1" x14ac:dyDescent="0.25">
      <c r="A3764" s="9" t="s">
        <v>1802</v>
      </c>
      <c r="B3764" s="3" t="s">
        <v>1038</v>
      </c>
      <c r="C3764" s="10">
        <v>18</v>
      </c>
      <c r="D3764" s="10">
        <v>4</v>
      </c>
      <c r="E3764" s="10">
        <v>19</v>
      </c>
      <c r="F3764" t="s">
        <v>1037</v>
      </c>
      <c r="G3764" t="s">
        <v>889</v>
      </c>
      <c r="H3764" t="s">
        <v>889</v>
      </c>
      <c r="I3764" s="32" t="s">
        <v>82</v>
      </c>
      <c r="J3764" s="4">
        <v>470.25</v>
      </c>
      <c r="K3764">
        <v>2</v>
      </c>
      <c r="L3764">
        <v>470.25</v>
      </c>
      <c r="M3764">
        <v>940.5</v>
      </c>
      <c r="N3764" s="5">
        <v>47.668525088697415</v>
      </c>
      <c r="O3764" t="s">
        <v>2442</v>
      </c>
      <c r="P3764" t="s">
        <v>340</v>
      </c>
      <c r="Q3764" s="10" t="s">
        <v>84</v>
      </c>
    </row>
    <row r="3765" spans="1:18" hidden="1" x14ac:dyDescent="0.25">
      <c r="A3765" s="9" t="s">
        <v>1802</v>
      </c>
      <c r="B3765" s="3" t="s">
        <v>1038</v>
      </c>
      <c r="C3765" s="10">
        <v>18</v>
      </c>
      <c r="D3765" s="10">
        <v>4</v>
      </c>
      <c r="E3765" s="10">
        <v>19</v>
      </c>
      <c r="F3765" t="s">
        <v>1039</v>
      </c>
      <c r="G3765" t="s">
        <v>889</v>
      </c>
      <c r="H3765" t="s">
        <v>131</v>
      </c>
      <c r="I3765" t="s">
        <v>27</v>
      </c>
      <c r="J3765" s="4">
        <v>84.95</v>
      </c>
      <c r="K3765">
        <v>3</v>
      </c>
      <c r="L3765">
        <v>84.95</v>
      </c>
      <c r="M3765">
        <v>254.85000000000002</v>
      </c>
      <c r="N3765" s="5">
        <v>12.916877850988344</v>
      </c>
      <c r="O3765" t="s">
        <v>39</v>
      </c>
      <c r="P3765" t="s">
        <v>340</v>
      </c>
      <c r="Q3765" s="10" t="s">
        <v>84</v>
      </c>
    </row>
    <row r="3766" spans="1:18" hidden="1" x14ac:dyDescent="0.25">
      <c r="A3766" s="9" t="s">
        <v>1802</v>
      </c>
      <c r="B3766" s="3" t="s">
        <v>1038</v>
      </c>
      <c r="C3766" s="10">
        <v>18</v>
      </c>
      <c r="D3766" s="10">
        <v>4</v>
      </c>
      <c r="E3766" s="10">
        <v>19</v>
      </c>
      <c r="F3766" t="s">
        <v>207</v>
      </c>
      <c r="G3766" t="s">
        <v>889</v>
      </c>
      <c r="H3766" t="s">
        <v>56</v>
      </c>
      <c r="I3766" t="s">
        <v>27</v>
      </c>
      <c r="J3766" s="4">
        <v>27.8</v>
      </c>
      <c r="K3766">
        <v>0.54200000000000004</v>
      </c>
      <c r="L3766">
        <v>27.8</v>
      </c>
      <c r="M3766">
        <v>15.067600000000001</v>
      </c>
      <c r="N3766" s="5">
        <v>0.76368981246832235</v>
      </c>
      <c r="O3766" t="s">
        <v>39</v>
      </c>
      <c r="P3766" t="s">
        <v>340</v>
      </c>
      <c r="Q3766" s="10" t="s">
        <v>24</v>
      </c>
    </row>
    <row r="3767" spans="1:18" hidden="1" x14ac:dyDescent="0.25">
      <c r="A3767" s="9" t="s">
        <v>1802</v>
      </c>
      <c r="B3767" s="3" t="s">
        <v>1038</v>
      </c>
      <c r="C3767" s="10">
        <v>18</v>
      </c>
      <c r="D3767" s="10">
        <v>4</v>
      </c>
      <c r="E3767" s="10">
        <v>19</v>
      </c>
      <c r="F3767" t="s">
        <v>1040</v>
      </c>
      <c r="G3767" t="s">
        <v>889</v>
      </c>
      <c r="H3767" t="s">
        <v>364</v>
      </c>
      <c r="I3767" t="s">
        <v>27</v>
      </c>
      <c r="J3767" s="4">
        <v>59.35</v>
      </c>
      <c r="K3767">
        <v>1</v>
      </c>
      <c r="L3767">
        <v>59.35</v>
      </c>
      <c r="M3767">
        <v>59.35</v>
      </c>
      <c r="N3767" s="5">
        <v>3.0081094779523569</v>
      </c>
      <c r="O3767" t="s">
        <v>39</v>
      </c>
      <c r="P3767" t="s">
        <v>340</v>
      </c>
      <c r="Q3767" s="10" t="s">
        <v>24</v>
      </c>
    </row>
    <row r="3768" spans="1:18" hidden="1" x14ac:dyDescent="0.25">
      <c r="A3768" s="9" t="s">
        <v>1802</v>
      </c>
      <c r="B3768" s="3" t="s">
        <v>1038</v>
      </c>
      <c r="C3768" s="10">
        <v>18</v>
      </c>
      <c r="D3768" s="10">
        <v>4</v>
      </c>
      <c r="E3768" s="10">
        <v>19</v>
      </c>
      <c r="F3768" t="s">
        <v>112</v>
      </c>
      <c r="G3768" t="s">
        <v>889</v>
      </c>
      <c r="H3768" t="s">
        <v>56</v>
      </c>
      <c r="I3768" t="s">
        <v>27</v>
      </c>
      <c r="J3768" s="4">
        <v>27.05</v>
      </c>
      <c r="K3768">
        <v>0.42599999999999999</v>
      </c>
      <c r="L3768">
        <v>27.05</v>
      </c>
      <c r="M3768">
        <v>11.523300000000001</v>
      </c>
      <c r="N3768" s="5">
        <v>0.58404967055245827</v>
      </c>
      <c r="O3768" t="s">
        <v>39</v>
      </c>
      <c r="P3768" t="s">
        <v>340</v>
      </c>
      <c r="Q3768" s="10" t="s">
        <v>24</v>
      </c>
    </row>
    <row r="3769" spans="1:18" hidden="1" x14ac:dyDescent="0.25">
      <c r="A3769" s="9" t="s">
        <v>1802</v>
      </c>
      <c r="B3769" s="3" t="s">
        <v>1038</v>
      </c>
      <c r="C3769" s="10">
        <v>18</v>
      </c>
      <c r="D3769" s="10">
        <v>4</v>
      </c>
      <c r="E3769" s="10">
        <v>19</v>
      </c>
      <c r="F3769" t="s">
        <v>98</v>
      </c>
      <c r="H3769" t="s">
        <v>26</v>
      </c>
      <c r="I3769" t="s">
        <v>27</v>
      </c>
      <c r="J3769" s="4">
        <v>45.25</v>
      </c>
      <c r="K3769">
        <v>1</v>
      </c>
      <c r="L3769">
        <v>45.25</v>
      </c>
      <c r="M3769">
        <v>45.25</v>
      </c>
      <c r="N3769" s="5">
        <v>2.2934617334009122</v>
      </c>
      <c r="O3769" t="s">
        <v>39</v>
      </c>
      <c r="P3769" t="s">
        <v>340</v>
      </c>
      <c r="Q3769" s="10" t="s">
        <v>24</v>
      </c>
      <c r="R3769" t="s">
        <v>1258</v>
      </c>
    </row>
    <row r="3770" spans="1:18" hidden="1" x14ac:dyDescent="0.25">
      <c r="A3770" s="9" t="s">
        <v>1802</v>
      </c>
      <c r="B3770" s="3" t="s">
        <v>1038</v>
      </c>
      <c r="C3770" s="10">
        <v>18</v>
      </c>
      <c r="D3770" s="10">
        <v>4</v>
      </c>
      <c r="E3770" s="10">
        <v>19</v>
      </c>
      <c r="F3770" t="s">
        <v>202</v>
      </c>
      <c r="H3770" t="s">
        <v>54</v>
      </c>
      <c r="I3770" t="s">
        <v>27</v>
      </c>
      <c r="J3770" s="4">
        <v>110.15</v>
      </c>
      <c r="K3770">
        <v>0.29399999999999998</v>
      </c>
      <c r="L3770">
        <v>110.15</v>
      </c>
      <c r="M3770">
        <v>32.384099999999997</v>
      </c>
      <c r="N3770" s="5">
        <v>1.6413634059807398</v>
      </c>
      <c r="O3770" t="s">
        <v>39</v>
      </c>
      <c r="P3770" t="s">
        <v>340</v>
      </c>
      <c r="Q3770" s="10" t="s">
        <v>24</v>
      </c>
    </row>
    <row r="3771" spans="1:18" hidden="1" x14ac:dyDescent="0.25">
      <c r="A3771" s="9" t="s">
        <v>1802</v>
      </c>
      <c r="B3771" s="3" t="s">
        <v>1038</v>
      </c>
      <c r="C3771" s="10">
        <v>18</v>
      </c>
      <c r="D3771" s="10">
        <v>4</v>
      </c>
      <c r="E3771" s="10">
        <v>19</v>
      </c>
      <c r="F3771" t="s">
        <v>204</v>
      </c>
      <c r="G3771" t="s">
        <v>889</v>
      </c>
      <c r="H3771" t="s">
        <v>54</v>
      </c>
      <c r="I3771" t="s">
        <v>27</v>
      </c>
      <c r="J3771" s="4">
        <v>88.75</v>
      </c>
      <c r="K3771">
        <v>7.8E-2</v>
      </c>
      <c r="L3771">
        <v>88.75</v>
      </c>
      <c r="M3771">
        <v>6.9225000000000003</v>
      </c>
      <c r="N3771" s="5">
        <v>0.35086163203243792</v>
      </c>
      <c r="O3771" t="s">
        <v>39</v>
      </c>
      <c r="P3771" t="s">
        <v>340</v>
      </c>
      <c r="Q3771" s="10" t="s">
        <v>24</v>
      </c>
    </row>
    <row r="3772" spans="1:18" hidden="1" x14ac:dyDescent="0.25">
      <c r="A3772" s="9" t="s">
        <v>1802</v>
      </c>
      <c r="B3772" s="3" t="s">
        <v>1038</v>
      </c>
      <c r="C3772" s="10">
        <v>18</v>
      </c>
      <c r="D3772" s="10">
        <v>4</v>
      </c>
      <c r="E3772" s="10">
        <v>19</v>
      </c>
      <c r="F3772" t="s">
        <v>119</v>
      </c>
      <c r="G3772" t="s">
        <v>889</v>
      </c>
      <c r="H3772" t="s">
        <v>56</v>
      </c>
      <c r="I3772" t="s">
        <v>27</v>
      </c>
      <c r="J3772" s="4">
        <v>21.65</v>
      </c>
      <c r="K3772">
        <v>0.63600000000000001</v>
      </c>
      <c r="L3772">
        <v>21.65</v>
      </c>
      <c r="M3772">
        <v>13.769399999999999</v>
      </c>
      <c r="N3772" s="5">
        <v>0.69789153573238716</v>
      </c>
      <c r="O3772" t="s">
        <v>39</v>
      </c>
      <c r="P3772" t="s">
        <v>340</v>
      </c>
      <c r="Q3772" s="10" t="s">
        <v>24</v>
      </c>
    </row>
    <row r="3773" spans="1:18" hidden="1" x14ac:dyDescent="0.25">
      <c r="A3773" s="9" t="s">
        <v>1802</v>
      </c>
      <c r="B3773" s="3" t="s">
        <v>1035</v>
      </c>
      <c r="C3773" s="10">
        <v>19</v>
      </c>
      <c r="D3773" s="10">
        <v>4</v>
      </c>
      <c r="E3773" s="10">
        <v>19</v>
      </c>
      <c r="F3773" t="s">
        <v>1588</v>
      </c>
      <c r="G3773" t="s">
        <v>304</v>
      </c>
      <c r="H3773" t="s">
        <v>1593</v>
      </c>
      <c r="I3773" t="s">
        <v>79</v>
      </c>
      <c r="J3773" s="4">
        <v>250</v>
      </c>
      <c r="K3773">
        <v>1</v>
      </c>
      <c r="L3773">
        <v>250</v>
      </c>
      <c r="M3773">
        <v>250</v>
      </c>
      <c r="N3773" s="5">
        <v>12.671059300557527</v>
      </c>
      <c r="O3773" t="s">
        <v>1034</v>
      </c>
      <c r="P3773" t="s">
        <v>340</v>
      </c>
      <c r="Q3773" s="10" t="s">
        <v>24</v>
      </c>
      <c r="R3773" t="s">
        <v>1587</v>
      </c>
    </row>
    <row r="3774" spans="1:18" hidden="1" x14ac:dyDescent="0.25">
      <c r="A3774" s="9" t="s">
        <v>1802</v>
      </c>
      <c r="B3774" s="3" t="s">
        <v>1035</v>
      </c>
      <c r="C3774" s="10">
        <v>19</v>
      </c>
      <c r="D3774" s="10">
        <v>4</v>
      </c>
      <c r="E3774" s="10">
        <v>19</v>
      </c>
      <c r="F3774" t="s">
        <v>426</v>
      </c>
      <c r="G3774" t="s">
        <v>889</v>
      </c>
      <c r="H3774" t="s">
        <v>54</v>
      </c>
      <c r="I3774" t="s">
        <v>27</v>
      </c>
      <c r="J3774" s="4">
        <v>25</v>
      </c>
      <c r="K3774">
        <v>1</v>
      </c>
      <c r="L3774">
        <v>25</v>
      </c>
      <c r="M3774">
        <v>25</v>
      </c>
      <c r="N3774" s="5">
        <v>1.2671059300557526</v>
      </c>
      <c r="O3774" t="s">
        <v>593</v>
      </c>
      <c r="P3774" t="s">
        <v>340</v>
      </c>
      <c r="Q3774" s="10" t="s">
        <v>24</v>
      </c>
    </row>
    <row r="3775" spans="1:18" hidden="1" x14ac:dyDescent="0.25">
      <c r="A3775" s="9" t="s">
        <v>1802</v>
      </c>
      <c r="B3775" s="3" t="s">
        <v>1035</v>
      </c>
      <c r="C3775" s="10">
        <v>19</v>
      </c>
      <c r="D3775" s="10">
        <v>4</v>
      </c>
      <c r="E3775" s="10">
        <v>19</v>
      </c>
      <c r="F3775" t="s">
        <v>586</v>
      </c>
      <c r="G3775" t="s">
        <v>31</v>
      </c>
      <c r="H3775" t="s">
        <v>26</v>
      </c>
      <c r="I3775" t="s">
        <v>27</v>
      </c>
      <c r="J3775" s="4">
        <v>5.2</v>
      </c>
      <c r="K3775">
        <v>2</v>
      </c>
      <c r="L3775">
        <v>5.2</v>
      </c>
      <c r="M3775">
        <v>10.4</v>
      </c>
      <c r="N3775" s="5">
        <v>0.52711606690319313</v>
      </c>
      <c r="O3775" t="s">
        <v>100</v>
      </c>
      <c r="P3775" t="s">
        <v>340</v>
      </c>
      <c r="Q3775" s="10" t="s">
        <v>24</v>
      </c>
    </row>
    <row r="3776" spans="1:18" hidden="1" x14ac:dyDescent="0.25">
      <c r="A3776" s="9" t="s">
        <v>1802</v>
      </c>
      <c r="B3776" s="3" t="s">
        <v>1035</v>
      </c>
      <c r="C3776" s="10">
        <v>19</v>
      </c>
      <c r="D3776" s="10">
        <v>4</v>
      </c>
      <c r="E3776" s="10">
        <v>19</v>
      </c>
      <c r="F3776" t="s">
        <v>974</v>
      </c>
      <c r="G3776" t="s">
        <v>25</v>
      </c>
      <c r="H3776" t="s">
        <v>26</v>
      </c>
      <c r="I3776" t="s">
        <v>27</v>
      </c>
      <c r="J3776" s="4">
        <v>211.6</v>
      </c>
      <c r="K3776">
        <v>0.41</v>
      </c>
      <c r="L3776">
        <v>211.6</v>
      </c>
      <c r="M3776">
        <v>86.755999999999986</v>
      </c>
      <c r="N3776" s="5">
        <v>4.397161682716674</v>
      </c>
      <c r="O3776" t="s">
        <v>100</v>
      </c>
      <c r="P3776" t="s">
        <v>340</v>
      </c>
      <c r="Q3776" s="10" t="s">
        <v>24</v>
      </c>
    </row>
    <row r="3777" spans="1:18" hidden="1" x14ac:dyDescent="0.25">
      <c r="A3777" s="9" t="s">
        <v>1802</v>
      </c>
      <c r="B3777" s="3" t="s">
        <v>1035</v>
      </c>
      <c r="C3777" s="10">
        <v>19</v>
      </c>
      <c r="D3777" s="10">
        <v>4</v>
      </c>
      <c r="E3777" s="10">
        <v>19</v>
      </c>
      <c r="F3777" t="s">
        <v>1036</v>
      </c>
      <c r="G3777" t="s">
        <v>889</v>
      </c>
      <c r="H3777" t="s">
        <v>38</v>
      </c>
      <c r="I3777" t="s">
        <v>27</v>
      </c>
      <c r="J3777" s="4">
        <v>126</v>
      </c>
      <c r="K3777">
        <v>0.28000000000000003</v>
      </c>
      <c r="L3777">
        <v>126</v>
      </c>
      <c r="M3777">
        <v>35.28</v>
      </c>
      <c r="N3777" s="5">
        <v>1.7881398884946782</v>
      </c>
      <c r="O3777" t="s">
        <v>100</v>
      </c>
      <c r="P3777" t="s">
        <v>340</v>
      </c>
      <c r="Q3777" s="10" t="s">
        <v>24</v>
      </c>
    </row>
    <row r="3778" spans="1:18" hidden="1" x14ac:dyDescent="0.25">
      <c r="A3778" s="9" t="s">
        <v>1802</v>
      </c>
      <c r="B3778" s="3" t="s">
        <v>1035</v>
      </c>
      <c r="C3778" s="10">
        <v>19</v>
      </c>
      <c r="D3778" s="10">
        <v>4</v>
      </c>
      <c r="E3778" s="10">
        <v>19</v>
      </c>
      <c r="F3778" t="s">
        <v>99</v>
      </c>
      <c r="G3778" t="s">
        <v>889</v>
      </c>
      <c r="H3778" t="s">
        <v>40</v>
      </c>
      <c r="I3778" t="s">
        <v>27</v>
      </c>
      <c r="J3778" s="4">
        <v>10</v>
      </c>
      <c r="K3778">
        <v>1</v>
      </c>
      <c r="L3778">
        <v>10</v>
      </c>
      <c r="M3778">
        <v>10</v>
      </c>
      <c r="N3778" s="5">
        <v>0.50684237202230109</v>
      </c>
      <c r="O3778" t="s">
        <v>100</v>
      </c>
      <c r="P3778" t="s">
        <v>340</v>
      </c>
      <c r="Q3778" s="10" t="s">
        <v>24</v>
      </c>
    </row>
    <row r="3779" spans="1:18" hidden="1" x14ac:dyDescent="0.25">
      <c r="A3779" s="9" t="s">
        <v>1802</v>
      </c>
      <c r="B3779" s="3" t="s">
        <v>1035</v>
      </c>
      <c r="C3779" s="10">
        <v>19</v>
      </c>
      <c r="D3779" s="10">
        <v>4</v>
      </c>
      <c r="E3779" s="10">
        <v>19</v>
      </c>
      <c r="F3779" t="s">
        <v>372</v>
      </c>
      <c r="G3779" t="s">
        <v>373</v>
      </c>
      <c r="H3779" t="s">
        <v>65</v>
      </c>
      <c r="I3779" t="s">
        <v>27</v>
      </c>
      <c r="J3779" s="4">
        <v>9</v>
      </c>
      <c r="K3779">
        <v>1</v>
      </c>
      <c r="L3779">
        <v>9</v>
      </c>
      <c r="M3779">
        <v>9</v>
      </c>
      <c r="N3779" s="5">
        <v>0.45615813482007095</v>
      </c>
      <c r="O3779" t="s">
        <v>100</v>
      </c>
      <c r="P3779" t="s">
        <v>340</v>
      </c>
      <c r="Q3779" s="10" t="s">
        <v>24</v>
      </c>
    </row>
    <row r="3780" spans="1:18" hidden="1" x14ac:dyDescent="0.25">
      <c r="A3780" s="9" t="s">
        <v>1802</v>
      </c>
      <c r="B3780" s="3" t="s">
        <v>1035</v>
      </c>
      <c r="C3780" s="10">
        <v>19</v>
      </c>
      <c r="D3780" s="10">
        <v>4</v>
      </c>
      <c r="E3780" s="10">
        <v>19</v>
      </c>
      <c r="F3780" t="s">
        <v>141</v>
      </c>
      <c r="G3780" t="s">
        <v>889</v>
      </c>
      <c r="H3780" t="s">
        <v>172</v>
      </c>
      <c r="I3780" t="s">
        <v>39</v>
      </c>
      <c r="J3780" s="4">
        <v>2</v>
      </c>
      <c r="K3780">
        <v>2</v>
      </c>
      <c r="L3780">
        <v>2</v>
      </c>
      <c r="M3780">
        <v>4</v>
      </c>
      <c r="N3780" s="5">
        <v>0.20273694880892043</v>
      </c>
      <c r="O3780" t="s">
        <v>39</v>
      </c>
      <c r="P3780" t="s">
        <v>340</v>
      </c>
      <c r="Q3780" s="10" t="s">
        <v>24</v>
      </c>
    </row>
    <row r="3781" spans="1:18" hidden="1" x14ac:dyDescent="0.25">
      <c r="A3781" s="9" t="s">
        <v>1802</v>
      </c>
      <c r="B3781" s="3" t="s">
        <v>1807</v>
      </c>
      <c r="C3781" s="10">
        <v>2</v>
      </c>
      <c r="D3781" s="10">
        <v>4</v>
      </c>
      <c r="E3781" s="10">
        <v>19</v>
      </c>
      <c r="F3781" t="s">
        <v>78</v>
      </c>
      <c r="G3781" t="s">
        <v>889</v>
      </c>
      <c r="H3781" t="s">
        <v>78</v>
      </c>
      <c r="I3781" t="s">
        <v>79</v>
      </c>
      <c r="J3781" s="4">
        <v>18.37</v>
      </c>
      <c r="K3781">
        <v>52.8</v>
      </c>
      <c r="L3781">
        <v>18.37</v>
      </c>
      <c r="M3781">
        <v>969.93600000000004</v>
      </c>
      <c r="N3781" s="5">
        <v>49.294474219183137</v>
      </c>
      <c r="O3781" t="s">
        <v>80</v>
      </c>
      <c r="P3781" t="s">
        <v>340</v>
      </c>
      <c r="Q3781" s="10" t="s">
        <v>24</v>
      </c>
    </row>
    <row r="3782" spans="1:18" hidden="1" x14ac:dyDescent="0.25">
      <c r="A3782" s="9" t="s">
        <v>1802</v>
      </c>
      <c r="B3782" s="3" t="s">
        <v>1807</v>
      </c>
      <c r="C3782" s="10">
        <v>2</v>
      </c>
      <c r="D3782" s="10">
        <v>4</v>
      </c>
      <c r="E3782" s="10">
        <v>19</v>
      </c>
      <c r="F3782" t="s">
        <v>770</v>
      </c>
      <c r="G3782" t="s">
        <v>31</v>
      </c>
      <c r="H3782" t="s">
        <v>26</v>
      </c>
      <c r="I3782" t="s">
        <v>27</v>
      </c>
      <c r="J3782" s="4">
        <v>7.75</v>
      </c>
      <c r="K3782">
        <v>3</v>
      </c>
      <c r="L3782">
        <v>7.75</v>
      </c>
      <c r="M3782">
        <v>23.25</v>
      </c>
      <c r="N3782" s="5">
        <v>1.1816207725004619</v>
      </c>
      <c r="O3782" t="s">
        <v>101</v>
      </c>
      <c r="P3782" t="s">
        <v>340</v>
      </c>
      <c r="Q3782" s="10" t="s">
        <v>24</v>
      </c>
    </row>
    <row r="3783" spans="1:18" hidden="1" x14ac:dyDescent="0.25">
      <c r="A3783" s="9" t="s">
        <v>1802</v>
      </c>
      <c r="B3783" s="3" t="s">
        <v>1920</v>
      </c>
      <c r="C3783" s="10">
        <v>20</v>
      </c>
      <c r="D3783" s="10">
        <v>4</v>
      </c>
      <c r="E3783" s="10">
        <v>19</v>
      </c>
      <c r="F3783" t="s">
        <v>40</v>
      </c>
      <c r="G3783" t="s">
        <v>889</v>
      </c>
      <c r="H3783" t="s">
        <v>40</v>
      </c>
      <c r="I3783" t="s">
        <v>27</v>
      </c>
      <c r="J3783" s="4">
        <v>10</v>
      </c>
      <c r="K3783">
        <v>1</v>
      </c>
      <c r="L3783">
        <v>10</v>
      </c>
      <c r="M3783">
        <v>10</v>
      </c>
      <c r="N3783" s="5">
        <v>0.50822398817224168</v>
      </c>
      <c r="O3783" t="s">
        <v>100</v>
      </c>
      <c r="P3783" t="s">
        <v>340</v>
      </c>
      <c r="Q3783" s="10" t="s">
        <v>24</v>
      </c>
      <c r="R3783" t="s">
        <v>1904</v>
      </c>
    </row>
    <row r="3784" spans="1:18" hidden="1" x14ac:dyDescent="0.25">
      <c r="A3784" s="9" t="s">
        <v>1802</v>
      </c>
      <c r="B3784" s="3" t="s">
        <v>1920</v>
      </c>
      <c r="C3784" s="10">
        <v>20</v>
      </c>
      <c r="D3784" s="10">
        <v>4</v>
      </c>
      <c r="E3784" s="10">
        <v>19</v>
      </c>
      <c r="F3784" t="s">
        <v>1903</v>
      </c>
      <c r="G3784" t="s">
        <v>889</v>
      </c>
      <c r="H3784" t="s">
        <v>59</v>
      </c>
      <c r="I3784" t="s">
        <v>27</v>
      </c>
      <c r="J3784" s="4">
        <v>31.5</v>
      </c>
      <c r="K3784">
        <v>1</v>
      </c>
      <c r="L3784">
        <v>31.5</v>
      </c>
      <c r="M3784">
        <v>31.5</v>
      </c>
      <c r="N3784" s="5">
        <v>1.6009055627425612</v>
      </c>
      <c r="O3784" t="s">
        <v>100</v>
      </c>
      <c r="P3784" t="s">
        <v>340</v>
      </c>
      <c r="Q3784" s="10" t="s">
        <v>24</v>
      </c>
      <c r="R3784" t="s">
        <v>1905</v>
      </c>
    </row>
    <row r="3785" spans="1:18" hidden="1" x14ac:dyDescent="0.25">
      <c r="A3785" s="9" t="s">
        <v>1802</v>
      </c>
      <c r="B3785" s="3" t="s">
        <v>1920</v>
      </c>
      <c r="C3785" s="10">
        <v>20</v>
      </c>
      <c r="D3785" s="10">
        <v>4</v>
      </c>
      <c r="E3785" s="10">
        <v>19</v>
      </c>
      <c r="F3785" t="s">
        <v>1186</v>
      </c>
      <c r="G3785" t="s">
        <v>889</v>
      </c>
      <c r="H3785" t="s">
        <v>62</v>
      </c>
      <c r="I3785" t="s">
        <v>27</v>
      </c>
      <c r="J3785" s="4">
        <v>24.85</v>
      </c>
      <c r="K3785">
        <v>1</v>
      </c>
      <c r="L3785">
        <v>24.85</v>
      </c>
      <c r="M3785">
        <v>24.85</v>
      </c>
      <c r="N3785" s="5">
        <v>1.2629366106080206</v>
      </c>
      <c r="O3785" t="s">
        <v>100</v>
      </c>
      <c r="P3785" t="s">
        <v>340</v>
      </c>
      <c r="Q3785" s="10" t="s">
        <v>24</v>
      </c>
    </row>
    <row r="3786" spans="1:18" hidden="1" x14ac:dyDescent="0.25">
      <c r="A3786" s="9" t="s">
        <v>1802</v>
      </c>
      <c r="B3786" s="3" t="s">
        <v>1920</v>
      </c>
      <c r="C3786" s="10">
        <v>20</v>
      </c>
      <c r="D3786" s="10">
        <v>4</v>
      </c>
      <c r="E3786" s="10">
        <v>19</v>
      </c>
      <c r="F3786" t="s">
        <v>108</v>
      </c>
      <c r="G3786" t="s">
        <v>889</v>
      </c>
      <c r="H3786" t="s">
        <v>54</v>
      </c>
      <c r="I3786" t="s">
        <v>27</v>
      </c>
      <c r="J3786" s="4">
        <v>73.599999999999994</v>
      </c>
      <c r="K3786">
        <v>0.44600000000000001</v>
      </c>
      <c r="L3786">
        <v>73.599999999999994</v>
      </c>
      <c r="M3786">
        <v>32.825600000000001</v>
      </c>
      <c r="N3786" s="5">
        <v>1.6682757346146737</v>
      </c>
      <c r="O3786" t="s">
        <v>100</v>
      </c>
      <c r="P3786" t="s">
        <v>340</v>
      </c>
      <c r="Q3786" s="10" t="s">
        <v>24</v>
      </c>
    </row>
    <row r="3787" spans="1:18" hidden="1" x14ac:dyDescent="0.25">
      <c r="A3787" s="9" t="s">
        <v>1802</v>
      </c>
      <c r="B3787" s="3" t="s">
        <v>1920</v>
      </c>
      <c r="C3787" s="10">
        <v>20</v>
      </c>
      <c r="D3787" s="10">
        <v>4</v>
      </c>
      <c r="E3787" s="10">
        <v>19</v>
      </c>
      <c r="F3787" t="s">
        <v>1906</v>
      </c>
      <c r="G3787" t="s">
        <v>889</v>
      </c>
      <c r="H3787" t="s">
        <v>65</v>
      </c>
      <c r="I3787" t="s">
        <v>27</v>
      </c>
      <c r="J3787" s="4">
        <v>13</v>
      </c>
      <c r="K3787">
        <v>2</v>
      </c>
      <c r="L3787">
        <v>13</v>
      </c>
      <c r="M3787">
        <v>26</v>
      </c>
      <c r="N3787" s="5">
        <v>1.3213823692478284</v>
      </c>
      <c r="O3787" t="s">
        <v>100</v>
      </c>
      <c r="P3787" t="s">
        <v>340</v>
      </c>
      <c r="Q3787" s="10" t="s">
        <v>24</v>
      </c>
    </row>
    <row r="3788" spans="1:18" hidden="1" x14ac:dyDescent="0.25">
      <c r="A3788" s="9" t="s">
        <v>1802</v>
      </c>
      <c r="B3788" s="3" t="s">
        <v>1920</v>
      </c>
      <c r="C3788" s="10">
        <v>20</v>
      </c>
      <c r="D3788" s="10">
        <v>4</v>
      </c>
      <c r="E3788" s="10">
        <v>19</v>
      </c>
      <c r="F3788" t="s">
        <v>483</v>
      </c>
      <c r="G3788" t="s">
        <v>889</v>
      </c>
      <c r="H3788" t="s">
        <v>56</v>
      </c>
      <c r="I3788" t="s">
        <v>27</v>
      </c>
      <c r="J3788" s="4">
        <v>94.6</v>
      </c>
      <c r="K3788">
        <v>0.59799999999999998</v>
      </c>
      <c r="L3788">
        <v>94.6</v>
      </c>
      <c r="M3788">
        <v>56.570799999999991</v>
      </c>
      <c r="N3788" s="5">
        <v>2.8750637590094246</v>
      </c>
      <c r="O3788" t="s">
        <v>100</v>
      </c>
      <c r="P3788" t="s">
        <v>340</v>
      </c>
      <c r="Q3788" s="10" t="s">
        <v>24</v>
      </c>
    </row>
    <row r="3789" spans="1:18" hidden="1" x14ac:dyDescent="0.25">
      <c r="A3789" s="9" t="s">
        <v>1802</v>
      </c>
      <c r="B3789" s="3" t="s">
        <v>1920</v>
      </c>
      <c r="C3789" s="10">
        <v>20</v>
      </c>
      <c r="D3789" s="10">
        <v>4</v>
      </c>
      <c r="E3789" s="10">
        <v>19</v>
      </c>
      <c r="F3789" t="s">
        <v>373</v>
      </c>
      <c r="G3789" t="s">
        <v>889</v>
      </c>
      <c r="H3789" t="s">
        <v>65</v>
      </c>
      <c r="I3789" t="s">
        <v>27</v>
      </c>
      <c r="J3789" s="4">
        <v>13.75</v>
      </c>
      <c r="K3789">
        <v>1</v>
      </c>
      <c r="L3789">
        <v>13.75</v>
      </c>
      <c r="M3789">
        <v>13.75</v>
      </c>
      <c r="N3789" s="5">
        <v>0.69880798373683228</v>
      </c>
      <c r="O3789" t="s">
        <v>1790</v>
      </c>
      <c r="P3789" t="s">
        <v>340</v>
      </c>
      <c r="Q3789" s="10" t="s">
        <v>24</v>
      </c>
    </row>
    <row r="3790" spans="1:18" hidden="1" x14ac:dyDescent="0.25">
      <c r="A3790" s="9" t="s">
        <v>1802</v>
      </c>
      <c r="B3790" s="3" t="s">
        <v>1920</v>
      </c>
      <c r="C3790" s="10">
        <v>20</v>
      </c>
      <c r="D3790" s="10">
        <v>4</v>
      </c>
      <c r="E3790" s="10">
        <v>19</v>
      </c>
      <c r="F3790" t="s">
        <v>878</v>
      </c>
      <c r="G3790" t="s">
        <v>889</v>
      </c>
      <c r="H3790" t="s">
        <v>53</v>
      </c>
      <c r="I3790" t="s">
        <v>27</v>
      </c>
      <c r="J3790" s="4">
        <v>8.75</v>
      </c>
      <c r="K3790">
        <v>1</v>
      </c>
      <c r="L3790">
        <v>8.75</v>
      </c>
      <c r="M3790">
        <v>8.75</v>
      </c>
      <c r="N3790" s="5">
        <v>0.44469598965071144</v>
      </c>
      <c r="O3790" t="s">
        <v>1790</v>
      </c>
      <c r="P3790" t="s">
        <v>340</v>
      </c>
      <c r="Q3790" s="10" t="s">
        <v>24</v>
      </c>
    </row>
    <row r="3791" spans="1:18" hidden="1" x14ac:dyDescent="0.25">
      <c r="A3791" s="9" t="s">
        <v>1802</v>
      </c>
      <c r="B3791" s="3" t="s">
        <v>1838</v>
      </c>
      <c r="C3791" s="10">
        <v>21</v>
      </c>
      <c r="D3791" s="10">
        <v>4</v>
      </c>
      <c r="E3791" s="10">
        <v>19</v>
      </c>
      <c r="F3791" t="s">
        <v>240</v>
      </c>
      <c r="G3791" t="s">
        <v>889</v>
      </c>
      <c r="H3791" t="s">
        <v>54</v>
      </c>
      <c r="I3791" t="s">
        <v>27</v>
      </c>
      <c r="J3791" s="4">
        <v>25.55</v>
      </c>
      <c r="K3791">
        <v>1</v>
      </c>
      <c r="L3791">
        <v>25.55</v>
      </c>
      <c r="M3791">
        <v>25.55</v>
      </c>
      <c r="N3791" s="5">
        <v>1.2985122897800774</v>
      </c>
      <c r="O3791" t="s">
        <v>1472</v>
      </c>
      <c r="P3791" t="s">
        <v>340</v>
      </c>
      <c r="Q3791" s="10" t="s">
        <v>24</v>
      </c>
    </row>
    <row r="3792" spans="1:18" hidden="1" x14ac:dyDescent="0.25">
      <c r="A3792" s="9" t="s">
        <v>1802</v>
      </c>
      <c r="B3792" s="3" t="s">
        <v>1838</v>
      </c>
      <c r="C3792" s="10">
        <v>21</v>
      </c>
      <c r="D3792" s="10">
        <v>4</v>
      </c>
      <c r="E3792" s="10">
        <v>19</v>
      </c>
      <c r="F3792" t="s">
        <v>55</v>
      </c>
      <c r="G3792" t="s">
        <v>889</v>
      </c>
      <c r="H3792" t="s">
        <v>56</v>
      </c>
      <c r="I3792" t="s">
        <v>27</v>
      </c>
      <c r="J3792" s="4">
        <v>29.1</v>
      </c>
      <c r="K3792">
        <v>1.498</v>
      </c>
      <c r="L3792">
        <v>29.1</v>
      </c>
      <c r="M3792">
        <v>43.591799999999999</v>
      </c>
      <c r="N3792" s="5">
        <v>2.2154398447606725</v>
      </c>
      <c r="O3792" t="s">
        <v>1472</v>
      </c>
      <c r="P3792" t="s">
        <v>340</v>
      </c>
      <c r="Q3792" s="10" t="s">
        <v>24</v>
      </c>
    </row>
    <row r="3793" spans="1:18" hidden="1" x14ac:dyDescent="0.25">
      <c r="A3793" s="9" t="s">
        <v>1802</v>
      </c>
      <c r="B3793" s="3" t="s">
        <v>1838</v>
      </c>
      <c r="C3793" s="10">
        <v>21</v>
      </c>
      <c r="D3793" s="10">
        <v>4</v>
      </c>
      <c r="E3793" s="10">
        <v>19</v>
      </c>
      <c r="F3793" t="s">
        <v>202</v>
      </c>
      <c r="G3793" t="s">
        <v>889</v>
      </c>
      <c r="H3793" t="s">
        <v>54</v>
      </c>
      <c r="I3793" t="s">
        <v>27</v>
      </c>
      <c r="J3793" s="4">
        <v>99.95</v>
      </c>
      <c r="K3793">
        <v>0.214</v>
      </c>
      <c r="L3793">
        <v>99.95</v>
      </c>
      <c r="M3793">
        <v>21.389299999999999</v>
      </c>
      <c r="N3793" s="5">
        <v>1.0870555350212527</v>
      </c>
      <c r="O3793" t="s">
        <v>1472</v>
      </c>
      <c r="P3793" t="s">
        <v>340</v>
      </c>
      <c r="Q3793" s="10" t="s">
        <v>24</v>
      </c>
    </row>
    <row r="3794" spans="1:18" hidden="1" x14ac:dyDescent="0.25">
      <c r="A3794" s="9" t="s">
        <v>1802</v>
      </c>
      <c r="B3794" s="3" t="s">
        <v>1091</v>
      </c>
      <c r="C3794" s="10">
        <v>22</v>
      </c>
      <c r="D3794" s="10">
        <v>4</v>
      </c>
      <c r="E3794" s="10">
        <v>19</v>
      </c>
      <c r="F3794" t="s">
        <v>1675</v>
      </c>
      <c r="G3794" t="s">
        <v>889</v>
      </c>
      <c r="H3794" t="s">
        <v>889</v>
      </c>
      <c r="I3794" t="s">
        <v>96</v>
      </c>
      <c r="J3794" s="4">
        <v>280</v>
      </c>
      <c r="K3794">
        <v>1</v>
      </c>
      <c r="L3794">
        <v>4854.6400000000003</v>
      </c>
      <c r="M3794">
        <v>4854.6400000000003</v>
      </c>
      <c r="N3794" s="5">
        <v>247.00518978325024</v>
      </c>
      <c r="O3794" t="s">
        <v>39</v>
      </c>
      <c r="P3794" t="s">
        <v>340</v>
      </c>
      <c r="Q3794" s="10" t="s">
        <v>24</v>
      </c>
      <c r="R3794" t="s">
        <v>1674</v>
      </c>
    </row>
    <row r="3795" spans="1:18" hidden="1" x14ac:dyDescent="0.25">
      <c r="A3795" s="9" t="s">
        <v>1802</v>
      </c>
      <c r="B3795" s="3" t="s">
        <v>1091</v>
      </c>
      <c r="C3795" s="10">
        <v>22</v>
      </c>
      <c r="D3795" s="10">
        <v>4</v>
      </c>
      <c r="E3795" s="10">
        <v>19</v>
      </c>
      <c r="F3795" t="s">
        <v>708</v>
      </c>
      <c r="G3795" t="s">
        <v>708</v>
      </c>
      <c r="H3795" t="s">
        <v>131</v>
      </c>
      <c r="I3795" t="s">
        <v>27</v>
      </c>
      <c r="J3795" s="4">
        <v>35</v>
      </c>
      <c r="K3795">
        <v>1</v>
      </c>
      <c r="L3795">
        <v>35</v>
      </c>
      <c r="M3795">
        <v>35</v>
      </c>
      <c r="N3795" s="5">
        <v>1.7787839586028458</v>
      </c>
      <c r="O3795" t="s">
        <v>1472</v>
      </c>
      <c r="P3795" t="s">
        <v>340</v>
      </c>
      <c r="Q3795" s="10" t="s">
        <v>24</v>
      </c>
    </row>
    <row r="3796" spans="1:18" hidden="1" x14ac:dyDescent="0.25">
      <c r="A3796" s="9" t="s">
        <v>1802</v>
      </c>
      <c r="B3796" s="3" t="s">
        <v>1091</v>
      </c>
      <c r="C3796" s="10">
        <v>22</v>
      </c>
      <c r="D3796" s="10">
        <v>4</v>
      </c>
      <c r="E3796" s="10">
        <v>19</v>
      </c>
      <c r="F3796" t="s">
        <v>910</v>
      </c>
      <c r="G3796" t="s">
        <v>889</v>
      </c>
      <c r="H3796" t="s">
        <v>131</v>
      </c>
      <c r="I3796" t="s">
        <v>27</v>
      </c>
      <c r="J3796" s="4">
        <v>84.95</v>
      </c>
      <c r="K3796">
        <v>1</v>
      </c>
      <c r="L3796">
        <v>84.95</v>
      </c>
      <c r="M3796">
        <v>84.95</v>
      </c>
      <c r="N3796" s="5">
        <v>4.3173627795231928</v>
      </c>
      <c r="O3796" t="s">
        <v>1472</v>
      </c>
      <c r="P3796" t="s">
        <v>340</v>
      </c>
      <c r="Q3796" s="10" t="s">
        <v>24</v>
      </c>
      <c r="R3796" t="s">
        <v>1039</v>
      </c>
    </row>
    <row r="3797" spans="1:18" hidden="1" x14ac:dyDescent="0.25">
      <c r="A3797" s="9" t="s">
        <v>1802</v>
      </c>
      <c r="B3797" s="3" t="s">
        <v>1071</v>
      </c>
      <c r="C3797" s="10">
        <v>23</v>
      </c>
      <c r="D3797" s="10">
        <v>4</v>
      </c>
      <c r="E3797" s="10">
        <v>19</v>
      </c>
      <c r="F3797" t="s">
        <v>958</v>
      </c>
      <c r="H3797" t="s">
        <v>53</v>
      </c>
      <c r="I3797" t="s">
        <v>27</v>
      </c>
      <c r="J3797" s="4">
        <v>34</v>
      </c>
      <c r="K3797">
        <v>2</v>
      </c>
      <c r="L3797">
        <v>34</v>
      </c>
      <c r="M3797">
        <v>68</v>
      </c>
      <c r="N3797" s="5">
        <v>3.4598555001526408</v>
      </c>
      <c r="O3797" t="s">
        <v>101</v>
      </c>
      <c r="P3797" t="s">
        <v>340</v>
      </c>
      <c r="Q3797" s="10" t="s">
        <v>24</v>
      </c>
    </row>
    <row r="3798" spans="1:18" hidden="1" x14ac:dyDescent="0.25">
      <c r="A3798" s="9" t="s">
        <v>1802</v>
      </c>
      <c r="B3798" s="3" t="s">
        <v>1071</v>
      </c>
      <c r="C3798" s="10">
        <v>23</v>
      </c>
      <c r="D3798" s="10">
        <v>4</v>
      </c>
      <c r="E3798" s="10">
        <v>19</v>
      </c>
      <c r="F3798" t="s">
        <v>372</v>
      </c>
      <c r="G3798" t="s">
        <v>373</v>
      </c>
      <c r="H3798" t="s">
        <v>65</v>
      </c>
      <c r="I3798" t="s">
        <v>27</v>
      </c>
      <c r="J3798" s="4">
        <v>9.1</v>
      </c>
      <c r="K3798">
        <v>2</v>
      </c>
      <c r="L3798">
        <v>9.1</v>
      </c>
      <c r="M3798">
        <v>18.2</v>
      </c>
      <c r="N3798" s="5">
        <v>0.9260201485702656</v>
      </c>
      <c r="O3798" t="s">
        <v>274</v>
      </c>
      <c r="P3798" t="s">
        <v>340</v>
      </c>
      <c r="Q3798" s="10" t="s">
        <v>24</v>
      </c>
    </row>
    <row r="3799" spans="1:18" hidden="1" x14ac:dyDescent="0.25">
      <c r="A3799" s="9" t="s">
        <v>1802</v>
      </c>
      <c r="B3799" s="3" t="s">
        <v>1071</v>
      </c>
      <c r="C3799" s="10">
        <v>23</v>
      </c>
      <c r="D3799" s="10">
        <v>4</v>
      </c>
      <c r="E3799" s="10">
        <v>19</v>
      </c>
      <c r="F3799" t="s">
        <v>78</v>
      </c>
      <c r="G3799" t="s">
        <v>889</v>
      </c>
      <c r="H3799" t="s">
        <v>78</v>
      </c>
      <c r="I3799" t="s">
        <v>79</v>
      </c>
      <c r="J3799" s="4">
        <v>18.37</v>
      </c>
      <c r="K3799">
        <v>35.4</v>
      </c>
      <c r="L3799">
        <v>18.37</v>
      </c>
      <c r="M3799">
        <v>650.298</v>
      </c>
      <c r="N3799" s="5">
        <v>33.049704306043239</v>
      </c>
      <c r="O3799" t="s">
        <v>80</v>
      </c>
      <c r="P3799" t="s">
        <v>340</v>
      </c>
      <c r="Q3799" s="10" t="s">
        <v>24</v>
      </c>
    </row>
    <row r="3800" spans="1:18" hidden="1" x14ac:dyDescent="0.25">
      <c r="A3800" s="9" t="s">
        <v>1802</v>
      </c>
      <c r="B3800" s="3" t="s">
        <v>1071</v>
      </c>
      <c r="C3800" s="10">
        <v>23</v>
      </c>
      <c r="D3800" s="10">
        <v>4</v>
      </c>
      <c r="E3800" s="10">
        <v>19</v>
      </c>
      <c r="F3800" t="s">
        <v>119</v>
      </c>
      <c r="G3800" t="s">
        <v>889</v>
      </c>
      <c r="H3800" t="s">
        <v>56</v>
      </c>
      <c r="I3800" t="s">
        <v>27</v>
      </c>
      <c r="J3800" s="4">
        <v>21.65</v>
      </c>
      <c r="K3800">
        <v>1.786</v>
      </c>
      <c r="L3800">
        <v>21.65</v>
      </c>
      <c r="M3800">
        <v>38.666899999999998</v>
      </c>
      <c r="N3800" s="5">
        <v>1.9651446128257251</v>
      </c>
      <c r="O3800" t="s">
        <v>1472</v>
      </c>
      <c r="P3800" t="s">
        <v>340</v>
      </c>
      <c r="Q3800" s="10" t="s">
        <v>24</v>
      </c>
    </row>
    <row r="3801" spans="1:18" hidden="1" x14ac:dyDescent="0.25">
      <c r="A3801" s="9" t="s">
        <v>1802</v>
      </c>
      <c r="B3801" s="3" t="s">
        <v>1071</v>
      </c>
      <c r="C3801" s="10">
        <v>23</v>
      </c>
      <c r="D3801" s="10">
        <v>4</v>
      </c>
      <c r="E3801" s="10">
        <v>19</v>
      </c>
      <c r="F3801" t="s">
        <v>146</v>
      </c>
      <c r="G3801" t="s">
        <v>889</v>
      </c>
      <c r="H3801" t="s">
        <v>49</v>
      </c>
      <c r="I3801" t="s">
        <v>50</v>
      </c>
      <c r="J3801" s="4">
        <v>1</v>
      </c>
      <c r="K3801">
        <v>1</v>
      </c>
      <c r="L3801">
        <v>1</v>
      </c>
      <c r="M3801">
        <v>1</v>
      </c>
      <c r="N3801" s="5">
        <v>5.0822398817224168E-2</v>
      </c>
      <c r="O3801" t="s">
        <v>1472</v>
      </c>
      <c r="P3801" t="s">
        <v>340</v>
      </c>
      <c r="Q3801" s="10" t="s">
        <v>24</v>
      </c>
    </row>
    <row r="3802" spans="1:18" hidden="1" x14ac:dyDescent="0.25">
      <c r="A3802" s="9" t="s">
        <v>1802</v>
      </c>
      <c r="B3802" s="3" t="s">
        <v>1071</v>
      </c>
      <c r="C3802" s="10">
        <v>23</v>
      </c>
      <c r="D3802" s="10">
        <v>4</v>
      </c>
      <c r="E3802" s="10">
        <v>19</v>
      </c>
      <c r="F3802" t="s">
        <v>112</v>
      </c>
      <c r="G3802" t="s">
        <v>889</v>
      </c>
      <c r="H3802" t="s">
        <v>56</v>
      </c>
      <c r="I3802" t="s">
        <v>27</v>
      </c>
      <c r="J3802" s="4">
        <v>27.05</v>
      </c>
      <c r="K3802">
        <v>0.76</v>
      </c>
      <c r="L3802">
        <v>27.05</v>
      </c>
      <c r="M3802">
        <v>20.558</v>
      </c>
      <c r="N3802" s="5">
        <v>1.0448068748844943</v>
      </c>
      <c r="O3802" t="s">
        <v>1472</v>
      </c>
      <c r="P3802" t="s">
        <v>340</v>
      </c>
      <c r="Q3802" s="10" t="s">
        <v>24</v>
      </c>
    </row>
    <row r="3803" spans="1:18" hidden="1" x14ac:dyDescent="0.25">
      <c r="A3803" s="9" t="s">
        <v>1802</v>
      </c>
      <c r="B3803" s="3" t="s">
        <v>1071</v>
      </c>
      <c r="C3803" s="10">
        <v>23</v>
      </c>
      <c r="D3803" s="10">
        <v>4</v>
      </c>
      <c r="E3803" s="10">
        <v>19</v>
      </c>
      <c r="F3803" t="s">
        <v>44</v>
      </c>
      <c r="G3803" t="s">
        <v>889</v>
      </c>
      <c r="H3803" t="s">
        <v>44</v>
      </c>
      <c r="I3803" t="s">
        <v>27</v>
      </c>
      <c r="J3803" s="4">
        <v>20.100000000000001</v>
      </c>
      <c r="K3803">
        <v>1</v>
      </c>
      <c r="L3803">
        <v>20.100000000000001</v>
      </c>
      <c r="M3803">
        <v>20.100000000000001</v>
      </c>
      <c r="N3803" s="5">
        <v>1.0215302162262059</v>
      </c>
      <c r="O3803" t="s">
        <v>1472</v>
      </c>
      <c r="P3803" t="s">
        <v>340</v>
      </c>
      <c r="Q3803" s="10" t="s">
        <v>24</v>
      </c>
    </row>
    <row r="3804" spans="1:18" hidden="1" x14ac:dyDescent="0.25">
      <c r="A3804" s="9" t="s">
        <v>1802</v>
      </c>
      <c r="B3804" s="3" t="s">
        <v>1071</v>
      </c>
      <c r="C3804" s="10">
        <v>23</v>
      </c>
      <c r="D3804" s="10">
        <v>4</v>
      </c>
      <c r="E3804" s="10">
        <v>19</v>
      </c>
      <c r="F3804" t="s">
        <v>81</v>
      </c>
      <c r="G3804" t="s">
        <v>889</v>
      </c>
      <c r="H3804" t="s">
        <v>889</v>
      </c>
      <c r="I3804" t="s">
        <v>39</v>
      </c>
      <c r="J3804" s="4">
        <v>470</v>
      </c>
      <c r="K3804">
        <v>1</v>
      </c>
      <c r="L3804">
        <v>470</v>
      </c>
      <c r="M3804">
        <v>470</v>
      </c>
      <c r="N3804" s="5">
        <v>23.886527444095357</v>
      </c>
      <c r="O3804" t="s">
        <v>376</v>
      </c>
      <c r="P3804" t="s">
        <v>340</v>
      </c>
      <c r="Q3804" s="10" t="s">
        <v>84</v>
      </c>
      <c r="R3804" t="s">
        <v>1958</v>
      </c>
    </row>
    <row r="3805" spans="1:18" hidden="1" x14ac:dyDescent="0.25">
      <c r="A3805" s="9" t="s">
        <v>1802</v>
      </c>
      <c r="B3805" s="3" t="s">
        <v>1068</v>
      </c>
      <c r="C3805" s="10">
        <v>24</v>
      </c>
      <c r="D3805" s="10">
        <v>4</v>
      </c>
      <c r="E3805" s="10">
        <v>19</v>
      </c>
      <c r="F3805" t="s">
        <v>483</v>
      </c>
      <c r="G3805" t="s">
        <v>889</v>
      </c>
      <c r="H3805" t="s">
        <v>56</v>
      </c>
      <c r="I3805" t="s">
        <v>27</v>
      </c>
      <c r="J3805" s="4">
        <v>80</v>
      </c>
      <c r="K3805">
        <v>0.52500000000000002</v>
      </c>
      <c r="L3805">
        <v>80</v>
      </c>
      <c r="M3805">
        <v>42</v>
      </c>
      <c r="N3805" s="5">
        <v>2.13696957362369</v>
      </c>
      <c r="O3805" t="s">
        <v>593</v>
      </c>
      <c r="P3805" t="s">
        <v>340</v>
      </c>
      <c r="Q3805" s="10" t="s">
        <v>24</v>
      </c>
    </row>
    <row r="3806" spans="1:18" hidden="1" x14ac:dyDescent="0.25">
      <c r="A3806" s="9" t="s">
        <v>1802</v>
      </c>
      <c r="B3806" s="3" t="s">
        <v>1068</v>
      </c>
      <c r="C3806" s="10">
        <v>24</v>
      </c>
      <c r="D3806" s="10">
        <v>4</v>
      </c>
      <c r="E3806" s="10">
        <v>19</v>
      </c>
      <c r="F3806" t="s">
        <v>109</v>
      </c>
      <c r="H3806" t="s">
        <v>54</v>
      </c>
      <c r="I3806" t="s">
        <v>27</v>
      </c>
      <c r="J3806" s="4">
        <v>33</v>
      </c>
      <c r="K3806">
        <v>1</v>
      </c>
      <c r="L3806">
        <v>33</v>
      </c>
      <c r="M3806">
        <v>33</v>
      </c>
      <c r="N3806" s="5">
        <v>1.6790475221328991</v>
      </c>
      <c r="O3806" t="s">
        <v>593</v>
      </c>
      <c r="P3806" t="s">
        <v>340</v>
      </c>
      <c r="Q3806" s="10" t="s">
        <v>24</v>
      </c>
    </row>
    <row r="3807" spans="1:18" hidden="1" x14ac:dyDescent="0.25">
      <c r="A3807" s="9" t="s">
        <v>1802</v>
      </c>
      <c r="B3807" s="3" t="s">
        <v>1069</v>
      </c>
      <c r="C3807" s="10">
        <v>25</v>
      </c>
      <c r="D3807" s="10">
        <v>4</v>
      </c>
      <c r="E3807" s="10">
        <v>19</v>
      </c>
      <c r="F3807" t="s">
        <v>203</v>
      </c>
      <c r="G3807" t="s">
        <v>889</v>
      </c>
      <c r="H3807" t="s">
        <v>54</v>
      </c>
      <c r="I3807" t="s">
        <v>27</v>
      </c>
      <c r="J3807" s="4">
        <v>30</v>
      </c>
      <c r="K3807">
        <v>1</v>
      </c>
      <c r="L3807">
        <v>30</v>
      </c>
      <c r="M3807">
        <v>30</v>
      </c>
      <c r="N3807" s="5">
        <v>1.5264068383026357</v>
      </c>
      <c r="O3807" t="s">
        <v>593</v>
      </c>
      <c r="P3807" t="s">
        <v>340</v>
      </c>
      <c r="Q3807" s="10" t="s">
        <v>24</v>
      </c>
    </row>
    <row r="3808" spans="1:18" hidden="1" x14ac:dyDescent="0.25">
      <c r="A3808" s="9" t="s">
        <v>1802</v>
      </c>
      <c r="B3808" s="3" t="s">
        <v>1069</v>
      </c>
      <c r="C3808" s="10">
        <v>25</v>
      </c>
      <c r="D3808" s="10">
        <v>4</v>
      </c>
      <c r="E3808" s="10">
        <v>19</v>
      </c>
      <c r="F3808" t="s">
        <v>891</v>
      </c>
      <c r="G3808" t="s">
        <v>889</v>
      </c>
      <c r="H3808" t="s">
        <v>54</v>
      </c>
      <c r="I3808" t="s">
        <v>27</v>
      </c>
      <c r="J3808" s="4">
        <v>5</v>
      </c>
      <c r="K3808">
        <v>1</v>
      </c>
      <c r="L3808">
        <v>5</v>
      </c>
      <c r="M3808">
        <v>5</v>
      </c>
      <c r="N3808" s="5">
        <v>0.25440113971710593</v>
      </c>
      <c r="O3808" t="s">
        <v>593</v>
      </c>
      <c r="P3808" t="s">
        <v>340</v>
      </c>
      <c r="Q3808" s="10" t="s">
        <v>24</v>
      </c>
    </row>
    <row r="3809" spans="1:18" hidden="1" x14ac:dyDescent="0.25">
      <c r="A3809" s="9" t="s">
        <v>1802</v>
      </c>
      <c r="B3809" s="3" t="s">
        <v>1069</v>
      </c>
      <c r="C3809" s="10">
        <v>25</v>
      </c>
      <c r="D3809" s="10">
        <v>4</v>
      </c>
      <c r="E3809" s="10">
        <v>19</v>
      </c>
      <c r="F3809" t="s">
        <v>1586</v>
      </c>
      <c r="H3809" t="s">
        <v>709</v>
      </c>
      <c r="I3809" t="s">
        <v>79</v>
      </c>
      <c r="J3809" s="4">
        <v>200</v>
      </c>
      <c r="K3809">
        <v>1</v>
      </c>
      <c r="L3809">
        <v>200</v>
      </c>
      <c r="M3809">
        <v>200</v>
      </c>
      <c r="N3809" s="5">
        <v>10.164479763444833</v>
      </c>
      <c r="O3809" t="s">
        <v>39</v>
      </c>
      <c r="P3809" t="s">
        <v>340</v>
      </c>
      <c r="Q3809" s="10" t="s">
        <v>24</v>
      </c>
      <c r="R3809" t="s">
        <v>1805</v>
      </c>
    </row>
    <row r="3810" spans="1:18" hidden="1" x14ac:dyDescent="0.25">
      <c r="A3810" s="9" t="s">
        <v>1802</v>
      </c>
      <c r="B3810" s="3" t="s">
        <v>1069</v>
      </c>
      <c r="C3810" s="10">
        <v>25</v>
      </c>
      <c r="D3810" s="10">
        <v>4</v>
      </c>
      <c r="E3810" s="10">
        <v>19</v>
      </c>
      <c r="F3810" t="s">
        <v>389</v>
      </c>
      <c r="G3810" t="s">
        <v>889</v>
      </c>
      <c r="H3810" t="s">
        <v>21</v>
      </c>
      <c r="I3810" t="s">
        <v>22</v>
      </c>
      <c r="J3810" s="4">
        <v>4</v>
      </c>
      <c r="K3810">
        <v>2</v>
      </c>
      <c r="L3810">
        <v>4</v>
      </c>
      <c r="M3810">
        <v>8</v>
      </c>
      <c r="N3810" s="5">
        <v>0.40657919053779334</v>
      </c>
      <c r="O3810" t="s">
        <v>354</v>
      </c>
      <c r="P3810" t="s">
        <v>340</v>
      </c>
      <c r="Q3810" s="10" t="s">
        <v>24</v>
      </c>
    </row>
    <row r="3811" spans="1:18" hidden="1" x14ac:dyDescent="0.25">
      <c r="A3811" s="9" t="s">
        <v>1802</v>
      </c>
      <c r="B3811" s="3" t="s">
        <v>1069</v>
      </c>
      <c r="C3811" s="10">
        <v>25</v>
      </c>
      <c r="D3811" s="10">
        <v>4</v>
      </c>
      <c r="E3811" s="10">
        <v>19</v>
      </c>
      <c r="F3811" t="s">
        <v>224</v>
      </c>
      <c r="G3811" t="s">
        <v>224</v>
      </c>
      <c r="H3811" t="s">
        <v>131</v>
      </c>
      <c r="I3811" t="s">
        <v>27</v>
      </c>
      <c r="J3811" s="4">
        <v>36</v>
      </c>
      <c r="K3811">
        <v>1</v>
      </c>
      <c r="L3811">
        <v>36</v>
      </c>
      <c r="M3811">
        <v>36</v>
      </c>
      <c r="N3811" s="5">
        <v>1.8296063574200701</v>
      </c>
      <c r="O3811" t="s">
        <v>1989</v>
      </c>
      <c r="P3811" t="s">
        <v>340</v>
      </c>
      <c r="Q3811" s="10" t="s">
        <v>24</v>
      </c>
    </row>
    <row r="3812" spans="1:18" hidden="1" x14ac:dyDescent="0.25">
      <c r="A3812" s="9" t="s">
        <v>1802</v>
      </c>
      <c r="B3812" s="3" t="s">
        <v>1998</v>
      </c>
      <c r="C3812" s="10">
        <v>26</v>
      </c>
      <c r="D3812" s="10">
        <v>4</v>
      </c>
      <c r="E3812" s="10">
        <v>19</v>
      </c>
      <c r="F3812" t="s">
        <v>885</v>
      </c>
      <c r="G3812" t="s">
        <v>889</v>
      </c>
      <c r="H3812" t="s">
        <v>53</v>
      </c>
      <c r="I3812" t="s">
        <v>27</v>
      </c>
      <c r="J3812" s="4">
        <v>11.65</v>
      </c>
      <c r="K3812">
        <v>2</v>
      </c>
      <c r="L3812">
        <v>11.65</v>
      </c>
      <c r="M3812">
        <v>23.3</v>
      </c>
      <c r="N3812" s="5">
        <v>1.1841618924413231</v>
      </c>
      <c r="O3812" t="s">
        <v>46</v>
      </c>
      <c r="P3812" t="s">
        <v>340</v>
      </c>
      <c r="Q3812" s="10" t="s">
        <v>24</v>
      </c>
    </row>
    <row r="3813" spans="1:18" hidden="1" x14ac:dyDescent="0.25">
      <c r="A3813" s="9" t="s">
        <v>1802</v>
      </c>
      <c r="B3813" s="3" t="s">
        <v>1869</v>
      </c>
      <c r="C3813" s="10">
        <v>27</v>
      </c>
      <c r="D3813" s="10">
        <v>4</v>
      </c>
      <c r="E3813" s="10">
        <v>19</v>
      </c>
      <c r="F3813" t="s">
        <v>104</v>
      </c>
      <c r="G3813" t="s">
        <v>889</v>
      </c>
      <c r="H3813" t="s">
        <v>889</v>
      </c>
      <c r="I3813" t="s">
        <v>72</v>
      </c>
      <c r="J3813" s="4">
        <v>99.13</v>
      </c>
      <c r="K3813">
        <v>1</v>
      </c>
      <c r="L3813">
        <v>99.13</v>
      </c>
      <c r="M3813">
        <v>99.13</v>
      </c>
      <c r="N3813" s="5">
        <v>5.0380243947514316</v>
      </c>
      <c r="O3813" t="s">
        <v>233</v>
      </c>
      <c r="P3813" t="s">
        <v>340</v>
      </c>
      <c r="Q3813" s="10" t="s">
        <v>24</v>
      </c>
      <c r="R3813" t="s">
        <v>244</v>
      </c>
    </row>
    <row r="3814" spans="1:18" hidden="1" x14ac:dyDescent="0.25">
      <c r="A3814" s="9" t="s">
        <v>1802</v>
      </c>
      <c r="B3814" s="3" t="s">
        <v>1869</v>
      </c>
      <c r="C3814" s="10">
        <v>27</v>
      </c>
      <c r="D3814" s="10">
        <v>4</v>
      </c>
      <c r="E3814" s="10">
        <v>19</v>
      </c>
      <c r="F3814" t="s">
        <v>104</v>
      </c>
      <c r="G3814" t="s">
        <v>889</v>
      </c>
      <c r="H3814" t="s">
        <v>889</v>
      </c>
      <c r="I3814" t="s">
        <v>72</v>
      </c>
      <c r="J3814" s="4">
        <v>68.78</v>
      </c>
      <c r="K3814">
        <v>1</v>
      </c>
      <c r="L3814">
        <v>68.78</v>
      </c>
      <c r="M3814">
        <v>68.78</v>
      </c>
      <c r="N3814" s="5">
        <v>3.4955645906486783</v>
      </c>
      <c r="O3814" t="s">
        <v>233</v>
      </c>
      <c r="P3814" t="s">
        <v>340</v>
      </c>
      <c r="Q3814" s="10" t="s">
        <v>24</v>
      </c>
      <c r="R3814" t="s">
        <v>1030</v>
      </c>
    </row>
    <row r="3815" spans="1:18" hidden="1" x14ac:dyDescent="0.25">
      <c r="A3815" s="9" t="s">
        <v>1802</v>
      </c>
      <c r="B3815" s="3" t="s">
        <v>1869</v>
      </c>
      <c r="C3815" s="10">
        <v>27</v>
      </c>
      <c r="D3815" s="10">
        <v>4</v>
      </c>
      <c r="E3815" s="10">
        <v>19</v>
      </c>
      <c r="F3815" t="s">
        <v>39</v>
      </c>
      <c r="G3815" t="s">
        <v>889</v>
      </c>
      <c r="H3815" t="s">
        <v>889</v>
      </c>
      <c r="I3815" t="s">
        <v>72</v>
      </c>
      <c r="J3815" s="4">
        <v>7.77</v>
      </c>
      <c r="K3815">
        <v>2</v>
      </c>
      <c r="L3815">
        <v>7.77</v>
      </c>
      <c r="M3815">
        <v>15.54</v>
      </c>
      <c r="N3815" s="5">
        <v>0.78978007761966351</v>
      </c>
      <c r="O3815" t="s">
        <v>233</v>
      </c>
      <c r="P3815" t="s">
        <v>340</v>
      </c>
      <c r="Q3815" s="10" t="s">
        <v>24</v>
      </c>
      <c r="R3815" t="s">
        <v>1847</v>
      </c>
    </row>
    <row r="3816" spans="1:18" hidden="1" x14ac:dyDescent="0.25">
      <c r="A3816" s="9" t="s">
        <v>1802</v>
      </c>
      <c r="B3816" s="3" t="s">
        <v>1869</v>
      </c>
      <c r="C3816" s="10">
        <v>27</v>
      </c>
      <c r="D3816" s="10">
        <v>4</v>
      </c>
      <c r="E3816" s="10">
        <v>19</v>
      </c>
      <c r="F3816" t="s">
        <v>104</v>
      </c>
      <c r="G3816" t="s">
        <v>889</v>
      </c>
      <c r="H3816" t="s">
        <v>889</v>
      </c>
      <c r="I3816" t="s">
        <v>72</v>
      </c>
      <c r="J3816" s="4">
        <v>12.09</v>
      </c>
      <c r="K3816">
        <v>3</v>
      </c>
      <c r="L3816">
        <v>12.09</v>
      </c>
      <c r="M3816">
        <v>36.269999999999996</v>
      </c>
      <c r="N3816" s="5">
        <v>1.8433284051007202</v>
      </c>
      <c r="O3816" t="s">
        <v>233</v>
      </c>
      <c r="P3816" t="s">
        <v>340</v>
      </c>
      <c r="Q3816" s="10" t="s">
        <v>24</v>
      </c>
      <c r="R3816" t="s">
        <v>1855</v>
      </c>
    </row>
    <row r="3817" spans="1:18" hidden="1" x14ac:dyDescent="0.25">
      <c r="A3817" s="9" t="s">
        <v>1802</v>
      </c>
      <c r="B3817" s="3" t="s">
        <v>1869</v>
      </c>
      <c r="C3817" s="10">
        <v>27</v>
      </c>
      <c r="D3817" s="10">
        <v>4</v>
      </c>
      <c r="E3817" s="10">
        <v>19</v>
      </c>
      <c r="F3817" t="s">
        <v>1846</v>
      </c>
      <c r="G3817" t="s">
        <v>889</v>
      </c>
      <c r="H3817" t="s">
        <v>102</v>
      </c>
      <c r="I3817" t="s">
        <v>27</v>
      </c>
      <c r="J3817" s="4">
        <v>34.520000000000003</v>
      </c>
      <c r="K3817">
        <v>1</v>
      </c>
      <c r="L3817">
        <v>34.520000000000003</v>
      </c>
      <c r="M3817">
        <v>34.520000000000003</v>
      </c>
      <c r="N3817" s="5">
        <v>1.7543892071705784</v>
      </c>
      <c r="O3817" t="s">
        <v>233</v>
      </c>
      <c r="P3817" t="s">
        <v>340</v>
      </c>
      <c r="Q3817" s="10" t="s">
        <v>24</v>
      </c>
      <c r="R3817" t="s">
        <v>1848</v>
      </c>
    </row>
    <row r="3818" spans="1:18" hidden="1" x14ac:dyDescent="0.25">
      <c r="A3818" s="9" t="s">
        <v>1802</v>
      </c>
      <c r="B3818" s="3" t="s">
        <v>1869</v>
      </c>
      <c r="C3818" s="10">
        <v>27</v>
      </c>
      <c r="D3818" s="10">
        <v>4</v>
      </c>
      <c r="E3818" s="10">
        <v>19</v>
      </c>
      <c r="F3818" t="s">
        <v>151</v>
      </c>
      <c r="G3818" t="s">
        <v>889</v>
      </c>
      <c r="H3818" t="s">
        <v>889</v>
      </c>
      <c r="I3818" t="s">
        <v>72</v>
      </c>
      <c r="J3818" s="4">
        <v>13.71</v>
      </c>
      <c r="K3818">
        <v>1</v>
      </c>
      <c r="L3818">
        <v>13.71</v>
      </c>
      <c r="M3818">
        <v>13.71</v>
      </c>
      <c r="N3818" s="5">
        <v>0.69677508778414332</v>
      </c>
      <c r="O3818" t="s">
        <v>233</v>
      </c>
      <c r="P3818" t="s">
        <v>340</v>
      </c>
      <c r="Q3818" s="10" t="s">
        <v>24</v>
      </c>
      <c r="R3818" t="s">
        <v>1854</v>
      </c>
    </row>
    <row r="3819" spans="1:18" hidden="1" x14ac:dyDescent="0.25">
      <c r="A3819" s="9" t="s">
        <v>1802</v>
      </c>
      <c r="B3819" s="3" t="s">
        <v>1869</v>
      </c>
      <c r="C3819" s="10">
        <v>27</v>
      </c>
      <c r="D3819" s="10">
        <v>4</v>
      </c>
      <c r="E3819" s="10">
        <v>19</v>
      </c>
      <c r="F3819" t="s">
        <v>146</v>
      </c>
      <c r="G3819" t="s">
        <v>889</v>
      </c>
      <c r="H3819" t="s">
        <v>49</v>
      </c>
      <c r="I3819" t="s">
        <v>50</v>
      </c>
      <c r="J3819" s="4">
        <v>0.15</v>
      </c>
      <c r="K3819">
        <v>1</v>
      </c>
      <c r="L3819">
        <v>0.15</v>
      </c>
      <c r="M3819">
        <v>0.15</v>
      </c>
      <c r="N3819" s="5">
        <v>7.6233598225836242E-3</v>
      </c>
      <c r="O3819" t="s">
        <v>233</v>
      </c>
      <c r="P3819" t="s">
        <v>340</v>
      </c>
      <c r="Q3819" s="10" t="s">
        <v>24</v>
      </c>
    </row>
    <row r="3820" spans="1:18" hidden="1" x14ac:dyDescent="0.25">
      <c r="A3820" s="9" t="s">
        <v>1802</v>
      </c>
      <c r="B3820" s="3" t="s">
        <v>1869</v>
      </c>
      <c r="C3820" s="10">
        <v>27</v>
      </c>
      <c r="D3820" s="10">
        <v>4</v>
      </c>
      <c r="E3820" s="10">
        <v>19</v>
      </c>
      <c r="F3820" t="s">
        <v>86</v>
      </c>
      <c r="G3820" t="s">
        <v>889</v>
      </c>
      <c r="H3820" t="s">
        <v>102</v>
      </c>
      <c r="I3820" t="s">
        <v>27</v>
      </c>
      <c r="J3820" s="4">
        <v>15</v>
      </c>
      <c r="K3820">
        <v>3</v>
      </c>
      <c r="L3820">
        <v>15</v>
      </c>
      <c r="M3820">
        <v>45</v>
      </c>
      <c r="N3820" s="5">
        <v>2.2870079467750872</v>
      </c>
      <c r="O3820" t="s">
        <v>1983</v>
      </c>
      <c r="P3820" t="s">
        <v>340</v>
      </c>
      <c r="Q3820" s="10" t="s">
        <v>24</v>
      </c>
      <c r="R3820" t="s">
        <v>1984</v>
      </c>
    </row>
    <row r="3821" spans="1:18" hidden="1" x14ac:dyDescent="0.25">
      <c r="A3821" s="9" t="s">
        <v>1802</v>
      </c>
      <c r="B3821" s="3" t="s">
        <v>1869</v>
      </c>
      <c r="C3821" s="10">
        <v>27</v>
      </c>
      <c r="D3821" s="10">
        <v>4</v>
      </c>
      <c r="E3821" s="10">
        <v>19</v>
      </c>
      <c r="F3821" t="s">
        <v>641</v>
      </c>
      <c r="G3821" t="s">
        <v>889</v>
      </c>
      <c r="H3821" t="s">
        <v>53</v>
      </c>
      <c r="I3821" t="s">
        <v>27</v>
      </c>
      <c r="J3821" s="4">
        <v>12.5</v>
      </c>
      <c r="K3821">
        <v>2</v>
      </c>
      <c r="L3821">
        <v>12.5</v>
      </c>
      <c r="M3821">
        <v>25</v>
      </c>
      <c r="N3821" s="5">
        <v>1.2705599704306041</v>
      </c>
      <c r="O3821" t="s">
        <v>1983</v>
      </c>
      <c r="P3821" t="s">
        <v>340</v>
      </c>
      <c r="Q3821" s="10" t="s">
        <v>24</v>
      </c>
    </row>
    <row r="3822" spans="1:18" hidden="1" x14ac:dyDescent="0.25">
      <c r="A3822" s="9" t="s">
        <v>1802</v>
      </c>
      <c r="B3822" s="3" t="s">
        <v>1869</v>
      </c>
      <c r="C3822" s="10">
        <v>27</v>
      </c>
      <c r="D3822" s="10">
        <v>4</v>
      </c>
      <c r="E3822" s="10">
        <v>19</v>
      </c>
      <c r="F3822" t="s">
        <v>55</v>
      </c>
      <c r="G3822" t="s">
        <v>889</v>
      </c>
      <c r="H3822" t="s">
        <v>56</v>
      </c>
      <c r="I3822" t="s">
        <v>27</v>
      </c>
      <c r="J3822" s="4">
        <v>24.9</v>
      </c>
      <c r="K3822">
        <v>1.1200000000000001</v>
      </c>
      <c r="L3822">
        <v>24.9</v>
      </c>
      <c r="M3822">
        <v>27.888000000000002</v>
      </c>
      <c r="N3822" s="5">
        <v>1.4173350582147477</v>
      </c>
      <c r="O3822" t="s">
        <v>46</v>
      </c>
      <c r="P3822" t="s">
        <v>340</v>
      </c>
      <c r="Q3822" s="10" t="s">
        <v>24</v>
      </c>
    </row>
    <row r="3823" spans="1:18" hidden="1" x14ac:dyDescent="0.25">
      <c r="A3823" s="9" t="s">
        <v>1802</v>
      </c>
      <c r="B3823" s="3" t="s">
        <v>1881</v>
      </c>
      <c r="C3823" s="10">
        <v>4</v>
      </c>
      <c r="D3823" s="10">
        <v>4</v>
      </c>
      <c r="E3823" s="10">
        <v>19</v>
      </c>
      <c r="F3823" t="s">
        <v>770</v>
      </c>
      <c r="G3823" t="s">
        <v>31</v>
      </c>
      <c r="H3823" t="s">
        <v>26</v>
      </c>
      <c r="I3823" t="s">
        <v>27</v>
      </c>
      <c r="J3823" s="4">
        <v>7.75</v>
      </c>
      <c r="K3823">
        <v>3</v>
      </c>
      <c r="L3823">
        <v>7.75</v>
      </c>
      <c r="M3823">
        <v>23.25</v>
      </c>
      <c r="N3823" s="5">
        <v>1.1816207725004619</v>
      </c>
      <c r="O3823" t="s">
        <v>101</v>
      </c>
      <c r="P3823" t="s">
        <v>340</v>
      </c>
      <c r="Q3823" s="10" t="s">
        <v>24</v>
      </c>
    </row>
    <row r="3824" spans="1:18" hidden="1" x14ac:dyDescent="0.25">
      <c r="A3824" s="9" t="s">
        <v>1802</v>
      </c>
      <c r="B3824" s="3" t="s">
        <v>1881</v>
      </c>
      <c r="C3824" s="10">
        <v>4</v>
      </c>
      <c r="D3824" s="10">
        <v>4</v>
      </c>
      <c r="E3824" s="10">
        <v>19</v>
      </c>
      <c r="F3824" t="s">
        <v>203</v>
      </c>
      <c r="G3824" t="s">
        <v>889</v>
      </c>
      <c r="H3824" t="s">
        <v>54</v>
      </c>
      <c r="I3824" t="s">
        <v>27</v>
      </c>
      <c r="J3824" s="4">
        <v>12</v>
      </c>
      <c r="K3824">
        <v>1.1200000000000001</v>
      </c>
      <c r="L3824">
        <v>12</v>
      </c>
      <c r="M3824">
        <v>13.440000000000001</v>
      </c>
      <c r="N3824" s="5">
        <v>0.68305304010349288</v>
      </c>
      <c r="O3824" t="s">
        <v>101</v>
      </c>
      <c r="P3824" t="s">
        <v>340</v>
      </c>
      <c r="Q3824" s="10" t="s">
        <v>24</v>
      </c>
    </row>
    <row r="3825" spans="1:17" hidden="1" x14ac:dyDescent="0.25">
      <c r="A3825" s="9" t="s">
        <v>1802</v>
      </c>
      <c r="B3825" s="3" t="s">
        <v>1992</v>
      </c>
      <c r="C3825" s="10">
        <v>5</v>
      </c>
      <c r="D3825" s="10">
        <v>4</v>
      </c>
      <c r="E3825" s="10">
        <v>19</v>
      </c>
      <c r="F3825" t="s">
        <v>372</v>
      </c>
      <c r="G3825" t="s">
        <v>373</v>
      </c>
      <c r="H3825" t="s">
        <v>65</v>
      </c>
      <c r="I3825" t="s">
        <v>27</v>
      </c>
      <c r="J3825" s="4">
        <v>9.1</v>
      </c>
      <c r="K3825">
        <v>1</v>
      </c>
      <c r="L3825">
        <v>9.1</v>
      </c>
      <c r="M3825">
        <v>9.1</v>
      </c>
      <c r="N3825" s="5">
        <v>0.46248382923673986</v>
      </c>
      <c r="O3825" t="s">
        <v>1965</v>
      </c>
      <c r="P3825" t="s">
        <v>340</v>
      </c>
      <c r="Q3825" s="10" t="s">
        <v>24</v>
      </c>
    </row>
    <row r="3826" spans="1:17" hidden="1" x14ac:dyDescent="0.25">
      <c r="A3826" s="9" t="s">
        <v>1802</v>
      </c>
      <c r="B3826" s="3" t="s">
        <v>1992</v>
      </c>
      <c r="C3826" s="10">
        <v>5</v>
      </c>
      <c r="D3826" s="10">
        <v>4</v>
      </c>
      <c r="E3826" s="10">
        <v>19</v>
      </c>
      <c r="F3826" t="s">
        <v>165</v>
      </c>
      <c r="H3826" t="s">
        <v>165</v>
      </c>
      <c r="I3826" t="s">
        <v>27</v>
      </c>
      <c r="J3826" s="4">
        <v>40</v>
      </c>
      <c r="K3826">
        <v>2</v>
      </c>
      <c r="L3826">
        <v>40</v>
      </c>
      <c r="M3826">
        <v>80</v>
      </c>
      <c r="N3826" s="5">
        <v>4.0657919053779334</v>
      </c>
      <c r="O3826" t="s">
        <v>39</v>
      </c>
      <c r="P3826" t="s">
        <v>340</v>
      </c>
      <c r="Q3826" s="10" t="s">
        <v>24</v>
      </c>
    </row>
    <row r="3827" spans="1:17" hidden="1" x14ac:dyDescent="0.25">
      <c r="A3827" s="9" t="s">
        <v>1802</v>
      </c>
      <c r="B3827" s="3" t="s">
        <v>1803</v>
      </c>
      <c r="C3827" s="10">
        <v>6</v>
      </c>
      <c r="D3827" s="10">
        <v>4</v>
      </c>
      <c r="E3827" s="10">
        <v>19</v>
      </c>
      <c r="F3827" t="s">
        <v>890</v>
      </c>
      <c r="G3827" t="s">
        <v>889</v>
      </c>
      <c r="H3827" t="s">
        <v>53</v>
      </c>
      <c r="I3827" t="s">
        <v>27</v>
      </c>
      <c r="J3827" s="4">
        <v>40.9</v>
      </c>
      <c r="K3827">
        <v>1</v>
      </c>
      <c r="L3827">
        <v>40.9</v>
      </c>
      <c r="M3827">
        <v>40.9</v>
      </c>
      <c r="N3827" s="5">
        <v>2.0786361116244683</v>
      </c>
      <c r="O3827" t="s">
        <v>101</v>
      </c>
      <c r="P3827" t="s">
        <v>340</v>
      </c>
      <c r="Q3827" s="10" t="s">
        <v>24</v>
      </c>
    </row>
    <row r="3828" spans="1:17" hidden="1" x14ac:dyDescent="0.25">
      <c r="A3828" s="9" t="s">
        <v>1802</v>
      </c>
      <c r="B3828" s="3" t="s">
        <v>1803</v>
      </c>
      <c r="C3828" s="10">
        <v>6</v>
      </c>
      <c r="D3828" s="10">
        <v>4</v>
      </c>
      <c r="E3828" s="10">
        <v>19</v>
      </c>
      <c r="F3828" t="s">
        <v>234</v>
      </c>
      <c r="G3828" t="s">
        <v>889</v>
      </c>
      <c r="H3828" t="s">
        <v>53</v>
      </c>
      <c r="I3828" t="s">
        <v>27</v>
      </c>
      <c r="J3828" s="4">
        <v>20</v>
      </c>
      <c r="K3828">
        <v>1</v>
      </c>
      <c r="L3828">
        <v>20</v>
      </c>
      <c r="M3828">
        <v>20</v>
      </c>
      <c r="N3828" s="5">
        <v>1.0164479763444834</v>
      </c>
      <c r="O3828" t="s">
        <v>101</v>
      </c>
      <c r="P3828" t="s">
        <v>340</v>
      </c>
      <c r="Q3828" s="10" t="s">
        <v>24</v>
      </c>
    </row>
    <row r="3829" spans="1:17" hidden="1" x14ac:dyDescent="0.25">
      <c r="A3829" s="9" t="s">
        <v>1802</v>
      </c>
      <c r="B3829" s="3" t="s">
        <v>1803</v>
      </c>
      <c r="C3829" s="10">
        <v>6</v>
      </c>
      <c r="D3829" s="10">
        <v>4</v>
      </c>
      <c r="E3829" s="10">
        <v>19</v>
      </c>
      <c r="F3829" t="s">
        <v>1793</v>
      </c>
      <c r="G3829" t="s">
        <v>889</v>
      </c>
      <c r="H3829" t="s">
        <v>65</v>
      </c>
      <c r="I3829" t="s">
        <v>27</v>
      </c>
      <c r="J3829" s="4">
        <v>4</v>
      </c>
      <c r="K3829">
        <v>1</v>
      </c>
      <c r="L3829">
        <v>4</v>
      </c>
      <c r="M3829">
        <v>4</v>
      </c>
      <c r="N3829" s="5">
        <v>0.20328959526889667</v>
      </c>
      <c r="O3829" t="s">
        <v>101</v>
      </c>
      <c r="P3829" t="s">
        <v>340</v>
      </c>
      <c r="Q3829" s="10" t="s">
        <v>24</v>
      </c>
    </row>
    <row r="3830" spans="1:17" hidden="1" x14ac:dyDescent="0.25">
      <c r="A3830" s="9" t="s">
        <v>1802</v>
      </c>
      <c r="B3830" s="3" t="s">
        <v>1803</v>
      </c>
      <c r="C3830" s="10">
        <v>6</v>
      </c>
      <c r="D3830" s="10">
        <v>4</v>
      </c>
      <c r="E3830" s="10">
        <v>19</v>
      </c>
      <c r="F3830" t="s">
        <v>1793</v>
      </c>
      <c r="G3830" t="s">
        <v>889</v>
      </c>
      <c r="H3830" t="s">
        <v>65</v>
      </c>
      <c r="I3830" t="s">
        <v>27</v>
      </c>
      <c r="J3830" s="4">
        <v>10</v>
      </c>
      <c r="K3830">
        <v>3</v>
      </c>
      <c r="L3830">
        <v>10</v>
      </c>
      <c r="M3830">
        <v>30</v>
      </c>
      <c r="N3830" s="5">
        <v>1.524671964516725</v>
      </c>
      <c r="O3830" t="s">
        <v>101</v>
      </c>
      <c r="P3830" t="s">
        <v>340</v>
      </c>
      <c r="Q3830" s="10" t="s">
        <v>24</v>
      </c>
    </row>
    <row r="3831" spans="1:17" hidden="1" x14ac:dyDescent="0.25">
      <c r="A3831" s="9" t="s">
        <v>1802</v>
      </c>
      <c r="B3831" s="3" t="s">
        <v>1803</v>
      </c>
      <c r="C3831" s="10">
        <v>6</v>
      </c>
      <c r="D3831" s="10">
        <v>4</v>
      </c>
      <c r="E3831" s="10">
        <v>19</v>
      </c>
      <c r="F3831" t="s">
        <v>543</v>
      </c>
      <c r="G3831" t="s">
        <v>889</v>
      </c>
      <c r="H3831" t="s">
        <v>54</v>
      </c>
      <c r="I3831" t="s">
        <v>27</v>
      </c>
      <c r="J3831" s="4">
        <v>71</v>
      </c>
      <c r="K3831">
        <v>0.60399999999999998</v>
      </c>
      <c r="L3831">
        <v>71</v>
      </c>
      <c r="M3831">
        <v>42.884</v>
      </c>
      <c r="N3831" s="5">
        <v>2.1794677508778411</v>
      </c>
      <c r="O3831" t="s">
        <v>100</v>
      </c>
      <c r="P3831" t="s">
        <v>340</v>
      </c>
      <c r="Q3831" s="10" t="s">
        <v>24</v>
      </c>
    </row>
    <row r="3832" spans="1:17" hidden="1" x14ac:dyDescent="0.25">
      <c r="A3832" s="9" t="s">
        <v>1802</v>
      </c>
      <c r="B3832" s="3" t="s">
        <v>1803</v>
      </c>
      <c r="C3832" s="10">
        <v>6</v>
      </c>
      <c r="D3832" s="10">
        <v>4</v>
      </c>
      <c r="E3832" s="10">
        <v>19</v>
      </c>
      <c r="F3832" t="s">
        <v>1036</v>
      </c>
      <c r="G3832" t="s">
        <v>889</v>
      </c>
      <c r="H3832" t="s">
        <v>38</v>
      </c>
      <c r="I3832" t="s">
        <v>27</v>
      </c>
      <c r="J3832" s="4">
        <v>126</v>
      </c>
      <c r="K3832">
        <v>0.23400000000000001</v>
      </c>
      <c r="L3832">
        <v>126</v>
      </c>
      <c r="M3832">
        <v>29.484000000000002</v>
      </c>
      <c r="N3832" s="5">
        <v>1.4984476067270374</v>
      </c>
      <c r="O3832" t="s">
        <v>100</v>
      </c>
      <c r="P3832" t="s">
        <v>340</v>
      </c>
      <c r="Q3832" s="10" t="s">
        <v>24</v>
      </c>
    </row>
    <row r="3833" spans="1:17" hidden="1" x14ac:dyDescent="0.25">
      <c r="A3833" s="9" t="s">
        <v>1802</v>
      </c>
      <c r="B3833" s="3" t="s">
        <v>1803</v>
      </c>
      <c r="C3833" s="10">
        <v>6</v>
      </c>
      <c r="D3833" s="10">
        <v>4</v>
      </c>
      <c r="E3833" s="10">
        <v>19</v>
      </c>
      <c r="F3833" t="s">
        <v>906</v>
      </c>
      <c r="G3833" t="s">
        <v>889</v>
      </c>
      <c r="H3833" t="s">
        <v>65</v>
      </c>
      <c r="I3833" t="s">
        <v>27</v>
      </c>
      <c r="J3833" s="4">
        <v>34.700000000000003</v>
      </c>
      <c r="K3833">
        <v>1</v>
      </c>
      <c r="L3833">
        <v>34.700000000000003</v>
      </c>
      <c r="M3833">
        <v>34.700000000000003</v>
      </c>
      <c r="N3833" s="5">
        <v>1.7635372389576787</v>
      </c>
      <c r="O3833" t="s">
        <v>100</v>
      </c>
      <c r="P3833" t="s">
        <v>340</v>
      </c>
      <c r="Q3833" s="10" t="s">
        <v>24</v>
      </c>
    </row>
    <row r="3834" spans="1:17" hidden="1" x14ac:dyDescent="0.25">
      <c r="A3834" s="9" t="s">
        <v>1802</v>
      </c>
      <c r="B3834" s="3" t="s">
        <v>1803</v>
      </c>
      <c r="C3834" s="10">
        <v>6</v>
      </c>
      <c r="D3834" s="10">
        <v>4</v>
      </c>
      <c r="E3834" s="10">
        <v>19</v>
      </c>
      <c r="F3834" t="s">
        <v>155</v>
      </c>
      <c r="G3834" t="s">
        <v>155</v>
      </c>
      <c r="H3834" t="s">
        <v>131</v>
      </c>
      <c r="I3834" t="s">
        <v>27</v>
      </c>
      <c r="J3834" s="4">
        <v>67.599999999999994</v>
      </c>
      <c r="K3834">
        <v>1</v>
      </c>
      <c r="L3834">
        <v>67.599999999999994</v>
      </c>
      <c r="M3834">
        <v>67.599999999999994</v>
      </c>
      <c r="N3834" s="5">
        <v>3.4355941600443534</v>
      </c>
      <c r="O3834" t="s">
        <v>100</v>
      </c>
      <c r="P3834" t="s">
        <v>340</v>
      </c>
      <c r="Q3834" s="10" t="s">
        <v>24</v>
      </c>
    </row>
    <row r="3835" spans="1:17" hidden="1" x14ac:dyDescent="0.25">
      <c r="A3835" s="9" t="s">
        <v>1802</v>
      </c>
      <c r="B3835" s="3" t="s">
        <v>1803</v>
      </c>
      <c r="C3835" s="10">
        <v>6</v>
      </c>
      <c r="D3835" s="10">
        <v>4</v>
      </c>
      <c r="E3835" s="10">
        <v>19</v>
      </c>
      <c r="F3835" t="s">
        <v>535</v>
      </c>
      <c r="G3835" t="s">
        <v>889</v>
      </c>
      <c r="H3835" t="s">
        <v>54</v>
      </c>
      <c r="I3835" t="s">
        <v>27</v>
      </c>
      <c r="J3835" s="4">
        <v>55.6</v>
      </c>
      <c r="K3835">
        <v>0.39200000000000002</v>
      </c>
      <c r="L3835">
        <v>55.6</v>
      </c>
      <c r="M3835">
        <v>21.795200000000001</v>
      </c>
      <c r="N3835" s="5">
        <v>1.1076843467011641</v>
      </c>
      <c r="O3835" t="s">
        <v>100</v>
      </c>
      <c r="P3835" t="s">
        <v>340</v>
      </c>
      <c r="Q3835" s="10" t="s">
        <v>24</v>
      </c>
    </row>
    <row r="3836" spans="1:17" hidden="1" x14ac:dyDescent="0.25">
      <c r="A3836" s="9" t="s">
        <v>1802</v>
      </c>
      <c r="B3836" s="3" t="s">
        <v>1803</v>
      </c>
      <c r="C3836" s="10">
        <v>6</v>
      </c>
      <c r="D3836" s="10">
        <v>4</v>
      </c>
      <c r="E3836" s="10">
        <v>19</v>
      </c>
      <c r="F3836" t="s">
        <v>974</v>
      </c>
      <c r="G3836" t="s">
        <v>25</v>
      </c>
      <c r="H3836" t="s">
        <v>26</v>
      </c>
      <c r="I3836" t="s">
        <v>27</v>
      </c>
      <c r="J3836" s="4">
        <v>211.6</v>
      </c>
      <c r="K3836">
        <v>0.29399999999999998</v>
      </c>
      <c r="L3836">
        <v>211.6</v>
      </c>
      <c r="M3836">
        <v>62.210399999999993</v>
      </c>
      <c r="N3836" s="5">
        <v>3.1616817593790421</v>
      </c>
      <c r="O3836" t="s">
        <v>100</v>
      </c>
      <c r="P3836" t="s">
        <v>340</v>
      </c>
      <c r="Q3836" s="10" t="s">
        <v>24</v>
      </c>
    </row>
    <row r="3837" spans="1:17" hidden="1" x14ac:dyDescent="0.25">
      <c r="A3837" s="9" t="s">
        <v>1802</v>
      </c>
      <c r="B3837" s="3" t="s">
        <v>1803</v>
      </c>
      <c r="C3837" s="10">
        <v>6</v>
      </c>
      <c r="D3837" s="10">
        <v>4</v>
      </c>
      <c r="E3837" s="10">
        <v>19</v>
      </c>
      <c r="F3837" t="s">
        <v>184</v>
      </c>
      <c r="G3837" t="s">
        <v>304</v>
      </c>
      <c r="H3837" t="s">
        <v>184</v>
      </c>
      <c r="I3837" t="s">
        <v>79</v>
      </c>
      <c r="J3837" s="4">
        <v>30</v>
      </c>
      <c r="K3837">
        <v>1</v>
      </c>
      <c r="L3837">
        <v>30</v>
      </c>
      <c r="M3837">
        <v>30</v>
      </c>
      <c r="N3837" s="5">
        <v>1.524671964516725</v>
      </c>
      <c r="O3837" t="s">
        <v>39</v>
      </c>
      <c r="P3837" t="s">
        <v>340</v>
      </c>
      <c r="Q3837" s="10" t="s">
        <v>24</v>
      </c>
    </row>
    <row r="3838" spans="1:17" hidden="1" x14ac:dyDescent="0.25">
      <c r="A3838" s="9" t="s">
        <v>1802</v>
      </c>
      <c r="B3838" s="3" t="s">
        <v>1803</v>
      </c>
      <c r="C3838" s="10">
        <v>6</v>
      </c>
      <c r="D3838" s="10">
        <v>4</v>
      </c>
      <c r="E3838" s="10">
        <v>19</v>
      </c>
      <c r="F3838" t="s">
        <v>561</v>
      </c>
      <c r="G3838" t="s">
        <v>889</v>
      </c>
      <c r="H3838" t="s">
        <v>21</v>
      </c>
      <c r="I3838" t="s">
        <v>22</v>
      </c>
      <c r="J3838" s="4">
        <v>50</v>
      </c>
      <c r="K3838">
        <v>1</v>
      </c>
      <c r="L3838">
        <v>50</v>
      </c>
      <c r="M3838">
        <v>50</v>
      </c>
      <c r="N3838" s="5">
        <v>2.5411199408612082</v>
      </c>
      <c r="O3838" t="s">
        <v>39</v>
      </c>
      <c r="P3838" t="s">
        <v>340</v>
      </c>
      <c r="Q3838" s="10" t="s">
        <v>24</v>
      </c>
    </row>
    <row r="3839" spans="1:17" hidden="1" x14ac:dyDescent="0.25">
      <c r="A3839" s="9" t="s">
        <v>1802</v>
      </c>
      <c r="B3839" s="3" t="s">
        <v>1803</v>
      </c>
      <c r="C3839" s="10">
        <v>6</v>
      </c>
      <c r="D3839" s="10">
        <v>4</v>
      </c>
      <c r="E3839" s="10">
        <v>19</v>
      </c>
      <c r="F3839" t="s">
        <v>1322</v>
      </c>
      <c r="G3839" t="s">
        <v>889</v>
      </c>
      <c r="H3839" t="s">
        <v>65</v>
      </c>
      <c r="I3839" t="s">
        <v>27</v>
      </c>
      <c r="J3839" s="4">
        <v>25</v>
      </c>
      <c r="K3839">
        <v>1</v>
      </c>
      <c r="L3839">
        <v>25</v>
      </c>
      <c r="M3839">
        <v>25</v>
      </c>
      <c r="N3839" s="5">
        <v>1.2705599704306041</v>
      </c>
      <c r="O3839" t="s">
        <v>39</v>
      </c>
      <c r="P3839" t="s">
        <v>340</v>
      </c>
      <c r="Q3839" s="10" t="s">
        <v>24</v>
      </c>
    </row>
    <row r="3840" spans="1:17" hidden="1" x14ac:dyDescent="0.25">
      <c r="A3840" s="9" t="s">
        <v>1802</v>
      </c>
      <c r="B3840" s="3" t="s">
        <v>1803</v>
      </c>
      <c r="C3840" s="10">
        <v>6</v>
      </c>
      <c r="D3840" s="10">
        <v>4</v>
      </c>
      <c r="E3840" s="10">
        <v>19</v>
      </c>
      <c r="F3840" t="s">
        <v>1147</v>
      </c>
      <c r="G3840" t="s">
        <v>889</v>
      </c>
      <c r="H3840" t="s">
        <v>21</v>
      </c>
      <c r="I3840" t="s">
        <v>22</v>
      </c>
      <c r="J3840" s="4">
        <v>305</v>
      </c>
      <c r="K3840">
        <v>1</v>
      </c>
      <c r="L3840">
        <v>305</v>
      </c>
      <c r="M3840">
        <v>305</v>
      </c>
      <c r="N3840" s="5">
        <v>15.50083163925337</v>
      </c>
      <c r="O3840" t="s">
        <v>39</v>
      </c>
      <c r="P3840" t="s">
        <v>340</v>
      </c>
      <c r="Q3840" s="10" t="s">
        <v>24</v>
      </c>
    </row>
    <row r="3841" spans="1:18" hidden="1" x14ac:dyDescent="0.25">
      <c r="A3841" s="9" t="s">
        <v>1802</v>
      </c>
      <c r="B3841" s="3" t="s">
        <v>1803</v>
      </c>
      <c r="C3841" s="10">
        <v>6</v>
      </c>
      <c r="D3841" s="10">
        <v>4</v>
      </c>
      <c r="E3841" s="10">
        <v>19</v>
      </c>
      <c r="F3841" t="s">
        <v>2022</v>
      </c>
      <c r="G3841" t="s">
        <v>889</v>
      </c>
      <c r="H3841" t="s">
        <v>102</v>
      </c>
      <c r="I3841" t="s">
        <v>27</v>
      </c>
      <c r="J3841" s="4">
        <v>35</v>
      </c>
      <c r="K3841">
        <v>2</v>
      </c>
      <c r="L3841">
        <v>35</v>
      </c>
      <c r="M3841">
        <v>70</v>
      </c>
      <c r="N3841" s="5">
        <v>3.5575679172056915</v>
      </c>
      <c r="O3841" t="s">
        <v>39</v>
      </c>
      <c r="P3841" t="s">
        <v>340</v>
      </c>
      <c r="Q3841" s="10" t="s">
        <v>24</v>
      </c>
    </row>
    <row r="3842" spans="1:18" hidden="1" x14ac:dyDescent="0.25">
      <c r="A3842" s="9" t="s">
        <v>1802</v>
      </c>
      <c r="B3842" s="3" t="s">
        <v>1803</v>
      </c>
      <c r="C3842" s="10">
        <v>6</v>
      </c>
      <c r="D3842" s="10">
        <v>4</v>
      </c>
      <c r="E3842" s="10">
        <v>19</v>
      </c>
      <c r="F3842" t="s">
        <v>1924</v>
      </c>
      <c r="G3842" t="s">
        <v>889</v>
      </c>
      <c r="H3842" t="s">
        <v>39</v>
      </c>
      <c r="I3842" t="s">
        <v>27</v>
      </c>
      <c r="J3842" s="4">
        <v>100</v>
      </c>
      <c r="K3842">
        <v>1</v>
      </c>
      <c r="L3842">
        <v>100</v>
      </c>
      <c r="M3842">
        <v>100</v>
      </c>
      <c r="N3842" s="5">
        <v>5.0822398817224164</v>
      </c>
      <c r="O3842" t="s">
        <v>39</v>
      </c>
      <c r="P3842" t="s">
        <v>340</v>
      </c>
      <c r="Q3842" s="10" t="s">
        <v>24</v>
      </c>
    </row>
    <row r="3843" spans="1:18" hidden="1" x14ac:dyDescent="0.25">
      <c r="A3843" s="9" t="s">
        <v>1802</v>
      </c>
      <c r="B3843" s="3" t="s">
        <v>1803</v>
      </c>
      <c r="C3843" s="10">
        <v>6</v>
      </c>
      <c r="D3843" s="10">
        <v>4</v>
      </c>
      <c r="E3843" s="10">
        <v>19</v>
      </c>
      <c r="F3843" t="s">
        <v>39</v>
      </c>
      <c r="G3843" t="s">
        <v>889</v>
      </c>
      <c r="H3843" t="s">
        <v>63</v>
      </c>
      <c r="I3843" t="s">
        <v>50</v>
      </c>
      <c r="J3843" s="4">
        <v>45</v>
      </c>
      <c r="K3843">
        <v>2</v>
      </c>
      <c r="L3843">
        <v>45</v>
      </c>
      <c r="M3843">
        <v>90</v>
      </c>
      <c r="N3843" s="5">
        <v>4.5740158935501745</v>
      </c>
      <c r="O3843" t="s">
        <v>39</v>
      </c>
      <c r="P3843" t="s">
        <v>340</v>
      </c>
      <c r="Q3843" s="10" t="s">
        <v>24</v>
      </c>
      <c r="R3843" t="s">
        <v>2023</v>
      </c>
    </row>
    <row r="3844" spans="1:18" hidden="1" x14ac:dyDescent="0.25">
      <c r="A3844" s="9" t="s">
        <v>1802</v>
      </c>
      <c r="B3844" s="3" t="s">
        <v>1803</v>
      </c>
      <c r="C3844" s="10">
        <v>6</v>
      </c>
      <c r="D3844" s="10">
        <v>4</v>
      </c>
      <c r="E3844" s="10">
        <v>19</v>
      </c>
      <c r="F3844" t="s">
        <v>475</v>
      </c>
      <c r="G3844" t="s">
        <v>889</v>
      </c>
      <c r="H3844" t="s">
        <v>62</v>
      </c>
      <c r="I3844" t="s">
        <v>27</v>
      </c>
      <c r="J3844" s="4">
        <v>35</v>
      </c>
      <c r="K3844">
        <v>2</v>
      </c>
      <c r="L3844">
        <v>35</v>
      </c>
      <c r="M3844">
        <v>70</v>
      </c>
      <c r="N3844" s="5">
        <v>3.5575679172056915</v>
      </c>
      <c r="O3844" t="s">
        <v>39</v>
      </c>
      <c r="P3844" t="s">
        <v>340</v>
      </c>
      <c r="Q3844" s="10" t="s">
        <v>24</v>
      </c>
    </row>
    <row r="3845" spans="1:18" hidden="1" x14ac:dyDescent="0.25">
      <c r="A3845" s="9" t="s">
        <v>1802</v>
      </c>
      <c r="B3845" s="3" t="s">
        <v>1803</v>
      </c>
      <c r="C3845" s="10">
        <v>6</v>
      </c>
      <c r="D3845" s="10">
        <v>4</v>
      </c>
      <c r="E3845" s="10">
        <v>19</v>
      </c>
      <c r="F3845" t="s">
        <v>1078</v>
      </c>
      <c r="G3845" t="s">
        <v>889</v>
      </c>
      <c r="H3845" t="s">
        <v>65</v>
      </c>
      <c r="I3845" t="s">
        <v>27</v>
      </c>
      <c r="J3845" s="4">
        <v>50</v>
      </c>
      <c r="K3845">
        <v>1</v>
      </c>
      <c r="L3845">
        <v>50</v>
      </c>
      <c r="M3845">
        <v>50</v>
      </c>
      <c r="N3845" s="5">
        <v>2.5411199408612082</v>
      </c>
      <c r="O3845" t="s">
        <v>39</v>
      </c>
      <c r="P3845" t="s">
        <v>340</v>
      </c>
      <c r="Q3845" s="10" t="s">
        <v>24</v>
      </c>
    </row>
    <row r="3846" spans="1:18" hidden="1" x14ac:dyDescent="0.25">
      <c r="A3846" s="9" t="s">
        <v>1802</v>
      </c>
      <c r="B3846" s="3" t="s">
        <v>1803</v>
      </c>
      <c r="C3846" s="10">
        <v>6</v>
      </c>
      <c r="D3846" s="10">
        <v>4</v>
      </c>
      <c r="E3846" s="10">
        <v>19</v>
      </c>
      <c r="F3846" t="s">
        <v>40</v>
      </c>
      <c r="G3846" t="s">
        <v>889</v>
      </c>
      <c r="H3846" t="s">
        <v>40</v>
      </c>
      <c r="I3846" t="s">
        <v>27</v>
      </c>
      <c r="J3846" s="4">
        <v>60</v>
      </c>
      <c r="K3846">
        <v>1</v>
      </c>
      <c r="L3846">
        <v>60</v>
      </c>
      <c r="M3846">
        <v>60</v>
      </c>
      <c r="N3846" s="5">
        <v>3.0493439290334501</v>
      </c>
      <c r="O3846" t="s">
        <v>39</v>
      </c>
      <c r="P3846" t="s">
        <v>340</v>
      </c>
      <c r="Q3846" s="10" t="s">
        <v>24</v>
      </c>
    </row>
    <row r="3847" spans="1:18" hidden="1" x14ac:dyDescent="0.25">
      <c r="A3847" s="9" t="s">
        <v>1802</v>
      </c>
      <c r="B3847" s="3" t="s">
        <v>1803</v>
      </c>
      <c r="C3847" s="10">
        <v>6</v>
      </c>
      <c r="D3847" s="10">
        <v>4</v>
      </c>
      <c r="E3847" s="10">
        <v>19</v>
      </c>
      <c r="F3847" t="s">
        <v>131</v>
      </c>
      <c r="G3847" t="s">
        <v>889</v>
      </c>
      <c r="H3847" t="s">
        <v>131</v>
      </c>
      <c r="I3847" t="s">
        <v>27</v>
      </c>
      <c r="J3847" s="4">
        <v>30</v>
      </c>
      <c r="K3847">
        <v>1</v>
      </c>
      <c r="L3847">
        <v>30</v>
      </c>
      <c r="M3847">
        <v>30</v>
      </c>
      <c r="N3847" s="5">
        <v>1.524671964516725</v>
      </c>
      <c r="O3847" t="s">
        <v>39</v>
      </c>
      <c r="P3847" t="s">
        <v>340</v>
      </c>
      <c r="Q3847" s="10" t="s">
        <v>24</v>
      </c>
      <c r="R3847" t="s">
        <v>2024</v>
      </c>
    </row>
    <row r="3848" spans="1:18" hidden="1" x14ac:dyDescent="0.25">
      <c r="A3848" s="9" t="s">
        <v>1802</v>
      </c>
      <c r="B3848" s="3" t="s">
        <v>1880</v>
      </c>
      <c r="C3848" s="10">
        <v>7</v>
      </c>
      <c r="D3848" s="10">
        <v>4</v>
      </c>
      <c r="E3848" s="10">
        <v>19</v>
      </c>
      <c r="F3848" t="s">
        <v>55</v>
      </c>
      <c r="G3848" t="s">
        <v>889</v>
      </c>
      <c r="H3848" t="s">
        <v>56</v>
      </c>
      <c r="I3848" t="s">
        <v>27</v>
      </c>
      <c r="J3848" s="4">
        <v>36</v>
      </c>
      <c r="K3848">
        <v>1.1779999999999999</v>
      </c>
      <c r="L3848">
        <v>36</v>
      </c>
      <c r="M3848">
        <v>42.408000000000001</v>
      </c>
      <c r="N3848" s="5">
        <v>2.1552762890408426</v>
      </c>
      <c r="O3848" t="s">
        <v>101</v>
      </c>
      <c r="P3848" t="s">
        <v>340</v>
      </c>
      <c r="Q3848" s="10" t="s">
        <v>24</v>
      </c>
    </row>
    <row r="3849" spans="1:18" hidden="1" x14ac:dyDescent="0.25">
      <c r="A3849" s="9" t="s">
        <v>1802</v>
      </c>
      <c r="B3849" s="3" t="s">
        <v>1880</v>
      </c>
      <c r="C3849" s="10">
        <v>7</v>
      </c>
      <c r="D3849" s="10">
        <v>4</v>
      </c>
      <c r="E3849" s="10">
        <v>19</v>
      </c>
      <c r="F3849" t="s">
        <v>770</v>
      </c>
      <c r="G3849" t="s">
        <v>31</v>
      </c>
      <c r="H3849" t="s">
        <v>26</v>
      </c>
      <c r="I3849" t="s">
        <v>27</v>
      </c>
      <c r="J3849" s="4">
        <v>7.75</v>
      </c>
      <c r="K3849">
        <v>2</v>
      </c>
      <c r="L3849">
        <v>7.75</v>
      </c>
      <c r="M3849">
        <v>15.5</v>
      </c>
      <c r="N3849" s="5">
        <v>0.78774718166697455</v>
      </c>
      <c r="O3849" t="s">
        <v>101</v>
      </c>
      <c r="P3849" t="s">
        <v>340</v>
      </c>
      <c r="Q3849" s="10" t="s">
        <v>24</v>
      </c>
    </row>
    <row r="3850" spans="1:18" hidden="1" x14ac:dyDescent="0.25">
      <c r="A3850" s="9" t="s">
        <v>1802</v>
      </c>
      <c r="B3850" s="3" t="s">
        <v>1880</v>
      </c>
      <c r="C3850" s="10">
        <v>7</v>
      </c>
      <c r="D3850" s="10">
        <v>4</v>
      </c>
      <c r="E3850" s="10">
        <v>19</v>
      </c>
      <c r="F3850" t="s">
        <v>1823</v>
      </c>
      <c r="G3850" t="s">
        <v>31</v>
      </c>
      <c r="H3850" t="s">
        <v>26</v>
      </c>
      <c r="I3850" t="s">
        <v>27</v>
      </c>
      <c r="J3850" s="4">
        <v>14.7</v>
      </c>
      <c r="K3850">
        <v>1</v>
      </c>
      <c r="L3850">
        <v>14.7</v>
      </c>
      <c r="M3850">
        <v>14.7</v>
      </c>
      <c r="N3850" s="5">
        <v>0.74708926261319519</v>
      </c>
      <c r="O3850" t="s">
        <v>181</v>
      </c>
      <c r="P3850" t="s">
        <v>340</v>
      </c>
      <c r="Q3850" s="10" t="s">
        <v>24</v>
      </c>
    </row>
    <row r="3851" spans="1:18" hidden="1" x14ac:dyDescent="0.25">
      <c r="A3851" s="9" t="s">
        <v>1802</v>
      </c>
      <c r="B3851" s="3" t="s">
        <v>1880</v>
      </c>
      <c r="C3851" s="10">
        <v>7</v>
      </c>
      <c r="D3851" s="10">
        <v>4</v>
      </c>
      <c r="E3851" s="10">
        <v>19</v>
      </c>
      <c r="F3851" t="s">
        <v>155</v>
      </c>
      <c r="G3851" t="s">
        <v>155</v>
      </c>
      <c r="H3851" t="s">
        <v>131</v>
      </c>
      <c r="I3851" t="s">
        <v>27</v>
      </c>
      <c r="J3851" s="4">
        <v>24.4</v>
      </c>
      <c r="K3851">
        <v>1</v>
      </c>
      <c r="L3851">
        <v>24.4</v>
      </c>
      <c r="M3851">
        <v>24.4</v>
      </c>
      <c r="N3851" s="5">
        <v>1.2400665311402697</v>
      </c>
      <c r="O3851" t="s">
        <v>181</v>
      </c>
      <c r="P3851" t="s">
        <v>340</v>
      </c>
      <c r="Q3851" s="10" t="s">
        <v>24</v>
      </c>
    </row>
    <row r="3852" spans="1:18" hidden="1" x14ac:dyDescent="0.25">
      <c r="A3852" s="9" t="s">
        <v>1802</v>
      </c>
      <c r="B3852" s="3" t="s">
        <v>1880</v>
      </c>
      <c r="C3852" s="10">
        <v>7</v>
      </c>
      <c r="D3852" s="10">
        <v>4</v>
      </c>
      <c r="E3852" s="10">
        <v>19</v>
      </c>
      <c r="F3852" t="s">
        <v>1937</v>
      </c>
      <c r="G3852" t="s">
        <v>889</v>
      </c>
      <c r="H3852" t="s">
        <v>56</v>
      </c>
      <c r="I3852" t="s">
        <v>27</v>
      </c>
      <c r="J3852" s="4">
        <v>61.5</v>
      </c>
      <c r="K3852">
        <v>1</v>
      </c>
      <c r="L3852">
        <v>61.5</v>
      </c>
      <c r="M3852">
        <v>61.5</v>
      </c>
      <c r="N3852" s="5">
        <v>3.1255775272592863</v>
      </c>
      <c r="O3852" t="s">
        <v>181</v>
      </c>
      <c r="P3852" t="s">
        <v>340</v>
      </c>
      <c r="Q3852" s="10" t="s">
        <v>24</v>
      </c>
    </row>
    <row r="3853" spans="1:18" hidden="1" x14ac:dyDescent="0.25">
      <c r="A3853" s="9" t="s">
        <v>1802</v>
      </c>
      <c r="B3853" s="3" t="s">
        <v>1806</v>
      </c>
      <c r="C3853" s="10">
        <v>8</v>
      </c>
      <c r="D3853" s="10">
        <v>4</v>
      </c>
      <c r="E3853" s="10">
        <v>19</v>
      </c>
      <c r="F3853" t="s">
        <v>189</v>
      </c>
      <c r="G3853" t="s">
        <v>889</v>
      </c>
      <c r="H3853" t="s">
        <v>172</v>
      </c>
      <c r="I3853" t="s">
        <v>39</v>
      </c>
      <c r="J3853" s="4">
        <v>55</v>
      </c>
      <c r="K3853">
        <v>1</v>
      </c>
      <c r="L3853">
        <v>55</v>
      </c>
      <c r="M3853">
        <v>55</v>
      </c>
      <c r="N3853" s="5">
        <v>2.7952319349473291</v>
      </c>
      <c r="O3853" t="s">
        <v>39</v>
      </c>
      <c r="P3853" t="s">
        <v>340</v>
      </c>
      <c r="Q3853" s="10" t="s">
        <v>24</v>
      </c>
    </row>
    <row r="3854" spans="1:18" hidden="1" x14ac:dyDescent="0.25">
      <c r="A3854" s="9" t="s">
        <v>1802</v>
      </c>
      <c r="B3854" s="3" t="s">
        <v>1806</v>
      </c>
      <c r="C3854" s="10">
        <v>8</v>
      </c>
      <c r="D3854" s="10">
        <v>4</v>
      </c>
      <c r="E3854" s="10">
        <v>19</v>
      </c>
      <c r="F3854" t="s">
        <v>141</v>
      </c>
      <c r="G3854" t="s">
        <v>889</v>
      </c>
      <c r="H3854" t="s">
        <v>172</v>
      </c>
      <c r="I3854" t="s">
        <v>39</v>
      </c>
      <c r="J3854" s="4">
        <v>2</v>
      </c>
      <c r="K3854">
        <v>3</v>
      </c>
      <c r="L3854">
        <v>2</v>
      </c>
      <c r="M3854">
        <v>6</v>
      </c>
      <c r="N3854" s="5">
        <v>0.30493439290334501</v>
      </c>
      <c r="O3854" t="s">
        <v>39</v>
      </c>
      <c r="P3854" t="s">
        <v>340</v>
      </c>
      <c r="Q3854" s="10" t="s">
        <v>24</v>
      </c>
    </row>
    <row r="3855" spans="1:18" hidden="1" x14ac:dyDescent="0.25">
      <c r="A3855" s="9" t="s">
        <v>1802</v>
      </c>
      <c r="B3855" s="3" t="s">
        <v>1806</v>
      </c>
      <c r="C3855" s="10">
        <v>8</v>
      </c>
      <c r="D3855" s="10">
        <v>4</v>
      </c>
      <c r="E3855" s="10">
        <v>19</v>
      </c>
      <c r="F3855" t="s">
        <v>141</v>
      </c>
      <c r="G3855" t="s">
        <v>889</v>
      </c>
      <c r="H3855" t="s">
        <v>172</v>
      </c>
      <c r="I3855" t="s">
        <v>39</v>
      </c>
      <c r="J3855" s="4">
        <v>3</v>
      </c>
      <c r="K3855">
        <v>1</v>
      </c>
      <c r="L3855">
        <v>3</v>
      </c>
      <c r="M3855">
        <v>3</v>
      </c>
      <c r="N3855" s="5">
        <v>0.1524671964516725</v>
      </c>
      <c r="O3855" t="s">
        <v>39</v>
      </c>
      <c r="P3855" t="s">
        <v>340</v>
      </c>
      <c r="Q3855" s="10" t="s">
        <v>24</v>
      </c>
    </row>
    <row r="3856" spans="1:18" hidden="1" x14ac:dyDescent="0.25">
      <c r="A3856" s="9" t="s">
        <v>1802</v>
      </c>
      <c r="B3856" s="3" t="s">
        <v>1806</v>
      </c>
      <c r="C3856" s="10">
        <v>8</v>
      </c>
      <c r="D3856" s="10">
        <v>4</v>
      </c>
      <c r="E3856" s="10">
        <v>19</v>
      </c>
      <c r="F3856" t="s">
        <v>189</v>
      </c>
      <c r="G3856" t="s">
        <v>889</v>
      </c>
      <c r="H3856" t="s">
        <v>172</v>
      </c>
      <c r="I3856" t="s">
        <v>39</v>
      </c>
      <c r="J3856" s="4">
        <v>60</v>
      </c>
      <c r="K3856">
        <v>1</v>
      </c>
      <c r="L3856">
        <v>60</v>
      </c>
      <c r="M3856">
        <v>60</v>
      </c>
      <c r="N3856" s="5">
        <v>3.0493439290334501</v>
      </c>
      <c r="O3856" t="s">
        <v>39</v>
      </c>
      <c r="P3856" t="s">
        <v>340</v>
      </c>
      <c r="Q3856" s="10" t="s">
        <v>24</v>
      </c>
    </row>
    <row r="3857" spans="1:18" hidden="1" x14ac:dyDescent="0.25">
      <c r="A3857" s="9" t="s">
        <v>1802</v>
      </c>
      <c r="B3857" s="3" t="s">
        <v>1834</v>
      </c>
      <c r="C3857" s="10">
        <v>9</v>
      </c>
      <c r="D3857" s="10">
        <v>4</v>
      </c>
      <c r="E3857" s="10">
        <v>19</v>
      </c>
      <c r="F3857" t="s">
        <v>1144</v>
      </c>
      <c r="G3857" t="s">
        <v>31</v>
      </c>
      <c r="H3857" t="s">
        <v>26</v>
      </c>
      <c r="I3857" t="s">
        <v>27</v>
      </c>
      <c r="J3857" s="4">
        <v>13.7</v>
      </c>
      <c r="K3857">
        <v>1</v>
      </c>
      <c r="L3857">
        <v>13.7</v>
      </c>
      <c r="M3857">
        <v>13.7</v>
      </c>
      <c r="N3857" s="5">
        <v>0.69626686379597102</v>
      </c>
      <c r="O3857" t="s">
        <v>1472</v>
      </c>
      <c r="P3857" t="s">
        <v>340</v>
      </c>
      <c r="Q3857" s="10" t="s">
        <v>24</v>
      </c>
    </row>
    <row r="3858" spans="1:18" hidden="1" x14ac:dyDescent="0.25">
      <c r="A3858" s="9" t="s">
        <v>1802</v>
      </c>
      <c r="B3858" s="3" t="s">
        <v>1834</v>
      </c>
      <c r="C3858" s="10">
        <v>9</v>
      </c>
      <c r="D3858" s="10">
        <v>4</v>
      </c>
      <c r="E3858" s="10">
        <v>19</v>
      </c>
      <c r="F3858" t="s">
        <v>55</v>
      </c>
      <c r="G3858" t="s">
        <v>889</v>
      </c>
      <c r="H3858" t="s">
        <v>56</v>
      </c>
      <c r="I3858" t="s">
        <v>27</v>
      </c>
      <c r="J3858" s="4">
        <v>30</v>
      </c>
      <c r="K3858">
        <v>1.796</v>
      </c>
      <c r="L3858">
        <v>30</v>
      </c>
      <c r="M3858">
        <v>53.88</v>
      </c>
      <c r="N3858" s="5">
        <v>2.7383108482720382</v>
      </c>
      <c r="O3858" t="s">
        <v>1472</v>
      </c>
      <c r="P3858" t="s">
        <v>340</v>
      </c>
      <c r="Q3858" s="10" t="s">
        <v>24</v>
      </c>
    </row>
    <row r="3859" spans="1:18" hidden="1" x14ac:dyDescent="0.25">
      <c r="A3859" s="9" t="s">
        <v>1802</v>
      </c>
      <c r="B3859" s="3" t="s">
        <v>1834</v>
      </c>
      <c r="C3859" s="10">
        <v>9</v>
      </c>
      <c r="D3859" s="10">
        <v>4</v>
      </c>
      <c r="E3859" s="10">
        <v>19</v>
      </c>
      <c r="F3859" t="s">
        <v>523</v>
      </c>
      <c r="G3859" t="s">
        <v>889</v>
      </c>
      <c r="H3859" t="s">
        <v>73</v>
      </c>
      <c r="I3859" t="s">
        <v>27</v>
      </c>
      <c r="J3859" s="4">
        <v>20.5</v>
      </c>
      <c r="K3859">
        <v>1</v>
      </c>
      <c r="L3859">
        <v>20.5</v>
      </c>
      <c r="M3859">
        <v>20.5</v>
      </c>
      <c r="N3859" s="5">
        <v>1.0418591757530953</v>
      </c>
      <c r="O3859" t="s">
        <v>1472</v>
      </c>
      <c r="P3859" t="s">
        <v>340</v>
      </c>
      <c r="Q3859" s="10" t="s">
        <v>24</v>
      </c>
    </row>
    <row r="3860" spans="1:18" hidden="1" x14ac:dyDescent="0.25">
      <c r="A3860" s="9" t="s">
        <v>1802</v>
      </c>
      <c r="B3860" s="3" t="s">
        <v>1834</v>
      </c>
      <c r="C3860" s="10">
        <v>9</v>
      </c>
      <c r="D3860" s="10">
        <v>4</v>
      </c>
      <c r="E3860" s="10">
        <v>19</v>
      </c>
      <c r="F3860" t="s">
        <v>1144</v>
      </c>
      <c r="G3860" t="s">
        <v>31</v>
      </c>
      <c r="H3860" t="s">
        <v>26</v>
      </c>
      <c r="I3860" t="s">
        <v>27</v>
      </c>
      <c r="J3860" s="4">
        <v>9</v>
      </c>
      <c r="K3860">
        <v>1</v>
      </c>
      <c r="L3860">
        <v>9</v>
      </c>
      <c r="M3860">
        <v>9</v>
      </c>
      <c r="N3860" s="5">
        <v>0.45740158935501751</v>
      </c>
      <c r="O3860" t="s">
        <v>1472</v>
      </c>
      <c r="P3860" t="s">
        <v>340</v>
      </c>
      <c r="Q3860" s="10" t="s">
        <v>24</v>
      </c>
    </row>
    <row r="3861" spans="1:18" hidden="1" x14ac:dyDescent="0.25">
      <c r="A3861" s="9" t="s">
        <v>1802</v>
      </c>
      <c r="B3861" s="3" t="s">
        <v>1834</v>
      </c>
      <c r="C3861" s="10">
        <v>9</v>
      </c>
      <c r="D3861" s="10">
        <v>4</v>
      </c>
      <c r="E3861" s="10">
        <v>19</v>
      </c>
      <c r="F3861" t="s">
        <v>770</v>
      </c>
      <c r="G3861" t="s">
        <v>31</v>
      </c>
      <c r="H3861" t="s">
        <v>26</v>
      </c>
      <c r="I3861" t="s">
        <v>27</v>
      </c>
      <c r="J3861" s="4">
        <v>7.65</v>
      </c>
      <c r="K3861">
        <v>2</v>
      </c>
      <c r="L3861">
        <v>7.65</v>
      </c>
      <c r="M3861">
        <v>15.3</v>
      </c>
      <c r="N3861" s="5">
        <v>0.77758270190352974</v>
      </c>
      <c r="O3861" t="s">
        <v>1472</v>
      </c>
      <c r="P3861" t="s">
        <v>340</v>
      </c>
      <c r="Q3861" s="10" t="s">
        <v>24</v>
      </c>
    </row>
    <row r="3862" spans="1:18" hidden="1" x14ac:dyDescent="0.25">
      <c r="A3862" s="9" t="s">
        <v>1760</v>
      </c>
      <c r="B3862" s="3" t="s">
        <v>1048</v>
      </c>
      <c r="C3862" s="10">
        <v>11</v>
      </c>
      <c r="D3862" s="10">
        <v>5</v>
      </c>
      <c r="E3862" s="10">
        <v>19</v>
      </c>
      <c r="F3862" t="s">
        <v>104</v>
      </c>
      <c r="I3862" t="s">
        <v>72</v>
      </c>
      <c r="J3862" s="4">
        <v>517</v>
      </c>
      <c r="K3862">
        <v>1</v>
      </c>
      <c r="L3862">
        <v>517</v>
      </c>
      <c r="M3862">
        <v>517</v>
      </c>
      <c r="N3862" s="5">
        <v>26.203750633552964</v>
      </c>
      <c r="O3862" t="s">
        <v>233</v>
      </c>
      <c r="P3862" t="s">
        <v>340</v>
      </c>
      <c r="Q3862" s="10" t="s">
        <v>24</v>
      </c>
      <c r="R3862" t="s">
        <v>1044</v>
      </c>
    </row>
    <row r="3863" spans="1:18" hidden="1" x14ac:dyDescent="0.25">
      <c r="A3863" s="9" t="s">
        <v>1760</v>
      </c>
      <c r="B3863" s="3" t="s">
        <v>1048</v>
      </c>
      <c r="C3863" s="10">
        <v>11</v>
      </c>
      <c r="D3863" s="10">
        <v>5</v>
      </c>
      <c r="E3863" s="10">
        <v>19</v>
      </c>
      <c r="F3863" t="s">
        <v>1666</v>
      </c>
      <c r="I3863" t="s">
        <v>72</v>
      </c>
      <c r="J3863" s="4">
        <v>51.57</v>
      </c>
      <c r="K3863">
        <v>1</v>
      </c>
      <c r="L3863">
        <v>51.57</v>
      </c>
      <c r="M3863">
        <v>51.57</v>
      </c>
      <c r="N3863" s="5">
        <v>2.6137861125190067</v>
      </c>
      <c r="O3863" t="s">
        <v>233</v>
      </c>
      <c r="P3863" t="s">
        <v>340</v>
      </c>
      <c r="Q3863" s="10" t="s">
        <v>24</v>
      </c>
      <c r="R3863" t="s">
        <v>1045</v>
      </c>
    </row>
    <row r="3864" spans="1:18" hidden="1" x14ac:dyDescent="0.25">
      <c r="A3864" s="9" t="s">
        <v>1760</v>
      </c>
      <c r="B3864" s="3" t="s">
        <v>1048</v>
      </c>
      <c r="C3864" s="10">
        <v>11</v>
      </c>
      <c r="D3864" s="10">
        <v>5</v>
      </c>
      <c r="E3864" s="10">
        <v>19</v>
      </c>
      <c r="F3864" t="s">
        <v>104</v>
      </c>
      <c r="I3864" t="s">
        <v>72</v>
      </c>
      <c r="J3864" s="4">
        <v>196.20000000000002</v>
      </c>
      <c r="K3864">
        <v>1</v>
      </c>
      <c r="L3864">
        <v>196.20000000000002</v>
      </c>
      <c r="M3864">
        <v>196.20000000000002</v>
      </c>
      <c r="N3864" s="5">
        <v>9.9442473390775472</v>
      </c>
      <c r="O3864" t="s">
        <v>233</v>
      </c>
      <c r="P3864" t="s">
        <v>340</v>
      </c>
      <c r="Q3864" s="10" t="s">
        <v>24</v>
      </c>
      <c r="R3864" t="s">
        <v>1046</v>
      </c>
    </row>
    <row r="3865" spans="1:18" hidden="1" x14ac:dyDescent="0.25">
      <c r="A3865" s="9" t="s">
        <v>1760</v>
      </c>
      <c r="B3865" s="3" t="s">
        <v>1048</v>
      </c>
      <c r="C3865" s="10">
        <v>11</v>
      </c>
      <c r="D3865" s="10">
        <v>5</v>
      </c>
      <c r="E3865" s="10">
        <v>19</v>
      </c>
      <c r="F3865" t="s">
        <v>146</v>
      </c>
      <c r="H3865" t="s">
        <v>49</v>
      </c>
      <c r="I3865" t="s">
        <v>50</v>
      </c>
      <c r="J3865" s="4">
        <v>0.3</v>
      </c>
      <c r="K3865">
        <v>1.274</v>
      </c>
      <c r="L3865">
        <v>0.3</v>
      </c>
      <c r="M3865">
        <v>0.38219999999999998</v>
      </c>
      <c r="N3865" s="5">
        <v>1.9371515458692347E-2</v>
      </c>
      <c r="O3865" t="s">
        <v>233</v>
      </c>
      <c r="P3865" t="s">
        <v>340</v>
      </c>
      <c r="Q3865" s="10" t="s">
        <v>24</v>
      </c>
    </row>
    <row r="3866" spans="1:18" hidden="1" x14ac:dyDescent="0.25">
      <c r="A3866" s="9" t="s">
        <v>1760</v>
      </c>
      <c r="B3866" s="3" t="s">
        <v>1048</v>
      </c>
      <c r="C3866" s="10">
        <v>11</v>
      </c>
      <c r="D3866" s="10">
        <v>5</v>
      </c>
      <c r="E3866" s="10">
        <v>19</v>
      </c>
      <c r="F3866" t="s">
        <v>104</v>
      </c>
      <c r="I3866" t="s">
        <v>72</v>
      </c>
      <c r="J3866" s="4">
        <v>52.37</v>
      </c>
      <c r="K3866">
        <v>2</v>
      </c>
      <c r="L3866">
        <v>52.37</v>
      </c>
      <c r="M3866">
        <v>104.74</v>
      </c>
      <c r="N3866" s="5">
        <v>5.3086670045615811</v>
      </c>
      <c r="O3866" t="s">
        <v>233</v>
      </c>
      <c r="P3866" t="s">
        <v>340</v>
      </c>
      <c r="Q3866" s="10" t="s">
        <v>24</v>
      </c>
      <c r="R3866" t="s">
        <v>1047</v>
      </c>
    </row>
    <row r="3867" spans="1:18" hidden="1" x14ac:dyDescent="0.25">
      <c r="A3867" s="9" t="s">
        <v>1760</v>
      </c>
      <c r="B3867" s="3" t="s">
        <v>1048</v>
      </c>
      <c r="C3867" s="10">
        <v>11</v>
      </c>
      <c r="D3867" s="10">
        <v>5</v>
      </c>
      <c r="E3867" s="10">
        <v>19</v>
      </c>
      <c r="F3867" t="s">
        <v>141</v>
      </c>
      <c r="G3867" t="s">
        <v>889</v>
      </c>
      <c r="H3867" t="s">
        <v>172</v>
      </c>
      <c r="I3867" t="s">
        <v>39</v>
      </c>
      <c r="J3867" s="4">
        <v>2</v>
      </c>
      <c r="K3867">
        <v>2</v>
      </c>
      <c r="L3867">
        <v>2</v>
      </c>
      <c r="M3867">
        <v>4</v>
      </c>
      <c r="N3867" s="5">
        <v>0.20273694880892043</v>
      </c>
      <c r="O3867" t="s">
        <v>39</v>
      </c>
      <c r="P3867" t="s">
        <v>340</v>
      </c>
      <c r="Q3867" s="10" t="s">
        <v>24</v>
      </c>
    </row>
    <row r="3868" spans="1:18" hidden="1" x14ac:dyDescent="0.25">
      <c r="A3868" s="9" t="s">
        <v>1760</v>
      </c>
      <c r="B3868" s="3" t="s">
        <v>1048</v>
      </c>
      <c r="C3868" s="10">
        <v>11</v>
      </c>
      <c r="D3868" s="10">
        <v>5</v>
      </c>
      <c r="E3868" s="10">
        <v>19</v>
      </c>
      <c r="F3868" t="s">
        <v>71</v>
      </c>
      <c r="I3868" t="s">
        <v>72</v>
      </c>
      <c r="J3868" s="4">
        <v>540</v>
      </c>
      <c r="K3868">
        <v>1</v>
      </c>
      <c r="L3868">
        <v>540</v>
      </c>
      <c r="M3868">
        <v>540</v>
      </c>
      <c r="N3868" s="5">
        <v>27.369488089204257</v>
      </c>
      <c r="O3868" t="s">
        <v>1055</v>
      </c>
      <c r="P3868" t="s">
        <v>340</v>
      </c>
      <c r="Q3868" s="10" t="s">
        <v>24</v>
      </c>
    </row>
    <row r="3869" spans="1:18" hidden="1" x14ac:dyDescent="0.25">
      <c r="A3869" s="9" t="s">
        <v>1760</v>
      </c>
      <c r="B3869" s="3" t="s">
        <v>1048</v>
      </c>
      <c r="C3869" s="10">
        <v>11</v>
      </c>
      <c r="D3869" s="10">
        <v>5</v>
      </c>
      <c r="E3869" s="10">
        <v>19</v>
      </c>
      <c r="F3869" t="s">
        <v>107</v>
      </c>
      <c r="G3869" t="s">
        <v>889</v>
      </c>
      <c r="H3869" t="s">
        <v>53</v>
      </c>
      <c r="I3869" t="s">
        <v>27</v>
      </c>
      <c r="J3869" s="4">
        <v>20</v>
      </c>
      <c r="K3869">
        <v>1</v>
      </c>
      <c r="L3869">
        <v>20</v>
      </c>
      <c r="M3869">
        <v>20</v>
      </c>
      <c r="N3869" s="5">
        <v>1.0136847440446022</v>
      </c>
      <c r="O3869" t="s">
        <v>1055</v>
      </c>
      <c r="P3869" t="s">
        <v>340</v>
      </c>
      <c r="Q3869" s="10" t="s">
        <v>24</v>
      </c>
    </row>
    <row r="3870" spans="1:18" hidden="1" x14ac:dyDescent="0.25">
      <c r="A3870" s="9" t="s">
        <v>1760</v>
      </c>
      <c r="B3870" s="3" t="s">
        <v>1048</v>
      </c>
      <c r="C3870" s="10">
        <v>11</v>
      </c>
      <c r="D3870" s="10">
        <v>5</v>
      </c>
      <c r="E3870" s="10">
        <v>19</v>
      </c>
      <c r="F3870" t="s">
        <v>52</v>
      </c>
      <c r="G3870" t="s">
        <v>889</v>
      </c>
      <c r="H3870" t="s">
        <v>53</v>
      </c>
      <c r="I3870" t="s">
        <v>27</v>
      </c>
      <c r="J3870" s="4">
        <v>35</v>
      </c>
      <c r="K3870">
        <v>2</v>
      </c>
      <c r="L3870">
        <v>35</v>
      </c>
      <c r="M3870">
        <v>70</v>
      </c>
      <c r="N3870" s="5">
        <v>3.5478966041561075</v>
      </c>
      <c r="O3870" t="s">
        <v>101</v>
      </c>
      <c r="P3870" t="s">
        <v>340</v>
      </c>
      <c r="Q3870" s="10" t="s">
        <v>24</v>
      </c>
    </row>
    <row r="3871" spans="1:18" hidden="1" x14ac:dyDescent="0.25">
      <c r="A3871" s="9" t="s">
        <v>1760</v>
      </c>
      <c r="B3871" s="3" t="s">
        <v>1048</v>
      </c>
      <c r="C3871" s="10">
        <v>11</v>
      </c>
      <c r="D3871" s="10">
        <v>5</v>
      </c>
      <c r="E3871" s="10">
        <v>19</v>
      </c>
      <c r="F3871" t="s">
        <v>189</v>
      </c>
      <c r="G3871" t="s">
        <v>889</v>
      </c>
      <c r="H3871" t="s">
        <v>172</v>
      </c>
      <c r="I3871" t="s">
        <v>39</v>
      </c>
      <c r="J3871" s="4">
        <v>40</v>
      </c>
      <c r="K3871">
        <v>1</v>
      </c>
      <c r="L3871">
        <v>40</v>
      </c>
      <c r="M3871">
        <v>40</v>
      </c>
      <c r="N3871" s="5">
        <v>2.0273694880892044</v>
      </c>
      <c r="O3871" t="s">
        <v>39</v>
      </c>
      <c r="P3871" t="s">
        <v>340</v>
      </c>
      <c r="Q3871" s="10" t="s">
        <v>24</v>
      </c>
    </row>
    <row r="3872" spans="1:18" hidden="1" x14ac:dyDescent="0.25">
      <c r="A3872" s="9" t="s">
        <v>1760</v>
      </c>
      <c r="B3872" s="3" t="s">
        <v>1048</v>
      </c>
      <c r="C3872" s="10">
        <v>11</v>
      </c>
      <c r="D3872" s="10">
        <v>5</v>
      </c>
      <c r="E3872" s="10">
        <v>19</v>
      </c>
      <c r="F3872" t="s">
        <v>184</v>
      </c>
      <c r="G3872" t="s">
        <v>304</v>
      </c>
      <c r="H3872" t="s">
        <v>184</v>
      </c>
      <c r="I3872" t="s">
        <v>79</v>
      </c>
      <c r="J3872" s="4">
        <v>30</v>
      </c>
      <c r="K3872">
        <v>1</v>
      </c>
      <c r="L3872">
        <v>30</v>
      </c>
      <c r="M3872">
        <v>30</v>
      </c>
      <c r="N3872" s="5">
        <v>1.5264068383026357</v>
      </c>
      <c r="O3872" t="s">
        <v>593</v>
      </c>
      <c r="P3872" t="s">
        <v>340</v>
      </c>
      <c r="Q3872" s="10" t="s">
        <v>24</v>
      </c>
    </row>
    <row r="3873" spans="1:18" hidden="1" x14ac:dyDescent="0.25">
      <c r="A3873" s="9" t="s">
        <v>1760</v>
      </c>
      <c r="B3873" s="3" t="s">
        <v>1048</v>
      </c>
      <c r="C3873" s="10">
        <v>11</v>
      </c>
      <c r="D3873" s="10">
        <v>5</v>
      </c>
      <c r="E3873" s="10">
        <v>19</v>
      </c>
      <c r="F3873" t="s">
        <v>240</v>
      </c>
      <c r="G3873" t="s">
        <v>889</v>
      </c>
      <c r="H3873" t="s">
        <v>54</v>
      </c>
      <c r="I3873" t="s">
        <v>27</v>
      </c>
      <c r="J3873" s="4">
        <v>5</v>
      </c>
      <c r="K3873">
        <v>1</v>
      </c>
      <c r="L3873">
        <v>5</v>
      </c>
      <c r="M3873">
        <v>5</v>
      </c>
      <c r="N3873" s="5">
        <v>0.25440113971710593</v>
      </c>
      <c r="O3873" t="s">
        <v>593</v>
      </c>
      <c r="P3873" t="s">
        <v>340</v>
      </c>
      <c r="Q3873" s="10" t="s">
        <v>24</v>
      </c>
    </row>
    <row r="3874" spans="1:18" hidden="1" x14ac:dyDescent="0.25">
      <c r="A3874" s="9" t="s">
        <v>1760</v>
      </c>
      <c r="B3874" s="3" t="s">
        <v>1048</v>
      </c>
      <c r="C3874" s="10">
        <v>11</v>
      </c>
      <c r="D3874" s="10">
        <v>5</v>
      </c>
      <c r="E3874" s="10">
        <v>19</v>
      </c>
      <c r="F3874" t="s">
        <v>1059</v>
      </c>
      <c r="G3874" t="s">
        <v>889</v>
      </c>
      <c r="H3874" t="s">
        <v>364</v>
      </c>
      <c r="I3874" t="s">
        <v>27</v>
      </c>
      <c r="J3874" s="4">
        <v>5</v>
      </c>
      <c r="K3874">
        <v>1</v>
      </c>
      <c r="L3874">
        <v>5</v>
      </c>
      <c r="M3874">
        <v>5</v>
      </c>
      <c r="N3874" s="5">
        <v>0.25440113971710593</v>
      </c>
      <c r="O3874" t="s">
        <v>593</v>
      </c>
      <c r="P3874" t="s">
        <v>340</v>
      </c>
      <c r="Q3874" s="10" t="s">
        <v>24</v>
      </c>
    </row>
    <row r="3875" spans="1:18" hidden="1" x14ac:dyDescent="0.25">
      <c r="A3875" s="9" t="s">
        <v>1760</v>
      </c>
      <c r="B3875" s="3" t="s">
        <v>1048</v>
      </c>
      <c r="C3875" s="10">
        <v>11</v>
      </c>
      <c r="D3875" s="10">
        <v>5</v>
      </c>
      <c r="E3875" s="10">
        <v>19</v>
      </c>
      <c r="F3875" t="s">
        <v>212</v>
      </c>
      <c r="G3875" t="s">
        <v>889</v>
      </c>
      <c r="H3875" t="s">
        <v>54</v>
      </c>
      <c r="I3875" t="s">
        <v>27</v>
      </c>
      <c r="J3875" s="4">
        <v>5</v>
      </c>
      <c r="K3875">
        <v>1</v>
      </c>
      <c r="L3875">
        <v>5</v>
      </c>
      <c r="M3875">
        <v>5</v>
      </c>
      <c r="N3875" s="5">
        <v>0.25440113971710593</v>
      </c>
      <c r="O3875" t="s">
        <v>593</v>
      </c>
      <c r="P3875" t="s">
        <v>340</v>
      </c>
      <c r="Q3875" s="10" t="s">
        <v>24</v>
      </c>
    </row>
    <row r="3876" spans="1:18" hidden="1" x14ac:dyDescent="0.25">
      <c r="A3876" s="9" t="s">
        <v>1760</v>
      </c>
      <c r="B3876" s="3" t="s">
        <v>1048</v>
      </c>
      <c r="C3876" s="10">
        <v>11</v>
      </c>
      <c r="D3876" s="10">
        <v>5</v>
      </c>
      <c r="E3876" s="10">
        <v>19</v>
      </c>
      <c r="F3876" t="s">
        <v>891</v>
      </c>
      <c r="G3876" t="s">
        <v>889</v>
      </c>
      <c r="H3876" t="s">
        <v>54</v>
      </c>
      <c r="I3876" t="s">
        <v>27</v>
      </c>
      <c r="J3876" s="4">
        <v>5</v>
      </c>
      <c r="K3876">
        <v>1</v>
      </c>
      <c r="L3876">
        <v>5</v>
      </c>
      <c r="M3876">
        <v>5</v>
      </c>
      <c r="N3876" s="5">
        <v>0.25440113971710593</v>
      </c>
      <c r="O3876" t="s">
        <v>593</v>
      </c>
      <c r="P3876" t="s">
        <v>340</v>
      </c>
      <c r="Q3876" s="10" t="s">
        <v>24</v>
      </c>
    </row>
    <row r="3877" spans="1:18" hidden="1" x14ac:dyDescent="0.25">
      <c r="A3877" s="9" t="s">
        <v>1760</v>
      </c>
      <c r="B3877" s="3" t="s">
        <v>1048</v>
      </c>
      <c r="C3877" s="10">
        <v>11</v>
      </c>
      <c r="D3877" s="10">
        <v>5</v>
      </c>
      <c r="E3877" s="10">
        <v>19</v>
      </c>
      <c r="F3877" t="s">
        <v>39</v>
      </c>
      <c r="G3877" t="s">
        <v>889</v>
      </c>
      <c r="H3877" t="s">
        <v>889</v>
      </c>
      <c r="I3877" t="s">
        <v>39</v>
      </c>
      <c r="J3877" s="4">
        <v>99</v>
      </c>
      <c r="K3877">
        <v>1</v>
      </c>
      <c r="L3877">
        <v>99</v>
      </c>
      <c r="M3877">
        <v>99</v>
      </c>
      <c r="N3877" s="5">
        <v>5.0314174829051925</v>
      </c>
      <c r="O3877" t="s">
        <v>39</v>
      </c>
      <c r="P3877" t="s">
        <v>340</v>
      </c>
      <c r="Q3877" s="10" t="s">
        <v>24</v>
      </c>
      <c r="R3877" t="s">
        <v>1968</v>
      </c>
    </row>
    <row r="3878" spans="1:18" hidden="1" x14ac:dyDescent="0.25">
      <c r="A3878" s="9" t="s">
        <v>1760</v>
      </c>
      <c r="B3878" s="3" t="s">
        <v>1053</v>
      </c>
      <c r="C3878" s="10">
        <v>12</v>
      </c>
      <c r="D3878" s="10">
        <v>5</v>
      </c>
      <c r="E3878" s="10">
        <v>19</v>
      </c>
      <c r="F3878" t="s">
        <v>645</v>
      </c>
      <c r="G3878" t="s">
        <v>39</v>
      </c>
      <c r="H3878" t="s">
        <v>59</v>
      </c>
      <c r="I3878" t="s">
        <v>27</v>
      </c>
      <c r="J3878" s="4">
        <v>54.9</v>
      </c>
      <c r="K3878">
        <v>1</v>
      </c>
      <c r="L3878">
        <v>54.9</v>
      </c>
      <c r="M3878">
        <v>54.9</v>
      </c>
      <c r="N3878" s="5">
        <v>2.7825646224024325</v>
      </c>
      <c r="O3878" t="s">
        <v>51</v>
      </c>
      <c r="P3878" t="s">
        <v>340</v>
      </c>
      <c r="Q3878" s="10" t="s">
        <v>24</v>
      </c>
    </row>
    <row r="3879" spans="1:18" hidden="1" x14ac:dyDescent="0.25">
      <c r="A3879" s="9" t="s">
        <v>1760</v>
      </c>
      <c r="B3879" s="3" t="s">
        <v>1053</v>
      </c>
      <c r="C3879" s="10">
        <v>12</v>
      </c>
      <c r="D3879" s="10">
        <v>5</v>
      </c>
      <c r="E3879" s="10">
        <v>19</v>
      </c>
      <c r="F3879" t="s">
        <v>387</v>
      </c>
      <c r="G3879" t="s">
        <v>889</v>
      </c>
      <c r="H3879" t="s">
        <v>44</v>
      </c>
      <c r="I3879" t="s">
        <v>27</v>
      </c>
      <c r="J3879" s="4">
        <v>14.99</v>
      </c>
      <c r="K3879">
        <v>2</v>
      </c>
      <c r="L3879">
        <v>14.99</v>
      </c>
      <c r="M3879">
        <v>29.98</v>
      </c>
      <c r="N3879" s="5">
        <v>1.5195134313228587</v>
      </c>
      <c r="O3879" t="s">
        <v>51</v>
      </c>
      <c r="P3879" t="s">
        <v>340</v>
      </c>
      <c r="Q3879" s="10" t="s">
        <v>24</v>
      </c>
    </row>
    <row r="3880" spans="1:18" hidden="1" x14ac:dyDescent="0.25">
      <c r="A3880" s="9" t="s">
        <v>1760</v>
      </c>
      <c r="B3880" s="3" t="s">
        <v>1053</v>
      </c>
      <c r="C3880" s="10">
        <v>12</v>
      </c>
      <c r="D3880" s="10">
        <v>5</v>
      </c>
      <c r="E3880" s="10">
        <v>19</v>
      </c>
      <c r="F3880" t="s">
        <v>1692</v>
      </c>
      <c r="H3880" t="s">
        <v>49</v>
      </c>
      <c r="I3880" t="s">
        <v>50</v>
      </c>
      <c r="J3880" s="4">
        <v>33.49</v>
      </c>
      <c r="K3880">
        <v>1</v>
      </c>
      <c r="L3880">
        <v>33.49</v>
      </c>
      <c r="M3880">
        <v>33.49</v>
      </c>
      <c r="N3880" s="5">
        <v>1.6974151039026864</v>
      </c>
      <c r="O3880" t="s">
        <v>51</v>
      </c>
      <c r="P3880" t="s">
        <v>340</v>
      </c>
      <c r="Q3880" s="10" t="s">
        <v>24</v>
      </c>
    </row>
    <row r="3881" spans="1:18" hidden="1" x14ac:dyDescent="0.25">
      <c r="A3881" s="9" t="s">
        <v>1760</v>
      </c>
      <c r="B3881" s="3" t="s">
        <v>1053</v>
      </c>
      <c r="C3881" s="10">
        <v>12</v>
      </c>
      <c r="D3881" s="10">
        <v>5</v>
      </c>
      <c r="E3881" s="10">
        <v>19</v>
      </c>
      <c r="F3881" t="s">
        <v>962</v>
      </c>
      <c r="G3881" t="s">
        <v>889</v>
      </c>
      <c r="H3881" t="s">
        <v>49</v>
      </c>
      <c r="I3881" t="s">
        <v>50</v>
      </c>
      <c r="J3881" s="4">
        <v>128.9</v>
      </c>
      <c r="K3881">
        <v>1</v>
      </c>
      <c r="L3881">
        <v>128.9</v>
      </c>
      <c r="M3881">
        <v>128.9</v>
      </c>
      <c r="N3881" s="5">
        <v>6.5331981753674606</v>
      </c>
      <c r="O3881" t="s">
        <v>51</v>
      </c>
      <c r="P3881" t="s">
        <v>340</v>
      </c>
      <c r="Q3881" s="10" t="s">
        <v>24</v>
      </c>
    </row>
    <row r="3882" spans="1:18" hidden="1" x14ac:dyDescent="0.25">
      <c r="A3882" s="9" t="s">
        <v>1760</v>
      </c>
      <c r="B3882" s="3" t="s">
        <v>1053</v>
      </c>
      <c r="C3882" s="10">
        <v>12</v>
      </c>
      <c r="D3882" s="10">
        <v>5</v>
      </c>
      <c r="E3882" s="10">
        <v>19</v>
      </c>
      <c r="F3882" t="s">
        <v>958</v>
      </c>
      <c r="H3882" t="s">
        <v>53</v>
      </c>
      <c r="I3882" t="s">
        <v>27</v>
      </c>
      <c r="J3882" s="4">
        <v>29.9</v>
      </c>
      <c r="K3882">
        <v>4</v>
      </c>
      <c r="L3882">
        <v>29.9</v>
      </c>
      <c r="M3882">
        <v>113.6</v>
      </c>
      <c r="N3882" s="5">
        <v>5.7577293461733401</v>
      </c>
      <c r="O3882" t="s">
        <v>51</v>
      </c>
      <c r="P3882" t="s">
        <v>340</v>
      </c>
      <c r="Q3882" s="10" t="s">
        <v>24</v>
      </c>
    </row>
    <row r="3883" spans="1:18" hidden="1" x14ac:dyDescent="0.25">
      <c r="A3883" s="9" t="s">
        <v>1760</v>
      </c>
      <c r="B3883" s="3" t="s">
        <v>1053</v>
      </c>
      <c r="C3883" s="10">
        <v>12</v>
      </c>
      <c r="D3883" s="10">
        <v>5</v>
      </c>
      <c r="E3883" s="10">
        <v>19</v>
      </c>
      <c r="F3883" t="s">
        <v>109</v>
      </c>
      <c r="H3883" t="s">
        <v>54</v>
      </c>
      <c r="I3883" t="s">
        <v>27</v>
      </c>
      <c r="J3883" s="4">
        <v>39.9</v>
      </c>
      <c r="K3883">
        <v>1.0720000000000001</v>
      </c>
      <c r="L3883">
        <v>39.9</v>
      </c>
      <c r="M3883" s="43">
        <v>42.772800000000004</v>
      </c>
      <c r="N3883" s="5">
        <v>2.1679067410035482</v>
      </c>
      <c r="O3883" t="s">
        <v>51</v>
      </c>
      <c r="P3883" t="s">
        <v>340</v>
      </c>
      <c r="Q3883" s="10" t="s">
        <v>24</v>
      </c>
    </row>
    <row r="3884" spans="1:18" hidden="1" x14ac:dyDescent="0.25">
      <c r="A3884" s="9" t="s">
        <v>1760</v>
      </c>
      <c r="B3884" s="3" t="s">
        <v>1053</v>
      </c>
      <c r="C3884" s="10">
        <v>12</v>
      </c>
      <c r="D3884" s="10">
        <v>5</v>
      </c>
      <c r="E3884" s="10">
        <v>19</v>
      </c>
      <c r="F3884" t="s">
        <v>1049</v>
      </c>
      <c r="G3884" t="s">
        <v>889</v>
      </c>
      <c r="H3884" t="s">
        <v>54</v>
      </c>
      <c r="I3884" t="s">
        <v>27</v>
      </c>
      <c r="J3884" s="4">
        <v>23.9</v>
      </c>
      <c r="K3884">
        <v>2.5419999999999998</v>
      </c>
      <c r="L3884">
        <v>23.9</v>
      </c>
      <c r="M3884">
        <v>60.753799999999991</v>
      </c>
      <c r="N3884" s="5">
        <v>3.079260010136847</v>
      </c>
      <c r="O3884" t="s">
        <v>51</v>
      </c>
      <c r="P3884" t="s">
        <v>340</v>
      </c>
      <c r="Q3884" s="10" t="s">
        <v>24</v>
      </c>
    </row>
    <row r="3885" spans="1:18" hidden="1" x14ac:dyDescent="0.25">
      <c r="A3885" s="9" t="s">
        <v>1760</v>
      </c>
      <c r="B3885" s="3" t="s">
        <v>1053</v>
      </c>
      <c r="C3885" s="10">
        <v>12</v>
      </c>
      <c r="D3885" s="10">
        <v>5</v>
      </c>
      <c r="E3885" s="10">
        <v>19</v>
      </c>
      <c r="F3885" t="s">
        <v>1021</v>
      </c>
      <c r="G3885" t="s">
        <v>889</v>
      </c>
      <c r="H3885" t="s">
        <v>54</v>
      </c>
      <c r="I3885" t="s">
        <v>27</v>
      </c>
      <c r="J3885" s="4">
        <v>16.5</v>
      </c>
      <c r="K3885">
        <v>1.1859999999999999</v>
      </c>
      <c r="L3885">
        <v>16.5</v>
      </c>
      <c r="M3885">
        <v>19.568999999999999</v>
      </c>
      <c r="N3885" s="5">
        <v>0.99183983781044094</v>
      </c>
      <c r="O3885" t="s">
        <v>51</v>
      </c>
      <c r="P3885" t="s">
        <v>340</v>
      </c>
      <c r="Q3885" s="10" t="s">
        <v>24</v>
      </c>
    </row>
    <row r="3886" spans="1:18" hidden="1" x14ac:dyDescent="0.25">
      <c r="A3886" s="9" t="s">
        <v>1760</v>
      </c>
      <c r="B3886" s="3" t="s">
        <v>1053</v>
      </c>
      <c r="C3886" s="10">
        <v>12</v>
      </c>
      <c r="D3886" s="10">
        <v>5</v>
      </c>
      <c r="E3886" s="10">
        <v>19</v>
      </c>
      <c r="F3886" t="s">
        <v>1050</v>
      </c>
      <c r="G3886" t="s">
        <v>889</v>
      </c>
      <c r="H3886" t="s">
        <v>54</v>
      </c>
      <c r="I3886" t="s">
        <v>27</v>
      </c>
      <c r="J3886" s="4">
        <v>8.99</v>
      </c>
      <c r="K3886">
        <v>1</v>
      </c>
      <c r="L3886">
        <v>8.99</v>
      </c>
      <c r="M3886">
        <v>8.99</v>
      </c>
      <c r="N3886" s="5">
        <v>0.45565129244804864</v>
      </c>
      <c r="O3886" t="s">
        <v>51</v>
      </c>
      <c r="P3886" t="s">
        <v>340</v>
      </c>
      <c r="Q3886" s="10" t="s">
        <v>24</v>
      </c>
    </row>
    <row r="3887" spans="1:18" hidden="1" x14ac:dyDescent="0.25">
      <c r="A3887" s="9" t="s">
        <v>1760</v>
      </c>
      <c r="B3887" s="3" t="s">
        <v>1053</v>
      </c>
      <c r="C3887" s="10">
        <v>12</v>
      </c>
      <c r="D3887" s="10">
        <v>5</v>
      </c>
      <c r="E3887" s="10">
        <v>19</v>
      </c>
      <c r="F3887" t="s">
        <v>48</v>
      </c>
      <c r="G3887" t="s">
        <v>889</v>
      </c>
      <c r="H3887" t="s">
        <v>49</v>
      </c>
      <c r="I3887" t="s">
        <v>50</v>
      </c>
      <c r="J3887" s="4">
        <v>66.489999999999995</v>
      </c>
      <c r="K3887">
        <v>1</v>
      </c>
      <c r="L3887">
        <v>66.489999999999995</v>
      </c>
      <c r="M3887">
        <v>66.489999999999995</v>
      </c>
      <c r="N3887" s="5">
        <v>3.3699949315762794</v>
      </c>
      <c r="O3887" t="s">
        <v>51</v>
      </c>
      <c r="P3887" t="s">
        <v>340</v>
      </c>
      <c r="Q3887" s="10" t="s">
        <v>24</v>
      </c>
    </row>
    <row r="3888" spans="1:18" hidden="1" x14ac:dyDescent="0.25">
      <c r="A3888" s="9" t="s">
        <v>1760</v>
      </c>
      <c r="B3888" s="3" t="s">
        <v>1053</v>
      </c>
      <c r="C3888" s="10">
        <v>12</v>
      </c>
      <c r="D3888" s="10">
        <v>5</v>
      </c>
      <c r="E3888" s="10">
        <v>19</v>
      </c>
      <c r="F3888" t="s">
        <v>122</v>
      </c>
      <c r="G3888" t="s">
        <v>889</v>
      </c>
      <c r="H3888" t="s">
        <v>54</v>
      </c>
      <c r="I3888" t="s">
        <v>27</v>
      </c>
      <c r="J3888" s="4">
        <v>12.9</v>
      </c>
      <c r="K3888">
        <v>1</v>
      </c>
      <c r="L3888">
        <v>12.9</v>
      </c>
      <c r="M3888">
        <v>12.9</v>
      </c>
      <c r="N3888" s="5">
        <v>0.65382665990876843</v>
      </c>
      <c r="O3888" t="s">
        <v>51</v>
      </c>
      <c r="P3888" t="s">
        <v>340</v>
      </c>
      <c r="Q3888" s="10" t="s">
        <v>24</v>
      </c>
    </row>
    <row r="3889" spans="1:18" hidden="1" x14ac:dyDescent="0.25">
      <c r="A3889" s="9" t="s">
        <v>1760</v>
      </c>
      <c r="B3889" s="3" t="s">
        <v>1053</v>
      </c>
      <c r="C3889" s="10">
        <v>12</v>
      </c>
      <c r="D3889" s="10">
        <v>5</v>
      </c>
      <c r="E3889" s="10">
        <v>19</v>
      </c>
      <c r="F3889" t="s">
        <v>1051</v>
      </c>
      <c r="G3889" t="s">
        <v>889</v>
      </c>
      <c r="H3889" t="s">
        <v>56</v>
      </c>
      <c r="I3889" t="s">
        <v>27</v>
      </c>
      <c r="J3889" s="4">
        <v>30.9</v>
      </c>
      <c r="K3889">
        <v>0.46200000000000002</v>
      </c>
      <c r="L3889">
        <v>30.9</v>
      </c>
      <c r="M3889">
        <v>14.2758</v>
      </c>
      <c r="N3889" s="5">
        <v>0.72355803345159653</v>
      </c>
      <c r="O3889" t="s">
        <v>51</v>
      </c>
      <c r="P3889" t="s">
        <v>340</v>
      </c>
      <c r="Q3889" s="10" t="s">
        <v>24</v>
      </c>
    </row>
    <row r="3890" spans="1:18" hidden="1" x14ac:dyDescent="0.25">
      <c r="A3890" s="9" t="s">
        <v>1760</v>
      </c>
      <c r="B3890" s="3" t="s">
        <v>1053</v>
      </c>
      <c r="C3890" s="10">
        <v>12</v>
      </c>
      <c r="D3890" s="10">
        <v>5</v>
      </c>
      <c r="E3890" s="10">
        <v>19</v>
      </c>
      <c r="F3890" t="s">
        <v>2200</v>
      </c>
      <c r="G3890" t="s">
        <v>889</v>
      </c>
      <c r="H3890" t="s">
        <v>49</v>
      </c>
      <c r="I3890" t="s">
        <v>50</v>
      </c>
      <c r="J3890" s="4">
        <v>209</v>
      </c>
      <c r="K3890">
        <v>1</v>
      </c>
      <c r="L3890">
        <v>209</v>
      </c>
      <c r="M3890">
        <v>209</v>
      </c>
      <c r="N3890" s="5">
        <v>10.593005575266092</v>
      </c>
      <c r="O3890" t="s">
        <v>51</v>
      </c>
      <c r="P3890" t="s">
        <v>340</v>
      </c>
      <c r="Q3890" s="10" t="s">
        <v>24</v>
      </c>
      <c r="R3890" t="s">
        <v>1503</v>
      </c>
    </row>
    <row r="3891" spans="1:18" hidden="1" x14ac:dyDescent="0.25">
      <c r="A3891" s="9" t="s">
        <v>1760</v>
      </c>
      <c r="B3891" s="3" t="s">
        <v>1053</v>
      </c>
      <c r="C3891" s="10">
        <v>12</v>
      </c>
      <c r="D3891" s="10">
        <v>5</v>
      </c>
      <c r="E3891" s="10">
        <v>19</v>
      </c>
      <c r="F3891" t="s">
        <v>73</v>
      </c>
      <c r="H3891" t="s">
        <v>73</v>
      </c>
      <c r="I3891" t="s">
        <v>27</v>
      </c>
      <c r="J3891" s="4">
        <v>10.92</v>
      </c>
      <c r="K3891">
        <v>1</v>
      </c>
      <c r="L3891">
        <v>10.92</v>
      </c>
      <c r="M3891">
        <v>10.92</v>
      </c>
      <c r="N3891" s="5">
        <v>0.55347187024835276</v>
      </c>
      <c r="O3891" t="s">
        <v>51</v>
      </c>
      <c r="P3891" t="s">
        <v>340</v>
      </c>
      <c r="Q3891" s="10" t="s">
        <v>24</v>
      </c>
    </row>
    <row r="3892" spans="1:18" hidden="1" x14ac:dyDescent="0.25">
      <c r="A3892" s="9" t="s">
        <v>1760</v>
      </c>
      <c r="B3892" s="3" t="s">
        <v>1053</v>
      </c>
      <c r="C3892" s="10">
        <v>12</v>
      </c>
      <c r="D3892" s="10">
        <v>5</v>
      </c>
      <c r="E3892" s="10">
        <v>19</v>
      </c>
      <c r="F3892" t="s">
        <v>66</v>
      </c>
      <c r="G3892" t="s">
        <v>67</v>
      </c>
      <c r="H3892" t="s">
        <v>59</v>
      </c>
      <c r="I3892" t="s">
        <v>27</v>
      </c>
      <c r="J3892" s="4">
        <v>160.55000000000001</v>
      </c>
      <c r="K3892">
        <v>2</v>
      </c>
      <c r="L3892">
        <v>160.55000000000001</v>
      </c>
      <c r="M3892">
        <v>321.10000000000002</v>
      </c>
      <c r="N3892" s="5">
        <v>16.274708565636089</v>
      </c>
      <c r="O3892" t="s">
        <v>51</v>
      </c>
      <c r="P3892" t="s">
        <v>340</v>
      </c>
      <c r="Q3892" s="10" t="s">
        <v>24</v>
      </c>
    </row>
    <row r="3893" spans="1:18" hidden="1" x14ac:dyDescent="0.25">
      <c r="A3893" s="9" t="s">
        <v>1760</v>
      </c>
      <c r="B3893" s="3" t="s">
        <v>1053</v>
      </c>
      <c r="C3893" s="10">
        <v>12</v>
      </c>
      <c r="D3893" s="10">
        <v>5</v>
      </c>
      <c r="E3893" s="10">
        <v>19</v>
      </c>
      <c r="F3893" t="s">
        <v>1052</v>
      </c>
      <c r="H3893" t="s">
        <v>59</v>
      </c>
      <c r="I3893" t="s">
        <v>27</v>
      </c>
      <c r="J3893" s="4">
        <v>77.900000000000006</v>
      </c>
      <c r="K3893">
        <v>1</v>
      </c>
      <c r="L3893">
        <v>77.900000000000006</v>
      </c>
      <c r="M3893">
        <v>77.900000000000006</v>
      </c>
      <c r="N3893" s="5">
        <v>3.9483020780537257</v>
      </c>
      <c r="O3893" t="s">
        <v>51</v>
      </c>
      <c r="P3893" t="s">
        <v>340</v>
      </c>
      <c r="Q3893" s="10" t="s">
        <v>24</v>
      </c>
    </row>
    <row r="3894" spans="1:18" hidden="1" x14ac:dyDescent="0.25">
      <c r="A3894" s="9" t="s">
        <v>1760</v>
      </c>
      <c r="B3894" s="3" t="s">
        <v>1053</v>
      </c>
      <c r="C3894" s="10">
        <v>12</v>
      </c>
      <c r="D3894" s="10">
        <v>5</v>
      </c>
      <c r="E3894" s="10">
        <v>19</v>
      </c>
      <c r="F3894" t="s">
        <v>78</v>
      </c>
      <c r="G3894" t="s">
        <v>889</v>
      </c>
      <c r="H3894" t="s">
        <v>78</v>
      </c>
      <c r="I3894" t="s">
        <v>79</v>
      </c>
      <c r="J3894" s="4">
        <v>18.37</v>
      </c>
      <c r="K3894">
        <v>47.36</v>
      </c>
      <c r="L3894">
        <v>18.37</v>
      </c>
      <c r="M3894">
        <v>870.00319999999999</v>
      </c>
      <c r="N3894" s="5">
        <v>44.095448555499239</v>
      </c>
      <c r="O3894" t="s">
        <v>80</v>
      </c>
      <c r="P3894" t="s">
        <v>340</v>
      </c>
      <c r="Q3894" s="10" t="s">
        <v>24</v>
      </c>
    </row>
    <row r="3895" spans="1:18" hidden="1" x14ac:dyDescent="0.25">
      <c r="A3895" s="9" t="s">
        <v>1760</v>
      </c>
      <c r="B3895" s="3" t="s">
        <v>1053</v>
      </c>
      <c r="C3895" s="10">
        <v>12</v>
      </c>
      <c r="D3895" s="10">
        <v>5</v>
      </c>
      <c r="E3895" s="10">
        <v>19</v>
      </c>
      <c r="F3895" t="s">
        <v>1054</v>
      </c>
      <c r="G3895" t="s">
        <v>889</v>
      </c>
      <c r="H3895" t="s">
        <v>131</v>
      </c>
      <c r="I3895" t="s">
        <v>27</v>
      </c>
      <c r="J3895" s="4">
        <v>20</v>
      </c>
      <c r="K3895">
        <v>1</v>
      </c>
      <c r="L3895">
        <v>20</v>
      </c>
      <c r="M3895">
        <v>20</v>
      </c>
      <c r="N3895" s="5">
        <v>1.0136847440446022</v>
      </c>
      <c r="O3895" t="s">
        <v>235</v>
      </c>
      <c r="P3895" t="s">
        <v>340</v>
      </c>
      <c r="Q3895" s="10" t="s">
        <v>24</v>
      </c>
    </row>
    <row r="3896" spans="1:18" hidden="1" x14ac:dyDescent="0.25">
      <c r="A3896" s="9" t="s">
        <v>1760</v>
      </c>
      <c r="B3896" s="3" t="s">
        <v>1053</v>
      </c>
      <c r="C3896" s="10">
        <v>12</v>
      </c>
      <c r="D3896" s="10">
        <v>5</v>
      </c>
      <c r="E3896" s="10">
        <v>19</v>
      </c>
      <c r="F3896" t="s">
        <v>102</v>
      </c>
      <c r="H3896" t="s">
        <v>102</v>
      </c>
      <c r="I3896" t="s">
        <v>27</v>
      </c>
      <c r="J3896" s="4">
        <v>17</v>
      </c>
      <c r="K3896">
        <v>1</v>
      </c>
      <c r="L3896">
        <v>17</v>
      </c>
      <c r="M3896">
        <v>17</v>
      </c>
      <c r="N3896" s="5">
        <v>0.86163203243791175</v>
      </c>
      <c r="O3896" t="s">
        <v>235</v>
      </c>
      <c r="P3896" t="s">
        <v>340</v>
      </c>
      <c r="Q3896" s="10" t="s">
        <v>24</v>
      </c>
    </row>
    <row r="3897" spans="1:18" hidden="1" x14ac:dyDescent="0.25">
      <c r="A3897" s="9" t="s">
        <v>1760</v>
      </c>
      <c r="B3897" s="3" t="s">
        <v>1053</v>
      </c>
      <c r="C3897" s="10">
        <v>12</v>
      </c>
      <c r="D3897" s="10">
        <v>5</v>
      </c>
      <c r="E3897" s="10">
        <v>19</v>
      </c>
      <c r="F3897" t="s">
        <v>86</v>
      </c>
      <c r="G3897" t="s">
        <v>889</v>
      </c>
      <c r="H3897" t="s">
        <v>102</v>
      </c>
      <c r="I3897" t="s">
        <v>27</v>
      </c>
      <c r="J3897" s="4">
        <v>21</v>
      </c>
      <c r="K3897">
        <v>1</v>
      </c>
      <c r="L3897">
        <v>21</v>
      </c>
      <c r="M3897">
        <v>21</v>
      </c>
      <c r="N3897" s="5">
        <v>1.0643689812468322</v>
      </c>
      <c r="O3897" t="s">
        <v>235</v>
      </c>
      <c r="P3897" t="s">
        <v>340</v>
      </c>
      <c r="Q3897" s="10" t="s">
        <v>24</v>
      </c>
      <c r="R3897" t="s">
        <v>1576</v>
      </c>
    </row>
    <row r="3898" spans="1:18" hidden="1" x14ac:dyDescent="0.25">
      <c r="A3898" s="9" t="s">
        <v>1760</v>
      </c>
      <c r="B3898" s="3" t="s">
        <v>1053</v>
      </c>
      <c r="C3898" s="10">
        <v>12</v>
      </c>
      <c r="D3898" s="10">
        <v>5</v>
      </c>
      <c r="E3898" s="10">
        <v>19</v>
      </c>
      <c r="F3898" t="s">
        <v>107</v>
      </c>
      <c r="G3898" t="s">
        <v>889</v>
      </c>
      <c r="H3898" t="s">
        <v>53</v>
      </c>
      <c r="I3898" t="s">
        <v>27</v>
      </c>
      <c r="J3898" s="4">
        <v>14</v>
      </c>
      <c r="K3898">
        <v>1</v>
      </c>
      <c r="L3898">
        <v>14</v>
      </c>
      <c r="M3898">
        <v>14</v>
      </c>
      <c r="N3898" s="5">
        <v>0.70957932083122144</v>
      </c>
      <c r="O3898" t="s">
        <v>235</v>
      </c>
      <c r="P3898" t="s">
        <v>340</v>
      </c>
      <c r="Q3898" s="10" t="s">
        <v>24</v>
      </c>
    </row>
    <row r="3899" spans="1:18" hidden="1" x14ac:dyDescent="0.25">
      <c r="A3899" s="9" t="s">
        <v>1760</v>
      </c>
      <c r="B3899" s="3" t="s">
        <v>1060</v>
      </c>
      <c r="C3899" s="10">
        <v>15</v>
      </c>
      <c r="D3899" s="10">
        <v>5</v>
      </c>
      <c r="E3899" s="10">
        <v>19</v>
      </c>
      <c r="F3899" t="s">
        <v>94</v>
      </c>
      <c r="G3899" t="s">
        <v>889</v>
      </c>
      <c r="I3899" t="s">
        <v>87</v>
      </c>
      <c r="J3899" s="4">
        <v>180</v>
      </c>
      <c r="K3899">
        <v>1</v>
      </c>
      <c r="L3899">
        <v>180</v>
      </c>
      <c r="M3899">
        <v>180</v>
      </c>
      <c r="N3899" s="5">
        <v>9.1584410298158136</v>
      </c>
      <c r="O3899" t="s">
        <v>39</v>
      </c>
      <c r="P3899" t="s">
        <v>340</v>
      </c>
      <c r="Q3899" s="10" t="s">
        <v>24</v>
      </c>
    </row>
    <row r="3900" spans="1:18" hidden="1" x14ac:dyDescent="0.25">
      <c r="A3900" s="9" t="s">
        <v>1760</v>
      </c>
      <c r="B3900" s="3" t="s">
        <v>1060</v>
      </c>
      <c r="C3900" s="10">
        <v>15</v>
      </c>
      <c r="D3900" s="10">
        <v>5</v>
      </c>
      <c r="E3900" s="10">
        <v>19</v>
      </c>
      <c r="F3900" t="s">
        <v>165</v>
      </c>
      <c r="H3900" t="s">
        <v>165</v>
      </c>
      <c r="I3900" t="s">
        <v>27</v>
      </c>
      <c r="J3900" s="4">
        <v>40</v>
      </c>
      <c r="K3900">
        <v>2</v>
      </c>
      <c r="L3900">
        <v>40</v>
      </c>
      <c r="M3900">
        <v>80</v>
      </c>
      <c r="N3900" s="5">
        <v>4.0657919053779334</v>
      </c>
      <c r="O3900" t="s">
        <v>274</v>
      </c>
      <c r="P3900" t="s">
        <v>340</v>
      </c>
      <c r="Q3900" s="10" t="s">
        <v>24</v>
      </c>
    </row>
    <row r="3901" spans="1:18" hidden="1" x14ac:dyDescent="0.25">
      <c r="A3901" s="9" t="s">
        <v>1760</v>
      </c>
      <c r="B3901" s="3" t="s">
        <v>1795</v>
      </c>
      <c r="C3901" s="10">
        <v>16</v>
      </c>
      <c r="D3901" s="10">
        <v>5</v>
      </c>
      <c r="E3901" s="10">
        <v>19</v>
      </c>
      <c r="F3901" t="s">
        <v>86</v>
      </c>
      <c r="G3901" t="s">
        <v>889</v>
      </c>
      <c r="H3901" t="s">
        <v>102</v>
      </c>
      <c r="I3901" t="s">
        <v>27</v>
      </c>
      <c r="J3901" s="4">
        <v>36</v>
      </c>
      <c r="K3901">
        <v>1</v>
      </c>
      <c r="L3901">
        <v>36</v>
      </c>
      <c r="M3901">
        <v>36</v>
      </c>
      <c r="N3901" s="5">
        <v>1.8296063574200701</v>
      </c>
      <c r="O3901" t="s">
        <v>39</v>
      </c>
      <c r="P3901" t="s">
        <v>340</v>
      </c>
      <c r="Q3901" s="10" t="s">
        <v>24</v>
      </c>
      <c r="R3901" t="s">
        <v>1787</v>
      </c>
    </row>
    <row r="3902" spans="1:18" hidden="1" x14ac:dyDescent="0.25">
      <c r="A3902" s="9" t="s">
        <v>1760</v>
      </c>
      <c r="B3902" s="3" t="s">
        <v>1061</v>
      </c>
      <c r="C3902" s="10">
        <v>18</v>
      </c>
      <c r="D3902" s="10">
        <v>5</v>
      </c>
      <c r="E3902" s="10">
        <v>19</v>
      </c>
      <c r="F3902" t="s">
        <v>94</v>
      </c>
      <c r="G3902" t="s">
        <v>889</v>
      </c>
      <c r="H3902" t="s">
        <v>889</v>
      </c>
      <c r="I3902" t="s">
        <v>87</v>
      </c>
      <c r="J3902" s="4">
        <v>410</v>
      </c>
      <c r="K3902">
        <v>1</v>
      </c>
      <c r="L3902">
        <v>410</v>
      </c>
      <c r="M3902">
        <v>410</v>
      </c>
      <c r="N3902" s="5">
        <v>20.860893456802685</v>
      </c>
      <c r="O3902" t="s">
        <v>39</v>
      </c>
      <c r="P3902" t="s">
        <v>340</v>
      </c>
      <c r="Q3902" s="10" t="s">
        <v>24</v>
      </c>
    </row>
    <row r="3903" spans="1:18" hidden="1" x14ac:dyDescent="0.25">
      <c r="A3903" s="9" t="s">
        <v>1760</v>
      </c>
      <c r="B3903" s="3" t="s">
        <v>1065</v>
      </c>
      <c r="C3903" s="10">
        <v>19</v>
      </c>
      <c r="D3903" s="10">
        <v>5</v>
      </c>
      <c r="E3903" s="10">
        <v>19</v>
      </c>
      <c r="F3903" t="s">
        <v>52</v>
      </c>
      <c r="G3903" t="s">
        <v>889</v>
      </c>
      <c r="H3903" t="s">
        <v>53</v>
      </c>
      <c r="I3903" t="s">
        <v>27</v>
      </c>
      <c r="J3903" s="4">
        <v>35</v>
      </c>
      <c r="K3903">
        <v>2</v>
      </c>
      <c r="L3903">
        <v>35</v>
      </c>
      <c r="M3903">
        <v>70</v>
      </c>
      <c r="N3903" s="5">
        <v>3.5616159560394829</v>
      </c>
      <c r="O3903" t="s">
        <v>101</v>
      </c>
      <c r="P3903" t="s">
        <v>340</v>
      </c>
      <c r="Q3903" s="10" t="s">
        <v>24</v>
      </c>
    </row>
    <row r="3904" spans="1:18" hidden="1" x14ac:dyDescent="0.25">
      <c r="A3904" s="9" t="s">
        <v>1760</v>
      </c>
      <c r="B3904" s="3" t="s">
        <v>1065</v>
      </c>
      <c r="C3904" s="10">
        <v>19</v>
      </c>
      <c r="D3904" s="10">
        <v>5</v>
      </c>
      <c r="E3904" s="10">
        <v>19</v>
      </c>
      <c r="F3904" t="s">
        <v>55</v>
      </c>
      <c r="G3904" t="s">
        <v>889</v>
      </c>
      <c r="H3904" t="s">
        <v>56</v>
      </c>
      <c r="I3904" t="s">
        <v>27</v>
      </c>
      <c r="J3904" s="4">
        <v>34</v>
      </c>
      <c r="K3904">
        <v>0.66600000000000004</v>
      </c>
      <c r="L3904">
        <v>34</v>
      </c>
      <c r="M3904">
        <v>22.644000000000002</v>
      </c>
      <c r="N3904" s="5">
        <v>1.1521318815508295</v>
      </c>
      <c r="O3904" t="s">
        <v>101</v>
      </c>
      <c r="P3904" t="s">
        <v>340</v>
      </c>
      <c r="Q3904" s="10" t="s">
        <v>24</v>
      </c>
    </row>
    <row r="3905" spans="1:18" hidden="1" x14ac:dyDescent="0.25">
      <c r="A3905" s="9" t="s">
        <v>1760</v>
      </c>
      <c r="B3905" s="3" t="s">
        <v>1065</v>
      </c>
      <c r="C3905" s="10">
        <v>19</v>
      </c>
      <c r="D3905" s="10">
        <v>5</v>
      </c>
      <c r="E3905" s="10">
        <v>19</v>
      </c>
      <c r="F3905" t="s">
        <v>958</v>
      </c>
      <c r="H3905" t="s">
        <v>53</v>
      </c>
      <c r="I3905" t="s">
        <v>27</v>
      </c>
      <c r="J3905" s="4">
        <v>34</v>
      </c>
      <c r="K3905">
        <v>1</v>
      </c>
      <c r="L3905">
        <v>34</v>
      </c>
      <c r="M3905">
        <v>34</v>
      </c>
      <c r="N3905" s="5">
        <v>1.7299277500763204</v>
      </c>
      <c r="O3905" t="s">
        <v>101</v>
      </c>
      <c r="P3905" t="s">
        <v>340</v>
      </c>
      <c r="Q3905" s="10" t="s">
        <v>24</v>
      </c>
    </row>
    <row r="3906" spans="1:18" hidden="1" x14ac:dyDescent="0.25">
      <c r="A3906" s="9" t="s">
        <v>1760</v>
      </c>
      <c r="B3906" s="3" t="s">
        <v>1065</v>
      </c>
      <c r="C3906" s="10">
        <v>19</v>
      </c>
      <c r="D3906" s="10">
        <v>5</v>
      </c>
      <c r="E3906" s="10">
        <v>19</v>
      </c>
      <c r="F3906" t="s">
        <v>39</v>
      </c>
      <c r="G3906" t="s">
        <v>889</v>
      </c>
      <c r="H3906" t="s">
        <v>889</v>
      </c>
      <c r="I3906" t="s">
        <v>39</v>
      </c>
      <c r="J3906" s="4">
        <v>10</v>
      </c>
      <c r="K3906">
        <v>1</v>
      </c>
      <c r="L3906">
        <v>10</v>
      </c>
      <c r="M3906">
        <v>10</v>
      </c>
      <c r="N3906" s="5">
        <v>0.50822398817224168</v>
      </c>
      <c r="O3906" t="s">
        <v>39</v>
      </c>
      <c r="P3906" t="s">
        <v>340</v>
      </c>
      <c r="Q3906" s="10" t="s">
        <v>24</v>
      </c>
      <c r="R3906" t="s">
        <v>1789</v>
      </c>
    </row>
    <row r="3907" spans="1:18" hidden="1" x14ac:dyDescent="0.25">
      <c r="A3907" s="9" t="s">
        <v>1760</v>
      </c>
      <c r="B3907" s="3" t="s">
        <v>1065</v>
      </c>
      <c r="C3907" s="10">
        <v>19</v>
      </c>
      <c r="D3907" s="10">
        <v>5</v>
      </c>
      <c r="E3907" s="10">
        <v>19</v>
      </c>
      <c r="F3907" t="s">
        <v>224</v>
      </c>
      <c r="G3907" t="s">
        <v>224</v>
      </c>
      <c r="H3907" t="s">
        <v>131</v>
      </c>
      <c r="I3907" t="s">
        <v>27</v>
      </c>
      <c r="J3907" s="4">
        <v>24.85</v>
      </c>
      <c r="K3907">
        <v>2</v>
      </c>
      <c r="L3907">
        <v>24.85</v>
      </c>
      <c r="M3907">
        <v>49.7</v>
      </c>
      <c r="N3907" s="5">
        <v>2.5258732212160413</v>
      </c>
      <c r="O3907" t="s">
        <v>100</v>
      </c>
      <c r="P3907" t="s">
        <v>340</v>
      </c>
      <c r="Q3907" s="10" t="s">
        <v>24</v>
      </c>
    </row>
    <row r="3908" spans="1:18" hidden="1" x14ac:dyDescent="0.25">
      <c r="A3908" s="9" t="s">
        <v>1760</v>
      </c>
      <c r="B3908" s="3" t="s">
        <v>1065</v>
      </c>
      <c r="C3908" s="10">
        <v>19</v>
      </c>
      <c r="D3908" s="10">
        <v>5</v>
      </c>
      <c r="E3908" s="10">
        <v>19</v>
      </c>
      <c r="F3908" t="s">
        <v>1036</v>
      </c>
      <c r="G3908" t="s">
        <v>889</v>
      </c>
      <c r="H3908" t="s">
        <v>38</v>
      </c>
      <c r="I3908" t="s">
        <v>27</v>
      </c>
      <c r="J3908" s="4">
        <v>126</v>
      </c>
      <c r="K3908">
        <v>0.186</v>
      </c>
      <c r="L3908">
        <v>126</v>
      </c>
      <c r="M3908">
        <v>23.436</v>
      </c>
      <c r="N3908" s="5">
        <v>1.1910737386804655</v>
      </c>
      <c r="O3908" t="s">
        <v>100</v>
      </c>
      <c r="P3908" t="s">
        <v>340</v>
      </c>
      <c r="Q3908" s="10" t="s">
        <v>24</v>
      </c>
    </row>
    <row r="3909" spans="1:18" hidden="1" x14ac:dyDescent="0.25">
      <c r="A3909" s="9" t="s">
        <v>1760</v>
      </c>
      <c r="B3909" s="3" t="s">
        <v>1065</v>
      </c>
      <c r="C3909" s="10">
        <v>19</v>
      </c>
      <c r="D3909" s="10">
        <v>5</v>
      </c>
      <c r="E3909" s="10">
        <v>19</v>
      </c>
      <c r="F3909" t="s">
        <v>1064</v>
      </c>
      <c r="G3909" t="s">
        <v>889</v>
      </c>
      <c r="H3909" t="s">
        <v>53</v>
      </c>
      <c r="I3909" t="s">
        <v>27</v>
      </c>
      <c r="J3909" s="4">
        <v>7.6</v>
      </c>
      <c r="K3909">
        <v>2</v>
      </c>
      <c r="L3909">
        <v>7.6</v>
      </c>
      <c r="M3909">
        <v>15.2</v>
      </c>
      <c r="N3909" s="5">
        <v>0.77250046202180722</v>
      </c>
      <c r="O3909" t="s">
        <v>100</v>
      </c>
      <c r="P3909" t="s">
        <v>340</v>
      </c>
      <c r="Q3909" s="10" t="s">
        <v>24</v>
      </c>
    </row>
    <row r="3910" spans="1:18" hidden="1" x14ac:dyDescent="0.25">
      <c r="A3910" s="9" t="s">
        <v>1760</v>
      </c>
      <c r="B3910" s="3" t="s">
        <v>1065</v>
      </c>
      <c r="C3910" s="10">
        <v>19</v>
      </c>
      <c r="D3910" s="10">
        <v>5</v>
      </c>
      <c r="E3910" s="10">
        <v>19</v>
      </c>
      <c r="F3910" t="s">
        <v>1059</v>
      </c>
      <c r="G3910" t="s">
        <v>889</v>
      </c>
      <c r="H3910" t="s">
        <v>364</v>
      </c>
      <c r="I3910" t="s">
        <v>27</v>
      </c>
      <c r="J3910" s="4">
        <v>206.6</v>
      </c>
      <c r="K3910">
        <v>5.1999999999999998E-2</v>
      </c>
      <c r="L3910">
        <v>206.6</v>
      </c>
      <c r="M3910">
        <v>10.7432</v>
      </c>
      <c r="N3910" s="5">
        <v>0.54599519497320259</v>
      </c>
      <c r="O3910" t="s">
        <v>100</v>
      </c>
      <c r="P3910" t="s">
        <v>340</v>
      </c>
      <c r="Q3910" s="10" t="s">
        <v>24</v>
      </c>
    </row>
    <row r="3911" spans="1:18" hidden="1" x14ac:dyDescent="0.25">
      <c r="A3911" s="9" t="s">
        <v>1760</v>
      </c>
      <c r="B3911" s="3" t="s">
        <v>1065</v>
      </c>
      <c r="C3911" s="10">
        <v>19</v>
      </c>
      <c r="D3911" s="10">
        <v>5</v>
      </c>
      <c r="E3911" s="10">
        <v>19</v>
      </c>
      <c r="F3911" t="s">
        <v>155</v>
      </c>
      <c r="G3911" t="s">
        <v>155</v>
      </c>
      <c r="H3911" t="s">
        <v>131</v>
      </c>
      <c r="I3911" t="s">
        <v>27</v>
      </c>
      <c r="J3911" s="4">
        <v>52.9</v>
      </c>
      <c r="K3911">
        <v>1</v>
      </c>
      <c r="L3911">
        <v>52.9</v>
      </c>
      <c r="M3911">
        <v>52.9</v>
      </c>
      <c r="N3911" s="5">
        <v>2.6885048974311583</v>
      </c>
      <c r="O3911" t="s">
        <v>100</v>
      </c>
      <c r="P3911" t="s">
        <v>340</v>
      </c>
      <c r="Q3911" s="10" t="s">
        <v>24</v>
      </c>
    </row>
    <row r="3912" spans="1:18" hidden="1" x14ac:dyDescent="0.25">
      <c r="A3912" s="9" t="s">
        <v>1760</v>
      </c>
      <c r="B3912" s="3" t="s">
        <v>1065</v>
      </c>
      <c r="C3912" s="10">
        <v>19</v>
      </c>
      <c r="D3912" s="10">
        <v>5</v>
      </c>
      <c r="E3912" s="10">
        <v>19</v>
      </c>
      <c r="F3912" t="s">
        <v>483</v>
      </c>
      <c r="G3912" t="s">
        <v>889</v>
      </c>
      <c r="H3912" t="s">
        <v>56</v>
      </c>
      <c r="I3912" t="s">
        <v>27</v>
      </c>
      <c r="J3912" s="4">
        <v>90</v>
      </c>
      <c r="K3912">
        <v>0.51800000000000002</v>
      </c>
      <c r="L3912">
        <v>90</v>
      </c>
      <c r="M3912">
        <v>46.620000000000005</v>
      </c>
      <c r="N3912" s="5">
        <v>2.369340232858991</v>
      </c>
      <c r="O3912" t="s">
        <v>100</v>
      </c>
      <c r="P3912" t="s">
        <v>340</v>
      </c>
      <c r="Q3912" s="10" t="s">
        <v>24</v>
      </c>
    </row>
    <row r="3913" spans="1:18" hidden="1" x14ac:dyDescent="0.25">
      <c r="A3913" s="9" t="s">
        <v>1760</v>
      </c>
      <c r="B3913" s="3" t="s">
        <v>1065</v>
      </c>
      <c r="C3913" s="10">
        <v>19</v>
      </c>
      <c r="D3913" s="10">
        <v>5</v>
      </c>
      <c r="E3913" s="10">
        <v>19</v>
      </c>
      <c r="F3913" t="s">
        <v>155</v>
      </c>
      <c r="G3913" t="s">
        <v>155</v>
      </c>
      <c r="H3913" t="s">
        <v>131</v>
      </c>
      <c r="I3913" t="s">
        <v>27</v>
      </c>
      <c r="J3913" s="4">
        <v>25</v>
      </c>
      <c r="K3913">
        <v>1</v>
      </c>
      <c r="L3913">
        <v>25</v>
      </c>
      <c r="M3913">
        <v>25</v>
      </c>
      <c r="N3913" s="5">
        <v>1.2705599704306041</v>
      </c>
      <c r="O3913" t="s">
        <v>100</v>
      </c>
      <c r="P3913" t="s">
        <v>340</v>
      </c>
      <c r="Q3913" s="10" t="s">
        <v>24</v>
      </c>
    </row>
    <row r="3914" spans="1:18" hidden="1" x14ac:dyDescent="0.25">
      <c r="A3914" s="9" t="s">
        <v>1760</v>
      </c>
      <c r="B3914" s="3" t="s">
        <v>1065</v>
      </c>
      <c r="C3914" s="10">
        <v>19</v>
      </c>
      <c r="D3914" s="10">
        <v>5</v>
      </c>
      <c r="E3914" s="10">
        <v>19</v>
      </c>
      <c r="F3914" t="s">
        <v>840</v>
      </c>
      <c r="G3914" t="s">
        <v>840</v>
      </c>
      <c r="H3914" t="s">
        <v>56</v>
      </c>
      <c r="I3914" t="s">
        <v>27</v>
      </c>
      <c r="J3914" s="4">
        <v>34.6</v>
      </c>
      <c r="K3914">
        <v>0.41199999999999998</v>
      </c>
      <c r="L3914">
        <v>34.6</v>
      </c>
      <c r="M3914">
        <v>14.2552</v>
      </c>
      <c r="N3914" s="5">
        <v>0.72448345961929395</v>
      </c>
      <c r="O3914" t="s">
        <v>100</v>
      </c>
      <c r="P3914" t="s">
        <v>340</v>
      </c>
      <c r="Q3914" s="10" t="s">
        <v>24</v>
      </c>
    </row>
    <row r="3915" spans="1:18" hidden="1" x14ac:dyDescent="0.25">
      <c r="A3915" s="9" t="s">
        <v>1760</v>
      </c>
      <c r="B3915" s="3" t="s">
        <v>1065</v>
      </c>
      <c r="C3915" s="10">
        <v>19</v>
      </c>
      <c r="D3915" s="10">
        <v>5</v>
      </c>
      <c r="E3915" s="10">
        <v>19</v>
      </c>
      <c r="F3915" t="s">
        <v>208</v>
      </c>
      <c r="G3915" t="s">
        <v>889</v>
      </c>
      <c r="H3915" t="s">
        <v>56</v>
      </c>
      <c r="I3915" t="s">
        <v>27</v>
      </c>
      <c r="J3915" s="4">
        <v>72</v>
      </c>
      <c r="K3915">
        <v>0.45600000000000002</v>
      </c>
      <c r="L3915">
        <v>72</v>
      </c>
      <c r="M3915">
        <v>32.832000000000001</v>
      </c>
      <c r="N3915" s="5">
        <v>1.6686009979671039</v>
      </c>
      <c r="O3915" t="s">
        <v>100</v>
      </c>
      <c r="P3915" t="s">
        <v>340</v>
      </c>
      <c r="Q3915" s="10" t="s">
        <v>24</v>
      </c>
    </row>
    <row r="3916" spans="1:18" hidden="1" x14ac:dyDescent="0.25">
      <c r="A3916" s="9" t="s">
        <v>1760</v>
      </c>
      <c r="B3916" s="3" t="s">
        <v>1065</v>
      </c>
      <c r="C3916" s="10">
        <v>19</v>
      </c>
      <c r="D3916" s="10">
        <v>5</v>
      </c>
      <c r="E3916" s="10">
        <v>19</v>
      </c>
      <c r="F3916" t="s">
        <v>99</v>
      </c>
      <c r="G3916" t="s">
        <v>889</v>
      </c>
      <c r="H3916" t="s">
        <v>40</v>
      </c>
      <c r="I3916" t="s">
        <v>27</v>
      </c>
      <c r="J3916" s="4">
        <v>10</v>
      </c>
      <c r="K3916">
        <v>1</v>
      </c>
      <c r="L3916">
        <v>10</v>
      </c>
      <c r="M3916">
        <v>10</v>
      </c>
      <c r="N3916" s="5">
        <v>0.50822398817224168</v>
      </c>
      <c r="O3916" t="s">
        <v>100</v>
      </c>
      <c r="P3916" t="s">
        <v>340</v>
      </c>
      <c r="Q3916" s="10" t="s">
        <v>24</v>
      </c>
    </row>
    <row r="3917" spans="1:18" hidden="1" x14ac:dyDescent="0.25">
      <c r="A3917" s="9" t="s">
        <v>1760</v>
      </c>
      <c r="B3917" s="3" t="s">
        <v>2249</v>
      </c>
      <c r="C3917" s="10">
        <v>2</v>
      </c>
      <c r="D3917" s="10">
        <v>5</v>
      </c>
      <c r="E3917" s="10">
        <v>19</v>
      </c>
      <c r="F3917" t="s">
        <v>179</v>
      </c>
      <c r="G3917" t="s">
        <v>889</v>
      </c>
      <c r="H3917" t="s">
        <v>179</v>
      </c>
      <c r="I3917" t="s">
        <v>105</v>
      </c>
      <c r="J3917" s="4">
        <v>522.51</v>
      </c>
      <c r="K3917">
        <v>1</v>
      </c>
      <c r="L3917">
        <v>522.51</v>
      </c>
      <c r="M3917">
        <v>522.51</v>
      </c>
      <c r="N3917" s="5">
        <v>26.483020780537252</v>
      </c>
      <c r="O3917" t="s">
        <v>39</v>
      </c>
      <c r="P3917" t="s">
        <v>340</v>
      </c>
      <c r="Q3917" s="10" t="s">
        <v>24</v>
      </c>
    </row>
    <row r="3918" spans="1:18" hidden="1" x14ac:dyDescent="0.25">
      <c r="A3918" s="9" t="s">
        <v>1760</v>
      </c>
      <c r="B3918" s="3" t="s">
        <v>2249</v>
      </c>
      <c r="C3918" s="10">
        <v>2</v>
      </c>
      <c r="D3918" s="10">
        <v>5</v>
      </c>
      <c r="E3918" s="10">
        <v>19</v>
      </c>
      <c r="F3918" t="s">
        <v>176</v>
      </c>
      <c r="G3918" t="s">
        <v>889</v>
      </c>
      <c r="H3918" t="s">
        <v>176</v>
      </c>
      <c r="I3918" t="s">
        <v>105</v>
      </c>
      <c r="J3918" s="4">
        <v>211</v>
      </c>
      <c r="K3918">
        <v>1</v>
      </c>
      <c r="L3918">
        <v>211</v>
      </c>
      <c r="M3918">
        <v>211</v>
      </c>
      <c r="N3918" s="5">
        <v>10.694374049670552</v>
      </c>
      <c r="O3918" t="s">
        <v>39</v>
      </c>
      <c r="P3918" t="s">
        <v>340</v>
      </c>
      <c r="Q3918" s="10" t="s">
        <v>24</v>
      </c>
    </row>
    <row r="3919" spans="1:18" hidden="1" x14ac:dyDescent="0.25">
      <c r="A3919" s="9" t="s">
        <v>1760</v>
      </c>
      <c r="B3919" s="3" t="s">
        <v>2249</v>
      </c>
      <c r="C3919" s="10">
        <v>2</v>
      </c>
      <c r="D3919" s="10">
        <v>5</v>
      </c>
      <c r="E3919" s="10">
        <v>19</v>
      </c>
      <c r="F3919" t="s">
        <v>169</v>
      </c>
      <c r="G3919" t="s">
        <v>889</v>
      </c>
      <c r="H3919" t="s">
        <v>170</v>
      </c>
      <c r="I3919" t="s">
        <v>105</v>
      </c>
      <c r="J3919" s="4">
        <v>210</v>
      </c>
      <c r="K3919">
        <v>1</v>
      </c>
      <c r="L3919">
        <v>210</v>
      </c>
      <c r="M3919">
        <v>210</v>
      </c>
      <c r="N3919" s="5">
        <v>10.643689812468322</v>
      </c>
      <c r="O3919" t="s">
        <v>39</v>
      </c>
      <c r="P3919" t="s">
        <v>340</v>
      </c>
      <c r="Q3919" s="10" t="s">
        <v>24</v>
      </c>
    </row>
    <row r="3920" spans="1:18" hidden="1" x14ac:dyDescent="0.25">
      <c r="A3920" s="9" t="s">
        <v>1760</v>
      </c>
      <c r="B3920" s="3" t="s">
        <v>1062</v>
      </c>
      <c r="C3920" s="10">
        <v>20</v>
      </c>
      <c r="D3920" s="10">
        <v>5</v>
      </c>
      <c r="E3920" s="10">
        <v>19</v>
      </c>
      <c r="F3920" t="s">
        <v>483</v>
      </c>
      <c r="G3920" t="s">
        <v>889</v>
      </c>
      <c r="H3920" t="s">
        <v>56</v>
      </c>
      <c r="I3920" t="s">
        <v>27</v>
      </c>
      <c r="J3920" s="4">
        <v>65</v>
      </c>
      <c r="K3920">
        <v>0.45</v>
      </c>
      <c r="L3920">
        <v>65</v>
      </c>
      <c r="M3920">
        <v>29.25</v>
      </c>
      <c r="N3920" s="5">
        <v>1.4882466673450696</v>
      </c>
      <c r="O3920" t="s">
        <v>593</v>
      </c>
      <c r="P3920" t="s">
        <v>340</v>
      </c>
      <c r="Q3920" s="10" t="s">
        <v>24</v>
      </c>
    </row>
    <row r="3921" spans="1:18" hidden="1" x14ac:dyDescent="0.25">
      <c r="A3921" s="9" t="s">
        <v>1760</v>
      </c>
      <c r="B3921" s="3" t="s">
        <v>1062</v>
      </c>
      <c r="C3921" s="10">
        <v>20</v>
      </c>
      <c r="D3921" s="10">
        <v>5</v>
      </c>
      <c r="E3921" s="10">
        <v>19</v>
      </c>
      <c r="F3921" t="s">
        <v>122</v>
      </c>
      <c r="G3921" t="s">
        <v>889</v>
      </c>
      <c r="H3921" t="s">
        <v>54</v>
      </c>
      <c r="I3921" t="s">
        <v>27</v>
      </c>
      <c r="J3921" s="4">
        <v>5</v>
      </c>
      <c r="K3921">
        <v>1</v>
      </c>
      <c r="L3921">
        <v>5</v>
      </c>
      <c r="M3921">
        <v>5</v>
      </c>
      <c r="N3921" s="5">
        <v>0.25440113971710593</v>
      </c>
      <c r="O3921" t="s">
        <v>593</v>
      </c>
      <c r="P3921" t="s">
        <v>340</v>
      </c>
      <c r="Q3921" s="10" t="s">
        <v>24</v>
      </c>
    </row>
    <row r="3922" spans="1:18" hidden="1" x14ac:dyDescent="0.25">
      <c r="A3922" s="9" t="s">
        <v>1760</v>
      </c>
      <c r="B3922" s="3" t="s">
        <v>1062</v>
      </c>
      <c r="C3922" s="10">
        <v>20</v>
      </c>
      <c r="D3922" s="10">
        <v>5</v>
      </c>
      <c r="E3922" s="10">
        <v>19</v>
      </c>
      <c r="F3922" t="s">
        <v>109</v>
      </c>
      <c r="H3922" t="s">
        <v>54</v>
      </c>
      <c r="I3922" t="s">
        <v>27</v>
      </c>
      <c r="J3922" s="4">
        <v>28</v>
      </c>
      <c r="K3922">
        <v>1.05</v>
      </c>
      <c r="L3922">
        <v>28</v>
      </c>
      <c r="M3922">
        <v>29.400000000000002</v>
      </c>
      <c r="N3922" s="5">
        <v>1.4958787015365831</v>
      </c>
      <c r="O3922" t="s">
        <v>593</v>
      </c>
      <c r="P3922" t="s">
        <v>340</v>
      </c>
      <c r="Q3922" s="10" t="s">
        <v>24</v>
      </c>
    </row>
    <row r="3923" spans="1:18" hidden="1" x14ac:dyDescent="0.25">
      <c r="A3923" s="9" t="s">
        <v>1760</v>
      </c>
      <c r="B3923" s="3" t="s">
        <v>1063</v>
      </c>
      <c r="C3923" s="10">
        <v>21</v>
      </c>
      <c r="D3923" s="10">
        <v>5</v>
      </c>
      <c r="E3923" s="10">
        <v>19</v>
      </c>
      <c r="F3923" t="s">
        <v>94</v>
      </c>
      <c r="G3923" t="s">
        <v>889</v>
      </c>
      <c r="H3923" t="s">
        <v>889</v>
      </c>
      <c r="I3923" t="s">
        <v>87</v>
      </c>
      <c r="J3923" s="4">
        <v>330</v>
      </c>
      <c r="K3923">
        <v>1</v>
      </c>
      <c r="L3923">
        <v>330</v>
      </c>
      <c r="M3923">
        <v>330</v>
      </c>
      <c r="N3923" s="5">
        <v>16.790475221328993</v>
      </c>
      <c r="O3923" t="s">
        <v>39</v>
      </c>
      <c r="P3923" t="s">
        <v>340</v>
      </c>
      <c r="Q3923" s="10" t="s">
        <v>24</v>
      </c>
    </row>
    <row r="3924" spans="1:18" hidden="1" x14ac:dyDescent="0.25">
      <c r="A3924" s="9" t="s">
        <v>1760</v>
      </c>
      <c r="B3924" s="3" t="s">
        <v>1063</v>
      </c>
      <c r="C3924" s="10">
        <v>21</v>
      </c>
      <c r="D3924" s="10">
        <v>5</v>
      </c>
      <c r="E3924" s="10">
        <v>19</v>
      </c>
      <c r="F3924" t="s">
        <v>933</v>
      </c>
      <c r="I3924" t="s">
        <v>72</v>
      </c>
      <c r="J3924" s="4">
        <v>150</v>
      </c>
      <c r="K3924">
        <v>4</v>
      </c>
      <c r="L3924">
        <v>150</v>
      </c>
      <c r="M3924">
        <v>600</v>
      </c>
      <c r="N3924" s="5">
        <v>30.528136766052711</v>
      </c>
      <c r="O3924" t="s">
        <v>39</v>
      </c>
      <c r="P3924" t="s">
        <v>340</v>
      </c>
      <c r="Q3924" s="10" t="s">
        <v>24</v>
      </c>
    </row>
    <row r="3925" spans="1:18" hidden="1" x14ac:dyDescent="0.25">
      <c r="A3925" s="9" t="s">
        <v>1760</v>
      </c>
      <c r="B3925" s="3" t="s">
        <v>1990</v>
      </c>
      <c r="C3925" s="10">
        <v>22</v>
      </c>
      <c r="D3925" s="10">
        <v>5</v>
      </c>
      <c r="E3925" s="10">
        <v>19</v>
      </c>
      <c r="F3925" t="s">
        <v>188</v>
      </c>
      <c r="G3925" t="s">
        <v>77</v>
      </c>
      <c r="H3925" t="s">
        <v>26</v>
      </c>
      <c r="I3925" t="s">
        <v>27</v>
      </c>
      <c r="J3925" s="4">
        <v>35.5</v>
      </c>
      <c r="K3925">
        <v>1</v>
      </c>
      <c r="L3925">
        <v>35.5</v>
      </c>
      <c r="M3925">
        <v>35.5</v>
      </c>
      <c r="N3925" s="5">
        <v>1.8041951580114579</v>
      </c>
      <c r="O3925" t="s">
        <v>829</v>
      </c>
      <c r="P3925" t="s">
        <v>340</v>
      </c>
      <c r="Q3925" s="10" t="s">
        <v>24</v>
      </c>
    </row>
    <row r="3926" spans="1:18" hidden="1" x14ac:dyDescent="0.25">
      <c r="A3926" s="9" t="s">
        <v>1760</v>
      </c>
      <c r="B3926" s="3" t="s">
        <v>1990</v>
      </c>
      <c r="C3926" s="10">
        <v>22</v>
      </c>
      <c r="D3926" s="10">
        <v>5</v>
      </c>
      <c r="E3926" s="10">
        <v>19</v>
      </c>
      <c r="F3926" t="s">
        <v>426</v>
      </c>
      <c r="G3926" t="s">
        <v>889</v>
      </c>
      <c r="H3926" t="s">
        <v>54</v>
      </c>
      <c r="I3926" t="s">
        <v>27</v>
      </c>
      <c r="J3926" s="4">
        <v>12.99</v>
      </c>
      <c r="K3926">
        <v>0.75</v>
      </c>
      <c r="L3926">
        <v>12.99</v>
      </c>
      <c r="M3926">
        <v>9.7424999999999997</v>
      </c>
      <c r="N3926" s="5">
        <v>0.49513722047680642</v>
      </c>
      <c r="O3926" t="s">
        <v>829</v>
      </c>
      <c r="P3926" t="s">
        <v>340</v>
      </c>
      <c r="Q3926" s="10" t="s">
        <v>24</v>
      </c>
    </row>
    <row r="3927" spans="1:18" hidden="1" x14ac:dyDescent="0.25">
      <c r="A3927" s="9" t="s">
        <v>1760</v>
      </c>
      <c r="B3927" s="3" t="s">
        <v>1990</v>
      </c>
      <c r="C3927" s="10">
        <v>22</v>
      </c>
      <c r="D3927" s="10">
        <v>5</v>
      </c>
      <c r="E3927" s="10">
        <v>19</v>
      </c>
      <c r="F3927" t="s">
        <v>109</v>
      </c>
      <c r="G3927" t="s">
        <v>889</v>
      </c>
      <c r="H3927" t="s">
        <v>54</v>
      </c>
      <c r="I3927" t="s">
        <v>27</v>
      </c>
      <c r="J3927" s="4">
        <v>29.99</v>
      </c>
      <c r="K3927">
        <v>0.29799999999999999</v>
      </c>
      <c r="L3927">
        <v>29.99</v>
      </c>
      <c r="M3927">
        <v>8.9370199999999986</v>
      </c>
      <c r="N3927" s="5">
        <v>0.45420079467750862</v>
      </c>
      <c r="O3927" t="s">
        <v>829</v>
      </c>
      <c r="P3927" t="s">
        <v>340</v>
      </c>
      <c r="Q3927" s="10" t="s">
        <v>24</v>
      </c>
    </row>
    <row r="3928" spans="1:18" hidden="1" x14ac:dyDescent="0.25">
      <c r="A3928" s="9" t="s">
        <v>1760</v>
      </c>
      <c r="B3928" s="3" t="s">
        <v>1990</v>
      </c>
      <c r="C3928" s="10">
        <v>22</v>
      </c>
      <c r="D3928" s="10">
        <v>5</v>
      </c>
      <c r="E3928" s="10">
        <v>19</v>
      </c>
      <c r="F3928" t="s">
        <v>202</v>
      </c>
      <c r="G3928" t="s">
        <v>889</v>
      </c>
      <c r="H3928" t="s">
        <v>54</v>
      </c>
      <c r="I3928" t="s">
        <v>27</v>
      </c>
      <c r="J3928" s="4">
        <v>89.99</v>
      </c>
      <c r="K3928">
        <v>0.22600000000000001</v>
      </c>
      <c r="L3928">
        <v>89.99</v>
      </c>
      <c r="M3928">
        <v>20.33774</v>
      </c>
      <c r="N3928" s="5">
        <v>1.0336127333210126</v>
      </c>
      <c r="O3928" t="s">
        <v>829</v>
      </c>
      <c r="P3928" t="s">
        <v>340</v>
      </c>
      <c r="Q3928" s="10" t="s">
        <v>24</v>
      </c>
    </row>
    <row r="3929" spans="1:18" hidden="1" x14ac:dyDescent="0.25">
      <c r="A3929" s="9" t="s">
        <v>1760</v>
      </c>
      <c r="B3929" s="3" t="s">
        <v>1939</v>
      </c>
      <c r="C3929" s="10">
        <v>23</v>
      </c>
      <c r="D3929" s="10">
        <v>5</v>
      </c>
      <c r="E3929" s="10">
        <v>19</v>
      </c>
      <c r="F3929" t="s">
        <v>44</v>
      </c>
      <c r="G3929" t="s">
        <v>889</v>
      </c>
      <c r="H3929" t="s">
        <v>44</v>
      </c>
      <c r="I3929" t="s">
        <v>27</v>
      </c>
      <c r="J3929" s="4">
        <v>28.51</v>
      </c>
      <c r="K3929">
        <v>1</v>
      </c>
      <c r="L3929">
        <v>28.51</v>
      </c>
      <c r="M3929">
        <v>28.51</v>
      </c>
      <c r="N3929" s="5">
        <v>1.448946590279061</v>
      </c>
      <c r="O3929" t="s">
        <v>181</v>
      </c>
      <c r="P3929" t="s">
        <v>340</v>
      </c>
      <c r="Q3929" s="10" t="s">
        <v>24</v>
      </c>
    </row>
    <row r="3930" spans="1:18" hidden="1" x14ac:dyDescent="0.25">
      <c r="A3930" s="9" t="s">
        <v>1760</v>
      </c>
      <c r="B3930" s="3" t="s">
        <v>1939</v>
      </c>
      <c r="C3930" s="10">
        <v>23</v>
      </c>
      <c r="D3930" s="10">
        <v>5</v>
      </c>
      <c r="E3930" s="10">
        <v>19</v>
      </c>
      <c r="F3930" t="s">
        <v>41</v>
      </c>
      <c r="G3930" t="s">
        <v>889</v>
      </c>
      <c r="H3930" t="s">
        <v>39</v>
      </c>
      <c r="I3930" t="s">
        <v>27</v>
      </c>
      <c r="J3930" s="4">
        <v>93.06</v>
      </c>
      <c r="K3930">
        <v>0.22800000000000001</v>
      </c>
      <c r="L3930">
        <v>93.06</v>
      </c>
      <c r="M3930">
        <v>21.217680000000001</v>
      </c>
      <c r="N3930" s="5">
        <v>1.0783333949362408</v>
      </c>
      <c r="O3930" t="s">
        <v>181</v>
      </c>
      <c r="P3930" t="s">
        <v>340</v>
      </c>
      <c r="Q3930" s="10" t="s">
        <v>24</v>
      </c>
    </row>
    <row r="3931" spans="1:18" hidden="1" x14ac:dyDescent="0.25">
      <c r="A3931" s="9" t="s">
        <v>1760</v>
      </c>
      <c r="B3931" s="3" t="s">
        <v>1939</v>
      </c>
      <c r="C3931" s="10">
        <v>23</v>
      </c>
      <c r="D3931" s="10">
        <v>5</v>
      </c>
      <c r="E3931" s="10">
        <v>19</v>
      </c>
      <c r="F3931" t="s">
        <v>41</v>
      </c>
      <c r="G3931" t="s">
        <v>889</v>
      </c>
      <c r="H3931" t="s">
        <v>39</v>
      </c>
      <c r="I3931" t="s">
        <v>27</v>
      </c>
      <c r="J3931" s="4">
        <v>57.42</v>
      </c>
      <c r="K3931">
        <v>0.23799999999999999</v>
      </c>
      <c r="L3931">
        <v>57.42</v>
      </c>
      <c r="M3931">
        <v>13.66596</v>
      </c>
      <c r="N3931" s="5">
        <v>0.69453686934023273</v>
      </c>
      <c r="O3931" t="s">
        <v>181</v>
      </c>
      <c r="P3931" t="s">
        <v>340</v>
      </c>
      <c r="Q3931" s="10" t="s">
        <v>24</v>
      </c>
    </row>
    <row r="3932" spans="1:18" hidden="1" x14ac:dyDescent="0.25">
      <c r="A3932" s="9" t="s">
        <v>1760</v>
      </c>
      <c r="B3932" s="3" t="s">
        <v>1939</v>
      </c>
      <c r="C3932" s="10">
        <v>23</v>
      </c>
      <c r="D3932" s="10">
        <v>5</v>
      </c>
      <c r="E3932" s="10">
        <v>19</v>
      </c>
      <c r="F3932" t="s">
        <v>41</v>
      </c>
      <c r="G3932" t="s">
        <v>889</v>
      </c>
      <c r="H3932" t="s">
        <v>39</v>
      </c>
      <c r="I3932" t="s">
        <v>27</v>
      </c>
      <c r="J3932" s="4">
        <v>95.04</v>
      </c>
      <c r="K3932">
        <v>0.108</v>
      </c>
      <c r="L3932">
        <v>95.04</v>
      </c>
      <c r="M3932">
        <v>10.264320000000001</v>
      </c>
      <c r="N3932" s="5">
        <v>0.52165736462761036</v>
      </c>
      <c r="O3932" t="s">
        <v>181</v>
      </c>
      <c r="P3932" t="s">
        <v>340</v>
      </c>
      <c r="Q3932" s="10" t="s">
        <v>24</v>
      </c>
    </row>
    <row r="3933" spans="1:18" hidden="1" x14ac:dyDescent="0.25">
      <c r="A3933" s="9" t="s">
        <v>1760</v>
      </c>
      <c r="B3933" s="3" t="s">
        <v>1067</v>
      </c>
      <c r="C3933" s="10">
        <v>24</v>
      </c>
      <c r="D3933" s="10">
        <v>5</v>
      </c>
      <c r="E3933" s="10">
        <v>19</v>
      </c>
      <c r="F3933" t="s">
        <v>483</v>
      </c>
      <c r="G3933" t="s">
        <v>889</v>
      </c>
      <c r="H3933" t="s">
        <v>56</v>
      </c>
      <c r="I3933" t="s">
        <v>27</v>
      </c>
      <c r="J3933" s="4">
        <v>40</v>
      </c>
      <c r="K3933">
        <v>1</v>
      </c>
      <c r="L3933">
        <v>40</v>
      </c>
      <c r="M3933">
        <v>40</v>
      </c>
      <c r="N3933" s="5">
        <v>2.0352091177368474</v>
      </c>
      <c r="O3933" t="s">
        <v>593</v>
      </c>
      <c r="P3933" t="s">
        <v>340</v>
      </c>
      <c r="Q3933" s="10" t="s">
        <v>24</v>
      </c>
    </row>
    <row r="3934" spans="1:18" hidden="1" x14ac:dyDescent="0.25">
      <c r="A3934" s="9" t="s">
        <v>1760</v>
      </c>
      <c r="B3934" s="3" t="s">
        <v>1067</v>
      </c>
      <c r="C3934" s="10">
        <v>24</v>
      </c>
      <c r="D3934" s="10">
        <v>5</v>
      </c>
      <c r="E3934" s="10">
        <v>19</v>
      </c>
      <c r="F3934" t="s">
        <v>109</v>
      </c>
      <c r="H3934" t="s">
        <v>54</v>
      </c>
      <c r="I3934" t="s">
        <v>27</v>
      </c>
      <c r="J3934" s="4">
        <v>30</v>
      </c>
      <c r="K3934">
        <v>0.5</v>
      </c>
      <c r="L3934">
        <v>30</v>
      </c>
      <c r="M3934">
        <v>15</v>
      </c>
      <c r="N3934" s="5">
        <v>0.76320341915131784</v>
      </c>
      <c r="O3934" t="s">
        <v>593</v>
      </c>
      <c r="P3934" t="s">
        <v>340</v>
      </c>
      <c r="Q3934" s="10" t="s">
        <v>24</v>
      </c>
    </row>
    <row r="3935" spans="1:18" hidden="1" x14ac:dyDescent="0.25">
      <c r="A3935" s="9" t="s">
        <v>1760</v>
      </c>
      <c r="B3935" s="3" t="s">
        <v>1067</v>
      </c>
      <c r="C3935" s="10">
        <v>24</v>
      </c>
      <c r="D3935" s="10">
        <v>5</v>
      </c>
      <c r="E3935" s="10">
        <v>19</v>
      </c>
      <c r="F3935" t="s">
        <v>438</v>
      </c>
      <c r="G3935" t="s">
        <v>889</v>
      </c>
      <c r="H3935" t="s">
        <v>889</v>
      </c>
      <c r="I3935" t="s">
        <v>431</v>
      </c>
      <c r="J3935" s="4">
        <v>850</v>
      </c>
      <c r="K3935">
        <v>1</v>
      </c>
      <c r="L3935">
        <v>850</v>
      </c>
      <c r="M3935">
        <v>850</v>
      </c>
      <c r="N3935" s="5">
        <v>43.199038994640539</v>
      </c>
      <c r="O3935" t="s">
        <v>1865</v>
      </c>
      <c r="P3935" t="s">
        <v>340</v>
      </c>
      <c r="Q3935" s="10" t="s">
        <v>24</v>
      </c>
      <c r="R3935" t="s">
        <v>1866</v>
      </c>
    </row>
    <row r="3936" spans="1:18" hidden="1" x14ac:dyDescent="0.25">
      <c r="A3936" s="9" t="s">
        <v>1760</v>
      </c>
      <c r="B3936" s="3" t="s">
        <v>1066</v>
      </c>
      <c r="C3936" s="10">
        <v>25</v>
      </c>
      <c r="D3936" s="10">
        <v>5</v>
      </c>
      <c r="E3936" s="10">
        <v>19</v>
      </c>
      <c r="F3936" t="s">
        <v>248</v>
      </c>
      <c r="G3936" t="s">
        <v>224</v>
      </c>
      <c r="H3936" t="s">
        <v>26</v>
      </c>
      <c r="I3936" t="s">
        <v>27</v>
      </c>
      <c r="J3936" s="4">
        <v>12.5</v>
      </c>
      <c r="K3936">
        <v>2</v>
      </c>
      <c r="L3936">
        <v>12.5</v>
      </c>
      <c r="M3936">
        <v>25</v>
      </c>
      <c r="N3936" s="5">
        <v>1.2720056985855297</v>
      </c>
      <c r="O3936" t="s">
        <v>101</v>
      </c>
      <c r="P3936" t="s">
        <v>340</v>
      </c>
      <c r="Q3936" s="10" t="s">
        <v>24</v>
      </c>
    </row>
    <row r="3937" spans="1:18" hidden="1" x14ac:dyDescent="0.25">
      <c r="A3937" s="9" t="s">
        <v>1760</v>
      </c>
      <c r="B3937" s="3" t="s">
        <v>1066</v>
      </c>
      <c r="C3937" s="10">
        <v>25</v>
      </c>
      <c r="D3937" s="10">
        <v>5</v>
      </c>
      <c r="E3937" s="10">
        <v>19</v>
      </c>
      <c r="F3937" t="s">
        <v>224</v>
      </c>
      <c r="G3937" t="s">
        <v>224</v>
      </c>
      <c r="H3937" t="s">
        <v>131</v>
      </c>
      <c r="I3937" t="s">
        <v>27</v>
      </c>
      <c r="J3937" s="4">
        <v>60.8</v>
      </c>
      <c r="K3937">
        <v>1</v>
      </c>
      <c r="L3937">
        <v>60.8</v>
      </c>
      <c r="M3937">
        <v>60.8</v>
      </c>
      <c r="N3937" s="5">
        <v>3.0900018480872289</v>
      </c>
      <c r="O3937" t="s">
        <v>1472</v>
      </c>
      <c r="P3937" t="s">
        <v>340</v>
      </c>
      <c r="Q3937" s="10" t="s">
        <v>24</v>
      </c>
    </row>
    <row r="3938" spans="1:18" hidden="1" x14ac:dyDescent="0.25">
      <c r="A3938" s="9" t="s">
        <v>1760</v>
      </c>
      <c r="B3938" s="3" t="s">
        <v>1066</v>
      </c>
      <c r="C3938" s="10">
        <v>25</v>
      </c>
      <c r="D3938" s="10">
        <v>5</v>
      </c>
      <c r="E3938" s="10">
        <v>19</v>
      </c>
      <c r="F3938" t="s">
        <v>1322</v>
      </c>
      <c r="G3938" t="s">
        <v>889</v>
      </c>
      <c r="H3938" t="s">
        <v>65</v>
      </c>
      <c r="I3938" t="s">
        <v>27</v>
      </c>
      <c r="J3938" s="4">
        <v>4.5</v>
      </c>
      <c r="K3938">
        <v>2</v>
      </c>
      <c r="L3938">
        <v>4.5</v>
      </c>
      <c r="M3938">
        <v>9</v>
      </c>
      <c r="N3938" s="5">
        <v>0.45740158935501751</v>
      </c>
      <c r="O3938" t="s">
        <v>1472</v>
      </c>
      <c r="P3938" t="s">
        <v>340</v>
      </c>
      <c r="Q3938" s="10" t="s">
        <v>24</v>
      </c>
    </row>
    <row r="3939" spans="1:18" hidden="1" x14ac:dyDescent="0.25">
      <c r="A3939" s="9" t="s">
        <v>1760</v>
      </c>
      <c r="B3939" s="3" t="s">
        <v>1066</v>
      </c>
      <c r="C3939" s="10">
        <v>25</v>
      </c>
      <c r="D3939" s="10">
        <v>5</v>
      </c>
      <c r="E3939" s="10">
        <v>19</v>
      </c>
      <c r="F3939" t="s">
        <v>55</v>
      </c>
      <c r="G3939" t="s">
        <v>889</v>
      </c>
      <c r="H3939" t="s">
        <v>56</v>
      </c>
      <c r="I3939" t="s">
        <v>27</v>
      </c>
      <c r="J3939" s="4">
        <v>29.9</v>
      </c>
      <c r="K3939">
        <v>0.94199999999999995</v>
      </c>
      <c r="L3939">
        <v>29.9</v>
      </c>
      <c r="M3939">
        <v>28.165799999999997</v>
      </c>
      <c r="N3939" s="5">
        <v>1.4314535206061723</v>
      </c>
      <c r="O3939" t="s">
        <v>1472</v>
      </c>
      <c r="P3939" t="s">
        <v>340</v>
      </c>
      <c r="Q3939" s="10" t="s">
        <v>24</v>
      </c>
    </row>
    <row r="3940" spans="1:18" hidden="1" x14ac:dyDescent="0.25">
      <c r="A3940" s="9" t="s">
        <v>1760</v>
      </c>
      <c r="B3940" s="3" t="s">
        <v>1066</v>
      </c>
      <c r="C3940" s="10">
        <v>25</v>
      </c>
      <c r="D3940" s="10">
        <v>5</v>
      </c>
      <c r="E3940" s="10">
        <v>19</v>
      </c>
      <c r="F3940" t="s">
        <v>44</v>
      </c>
      <c r="G3940" t="s">
        <v>889</v>
      </c>
      <c r="H3940" t="s">
        <v>44</v>
      </c>
      <c r="I3940" t="s">
        <v>27</v>
      </c>
      <c r="J3940" s="4">
        <v>26.6</v>
      </c>
      <c r="K3940">
        <v>1</v>
      </c>
      <c r="L3940">
        <v>26.6</v>
      </c>
      <c r="M3940">
        <v>26.6</v>
      </c>
      <c r="N3940" s="5">
        <v>1.3518758085381628</v>
      </c>
      <c r="O3940" t="s">
        <v>181</v>
      </c>
      <c r="P3940" t="s">
        <v>340</v>
      </c>
      <c r="Q3940" s="10" t="s">
        <v>24</v>
      </c>
    </row>
    <row r="3941" spans="1:18" hidden="1" x14ac:dyDescent="0.25">
      <c r="A3941" s="9" t="s">
        <v>1760</v>
      </c>
      <c r="B3941" s="3" t="s">
        <v>1066</v>
      </c>
      <c r="C3941" s="10">
        <v>25</v>
      </c>
      <c r="D3941" s="10">
        <v>5</v>
      </c>
      <c r="E3941" s="10">
        <v>19</v>
      </c>
      <c r="F3941" t="s">
        <v>958</v>
      </c>
      <c r="G3941" t="s">
        <v>889</v>
      </c>
      <c r="H3941" t="s">
        <v>53</v>
      </c>
      <c r="I3941" t="s">
        <v>27</v>
      </c>
      <c r="J3941" s="4">
        <v>32.450000000000003</v>
      </c>
      <c r="K3941">
        <v>2</v>
      </c>
      <c r="L3941">
        <v>32.450000000000003</v>
      </c>
      <c r="M3941">
        <v>64.900000000000006</v>
      </c>
      <c r="N3941" s="5">
        <v>3.2983736832378487</v>
      </c>
      <c r="O3941" t="s">
        <v>46</v>
      </c>
      <c r="P3941" t="s">
        <v>340</v>
      </c>
      <c r="Q3941" s="10" t="s">
        <v>24</v>
      </c>
    </row>
    <row r="3942" spans="1:18" hidden="1" x14ac:dyDescent="0.25">
      <c r="A3942" s="9" t="s">
        <v>1760</v>
      </c>
      <c r="B3942" s="3" t="s">
        <v>2000</v>
      </c>
      <c r="C3942" s="10">
        <v>27</v>
      </c>
      <c r="D3942" s="10">
        <v>5</v>
      </c>
      <c r="E3942" s="10">
        <v>19</v>
      </c>
      <c r="F3942" t="s">
        <v>38</v>
      </c>
      <c r="G3942" t="s">
        <v>889</v>
      </c>
      <c r="H3942" t="s">
        <v>39</v>
      </c>
      <c r="I3942" t="s">
        <v>27</v>
      </c>
      <c r="J3942" s="4">
        <v>134</v>
      </c>
      <c r="K3942">
        <v>0.27800000000000002</v>
      </c>
      <c r="L3942">
        <v>134</v>
      </c>
      <c r="M3942">
        <v>37.252000000000002</v>
      </c>
      <c r="N3942" s="5">
        <v>1.8932360007392348</v>
      </c>
      <c r="O3942" t="s">
        <v>767</v>
      </c>
      <c r="P3942" t="s">
        <v>340</v>
      </c>
      <c r="Q3942" s="10" t="s">
        <v>24</v>
      </c>
    </row>
    <row r="3943" spans="1:18" hidden="1" x14ac:dyDescent="0.25">
      <c r="A3943" s="9" t="s">
        <v>1760</v>
      </c>
      <c r="B3943" s="3" t="s">
        <v>1782</v>
      </c>
      <c r="C3943" s="10">
        <v>28</v>
      </c>
      <c r="D3943" s="10">
        <v>5</v>
      </c>
      <c r="E3943" s="10">
        <v>19</v>
      </c>
      <c r="F3943" t="s">
        <v>104</v>
      </c>
      <c r="G3943" t="s">
        <v>889</v>
      </c>
      <c r="H3943" t="s">
        <v>889</v>
      </c>
      <c r="I3943" t="s">
        <v>72</v>
      </c>
      <c r="J3943" s="4">
        <v>309.99</v>
      </c>
      <c r="K3943">
        <v>0.4</v>
      </c>
      <c r="L3943">
        <v>309.99</v>
      </c>
      <c r="M3943">
        <v>123.99600000000001</v>
      </c>
      <c r="N3943" s="5">
        <v>6.3017741637405278</v>
      </c>
      <c r="O3943" t="s">
        <v>629</v>
      </c>
      <c r="P3943" t="s">
        <v>340</v>
      </c>
      <c r="Q3943" s="10" t="s">
        <v>24</v>
      </c>
      <c r="R3943" t="s">
        <v>1780</v>
      </c>
    </row>
    <row r="3944" spans="1:18" hidden="1" x14ac:dyDescent="0.25">
      <c r="A3944" s="9" t="s">
        <v>1760</v>
      </c>
      <c r="B3944" s="3" t="s">
        <v>1782</v>
      </c>
      <c r="C3944" s="10">
        <v>28</v>
      </c>
      <c r="D3944" s="10">
        <v>5</v>
      </c>
      <c r="E3944" s="10">
        <v>19</v>
      </c>
      <c r="F3944" t="s">
        <v>155</v>
      </c>
      <c r="G3944" t="s">
        <v>155</v>
      </c>
      <c r="H3944" t="s">
        <v>131</v>
      </c>
      <c r="I3944" t="s">
        <v>27</v>
      </c>
      <c r="J3944" s="4">
        <v>80</v>
      </c>
      <c r="K3944">
        <v>2</v>
      </c>
      <c r="L3944">
        <v>80</v>
      </c>
      <c r="M3944">
        <v>160</v>
      </c>
      <c r="N3944" s="5">
        <v>8.1315838107558669</v>
      </c>
      <c r="O3944" t="s">
        <v>100</v>
      </c>
      <c r="P3944" t="s">
        <v>340</v>
      </c>
      <c r="Q3944" s="10" t="s">
        <v>24</v>
      </c>
    </row>
    <row r="3945" spans="1:18" hidden="1" x14ac:dyDescent="0.25">
      <c r="A3945" s="9" t="s">
        <v>1760</v>
      </c>
      <c r="B3945" s="3" t="s">
        <v>1782</v>
      </c>
      <c r="C3945" s="10">
        <v>28</v>
      </c>
      <c r="D3945" s="10">
        <v>5</v>
      </c>
      <c r="E3945" s="10">
        <v>19</v>
      </c>
      <c r="F3945" t="s">
        <v>372</v>
      </c>
      <c r="G3945" t="s">
        <v>373</v>
      </c>
      <c r="H3945" t="s">
        <v>65</v>
      </c>
      <c r="I3945" t="s">
        <v>27</v>
      </c>
      <c r="J3945" s="4">
        <v>9</v>
      </c>
      <c r="K3945">
        <v>2</v>
      </c>
      <c r="L3945">
        <v>9</v>
      </c>
      <c r="M3945">
        <v>18</v>
      </c>
      <c r="N3945" s="5">
        <v>0.91480317871003503</v>
      </c>
      <c r="O3945" t="s">
        <v>100</v>
      </c>
      <c r="P3945" t="s">
        <v>340</v>
      </c>
      <c r="Q3945" s="10" t="s">
        <v>24</v>
      </c>
    </row>
    <row r="3946" spans="1:18" hidden="1" x14ac:dyDescent="0.25">
      <c r="A3946" s="9" t="s">
        <v>1760</v>
      </c>
      <c r="B3946" s="3" t="s">
        <v>1782</v>
      </c>
      <c r="C3946" s="10">
        <v>28</v>
      </c>
      <c r="D3946" s="10">
        <v>5</v>
      </c>
      <c r="E3946" s="10">
        <v>19</v>
      </c>
      <c r="F3946" t="s">
        <v>118</v>
      </c>
      <c r="G3946" t="s">
        <v>889</v>
      </c>
      <c r="H3946" t="s">
        <v>40</v>
      </c>
      <c r="I3946" t="s">
        <v>27</v>
      </c>
      <c r="J3946" s="4">
        <v>10</v>
      </c>
      <c r="K3946">
        <v>1</v>
      </c>
      <c r="L3946">
        <v>10</v>
      </c>
      <c r="M3946">
        <v>10</v>
      </c>
      <c r="N3946" s="5">
        <v>0.50822398817224168</v>
      </c>
      <c r="O3946" t="s">
        <v>100</v>
      </c>
      <c r="P3946" t="s">
        <v>340</v>
      </c>
      <c r="Q3946" s="10" t="s">
        <v>24</v>
      </c>
    </row>
    <row r="3947" spans="1:18" hidden="1" x14ac:dyDescent="0.25">
      <c r="A3947" s="9" t="s">
        <v>1760</v>
      </c>
      <c r="B3947" s="3" t="s">
        <v>1782</v>
      </c>
      <c r="C3947" s="10">
        <v>28</v>
      </c>
      <c r="D3947" s="10">
        <v>5</v>
      </c>
      <c r="E3947" s="10">
        <v>19</v>
      </c>
      <c r="F3947" t="s">
        <v>155</v>
      </c>
      <c r="G3947" t="s">
        <v>155</v>
      </c>
      <c r="H3947" t="s">
        <v>131</v>
      </c>
      <c r="I3947" t="s">
        <v>27</v>
      </c>
      <c r="J3947" s="4">
        <v>52.9</v>
      </c>
      <c r="K3947">
        <v>2</v>
      </c>
      <c r="L3947">
        <v>52.9</v>
      </c>
      <c r="M3947">
        <v>105.8</v>
      </c>
      <c r="N3947" s="5">
        <v>5.3770097948623166</v>
      </c>
      <c r="O3947" t="s">
        <v>100</v>
      </c>
      <c r="P3947" t="s">
        <v>340</v>
      </c>
      <c r="Q3947" s="10" t="s">
        <v>24</v>
      </c>
    </row>
    <row r="3948" spans="1:18" hidden="1" x14ac:dyDescent="0.25">
      <c r="A3948" s="9" t="s">
        <v>1760</v>
      </c>
      <c r="B3948" s="3" t="s">
        <v>1782</v>
      </c>
      <c r="C3948" s="10">
        <v>28</v>
      </c>
      <c r="D3948" s="10">
        <v>5</v>
      </c>
      <c r="E3948" s="10">
        <v>19</v>
      </c>
      <c r="F3948" t="s">
        <v>155</v>
      </c>
      <c r="G3948" t="s">
        <v>155</v>
      </c>
      <c r="H3948" t="s">
        <v>131</v>
      </c>
      <c r="I3948" t="s">
        <v>27</v>
      </c>
      <c r="J3948" s="4">
        <v>37.6</v>
      </c>
      <c r="K3948">
        <v>1</v>
      </c>
      <c r="L3948">
        <v>37.6</v>
      </c>
      <c r="M3948">
        <v>37.6</v>
      </c>
      <c r="N3948" s="5">
        <v>1.9109221955276288</v>
      </c>
      <c r="O3948" t="s">
        <v>100</v>
      </c>
      <c r="P3948" t="s">
        <v>340</v>
      </c>
      <c r="Q3948" s="10" t="s">
        <v>24</v>
      </c>
    </row>
    <row r="3949" spans="1:18" hidden="1" x14ac:dyDescent="0.25">
      <c r="A3949" s="9" t="s">
        <v>1760</v>
      </c>
      <c r="B3949" s="3" t="s">
        <v>1835</v>
      </c>
      <c r="C3949" s="10">
        <v>29</v>
      </c>
      <c r="D3949" s="10">
        <v>5</v>
      </c>
      <c r="E3949" s="10">
        <v>19</v>
      </c>
      <c r="F3949" t="s">
        <v>224</v>
      </c>
      <c r="G3949" t="s">
        <v>224</v>
      </c>
      <c r="H3949" t="s">
        <v>131</v>
      </c>
      <c r="I3949" t="s">
        <v>27</v>
      </c>
      <c r="J3949" s="4">
        <v>19.600000000000001</v>
      </c>
      <c r="K3949">
        <v>2</v>
      </c>
      <c r="L3949">
        <v>19.600000000000001</v>
      </c>
      <c r="M3949">
        <v>39.200000000000003</v>
      </c>
      <c r="N3949" s="5">
        <v>1.9922380336351875</v>
      </c>
      <c r="O3949" t="s">
        <v>1472</v>
      </c>
      <c r="P3949" t="s">
        <v>340</v>
      </c>
      <c r="Q3949" s="10" t="s">
        <v>24</v>
      </c>
    </row>
    <row r="3950" spans="1:18" hidden="1" x14ac:dyDescent="0.25">
      <c r="A3950" s="9" t="s">
        <v>1760</v>
      </c>
      <c r="B3950" s="3" t="s">
        <v>1835</v>
      </c>
      <c r="C3950" s="10">
        <v>29</v>
      </c>
      <c r="D3950" s="10">
        <v>5</v>
      </c>
      <c r="E3950" s="10">
        <v>19</v>
      </c>
      <c r="F3950" t="s">
        <v>155</v>
      </c>
      <c r="G3950" t="s">
        <v>155</v>
      </c>
      <c r="H3950" t="s">
        <v>131</v>
      </c>
      <c r="I3950" t="s">
        <v>27</v>
      </c>
      <c r="J3950" s="4">
        <v>26.3</v>
      </c>
      <c r="K3950">
        <v>3</v>
      </c>
      <c r="L3950">
        <v>26.3</v>
      </c>
      <c r="M3950">
        <v>78.900000000000006</v>
      </c>
      <c r="N3950" s="5">
        <v>4.0098872666789873</v>
      </c>
      <c r="O3950" t="s">
        <v>1472</v>
      </c>
      <c r="P3950" t="s">
        <v>340</v>
      </c>
      <c r="Q3950" s="10" t="s">
        <v>24</v>
      </c>
    </row>
    <row r="3951" spans="1:18" hidden="1" x14ac:dyDescent="0.25">
      <c r="A3951" s="9" t="s">
        <v>1760</v>
      </c>
      <c r="B3951" s="3" t="s">
        <v>1835</v>
      </c>
      <c r="C3951" s="10">
        <v>29</v>
      </c>
      <c r="D3951" s="10">
        <v>5</v>
      </c>
      <c r="E3951" s="10">
        <v>19</v>
      </c>
      <c r="F3951" t="s">
        <v>523</v>
      </c>
      <c r="G3951" t="s">
        <v>889</v>
      </c>
      <c r="H3951" t="s">
        <v>73</v>
      </c>
      <c r="I3951" t="s">
        <v>27</v>
      </c>
      <c r="J3951" s="4">
        <v>17.100000000000001</v>
      </c>
      <c r="K3951">
        <v>1</v>
      </c>
      <c r="L3951">
        <v>17.100000000000001</v>
      </c>
      <c r="M3951">
        <v>17.100000000000001</v>
      </c>
      <c r="N3951" s="5">
        <v>0.86906301977453326</v>
      </c>
      <c r="O3951" t="s">
        <v>1472</v>
      </c>
      <c r="P3951" t="s">
        <v>340</v>
      </c>
      <c r="Q3951" s="10" t="s">
        <v>24</v>
      </c>
    </row>
    <row r="3952" spans="1:18" hidden="1" x14ac:dyDescent="0.25">
      <c r="A3952" s="9" t="s">
        <v>1760</v>
      </c>
      <c r="B3952" s="3" t="s">
        <v>1835</v>
      </c>
      <c r="C3952" s="10">
        <v>29</v>
      </c>
      <c r="D3952" s="10">
        <v>5</v>
      </c>
      <c r="E3952" s="10">
        <v>19</v>
      </c>
      <c r="F3952" t="s">
        <v>44</v>
      </c>
      <c r="G3952" t="s">
        <v>889</v>
      </c>
      <c r="H3952" t="s">
        <v>44</v>
      </c>
      <c r="I3952" t="s">
        <v>27</v>
      </c>
      <c r="J3952" s="4">
        <v>34.200000000000003</v>
      </c>
      <c r="K3952">
        <v>1</v>
      </c>
      <c r="L3952">
        <v>34.200000000000003</v>
      </c>
      <c r="M3952">
        <v>34.200000000000003</v>
      </c>
      <c r="N3952" s="5">
        <v>1.7381260395490665</v>
      </c>
      <c r="O3952" t="s">
        <v>1472</v>
      </c>
      <c r="P3952" t="s">
        <v>340</v>
      </c>
      <c r="Q3952" s="10" t="s">
        <v>24</v>
      </c>
    </row>
    <row r="3953" spans="1:18" hidden="1" x14ac:dyDescent="0.25">
      <c r="A3953" s="9" t="s">
        <v>1760</v>
      </c>
      <c r="B3953" s="3" t="s">
        <v>1774</v>
      </c>
      <c r="C3953" s="10">
        <v>30</v>
      </c>
      <c r="D3953" s="10">
        <v>5</v>
      </c>
      <c r="E3953" s="10">
        <v>19</v>
      </c>
      <c r="F3953" t="s">
        <v>1064</v>
      </c>
      <c r="G3953" t="s">
        <v>889</v>
      </c>
      <c r="H3953" t="s">
        <v>53</v>
      </c>
      <c r="I3953" t="s">
        <v>27</v>
      </c>
      <c r="J3953" s="4">
        <v>7.6</v>
      </c>
      <c r="K3953">
        <v>1</v>
      </c>
      <c r="L3953">
        <v>7.6</v>
      </c>
      <c r="M3953">
        <v>7.6</v>
      </c>
      <c r="N3953" s="5">
        <v>0.38625023101090361</v>
      </c>
      <c r="O3953" t="s">
        <v>100</v>
      </c>
      <c r="P3953" t="s">
        <v>340</v>
      </c>
      <c r="Q3953" s="10" t="s">
        <v>24</v>
      </c>
    </row>
    <row r="3954" spans="1:18" hidden="1" x14ac:dyDescent="0.25">
      <c r="A3954" s="9" t="s">
        <v>1760</v>
      </c>
      <c r="B3954" s="3" t="s">
        <v>1774</v>
      </c>
      <c r="C3954" s="10">
        <v>30</v>
      </c>
      <c r="D3954" s="10">
        <v>5</v>
      </c>
      <c r="E3954" s="10">
        <v>19</v>
      </c>
      <c r="F3954" t="s">
        <v>341</v>
      </c>
      <c r="G3954" t="s">
        <v>25</v>
      </c>
      <c r="H3954" t="s">
        <v>26</v>
      </c>
      <c r="I3954" t="s">
        <v>27</v>
      </c>
      <c r="J3954" s="4">
        <v>33.799999999999997</v>
      </c>
      <c r="K3954">
        <v>1</v>
      </c>
      <c r="L3954">
        <v>33.799999999999997</v>
      </c>
      <c r="M3954">
        <v>33.799999999999997</v>
      </c>
      <c r="N3954" s="5">
        <v>1.7177970800221767</v>
      </c>
      <c r="O3954" t="s">
        <v>100</v>
      </c>
      <c r="P3954" t="s">
        <v>340</v>
      </c>
      <c r="Q3954" s="10" t="s">
        <v>24</v>
      </c>
    </row>
    <row r="3955" spans="1:18" hidden="1" x14ac:dyDescent="0.25">
      <c r="A3955" s="9" t="s">
        <v>1760</v>
      </c>
      <c r="B3955" s="3" t="s">
        <v>1774</v>
      </c>
      <c r="C3955" s="10">
        <v>30</v>
      </c>
      <c r="D3955" s="10">
        <v>5</v>
      </c>
      <c r="E3955" s="10">
        <v>19</v>
      </c>
      <c r="F3955" t="s">
        <v>118</v>
      </c>
      <c r="G3955" t="s">
        <v>889</v>
      </c>
      <c r="H3955" t="s">
        <v>40</v>
      </c>
      <c r="I3955" t="s">
        <v>27</v>
      </c>
      <c r="J3955" s="4">
        <v>10</v>
      </c>
      <c r="K3955">
        <v>1</v>
      </c>
      <c r="L3955">
        <v>10</v>
      </c>
      <c r="M3955">
        <v>10</v>
      </c>
      <c r="N3955" s="5">
        <v>0.50822398817224168</v>
      </c>
      <c r="O3955" t="s">
        <v>100</v>
      </c>
      <c r="P3955" t="s">
        <v>340</v>
      </c>
      <c r="Q3955" s="10" t="s">
        <v>24</v>
      </c>
    </row>
    <row r="3956" spans="1:18" hidden="1" x14ac:dyDescent="0.25">
      <c r="A3956" s="9" t="s">
        <v>1760</v>
      </c>
      <c r="B3956" s="3" t="s">
        <v>1774</v>
      </c>
      <c r="C3956" s="10">
        <v>30</v>
      </c>
      <c r="D3956" s="10">
        <v>5</v>
      </c>
      <c r="E3956" s="10">
        <v>19</v>
      </c>
      <c r="F3956" t="s">
        <v>1624</v>
      </c>
      <c r="G3956" t="s">
        <v>889</v>
      </c>
      <c r="H3956" t="s">
        <v>131</v>
      </c>
      <c r="I3956" t="s">
        <v>27</v>
      </c>
      <c r="J3956" s="4">
        <v>63.5</v>
      </c>
      <c r="K3956">
        <v>1</v>
      </c>
      <c r="L3956">
        <v>63.5</v>
      </c>
      <c r="M3956">
        <v>63.5</v>
      </c>
      <c r="N3956" s="5">
        <v>3.2272223248937344</v>
      </c>
      <c r="O3956" t="s">
        <v>100</v>
      </c>
      <c r="P3956" t="s">
        <v>340</v>
      </c>
      <c r="Q3956" s="10" t="s">
        <v>24</v>
      </c>
    </row>
    <row r="3957" spans="1:18" hidden="1" x14ac:dyDescent="0.25">
      <c r="A3957" s="9" t="s">
        <v>1760</v>
      </c>
      <c r="B3957" s="3" t="s">
        <v>1774</v>
      </c>
      <c r="C3957" s="10">
        <v>30</v>
      </c>
      <c r="D3957" s="10">
        <v>5</v>
      </c>
      <c r="E3957" s="10">
        <v>19</v>
      </c>
      <c r="F3957" t="s">
        <v>224</v>
      </c>
      <c r="G3957" t="s">
        <v>224</v>
      </c>
      <c r="H3957" t="s">
        <v>131</v>
      </c>
      <c r="I3957" t="s">
        <v>27</v>
      </c>
      <c r="J3957" s="4">
        <v>75</v>
      </c>
      <c r="K3957">
        <v>1</v>
      </c>
      <c r="L3957">
        <v>75</v>
      </c>
      <c r="M3957">
        <v>75</v>
      </c>
      <c r="N3957" s="5">
        <v>3.8116799112918125</v>
      </c>
      <c r="O3957" t="s">
        <v>100</v>
      </c>
      <c r="P3957" t="s">
        <v>340</v>
      </c>
      <c r="Q3957" s="10" t="s">
        <v>24</v>
      </c>
    </row>
    <row r="3958" spans="1:18" hidden="1" x14ac:dyDescent="0.25">
      <c r="A3958" s="9" t="s">
        <v>1760</v>
      </c>
      <c r="B3958" s="3" t="s">
        <v>1774</v>
      </c>
      <c r="C3958" s="10">
        <v>30</v>
      </c>
      <c r="D3958" s="10">
        <v>5</v>
      </c>
      <c r="E3958" s="10">
        <v>19</v>
      </c>
      <c r="F3958" t="s">
        <v>146</v>
      </c>
      <c r="G3958" t="s">
        <v>889</v>
      </c>
      <c r="H3958" t="s">
        <v>49</v>
      </c>
      <c r="I3958" t="s">
        <v>50</v>
      </c>
      <c r="J3958" s="4">
        <v>0.75</v>
      </c>
      <c r="K3958">
        <v>1</v>
      </c>
      <c r="L3958">
        <v>0.75</v>
      </c>
      <c r="M3958">
        <v>0.75</v>
      </c>
      <c r="N3958" s="5">
        <v>3.8116799112918126E-2</v>
      </c>
      <c r="O3958" t="s">
        <v>100</v>
      </c>
      <c r="P3958" t="s">
        <v>340</v>
      </c>
      <c r="Q3958" s="10" t="s">
        <v>24</v>
      </c>
    </row>
    <row r="3959" spans="1:18" hidden="1" x14ac:dyDescent="0.25">
      <c r="A3959" s="9" t="s">
        <v>1760</v>
      </c>
      <c r="B3959" s="3" t="s">
        <v>1774</v>
      </c>
      <c r="C3959" s="10">
        <v>30</v>
      </c>
      <c r="D3959" s="10">
        <v>5</v>
      </c>
      <c r="E3959" s="10">
        <v>19</v>
      </c>
      <c r="F3959" t="s">
        <v>53</v>
      </c>
      <c r="G3959" t="s">
        <v>889</v>
      </c>
      <c r="H3959" t="s">
        <v>53</v>
      </c>
      <c r="I3959" t="s">
        <v>27</v>
      </c>
      <c r="J3959" s="4">
        <v>7.05</v>
      </c>
      <c r="K3959">
        <v>1</v>
      </c>
      <c r="L3959">
        <v>7.05</v>
      </c>
      <c r="M3959">
        <v>7.05</v>
      </c>
      <c r="N3959" s="5">
        <v>0.35829791166143038</v>
      </c>
      <c r="O3959" t="s">
        <v>380</v>
      </c>
      <c r="P3959" t="s">
        <v>340</v>
      </c>
      <c r="Q3959" s="10" t="s">
        <v>24</v>
      </c>
    </row>
    <row r="3960" spans="1:18" hidden="1" x14ac:dyDescent="0.25">
      <c r="A3960" s="9" t="s">
        <v>1760</v>
      </c>
      <c r="B3960" s="3" t="s">
        <v>1774</v>
      </c>
      <c r="C3960" s="10">
        <v>30</v>
      </c>
      <c r="D3960" s="10">
        <v>5</v>
      </c>
      <c r="E3960" s="10">
        <v>19</v>
      </c>
      <c r="F3960" t="s">
        <v>55</v>
      </c>
      <c r="G3960" t="s">
        <v>889</v>
      </c>
      <c r="H3960" t="s">
        <v>56</v>
      </c>
      <c r="I3960" t="s">
        <v>27</v>
      </c>
      <c r="J3960" s="4">
        <v>24.8</v>
      </c>
      <c r="K3960">
        <v>0.19500000000000001</v>
      </c>
      <c r="L3960">
        <v>24.8</v>
      </c>
      <c r="M3960">
        <v>4.8360000000000003</v>
      </c>
      <c r="N3960" s="5">
        <v>0.24577712068009608</v>
      </c>
      <c r="O3960" t="s">
        <v>39</v>
      </c>
      <c r="P3960" t="s">
        <v>340</v>
      </c>
      <c r="Q3960" s="10" t="s">
        <v>24</v>
      </c>
    </row>
    <row r="3961" spans="1:18" hidden="1" x14ac:dyDescent="0.25">
      <c r="A3961" s="9" t="s">
        <v>1760</v>
      </c>
      <c r="B3961" s="3" t="s">
        <v>1774</v>
      </c>
      <c r="C3961" s="10">
        <v>30</v>
      </c>
      <c r="D3961" s="10">
        <v>5</v>
      </c>
      <c r="E3961" s="10">
        <v>19</v>
      </c>
      <c r="F3961" t="s">
        <v>39</v>
      </c>
      <c r="G3961" t="s">
        <v>889</v>
      </c>
      <c r="H3961" t="s">
        <v>889</v>
      </c>
      <c r="I3961" t="s">
        <v>72</v>
      </c>
      <c r="J3961" s="4">
        <v>44.45</v>
      </c>
      <c r="K3961">
        <v>1</v>
      </c>
      <c r="L3961">
        <v>44.45</v>
      </c>
      <c r="M3961">
        <v>44.45</v>
      </c>
      <c r="N3961" s="5">
        <v>2.2590556274256142</v>
      </c>
      <c r="O3961" t="s">
        <v>39</v>
      </c>
      <c r="P3961" t="s">
        <v>340</v>
      </c>
      <c r="Q3961" s="10" t="s">
        <v>24</v>
      </c>
      <c r="R3961" t="s">
        <v>2016</v>
      </c>
    </row>
    <row r="3962" spans="1:18" hidden="1" x14ac:dyDescent="0.25">
      <c r="A3962" s="9" t="s">
        <v>1760</v>
      </c>
      <c r="B3962" s="3" t="s">
        <v>1761</v>
      </c>
      <c r="C3962" s="10">
        <v>31</v>
      </c>
      <c r="D3962" s="10">
        <v>5</v>
      </c>
      <c r="E3962" s="10">
        <v>19</v>
      </c>
      <c r="F3962" t="s">
        <v>71</v>
      </c>
      <c r="G3962" t="s">
        <v>889</v>
      </c>
      <c r="H3962" t="s">
        <v>1748</v>
      </c>
      <c r="I3962" t="s">
        <v>72</v>
      </c>
      <c r="J3962" s="4">
        <v>450</v>
      </c>
      <c r="K3962">
        <v>1</v>
      </c>
      <c r="L3962">
        <v>450</v>
      </c>
      <c r="M3962">
        <v>450</v>
      </c>
      <c r="N3962" s="5">
        <v>22.870079467750873</v>
      </c>
      <c r="O3962" t="s">
        <v>1055</v>
      </c>
      <c r="P3962" t="s">
        <v>340</v>
      </c>
      <c r="Q3962" s="10" t="s">
        <v>24</v>
      </c>
      <c r="R3962" t="s">
        <v>1758</v>
      </c>
    </row>
    <row r="3963" spans="1:18" hidden="1" x14ac:dyDescent="0.25">
      <c r="A3963" s="9" t="s">
        <v>1760</v>
      </c>
      <c r="B3963" s="3" t="s">
        <v>1761</v>
      </c>
      <c r="C3963" s="10">
        <v>31</v>
      </c>
      <c r="D3963" s="10">
        <v>5</v>
      </c>
      <c r="E3963" s="10">
        <v>19</v>
      </c>
      <c r="F3963" t="s">
        <v>217</v>
      </c>
      <c r="G3963" t="s">
        <v>25</v>
      </c>
      <c r="H3963" t="s">
        <v>26</v>
      </c>
      <c r="I3963" t="s">
        <v>27</v>
      </c>
      <c r="J3963" s="4">
        <v>24.95</v>
      </c>
      <c r="K3963">
        <v>1</v>
      </c>
      <c r="L3963">
        <v>24.95</v>
      </c>
      <c r="M3963">
        <v>24.95</v>
      </c>
      <c r="N3963" s="5">
        <v>1.2680188504897429</v>
      </c>
      <c r="O3963" t="s">
        <v>1472</v>
      </c>
      <c r="P3963" t="s">
        <v>340</v>
      </c>
      <c r="Q3963" s="10" t="s">
        <v>24</v>
      </c>
    </row>
    <row r="3964" spans="1:18" hidden="1" x14ac:dyDescent="0.25">
      <c r="A3964" s="9" t="s">
        <v>1760</v>
      </c>
      <c r="B3964" s="3" t="s">
        <v>1761</v>
      </c>
      <c r="C3964" s="10">
        <v>31</v>
      </c>
      <c r="D3964" s="10">
        <v>5</v>
      </c>
      <c r="E3964" s="10">
        <v>19</v>
      </c>
      <c r="F3964" t="s">
        <v>25</v>
      </c>
      <c r="G3964" t="s">
        <v>25</v>
      </c>
      <c r="H3964" t="s">
        <v>26</v>
      </c>
      <c r="I3964" t="s">
        <v>27</v>
      </c>
      <c r="J3964" s="4">
        <v>28.95</v>
      </c>
      <c r="K3964">
        <v>1</v>
      </c>
      <c r="L3964">
        <v>28.95</v>
      </c>
      <c r="M3964">
        <v>28.95</v>
      </c>
      <c r="N3964" s="5">
        <v>1.4713084457586396</v>
      </c>
      <c r="O3964" t="s">
        <v>1472</v>
      </c>
      <c r="P3964" t="s">
        <v>340</v>
      </c>
      <c r="Q3964" s="10" t="s">
        <v>24</v>
      </c>
    </row>
    <row r="3965" spans="1:18" hidden="1" x14ac:dyDescent="0.25">
      <c r="A3965" s="9" t="s">
        <v>1760</v>
      </c>
      <c r="B3965" s="3" t="s">
        <v>1761</v>
      </c>
      <c r="C3965" s="10">
        <v>31</v>
      </c>
      <c r="D3965" s="10">
        <v>5</v>
      </c>
      <c r="E3965" s="10">
        <v>19</v>
      </c>
      <c r="F3965" t="s">
        <v>55</v>
      </c>
      <c r="G3965" t="s">
        <v>889</v>
      </c>
      <c r="H3965" t="s">
        <v>56</v>
      </c>
      <c r="I3965" t="s">
        <v>27</v>
      </c>
      <c r="J3965" s="4">
        <v>27.2</v>
      </c>
      <c r="K3965">
        <v>1.266</v>
      </c>
      <c r="L3965">
        <v>27.2</v>
      </c>
      <c r="M3965">
        <v>34.435200000000002</v>
      </c>
      <c r="N3965" s="5">
        <v>1.7500794677508777</v>
      </c>
      <c r="O3965" t="s">
        <v>1472</v>
      </c>
      <c r="P3965" t="s">
        <v>340</v>
      </c>
      <c r="Q3965" s="10" t="s">
        <v>24</v>
      </c>
    </row>
    <row r="3966" spans="1:18" hidden="1" x14ac:dyDescent="0.25">
      <c r="A3966" s="9" t="s">
        <v>1760</v>
      </c>
      <c r="B3966" s="3" t="s">
        <v>1761</v>
      </c>
      <c r="C3966" s="10">
        <v>31</v>
      </c>
      <c r="D3966" s="10">
        <v>5</v>
      </c>
      <c r="E3966" s="10">
        <v>19</v>
      </c>
      <c r="F3966" t="s">
        <v>1322</v>
      </c>
      <c r="G3966" t="s">
        <v>889</v>
      </c>
      <c r="H3966" t="s">
        <v>65</v>
      </c>
      <c r="I3966" t="s">
        <v>27</v>
      </c>
      <c r="J3966" s="4">
        <v>4.5</v>
      </c>
      <c r="K3966">
        <v>1</v>
      </c>
      <c r="L3966">
        <v>4.5</v>
      </c>
      <c r="M3966">
        <v>4.5</v>
      </c>
      <c r="N3966" s="5">
        <v>0.22870079467750876</v>
      </c>
      <c r="O3966" t="s">
        <v>1472</v>
      </c>
      <c r="P3966" t="s">
        <v>340</v>
      </c>
      <c r="Q3966" s="10" t="s">
        <v>24</v>
      </c>
    </row>
    <row r="3967" spans="1:18" hidden="1" x14ac:dyDescent="0.25">
      <c r="A3967" s="9" t="s">
        <v>1760</v>
      </c>
      <c r="B3967" s="3" t="s">
        <v>1761</v>
      </c>
      <c r="C3967" s="10">
        <v>31</v>
      </c>
      <c r="D3967" s="10">
        <v>5</v>
      </c>
      <c r="E3967" s="10">
        <v>19</v>
      </c>
      <c r="F3967" t="s">
        <v>40</v>
      </c>
      <c r="G3967" t="s">
        <v>889</v>
      </c>
      <c r="H3967" t="s">
        <v>40</v>
      </c>
      <c r="I3967" t="s">
        <v>27</v>
      </c>
      <c r="J3967" s="4">
        <v>10</v>
      </c>
      <c r="K3967">
        <v>1</v>
      </c>
      <c r="L3967">
        <v>10</v>
      </c>
      <c r="M3967">
        <v>10</v>
      </c>
      <c r="N3967" s="5">
        <v>0.50822398817224168</v>
      </c>
      <c r="O3967" t="s">
        <v>101</v>
      </c>
      <c r="P3967" t="s">
        <v>340</v>
      </c>
      <c r="Q3967" s="10" t="s">
        <v>24</v>
      </c>
    </row>
    <row r="3968" spans="1:18" hidden="1" x14ac:dyDescent="0.25">
      <c r="A3968" s="9" t="s">
        <v>1760</v>
      </c>
      <c r="B3968" s="3" t="s">
        <v>1761</v>
      </c>
      <c r="C3968" s="10">
        <v>31</v>
      </c>
      <c r="D3968" s="10">
        <v>5</v>
      </c>
      <c r="E3968" s="10">
        <v>19</v>
      </c>
      <c r="F3968" t="s">
        <v>258</v>
      </c>
      <c r="G3968" t="s">
        <v>889</v>
      </c>
      <c r="H3968" t="s">
        <v>65</v>
      </c>
      <c r="I3968" t="s">
        <v>27</v>
      </c>
      <c r="J3968" s="4">
        <v>37.5</v>
      </c>
      <c r="K3968">
        <v>2</v>
      </c>
      <c r="L3968">
        <v>37.5</v>
      </c>
      <c r="M3968">
        <v>75</v>
      </c>
      <c r="N3968" s="5">
        <v>3.8116799112918125</v>
      </c>
      <c r="O3968" t="s">
        <v>101</v>
      </c>
      <c r="P3968" t="s">
        <v>340</v>
      </c>
      <c r="Q3968" s="10" t="s">
        <v>24</v>
      </c>
    </row>
    <row r="3969" spans="1:17" hidden="1" x14ac:dyDescent="0.25">
      <c r="A3969" s="9" t="s">
        <v>1760</v>
      </c>
      <c r="B3969" s="3" t="s">
        <v>1761</v>
      </c>
      <c r="C3969" s="10">
        <v>31</v>
      </c>
      <c r="D3969" s="10">
        <v>5</v>
      </c>
      <c r="E3969" s="10">
        <v>19</v>
      </c>
      <c r="F3969" t="s">
        <v>958</v>
      </c>
      <c r="G3969" t="s">
        <v>889</v>
      </c>
      <c r="H3969" t="s">
        <v>53</v>
      </c>
      <c r="I3969" t="s">
        <v>27</v>
      </c>
      <c r="J3969" s="4">
        <v>34</v>
      </c>
      <c r="K3969">
        <v>2</v>
      </c>
      <c r="L3969">
        <v>34</v>
      </c>
      <c r="M3969">
        <v>68</v>
      </c>
      <c r="N3969" s="5">
        <v>3.4559231195712434</v>
      </c>
      <c r="O3969" t="s">
        <v>101</v>
      </c>
      <c r="P3969" t="s">
        <v>340</v>
      </c>
      <c r="Q3969" s="10" t="s">
        <v>24</v>
      </c>
    </row>
    <row r="3970" spans="1:17" hidden="1" x14ac:dyDescent="0.25">
      <c r="A3970" s="9" t="s">
        <v>1760</v>
      </c>
      <c r="B3970" s="3" t="s">
        <v>1042</v>
      </c>
      <c r="C3970" s="10">
        <v>7</v>
      </c>
      <c r="D3970" s="10">
        <v>5</v>
      </c>
      <c r="E3970" s="10">
        <v>19</v>
      </c>
      <c r="F3970" t="s">
        <v>109</v>
      </c>
      <c r="H3970" t="s">
        <v>54</v>
      </c>
      <c r="I3970" t="s">
        <v>27</v>
      </c>
      <c r="J3970" s="4">
        <v>31.9</v>
      </c>
      <c r="K3970">
        <v>0.40500000000000003</v>
      </c>
      <c r="L3970">
        <v>31.9</v>
      </c>
      <c r="M3970">
        <v>12.919500000000001</v>
      </c>
      <c r="N3970" s="5">
        <v>0.65481500253421188</v>
      </c>
      <c r="O3970" t="s">
        <v>46</v>
      </c>
      <c r="P3970" t="s">
        <v>340</v>
      </c>
      <c r="Q3970" s="10" t="s">
        <v>24</v>
      </c>
    </row>
    <row r="3971" spans="1:17" hidden="1" x14ac:dyDescent="0.25">
      <c r="A3971" s="9" t="s">
        <v>1760</v>
      </c>
      <c r="B3971" s="3" t="s">
        <v>1042</v>
      </c>
      <c r="C3971" s="10">
        <v>7</v>
      </c>
      <c r="D3971" s="10">
        <v>5</v>
      </c>
      <c r="E3971" s="10">
        <v>19</v>
      </c>
      <c r="F3971" t="s">
        <v>404</v>
      </c>
      <c r="G3971" t="s">
        <v>889</v>
      </c>
      <c r="H3971" t="s">
        <v>54</v>
      </c>
      <c r="I3971" t="s">
        <v>27</v>
      </c>
      <c r="J3971" s="4">
        <v>40.9</v>
      </c>
      <c r="K3971">
        <v>0.55000000000000004</v>
      </c>
      <c r="L3971">
        <v>40.9</v>
      </c>
      <c r="M3971">
        <v>22.495000000000001</v>
      </c>
      <c r="N3971" s="5">
        <v>1.1401419158641664</v>
      </c>
      <c r="O3971" t="s">
        <v>46</v>
      </c>
      <c r="P3971" t="s">
        <v>340</v>
      </c>
      <c r="Q3971" s="10" t="s">
        <v>24</v>
      </c>
    </row>
    <row r="3972" spans="1:17" hidden="1" x14ac:dyDescent="0.25">
      <c r="A3972" s="9" t="s">
        <v>1760</v>
      </c>
      <c r="B3972" s="3" t="s">
        <v>1042</v>
      </c>
      <c r="C3972" s="10">
        <v>7</v>
      </c>
      <c r="D3972" s="10">
        <v>5</v>
      </c>
      <c r="E3972" s="10">
        <v>19</v>
      </c>
      <c r="F3972" t="s">
        <v>1021</v>
      </c>
      <c r="G3972" t="s">
        <v>889</v>
      </c>
      <c r="H3972" t="s">
        <v>54</v>
      </c>
      <c r="I3972" t="s">
        <v>27</v>
      </c>
      <c r="J3972" s="4">
        <v>22.5</v>
      </c>
      <c r="K3972">
        <v>0.84199999999999997</v>
      </c>
      <c r="L3972">
        <v>22.5</v>
      </c>
      <c r="M3972">
        <v>18.945</v>
      </c>
      <c r="N3972" s="5">
        <v>0.96392591838811437</v>
      </c>
      <c r="O3972" t="s">
        <v>101</v>
      </c>
      <c r="P3972" t="s">
        <v>340</v>
      </c>
      <c r="Q3972" s="10" t="s">
        <v>24</v>
      </c>
    </row>
    <row r="3973" spans="1:17" hidden="1" x14ac:dyDescent="0.25">
      <c r="A3973" s="9" t="s">
        <v>1760</v>
      </c>
      <c r="B3973" s="3" t="s">
        <v>1042</v>
      </c>
      <c r="C3973" s="10">
        <v>7</v>
      </c>
      <c r="D3973" s="10">
        <v>5</v>
      </c>
      <c r="E3973" s="10">
        <v>19</v>
      </c>
      <c r="F3973" t="s">
        <v>119</v>
      </c>
      <c r="G3973" t="s">
        <v>889</v>
      </c>
      <c r="H3973" t="s">
        <v>56</v>
      </c>
      <c r="I3973" t="s">
        <v>27</v>
      </c>
      <c r="J3973" s="4">
        <v>22.5</v>
      </c>
      <c r="K3973">
        <v>0.222</v>
      </c>
      <c r="L3973">
        <v>22.5</v>
      </c>
      <c r="M3973">
        <v>4.9950000000000001</v>
      </c>
      <c r="N3973" s="5">
        <v>0.25414673857738884</v>
      </c>
      <c r="O3973" t="s">
        <v>101</v>
      </c>
      <c r="P3973" t="s">
        <v>340</v>
      </c>
      <c r="Q3973" s="10" t="s">
        <v>24</v>
      </c>
    </row>
    <row r="3974" spans="1:17" hidden="1" x14ac:dyDescent="0.25">
      <c r="A3974" s="9" t="s">
        <v>1760</v>
      </c>
      <c r="B3974" s="3" t="s">
        <v>1042</v>
      </c>
      <c r="C3974" s="10">
        <v>7</v>
      </c>
      <c r="D3974" s="10">
        <v>5</v>
      </c>
      <c r="E3974" s="10">
        <v>19</v>
      </c>
      <c r="F3974" t="s">
        <v>1064</v>
      </c>
      <c r="G3974" t="s">
        <v>889</v>
      </c>
      <c r="H3974" t="s">
        <v>53</v>
      </c>
      <c r="I3974" t="s">
        <v>27</v>
      </c>
      <c r="J3974" s="4">
        <v>7.5</v>
      </c>
      <c r="K3974">
        <v>1</v>
      </c>
      <c r="L3974">
        <v>7.5</v>
      </c>
      <c r="M3974">
        <v>7.5</v>
      </c>
      <c r="N3974" s="5">
        <v>0.38160170957565892</v>
      </c>
      <c r="O3974" t="s">
        <v>101</v>
      </c>
      <c r="P3974" t="s">
        <v>340</v>
      </c>
      <c r="Q3974" s="10" t="s">
        <v>24</v>
      </c>
    </row>
    <row r="3975" spans="1:17" hidden="1" x14ac:dyDescent="0.25">
      <c r="A3975" s="9" t="s">
        <v>1760</v>
      </c>
      <c r="B3975" s="3" t="s">
        <v>1041</v>
      </c>
      <c r="C3975" s="10">
        <v>8</v>
      </c>
      <c r="D3975" s="10">
        <v>5</v>
      </c>
      <c r="E3975" s="10">
        <v>19</v>
      </c>
      <c r="F3975" t="s">
        <v>483</v>
      </c>
      <c r="G3975" t="s">
        <v>889</v>
      </c>
      <c r="H3975" t="s">
        <v>56</v>
      </c>
      <c r="I3975" t="s">
        <v>27</v>
      </c>
      <c r="J3975" s="4">
        <v>60</v>
      </c>
      <c r="K3975">
        <v>0.63500000000000001</v>
      </c>
      <c r="L3975">
        <v>60</v>
      </c>
      <c r="M3975">
        <v>38.1</v>
      </c>
      <c r="N3975" s="5">
        <v>1.9310694374049671</v>
      </c>
      <c r="O3975" t="s">
        <v>593</v>
      </c>
      <c r="P3975" t="s">
        <v>340</v>
      </c>
      <c r="Q3975" s="10" t="s">
        <v>24</v>
      </c>
    </row>
    <row r="3976" spans="1:17" hidden="1" x14ac:dyDescent="0.25">
      <c r="A3976" s="9" t="s">
        <v>1760</v>
      </c>
      <c r="B3976" s="3" t="s">
        <v>1041</v>
      </c>
      <c r="C3976" s="10">
        <v>8</v>
      </c>
      <c r="D3976" s="10">
        <v>5</v>
      </c>
      <c r="E3976" s="10">
        <v>19</v>
      </c>
      <c r="F3976" t="s">
        <v>212</v>
      </c>
      <c r="G3976" t="s">
        <v>889</v>
      </c>
      <c r="H3976" t="s">
        <v>54</v>
      </c>
      <c r="I3976" t="s">
        <v>27</v>
      </c>
      <c r="J3976" s="4">
        <v>5</v>
      </c>
      <c r="K3976">
        <v>1</v>
      </c>
      <c r="L3976">
        <v>5</v>
      </c>
      <c r="M3976">
        <v>5</v>
      </c>
      <c r="N3976" s="5">
        <v>0.25342118601115055</v>
      </c>
      <c r="O3976" t="s">
        <v>593</v>
      </c>
      <c r="P3976" t="s">
        <v>340</v>
      </c>
      <c r="Q3976" s="10" t="s">
        <v>24</v>
      </c>
    </row>
    <row r="3977" spans="1:17" hidden="1" x14ac:dyDescent="0.25">
      <c r="A3977" s="9" t="s">
        <v>1760</v>
      </c>
      <c r="B3977" s="3" t="s">
        <v>1041</v>
      </c>
      <c r="C3977" s="10">
        <v>8</v>
      </c>
      <c r="D3977" s="10">
        <v>5</v>
      </c>
      <c r="E3977" s="10">
        <v>19</v>
      </c>
      <c r="F3977" t="s">
        <v>484</v>
      </c>
      <c r="G3977" t="s">
        <v>889</v>
      </c>
      <c r="H3977" t="s">
        <v>54</v>
      </c>
      <c r="I3977" t="s">
        <v>27</v>
      </c>
      <c r="J3977" s="4">
        <v>5</v>
      </c>
      <c r="K3977">
        <v>1</v>
      </c>
      <c r="L3977">
        <v>5</v>
      </c>
      <c r="M3977">
        <v>5</v>
      </c>
      <c r="N3977" s="5">
        <v>0.25342118601115055</v>
      </c>
      <c r="O3977" t="s">
        <v>593</v>
      </c>
      <c r="P3977" t="s">
        <v>340</v>
      </c>
      <c r="Q3977" s="10" t="s">
        <v>24</v>
      </c>
    </row>
    <row r="3978" spans="1:17" hidden="1" x14ac:dyDescent="0.25">
      <c r="A3978" s="9" t="s">
        <v>1760</v>
      </c>
      <c r="B3978" s="3" t="s">
        <v>1043</v>
      </c>
      <c r="C3978" s="10">
        <v>9</v>
      </c>
      <c r="D3978" s="10">
        <v>5</v>
      </c>
      <c r="E3978" s="10">
        <v>19</v>
      </c>
      <c r="F3978" t="s">
        <v>109</v>
      </c>
      <c r="H3978" t="s">
        <v>54</v>
      </c>
      <c r="I3978" t="s">
        <v>27</v>
      </c>
      <c r="J3978" s="4">
        <v>25.99</v>
      </c>
      <c r="K3978">
        <v>0.58799999999999997</v>
      </c>
      <c r="L3978">
        <v>25.99</v>
      </c>
      <c r="M3978">
        <v>15.282119999999999</v>
      </c>
      <c r="N3978" s="5">
        <v>0.77456259503294467</v>
      </c>
      <c r="O3978" t="s">
        <v>28</v>
      </c>
      <c r="P3978" t="s">
        <v>340</v>
      </c>
      <c r="Q3978" s="10" t="s">
        <v>24</v>
      </c>
    </row>
    <row r="3979" spans="1:17" hidden="1" x14ac:dyDescent="0.25">
      <c r="A3979" s="9" t="s">
        <v>1760</v>
      </c>
      <c r="B3979" s="3" t="s">
        <v>1043</v>
      </c>
      <c r="C3979" s="10">
        <v>9</v>
      </c>
      <c r="D3979" s="10">
        <v>5</v>
      </c>
      <c r="E3979" s="10">
        <v>19</v>
      </c>
      <c r="F3979" t="s">
        <v>645</v>
      </c>
      <c r="G3979" t="s">
        <v>39</v>
      </c>
      <c r="H3979" t="s">
        <v>59</v>
      </c>
      <c r="I3979" t="s">
        <v>27</v>
      </c>
      <c r="J3979" s="4">
        <v>59.99</v>
      </c>
      <c r="K3979">
        <v>1</v>
      </c>
      <c r="L3979">
        <v>59.99</v>
      </c>
      <c r="M3979">
        <v>59.99</v>
      </c>
      <c r="N3979" s="5">
        <v>3.0405473897617843</v>
      </c>
      <c r="O3979" t="s">
        <v>28</v>
      </c>
      <c r="P3979" t="s">
        <v>340</v>
      </c>
      <c r="Q3979" s="10" t="s">
        <v>24</v>
      </c>
    </row>
    <row r="3980" spans="1:17" hidden="1" x14ac:dyDescent="0.25">
      <c r="A3980" s="9" t="s">
        <v>1760</v>
      </c>
      <c r="B3980" s="3" t="s">
        <v>1043</v>
      </c>
      <c r="C3980" s="10">
        <v>9</v>
      </c>
      <c r="D3980" s="10">
        <v>5</v>
      </c>
      <c r="E3980" s="10">
        <v>19</v>
      </c>
      <c r="F3980" t="s">
        <v>202</v>
      </c>
      <c r="H3980" t="s">
        <v>54</v>
      </c>
      <c r="I3980" t="s">
        <v>27</v>
      </c>
      <c r="J3980" s="4">
        <v>89.99</v>
      </c>
      <c r="K3980">
        <v>0.32</v>
      </c>
      <c r="L3980">
        <v>89.99</v>
      </c>
      <c r="M3980">
        <v>28.796799999999998</v>
      </c>
      <c r="N3980" s="5">
        <v>1.4595438418651798</v>
      </c>
      <c r="O3980" t="s">
        <v>28</v>
      </c>
      <c r="P3980" t="s">
        <v>340</v>
      </c>
      <c r="Q3980" s="10" t="s">
        <v>24</v>
      </c>
    </row>
    <row r="3981" spans="1:17" hidden="1" x14ac:dyDescent="0.25">
      <c r="A3981" s="9" t="s">
        <v>1760</v>
      </c>
      <c r="B3981" s="3" t="s">
        <v>1043</v>
      </c>
      <c r="C3981" s="10">
        <v>9</v>
      </c>
      <c r="D3981" s="10">
        <v>5</v>
      </c>
      <c r="E3981" s="10">
        <v>19</v>
      </c>
      <c r="F3981" t="s">
        <v>177</v>
      </c>
      <c r="G3981" t="s">
        <v>177</v>
      </c>
      <c r="H3981" t="s">
        <v>56</v>
      </c>
      <c r="I3981" t="s">
        <v>27</v>
      </c>
      <c r="J3981" s="4">
        <v>9.99</v>
      </c>
      <c r="K3981">
        <v>0.27400000000000002</v>
      </c>
      <c r="L3981">
        <v>9.99</v>
      </c>
      <c r="M3981">
        <v>2.7372600000000005</v>
      </c>
      <c r="N3981" s="5">
        <v>0.1387359351241764</v>
      </c>
      <c r="O3981" t="s">
        <v>28</v>
      </c>
      <c r="P3981" t="s">
        <v>340</v>
      </c>
      <c r="Q3981" s="10" t="s">
        <v>24</v>
      </c>
    </row>
    <row r="3982" spans="1:17" hidden="1" x14ac:dyDescent="0.25">
      <c r="A3982" s="9" t="s">
        <v>1760</v>
      </c>
      <c r="B3982" s="3" t="s">
        <v>1043</v>
      </c>
      <c r="C3982" s="10">
        <v>9</v>
      </c>
      <c r="D3982" s="10">
        <v>5</v>
      </c>
      <c r="E3982" s="10">
        <v>19</v>
      </c>
      <c r="F3982" t="s">
        <v>112</v>
      </c>
      <c r="G3982" t="s">
        <v>889</v>
      </c>
      <c r="H3982" t="s">
        <v>56</v>
      </c>
      <c r="I3982" t="s">
        <v>27</v>
      </c>
      <c r="J3982" s="4">
        <v>27.99</v>
      </c>
      <c r="K3982">
        <v>0.38</v>
      </c>
      <c r="L3982">
        <v>27.99</v>
      </c>
      <c r="M3982">
        <v>10.636199999999999</v>
      </c>
      <c r="N3982" s="5">
        <v>0.53908768373035976</v>
      </c>
      <c r="O3982" t="s">
        <v>28</v>
      </c>
      <c r="P3982" t="s">
        <v>340</v>
      </c>
      <c r="Q3982" s="10" t="s">
        <v>24</v>
      </c>
    </row>
    <row r="3983" spans="1:17" hidden="1" x14ac:dyDescent="0.25">
      <c r="A3983" s="9" t="s">
        <v>1760</v>
      </c>
      <c r="B3983" s="3" t="s">
        <v>1043</v>
      </c>
      <c r="C3983" s="10">
        <v>9</v>
      </c>
      <c r="D3983" s="10">
        <v>5</v>
      </c>
      <c r="E3983" s="10">
        <v>19</v>
      </c>
      <c r="F3983" t="s">
        <v>55</v>
      </c>
      <c r="G3983" t="s">
        <v>889</v>
      </c>
      <c r="H3983" t="s">
        <v>56</v>
      </c>
      <c r="I3983" t="s">
        <v>27</v>
      </c>
      <c r="J3983" s="4">
        <v>25.99</v>
      </c>
      <c r="K3983">
        <v>1.5580000000000001</v>
      </c>
      <c r="L3983">
        <v>25.99</v>
      </c>
      <c r="M3983">
        <v>40.492419999999996</v>
      </c>
      <c r="N3983" s="5">
        <v>2.0523274201723263</v>
      </c>
      <c r="O3983" t="s">
        <v>28</v>
      </c>
      <c r="P3983" t="s">
        <v>340</v>
      </c>
      <c r="Q3983" s="10" t="s">
        <v>24</v>
      </c>
    </row>
    <row r="3984" spans="1:17" hidden="1" x14ac:dyDescent="0.25">
      <c r="A3984" s="9" t="s">
        <v>1760</v>
      </c>
      <c r="B3984" s="3" t="s">
        <v>1043</v>
      </c>
      <c r="C3984" s="10">
        <v>9</v>
      </c>
      <c r="D3984" s="10">
        <v>5</v>
      </c>
      <c r="E3984" s="10">
        <v>19</v>
      </c>
      <c r="F3984" t="s">
        <v>575</v>
      </c>
      <c r="G3984" t="s">
        <v>31</v>
      </c>
      <c r="H3984" t="s">
        <v>26</v>
      </c>
      <c r="I3984" t="s">
        <v>27</v>
      </c>
      <c r="J3984" s="4">
        <v>13.29</v>
      </c>
      <c r="K3984">
        <v>1</v>
      </c>
      <c r="L3984">
        <v>13.29</v>
      </c>
      <c r="M3984">
        <v>13.29</v>
      </c>
      <c r="N3984" s="5">
        <v>0.6735935124176381</v>
      </c>
      <c r="O3984" t="s">
        <v>28</v>
      </c>
      <c r="P3984" t="s">
        <v>340</v>
      </c>
      <c r="Q3984" s="10" t="s">
        <v>24</v>
      </c>
    </row>
    <row r="3985" spans="1:18" hidden="1" x14ac:dyDescent="0.25">
      <c r="A3985" s="9" t="s">
        <v>1760</v>
      </c>
      <c r="B3985" s="3" t="s">
        <v>1043</v>
      </c>
      <c r="C3985" s="10">
        <v>9</v>
      </c>
      <c r="D3985" s="10">
        <v>5</v>
      </c>
      <c r="E3985" s="10">
        <v>19</v>
      </c>
      <c r="F3985" t="s">
        <v>372</v>
      </c>
      <c r="G3985" t="s">
        <v>373</v>
      </c>
      <c r="H3985" t="s">
        <v>65</v>
      </c>
      <c r="I3985" t="s">
        <v>27</v>
      </c>
      <c r="J3985" s="4">
        <v>9</v>
      </c>
      <c r="K3985">
        <v>1</v>
      </c>
      <c r="L3985">
        <v>9</v>
      </c>
      <c r="M3985">
        <v>9</v>
      </c>
      <c r="N3985" s="5">
        <v>0.45792205149079068</v>
      </c>
      <c r="O3985" t="s">
        <v>100</v>
      </c>
      <c r="P3985" t="s">
        <v>340</v>
      </c>
      <c r="Q3985" s="10" t="s">
        <v>24</v>
      </c>
    </row>
    <row r="3986" spans="1:18" hidden="1" x14ac:dyDescent="0.25">
      <c r="A3986" s="9" t="s">
        <v>1760</v>
      </c>
      <c r="B3986" s="3" t="s">
        <v>1043</v>
      </c>
      <c r="C3986" s="10">
        <v>9</v>
      </c>
      <c r="D3986" s="10">
        <v>5</v>
      </c>
      <c r="E3986" s="10">
        <v>19</v>
      </c>
      <c r="F3986" t="s">
        <v>99</v>
      </c>
      <c r="G3986" t="s">
        <v>889</v>
      </c>
      <c r="H3986" t="s">
        <v>40</v>
      </c>
      <c r="I3986" t="s">
        <v>27</v>
      </c>
      <c r="J3986" s="4">
        <v>10</v>
      </c>
      <c r="K3986">
        <v>1</v>
      </c>
      <c r="L3986">
        <v>10</v>
      </c>
      <c r="M3986">
        <v>10</v>
      </c>
      <c r="N3986" s="5">
        <v>0.50880227943421186</v>
      </c>
      <c r="O3986" t="s">
        <v>100</v>
      </c>
      <c r="P3986" t="s">
        <v>340</v>
      </c>
      <c r="Q3986" s="10" t="s">
        <v>24</v>
      </c>
    </row>
    <row r="3987" spans="1:18" hidden="1" x14ac:dyDescent="0.25">
      <c r="A3987" s="9" t="s">
        <v>1760</v>
      </c>
      <c r="B3987" s="3" t="s">
        <v>1043</v>
      </c>
      <c r="C3987" s="10">
        <v>9</v>
      </c>
      <c r="D3987" s="10">
        <v>5</v>
      </c>
      <c r="E3987" s="10">
        <v>19</v>
      </c>
      <c r="F3987" t="s">
        <v>146</v>
      </c>
      <c r="H3987" t="s">
        <v>49</v>
      </c>
      <c r="I3987" t="s">
        <v>50</v>
      </c>
      <c r="J3987" s="4">
        <v>1</v>
      </c>
      <c r="K3987">
        <v>1</v>
      </c>
      <c r="L3987">
        <v>1</v>
      </c>
      <c r="M3987">
        <v>1</v>
      </c>
      <c r="N3987" s="5">
        <v>5.0880227943421188E-2</v>
      </c>
      <c r="O3987" t="s">
        <v>100</v>
      </c>
      <c r="P3987" t="s">
        <v>340</v>
      </c>
      <c r="Q3987" s="10" t="s">
        <v>24</v>
      </c>
    </row>
    <row r="3988" spans="1:18" hidden="1" x14ac:dyDescent="0.25">
      <c r="A3988" s="9" t="s">
        <v>1760</v>
      </c>
      <c r="B3988" s="3" t="s">
        <v>1043</v>
      </c>
      <c r="C3988" s="10">
        <v>9</v>
      </c>
      <c r="D3988" s="10">
        <v>5</v>
      </c>
      <c r="E3988" s="10">
        <v>19</v>
      </c>
      <c r="F3988" t="s">
        <v>974</v>
      </c>
      <c r="G3988" t="s">
        <v>25</v>
      </c>
      <c r="H3988" t="s">
        <v>26</v>
      </c>
      <c r="I3988" t="s">
        <v>27</v>
      </c>
      <c r="J3988" s="4">
        <v>211.6</v>
      </c>
      <c r="K3988">
        <v>0.34799999999999998</v>
      </c>
      <c r="L3988">
        <v>211.6</v>
      </c>
      <c r="M3988">
        <v>73.636799999999994</v>
      </c>
      <c r="N3988" s="5">
        <v>3.7466571690241168</v>
      </c>
      <c r="O3988" t="s">
        <v>100</v>
      </c>
      <c r="P3988" t="s">
        <v>340</v>
      </c>
      <c r="Q3988" s="10" t="s">
        <v>24</v>
      </c>
    </row>
    <row r="3989" spans="1:18" hidden="1" x14ac:dyDescent="0.25">
      <c r="A3989" s="9" t="s">
        <v>1760</v>
      </c>
      <c r="B3989" s="3" t="s">
        <v>1043</v>
      </c>
      <c r="C3989" s="10">
        <v>9</v>
      </c>
      <c r="D3989" s="10">
        <v>5</v>
      </c>
      <c r="E3989" s="10">
        <v>19</v>
      </c>
      <c r="F3989" t="s">
        <v>98</v>
      </c>
      <c r="H3989" t="s">
        <v>26</v>
      </c>
      <c r="I3989" t="s">
        <v>27</v>
      </c>
      <c r="J3989" s="4">
        <v>76.599999999999994</v>
      </c>
      <c r="K3989">
        <v>1</v>
      </c>
      <c r="L3989">
        <v>76.599999999999994</v>
      </c>
      <c r="M3989">
        <v>76.599999999999994</v>
      </c>
      <c r="N3989" s="5">
        <v>3.8974254604660628</v>
      </c>
      <c r="O3989" t="s">
        <v>100</v>
      </c>
      <c r="P3989" t="s">
        <v>340</v>
      </c>
      <c r="Q3989" s="10" t="s">
        <v>24</v>
      </c>
      <c r="R3989" t="s">
        <v>1257</v>
      </c>
    </row>
    <row r="3990" spans="1:18" hidden="1" x14ac:dyDescent="0.25">
      <c r="A3990" s="9" t="s">
        <v>1760</v>
      </c>
      <c r="B3990" s="3" t="s">
        <v>1043</v>
      </c>
      <c r="C3990" s="10">
        <v>9</v>
      </c>
      <c r="D3990" s="10">
        <v>5</v>
      </c>
      <c r="E3990" s="10">
        <v>19</v>
      </c>
      <c r="F3990" t="s">
        <v>1036</v>
      </c>
      <c r="G3990" t="s">
        <v>889</v>
      </c>
      <c r="H3990" t="s">
        <v>38</v>
      </c>
      <c r="I3990" t="s">
        <v>27</v>
      </c>
      <c r="J3990" s="4">
        <v>126</v>
      </c>
      <c r="K3990">
        <v>0.20399999999999999</v>
      </c>
      <c r="L3990">
        <v>126</v>
      </c>
      <c r="M3990">
        <v>25.703999999999997</v>
      </c>
      <c r="N3990" s="5">
        <v>1.3078253790576981</v>
      </c>
      <c r="O3990" t="s">
        <v>100</v>
      </c>
      <c r="P3990" t="s">
        <v>340</v>
      </c>
      <c r="Q3990" s="10" t="s">
        <v>24</v>
      </c>
    </row>
    <row r="3991" spans="1:18" hidden="1" x14ac:dyDescent="0.25">
      <c r="A3991" s="9" t="s">
        <v>1760</v>
      </c>
      <c r="B3991" s="3" t="s">
        <v>1043</v>
      </c>
      <c r="C3991" s="10">
        <v>9</v>
      </c>
      <c r="D3991" s="10">
        <v>5</v>
      </c>
      <c r="E3991" s="10">
        <v>19</v>
      </c>
      <c r="F3991" t="s">
        <v>141</v>
      </c>
      <c r="G3991" t="s">
        <v>889</v>
      </c>
      <c r="H3991" t="s">
        <v>172</v>
      </c>
      <c r="I3991" t="s">
        <v>39</v>
      </c>
      <c r="J3991" s="4">
        <v>2</v>
      </c>
      <c r="K3991">
        <v>8</v>
      </c>
      <c r="L3991">
        <v>2</v>
      </c>
      <c r="M3991">
        <v>16</v>
      </c>
      <c r="N3991" s="5">
        <v>0.81408364709473902</v>
      </c>
      <c r="O3991" t="s">
        <v>39</v>
      </c>
      <c r="P3991" t="s">
        <v>340</v>
      </c>
      <c r="Q3991" s="10" t="s">
        <v>24</v>
      </c>
    </row>
    <row r="3992" spans="1:18" hidden="1" x14ac:dyDescent="0.25">
      <c r="A3992" s="9" t="s">
        <v>1760</v>
      </c>
      <c r="B3992" s="3" t="s">
        <v>1043</v>
      </c>
      <c r="C3992" s="10">
        <v>9</v>
      </c>
      <c r="D3992" s="10">
        <v>5</v>
      </c>
      <c r="E3992" s="10">
        <v>19</v>
      </c>
      <c r="F3992" t="s">
        <v>141</v>
      </c>
      <c r="G3992" t="s">
        <v>889</v>
      </c>
      <c r="H3992" t="s">
        <v>172</v>
      </c>
      <c r="I3992" t="s">
        <v>39</v>
      </c>
      <c r="J3992" s="4">
        <v>3</v>
      </c>
      <c r="K3992">
        <v>6</v>
      </c>
      <c r="L3992">
        <v>3</v>
      </c>
      <c r="M3992">
        <v>18</v>
      </c>
      <c r="N3992" s="5">
        <v>0.91584410298158136</v>
      </c>
      <c r="O3992" t="s">
        <v>39</v>
      </c>
      <c r="P3992" t="s">
        <v>340</v>
      </c>
      <c r="Q3992" s="10" t="s">
        <v>24</v>
      </c>
    </row>
    <row r="3993" spans="1:18" hidden="1" x14ac:dyDescent="0.25">
      <c r="A3993" s="9" t="s">
        <v>1092</v>
      </c>
      <c r="B3993" s="3" t="s">
        <v>1763</v>
      </c>
      <c r="C3993" s="10">
        <v>10</v>
      </c>
      <c r="D3993" s="10">
        <v>6</v>
      </c>
      <c r="E3993" s="10">
        <v>19</v>
      </c>
      <c r="F3993" t="s">
        <v>71</v>
      </c>
      <c r="G3993" t="s">
        <v>889</v>
      </c>
      <c r="H3993" t="s">
        <v>1748</v>
      </c>
      <c r="I3993" t="s">
        <v>72</v>
      </c>
      <c r="J3993" s="4">
        <v>0</v>
      </c>
      <c r="K3993">
        <v>1</v>
      </c>
      <c r="L3993">
        <v>0</v>
      </c>
      <c r="M3993">
        <v>0</v>
      </c>
      <c r="N3993" s="5">
        <v>0</v>
      </c>
      <c r="O3993" t="s">
        <v>1679</v>
      </c>
      <c r="P3993" t="s">
        <v>340</v>
      </c>
      <c r="Q3993" s="10" t="s">
        <v>24</v>
      </c>
      <c r="R3993" t="s">
        <v>1762</v>
      </c>
    </row>
    <row r="3994" spans="1:18" hidden="1" x14ac:dyDescent="0.25">
      <c r="A3994" s="9" t="s">
        <v>1092</v>
      </c>
      <c r="B3994" s="3" t="s">
        <v>1763</v>
      </c>
      <c r="C3994" s="10">
        <v>10</v>
      </c>
      <c r="D3994" s="10">
        <v>6</v>
      </c>
      <c r="E3994" s="10">
        <v>19</v>
      </c>
      <c r="F3994" t="s">
        <v>388</v>
      </c>
      <c r="G3994" t="s">
        <v>889</v>
      </c>
      <c r="H3994" t="s">
        <v>49</v>
      </c>
      <c r="I3994" t="s">
        <v>50</v>
      </c>
      <c r="J3994" s="4">
        <v>18</v>
      </c>
      <c r="K3994">
        <v>1</v>
      </c>
      <c r="L3994">
        <v>18</v>
      </c>
      <c r="M3994">
        <v>18</v>
      </c>
      <c r="N3994" s="5">
        <v>0.91480317871003503</v>
      </c>
      <c r="O3994" t="s">
        <v>39</v>
      </c>
      <c r="P3994" t="s">
        <v>340</v>
      </c>
      <c r="Q3994" s="10" t="s">
        <v>24</v>
      </c>
    </row>
    <row r="3995" spans="1:18" hidden="1" x14ac:dyDescent="0.25">
      <c r="A3995" s="9" t="s">
        <v>1092</v>
      </c>
      <c r="B3995" s="3" t="s">
        <v>1763</v>
      </c>
      <c r="C3995" s="10">
        <v>10</v>
      </c>
      <c r="D3995" s="10">
        <v>6</v>
      </c>
      <c r="E3995" s="10">
        <v>19</v>
      </c>
      <c r="F3995" t="s">
        <v>25</v>
      </c>
      <c r="G3995" t="s">
        <v>25</v>
      </c>
      <c r="H3995" t="s">
        <v>26</v>
      </c>
      <c r="I3995" t="s">
        <v>27</v>
      </c>
      <c r="J3995" s="4">
        <v>27.25</v>
      </c>
      <c r="K3995">
        <v>1</v>
      </c>
      <c r="L3995">
        <v>27.25</v>
      </c>
      <c r="M3995">
        <v>27.25</v>
      </c>
      <c r="N3995" s="5">
        <v>1.3849103677693586</v>
      </c>
      <c r="O3995" t="s">
        <v>101</v>
      </c>
      <c r="P3995" t="s">
        <v>340</v>
      </c>
      <c r="Q3995" s="10" t="s">
        <v>24</v>
      </c>
    </row>
    <row r="3996" spans="1:18" hidden="1" x14ac:dyDescent="0.25">
      <c r="A3996" s="9" t="s">
        <v>1092</v>
      </c>
      <c r="B3996" s="3" t="s">
        <v>1763</v>
      </c>
      <c r="C3996" s="10">
        <v>10</v>
      </c>
      <c r="D3996" s="10">
        <v>6</v>
      </c>
      <c r="E3996" s="10">
        <v>19</v>
      </c>
      <c r="F3996" t="s">
        <v>55</v>
      </c>
      <c r="G3996" t="s">
        <v>889</v>
      </c>
      <c r="H3996" t="s">
        <v>56</v>
      </c>
      <c r="I3996" t="s">
        <v>27</v>
      </c>
      <c r="J3996" s="4">
        <v>36</v>
      </c>
      <c r="K3996">
        <v>0.35799999999999998</v>
      </c>
      <c r="L3996">
        <v>36</v>
      </c>
      <c r="M3996">
        <v>12.888</v>
      </c>
      <c r="N3996" s="5">
        <v>0.65499907595638507</v>
      </c>
      <c r="O3996" t="s">
        <v>101</v>
      </c>
      <c r="P3996" t="s">
        <v>340</v>
      </c>
      <c r="Q3996" s="10" t="s">
        <v>24</v>
      </c>
    </row>
    <row r="3997" spans="1:18" hidden="1" x14ac:dyDescent="0.25">
      <c r="A3997" s="9" t="s">
        <v>1092</v>
      </c>
      <c r="B3997" s="3" t="s">
        <v>1763</v>
      </c>
      <c r="C3997" s="10">
        <v>10</v>
      </c>
      <c r="D3997" s="10">
        <v>6</v>
      </c>
      <c r="E3997" s="10">
        <v>19</v>
      </c>
      <c r="F3997" t="s">
        <v>104</v>
      </c>
      <c r="G3997" t="s">
        <v>889</v>
      </c>
      <c r="H3997" t="s">
        <v>889</v>
      </c>
      <c r="I3997" t="s">
        <v>72</v>
      </c>
      <c r="J3997" s="4">
        <v>27.24</v>
      </c>
      <c r="K3997">
        <v>1</v>
      </c>
      <c r="L3997">
        <v>27.24</v>
      </c>
      <c r="M3997">
        <v>27.24</v>
      </c>
      <c r="N3997" s="5">
        <v>1.3844021437811862</v>
      </c>
      <c r="O3997" t="s">
        <v>629</v>
      </c>
      <c r="P3997" t="s">
        <v>340</v>
      </c>
      <c r="Q3997" s="10" t="s">
        <v>24</v>
      </c>
      <c r="R3997" t="s">
        <v>1856</v>
      </c>
    </row>
    <row r="3998" spans="1:18" hidden="1" x14ac:dyDescent="0.25">
      <c r="A3998" s="9" t="s">
        <v>1092</v>
      </c>
      <c r="B3998" s="3" t="s">
        <v>1763</v>
      </c>
      <c r="C3998" s="10">
        <v>10</v>
      </c>
      <c r="D3998" s="10">
        <v>6</v>
      </c>
      <c r="E3998" s="10">
        <v>19</v>
      </c>
      <c r="F3998" t="s">
        <v>39</v>
      </c>
      <c r="G3998" t="s">
        <v>889</v>
      </c>
      <c r="H3998" t="s">
        <v>889</v>
      </c>
      <c r="I3998" t="s">
        <v>72</v>
      </c>
      <c r="J3998" s="4">
        <v>1.1599999999999999</v>
      </c>
      <c r="K3998">
        <v>3</v>
      </c>
      <c r="L3998">
        <v>1.1599999999999999</v>
      </c>
      <c r="M3998">
        <v>3.4799999999999995</v>
      </c>
      <c r="N3998" s="5">
        <v>0.17686194788394008</v>
      </c>
      <c r="O3998" t="s">
        <v>629</v>
      </c>
      <c r="P3998" t="s">
        <v>340</v>
      </c>
      <c r="Q3998" s="10" t="s">
        <v>24</v>
      </c>
      <c r="R3998" t="s">
        <v>1857</v>
      </c>
    </row>
    <row r="3999" spans="1:18" hidden="1" x14ac:dyDescent="0.25">
      <c r="A3999" s="9" t="s">
        <v>1092</v>
      </c>
      <c r="B3999" s="3" t="s">
        <v>1763</v>
      </c>
      <c r="C3999" s="10">
        <v>10</v>
      </c>
      <c r="D3999" s="10">
        <v>6</v>
      </c>
      <c r="E3999" s="10">
        <v>19</v>
      </c>
      <c r="F3999" t="s">
        <v>1895</v>
      </c>
      <c r="G3999" t="s">
        <v>224</v>
      </c>
      <c r="H3999" t="s">
        <v>131</v>
      </c>
      <c r="I3999" t="s">
        <v>27</v>
      </c>
      <c r="J3999" s="4">
        <v>76</v>
      </c>
      <c r="K3999">
        <v>1</v>
      </c>
      <c r="L3999">
        <v>76</v>
      </c>
      <c r="M3999">
        <v>76</v>
      </c>
      <c r="N3999" s="5">
        <v>3.8625023101090368</v>
      </c>
      <c r="O3999" t="s">
        <v>100</v>
      </c>
      <c r="P3999" t="s">
        <v>340</v>
      </c>
      <c r="Q3999" s="10" t="s">
        <v>24</v>
      </c>
    </row>
    <row r="4000" spans="1:18" hidden="1" x14ac:dyDescent="0.25">
      <c r="A4000" s="9" t="s">
        <v>1092</v>
      </c>
      <c r="B4000" s="3" t="s">
        <v>1763</v>
      </c>
      <c r="C4000" s="10">
        <v>10</v>
      </c>
      <c r="D4000" s="10">
        <v>6</v>
      </c>
      <c r="E4000" s="10">
        <v>19</v>
      </c>
      <c r="F4000" t="s">
        <v>1036</v>
      </c>
      <c r="G4000" t="s">
        <v>889</v>
      </c>
      <c r="H4000" t="s">
        <v>38</v>
      </c>
      <c r="I4000" t="s">
        <v>27</v>
      </c>
      <c r="J4000" s="4">
        <v>126</v>
      </c>
      <c r="K4000">
        <v>0.3</v>
      </c>
      <c r="L4000">
        <v>126</v>
      </c>
      <c r="M4000">
        <v>37.799999999999997</v>
      </c>
      <c r="N4000" s="5">
        <v>1.9210866752910734</v>
      </c>
      <c r="O4000" t="s">
        <v>100</v>
      </c>
      <c r="P4000" t="s">
        <v>340</v>
      </c>
      <c r="Q4000" s="10" t="s">
        <v>24</v>
      </c>
    </row>
    <row r="4001" spans="1:18" hidden="1" x14ac:dyDescent="0.25">
      <c r="A4001" s="9" t="s">
        <v>1092</v>
      </c>
      <c r="B4001" s="3" t="s">
        <v>1763</v>
      </c>
      <c r="C4001" s="10">
        <v>10</v>
      </c>
      <c r="D4001" s="10">
        <v>6</v>
      </c>
      <c r="E4001" s="10">
        <v>19</v>
      </c>
      <c r="F4001" t="s">
        <v>372</v>
      </c>
      <c r="G4001" t="s">
        <v>373</v>
      </c>
      <c r="H4001" t="s">
        <v>65</v>
      </c>
      <c r="I4001" t="s">
        <v>27</v>
      </c>
      <c r="J4001" s="4">
        <v>9</v>
      </c>
      <c r="K4001">
        <v>2</v>
      </c>
      <c r="L4001">
        <v>9</v>
      </c>
      <c r="M4001">
        <v>18</v>
      </c>
      <c r="N4001" s="5">
        <v>0.91480317871003503</v>
      </c>
      <c r="O4001" t="s">
        <v>100</v>
      </c>
      <c r="P4001" t="s">
        <v>340</v>
      </c>
      <c r="Q4001" s="10" t="s">
        <v>24</v>
      </c>
    </row>
    <row r="4002" spans="1:18" hidden="1" x14ac:dyDescent="0.25">
      <c r="A4002" s="9" t="s">
        <v>1092</v>
      </c>
      <c r="B4002" s="3" t="s">
        <v>1763</v>
      </c>
      <c r="C4002" s="10">
        <v>10</v>
      </c>
      <c r="D4002" s="10">
        <v>6</v>
      </c>
      <c r="E4002" s="10">
        <v>19</v>
      </c>
      <c r="F4002" t="s">
        <v>2242</v>
      </c>
      <c r="G4002" t="s">
        <v>345</v>
      </c>
      <c r="H4002" t="s">
        <v>26</v>
      </c>
      <c r="I4002" t="s">
        <v>27</v>
      </c>
      <c r="J4002" s="4">
        <v>6.48</v>
      </c>
      <c r="K4002">
        <v>2</v>
      </c>
      <c r="L4002">
        <v>6.48</v>
      </c>
      <c r="M4002">
        <v>12.96</v>
      </c>
      <c r="N4002" s="5">
        <v>0.65865828867122522</v>
      </c>
      <c r="O4002" t="s">
        <v>100</v>
      </c>
      <c r="P4002" t="s">
        <v>340</v>
      </c>
      <c r="Q4002" s="10" t="s">
        <v>24</v>
      </c>
    </row>
    <row r="4003" spans="1:18" hidden="1" x14ac:dyDescent="0.25">
      <c r="A4003" s="9" t="s">
        <v>1092</v>
      </c>
      <c r="B4003" s="3" t="s">
        <v>1072</v>
      </c>
      <c r="C4003" s="10">
        <v>11</v>
      </c>
      <c r="D4003" s="10">
        <v>6</v>
      </c>
      <c r="E4003" s="10">
        <v>19</v>
      </c>
      <c r="F4003" t="s">
        <v>1588</v>
      </c>
      <c r="G4003" t="s">
        <v>304</v>
      </c>
      <c r="H4003" t="s">
        <v>1593</v>
      </c>
      <c r="I4003" t="s">
        <v>79</v>
      </c>
      <c r="J4003" s="4">
        <v>50</v>
      </c>
      <c r="K4003">
        <v>1</v>
      </c>
      <c r="L4003">
        <v>50</v>
      </c>
      <c r="M4003">
        <v>50</v>
      </c>
      <c r="N4003" s="5">
        <v>2.5440113971710594</v>
      </c>
      <c r="O4003" t="s">
        <v>39</v>
      </c>
      <c r="P4003" t="s">
        <v>340</v>
      </c>
      <c r="Q4003" s="10" t="s">
        <v>24</v>
      </c>
    </row>
    <row r="4004" spans="1:18" hidden="1" x14ac:dyDescent="0.25">
      <c r="A4004" s="9" t="s">
        <v>1092</v>
      </c>
      <c r="B4004" s="3" t="s">
        <v>1072</v>
      </c>
      <c r="C4004" s="10">
        <v>11</v>
      </c>
      <c r="D4004" s="10">
        <v>6</v>
      </c>
      <c r="E4004" s="10">
        <v>19</v>
      </c>
      <c r="F4004" t="s">
        <v>165</v>
      </c>
      <c r="G4004" t="s">
        <v>889</v>
      </c>
      <c r="H4004" t="s">
        <v>1593</v>
      </c>
      <c r="I4004" t="s">
        <v>79</v>
      </c>
      <c r="J4004" s="4">
        <v>180</v>
      </c>
      <c r="K4004">
        <v>1</v>
      </c>
      <c r="L4004">
        <v>180</v>
      </c>
      <c r="M4004">
        <v>180</v>
      </c>
      <c r="N4004" s="5">
        <v>9.1584410298158136</v>
      </c>
      <c r="O4004" t="s">
        <v>39</v>
      </c>
      <c r="P4004" t="s">
        <v>340</v>
      </c>
      <c r="Q4004" s="10" t="s">
        <v>24</v>
      </c>
    </row>
    <row r="4005" spans="1:18" hidden="1" x14ac:dyDescent="0.25">
      <c r="A4005" s="9" t="s">
        <v>1092</v>
      </c>
      <c r="B4005" s="3" t="s">
        <v>1151</v>
      </c>
      <c r="C4005" s="10">
        <v>12</v>
      </c>
      <c r="D4005" s="10">
        <v>6</v>
      </c>
      <c r="E4005" s="10">
        <v>19</v>
      </c>
      <c r="F4005" t="s">
        <v>536</v>
      </c>
      <c r="G4005" t="s">
        <v>889</v>
      </c>
      <c r="H4005" t="s">
        <v>56</v>
      </c>
      <c r="I4005" t="s">
        <v>27</v>
      </c>
      <c r="J4005" s="4">
        <v>25</v>
      </c>
      <c r="K4005">
        <v>1</v>
      </c>
      <c r="L4005">
        <v>25</v>
      </c>
      <c r="M4005">
        <v>25</v>
      </c>
      <c r="N4005" s="5">
        <v>1.2720056985855297</v>
      </c>
      <c r="O4005" t="s">
        <v>593</v>
      </c>
      <c r="P4005" t="s">
        <v>340</v>
      </c>
      <c r="Q4005" s="10" t="s">
        <v>1102</v>
      </c>
    </row>
    <row r="4006" spans="1:18" hidden="1" x14ac:dyDescent="0.25">
      <c r="A4006" s="9" t="s">
        <v>1092</v>
      </c>
      <c r="B4006" s="3" t="s">
        <v>1151</v>
      </c>
      <c r="C4006" s="10">
        <v>12</v>
      </c>
      <c r="D4006" s="10">
        <v>6</v>
      </c>
      <c r="E4006" s="10">
        <v>19</v>
      </c>
      <c r="F4006" t="s">
        <v>537</v>
      </c>
      <c r="G4006" t="s">
        <v>889</v>
      </c>
      <c r="H4006" t="s">
        <v>56</v>
      </c>
      <c r="I4006" t="s">
        <v>27</v>
      </c>
      <c r="J4006" s="4">
        <v>47</v>
      </c>
      <c r="K4006">
        <v>1</v>
      </c>
      <c r="L4006">
        <v>47</v>
      </c>
      <c r="M4006">
        <v>47</v>
      </c>
      <c r="N4006" s="5">
        <v>2.391370713340796</v>
      </c>
      <c r="O4006" t="s">
        <v>593</v>
      </c>
      <c r="P4006" t="s">
        <v>340</v>
      </c>
      <c r="Q4006" s="10" t="s">
        <v>1102</v>
      </c>
    </row>
    <row r="4007" spans="1:18" hidden="1" x14ac:dyDescent="0.25">
      <c r="A4007" s="9" t="s">
        <v>1092</v>
      </c>
      <c r="B4007" s="3" t="s">
        <v>1151</v>
      </c>
      <c r="C4007" s="10">
        <v>12</v>
      </c>
      <c r="D4007" s="10">
        <v>6</v>
      </c>
      <c r="E4007" s="10">
        <v>19</v>
      </c>
      <c r="F4007" t="s">
        <v>108</v>
      </c>
      <c r="G4007" t="s">
        <v>889</v>
      </c>
      <c r="H4007" t="s">
        <v>54</v>
      </c>
      <c r="I4007" t="s">
        <v>27</v>
      </c>
      <c r="J4007" s="4">
        <v>30</v>
      </c>
      <c r="K4007">
        <v>1</v>
      </c>
      <c r="L4007">
        <v>30</v>
      </c>
      <c r="M4007">
        <v>30</v>
      </c>
      <c r="N4007" s="5">
        <v>1.5264068383026357</v>
      </c>
      <c r="O4007" t="s">
        <v>593</v>
      </c>
      <c r="P4007" t="s">
        <v>340</v>
      </c>
      <c r="Q4007" s="10" t="s">
        <v>1102</v>
      </c>
    </row>
    <row r="4008" spans="1:18" hidden="1" x14ac:dyDescent="0.25">
      <c r="A4008" s="9" t="s">
        <v>1092</v>
      </c>
      <c r="B4008" s="3" t="s">
        <v>1151</v>
      </c>
      <c r="C4008" s="10">
        <v>12</v>
      </c>
      <c r="D4008" s="10">
        <v>6</v>
      </c>
      <c r="E4008" s="10">
        <v>19</v>
      </c>
      <c r="F4008" t="s">
        <v>109</v>
      </c>
      <c r="G4008" t="s">
        <v>889</v>
      </c>
      <c r="H4008" t="s">
        <v>54</v>
      </c>
      <c r="I4008" t="s">
        <v>27</v>
      </c>
      <c r="J4008" s="4">
        <v>25</v>
      </c>
      <c r="K4008">
        <v>1</v>
      </c>
      <c r="L4008">
        <v>25</v>
      </c>
      <c r="M4008">
        <v>25</v>
      </c>
      <c r="N4008" s="5">
        <v>1.2720056985855297</v>
      </c>
      <c r="O4008" t="s">
        <v>593</v>
      </c>
      <c r="P4008" t="s">
        <v>340</v>
      </c>
      <c r="Q4008" s="10" t="s">
        <v>1102</v>
      </c>
    </row>
    <row r="4009" spans="1:18" hidden="1" x14ac:dyDescent="0.25">
      <c r="A4009" s="9" t="s">
        <v>1092</v>
      </c>
      <c r="B4009" s="3" t="s">
        <v>1151</v>
      </c>
      <c r="C4009" s="10">
        <v>12</v>
      </c>
      <c r="D4009" s="10">
        <v>6</v>
      </c>
      <c r="E4009" s="10">
        <v>19</v>
      </c>
      <c r="F4009" t="s">
        <v>99</v>
      </c>
      <c r="G4009" t="s">
        <v>889</v>
      </c>
      <c r="H4009" t="s">
        <v>40</v>
      </c>
      <c r="I4009" t="s">
        <v>27</v>
      </c>
      <c r="J4009" s="4">
        <v>10</v>
      </c>
      <c r="K4009">
        <v>1</v>
      </c>
      <c r="L4009">
        <v>10</v>
      </c>
      <c r="M4009">
        <v>10</v>
      </c>
      <c r="N4009" s="5">
        <v>0.50822398817224168</v>
      </c>
      <c r="O4009" t="s">
        <v>100</v>
      </c>
      <c r="P4009" t="s">
        <v>340</v>
      </c>
      <c r="Q4009" s="10" t="s">
        <v>24</v>
      </c>
    </row>
    <row r="4010" spans="1:18" hidden="1" x14ac:dyDescent="0.25">
      <c r="A4010" s="9" t="s">
        <v>1092</v>
      </c>
      <c r="B4010" s="3" t="s">
        <v>1151</v>
      </c>
      <c r="C4010" s="10">
        <v>12</v>
      </c>
      <c r="D4010" s="10">
        <v>6</v>
      </c>
      <c r="E4010" s="10">
        <v>19</v>
      </c>
      <c r="F4010" t="s">
        <v>802</v>
      </c>
      <c r="G4010" t="s">
        <v>708</v>
      </c>
      <c r="H4010" t="s">
        <v>1612</v>
      </c>
      <c r="I4010" t="s">
        <v>27</v>
      </c>
      <c r="J4010" s="4">
        <v>128</v>
      </c>
      <c r="K4010">
        <v>0.3</v>
      </c>
      <c r="L4010">
        <v>128</v>
      </c>
      <c r="M4010">
        <v>38.4</v>
      </c>
      <c r="N4010" s="5">
        <v>1.9515801145814078</v>
      </c>
      <c r="O4010" t="s">
        <v>100</v>
      </c>
      <c r="P4010" t="s">
        <v>340</v>
      </c>
      <c r="Q4010" s="10" t="s">
        <v>24</v>
      </c>
    </row>
    <row r="4011" spans="1:18" hidden="1" x14ac:dyDescent="0.25">
      <c r="A4011" s="9" t="s">
        <v>1092</v>
      </c>
      <c r="B4011" s="3" t="s">
        <v>1775</v>
      </c>
      <c r="C4011" s="10">
        <v>14</v>
      </c>
      <c r="D4011" s="10">
        <v>6</v>
      </c>
      <c r="E4011" s="10">
        <v>19</v>
      </c>
      <c r="F4011" t="s">
        <v>2041</v>
      </c>
      <c r="G4011" t="s">
        <v>889</v>
      </c>
      <c r="H4011" t="s">
        <v>35</v>
      </c>
      <c r="I4011" t="s">
        <v>27</v>
      </c>
      <c r="J4011" s="4">
        <v>145.6</v>
      </c>
      <c r="K4011">
        <v>0.20499999999999999</v>
      </c>
      <c r="L4011">
        <v>145.6</v>
      </c>
      <c r="M4011">
        <v>29.847999999999995</v>
      </c>
      <c r="N4011" s="5">
        <v>1.5169469598965066</v>
      </c>
      <c r="O4011" t="s">
        <v>100</v>
      </c>
      <c r="P4011" t="s">
        <v>340</v>
      </c>
      <c r="Q4011" s="10" t="s">
        <v>24</v>
      </c>
    </row>
    <row r="4012" spans="1:18" hidden="1" x14ac:dyDescent="0.25">
      <c r="A4012" s="9" t="s">
        <v>1092</v>
      </c>
      <c r="B4012" s="3" t="s">
        <v>1775</v>
      </c>
      <c r="C4012" s="10">
        <v>14</v>
      </c>
      <c r="D4012" s="10">
        <v>6</v>
      </c>
      <c r="E4012" s="10">
        <v>19</v>
      </c>
      <c r="F4012" t="s">
        <v>99</v>
      </c>
      <c r="G4012" t="s">
        <v>889</v>
      </c>
      <c r="H4012" t="s">
        <v>40</v>
      </c>
      <c r="I4012" t="s">
        <v>27</v>
      </c>
      <c r="J4012" s="4">
        <v>10</v>
      </c>
      <c r="K4012">
        <v>1</v>
      </c>
      <c r="L4012">
        <v>10</v>
      </c>
      <c r="M4012">
        <v>10</v>
      </c>
      <c r="N4012" s="5">
        <v>0.50822398817224168</v>
      </c>
      <c r="O4012" t="s">
        <v>100</v>
      </c>
      <c r="P4012" t="s">
        <v>340</v>
      </c>
      <c r="Q4012" s="10" t="s">
        <v>24</v>
      </c>
    </row>
    <row r="4013" spans="1:18" hidden="1" x14ac:dyDescent="0.25">
      <c r="A4013" s="9" t="s">
        <v>1092</v>
      </c>
      <c r="B4013" s="3" t="s">
        <v>1775</v>
      </c>
      <c r="C4013" s="10">
        <v>14</v>
      </c>
      <c r="D4013" s="10">
        <v>6</v>
      </c>
      <c r="E4013" s="10">
        <v>19</v>
      </c>
      <c r="F4013" t="s">
        <v>1666</v>
      </c>
      <c r="G4013" t="s">
        <v>889</v>
      </c>
      <c r="H4013" t="s">
        <v>889</v>
      </c>
      <c r="I4013" t="s">
        <v>72</v>
      </c>
      <c r="J4013" s="4">
        <v>105.1</v>
      </c>
      <c r="K4013">
        <v>1</v>
      </c>
      <c r="L4013">
        <v>105.1</v>
      </c>
      <c r="M4013">
        <v>105.1</v>
      </c>
      <c r="N4013" s="5">
        <v>5.3414341156902596</v>
      </c>
      <c r="O4013" t="s">
        <v>233</v>
      </c>
      <c r="P4013" t="s">
        <v>340</v>
      </c>
      <c r="Q4013" s="10" t="s">
        <v>24</v>
      </c>
      <c r="R4013" t="s">
        <v>650</v>
      </c>
    </row>
    <row r="4014" spans="1:18" hidden="1" x14ac:dyDescent="0.25">
      <c r="A4014" s="9" t="s">
        <v>1092</v>
      </c>
      <c r="B4014" s="3" t="s">
        <v>1775</v>
      </c>
      <c r="C4014" s="10">
        <v>14</v>
      </c>
      <c r="D4014" s="10">
        <v>6</v>
      </c>
      <c r="E4014" s="10">
        <v>19</v>
      </c>
      <c r="F4014" t="s">
        <v>177</v>
      </c>
      <c r="G4014" t="s">
        <v>889</v>
      </c>
      <c r="H4014" t="s">
        <v>56</v>
      </c>
      <c r="I4014" t="s">
        <v>27</v>
      </c>
      <c r="J4014" s="4">
        <v>15</v>
      </c>
      <c r="K4014">
        <v>1</v>
      </c>
      <c r="L4014">
        <v>15</v>
      </c>
      <c r="M4014">
        <v>15</v>
      </c>
      <c r="N4014" s="5">
        <v>0.76233598225836252</v>
      </c>
      <c r="O4014" t="s">
        <v>593</v>
      </c>
      <c r="P4014" t="s">
        <v>340</v>
      </c>
      <c r="Q4014" s="10" t="s">
        <v>24</v>
      </c>
    </row>
    <row r="4015" spans="1:18" hidden="1" x14ac:dyDescent="0.25">
      <c r="A4015" s="9" t="s">
        <v>1092</v>
      </c>
      <c r="B4015" s="3" t="s">
        <v>1775</v>
      </c>
      <c r="C4015" s="10">
        <v>14</v>
      </c>
      <c r="D4015" s="10">
        <v>6</v>
      </c>
      <c r="E4015" s="10">
        <v>19</v>
      </c>
      <c r="F4015" t="s">
        <v>104</v>
      </c>
      <c r="G4015" t="s">
        <v>889</v>
      </c>
      <c r="H4015" t="s">
        <v>889</v>
      </c>
      <c r="I4015" t="s">
        <v>72</v>
      </c>
      <c r="J4015" s="4">
        <v>99.25</v>
      </c>
      <c r="K4015">
        <v>0.5</v>
      </c>
      <c r="L4015">
        <v>99.25</v>
      </c>
      <c r="M4015">
        <v>49.625</v>
      </c>
      <c r="N4015" s="5">
        <v>2.5220615413047494</v>
      </c>
      <c r="O4015" t="s">
        <v>1859</v>
      </c>
      <c r="P4015" t="s">
        <v>340</v>
      </c>
      <c r="Q4015" s="10" t="s">
        <v>24</v>
      </c>
      <c r="R4015" t="s">
        <v>1864</v>
      </c>
    </row>
    <row r="4016" spans="1:18" hidden="1" x14ac:dyDescent="0.25">
      <c r="A4016" s="9" t="s">
        <v>1092</v>
      </c>
      <c r="B4016" s="3" t="s">
        <v>1775</v>
      </c>
      <c r="C4016" s="10">
        <v>14</v>
      </c>
      <c r="D4016" s="10">
        <v>6</v>
      </c>
      <c r="E4016" s="10">
        <v>19</v>
      </c>
      <c r="F4016" t="s">
        <v>151</v>
      </c>
      <c r="G4016" t="s">
        <v>889</v>
      </c>
      <c r="H4016" t="s">
        <v>889</v>
      </c>
      <c r="I4016" t="s">
        <v>72</v>
      </c>
      <c r="J4016" s="4">
        <v>52.95</v>
      </c>
      <c r="K4016">
        <v>1</v>
      </c>
      <c r="L4016">
        <v>52.95</v>
      </c>
      <c r="M4016">
        <v>52.95</v>
      </c>
      <c r="N4016" s="5">
        <v>2.6910460173720199</v>
      </c>
      <c r="O4016" t="s">
        <v>1859</v>
      </c>
      <c r="P4016" t="s">
        <v>340</v>
      </c>
      <c r="Q4016" s="10" t="s">
        <v>24</v>
      </c>
      <c r="R4016" t="s">
        <v>1858</v>
      </c>
    </row>
    <row r="4017" spans="1:18" hidden="1" x14ac:dyDescent="0.25">
      <c r="A4017" s="9" t="s">
        <v>1092</v>
      </c>
      <c r="B4017" s="3" t="s">
        <v>1775</v>
      </c>
      <c r="C4017" s="10">
        <v>14</v>
      </c>
      <c r="D4017" s="10">
        <v>6</v>
      </c>
      <c r="E4017" s="10">
        <v>19</v>
      </c>
      <c r="F4017" t="s">
        <v>151</v>
      </c>
      <c r="G4017" t="s">
        <v>889</v>
      </c>
      <c r="H4017" t="s">
        <v>889</v>
      </c>
      <c r="I4017" t="s">
        <v>72</v>
      </c>
      <c r="J4017" s="4">
        <v>30.9</v>
      </c>
      <c r="K4017">
        <v>1</v>
      </c>
      <c r="L4017">
        <v>30.9</v>
      </c>
      <c r="M4017">
        <v>30.9</v>
      </c>
      <c r="N4017" s="5">
        <v>1.5704121234522266</v>
      </c>
      <c r="O4017" t="s">
        <v>1859</v>
      </c>
      <c r="P4017" t="s">
        <v>340</v>
      </c>
      <c r="Q4017" s="10" t="s">
        <v>24</v>
      </c>
      <c r="R4017" t="s">
        <v>1862</v>
      </c>
    </row>
    <row r="4018" spans="1:18" hidden="1" x14ac:dyDescent="0.25">
      <c r="A4018" s="9" t="s">
        <v>1092</v>
      </c>
      <c r="B4018" s="3" t="s">
        <v>1775</v>
      </c>
      <c r="C4018" s="10">
        <v>14</v>
      </c>
      <c r="D4018" s="10">
        <v>6</v>
      </c>
      <c r="E4018" s="10">
        <v>19</v>
      </c>
      <c r="F4018" t="s">
        <v>151</v>
      </c>
      <c r="G4018" t="s">
        <v>889</v>
      </c>
      <c r="H4018" t="s">
        <v>889</v>
      </c>
      <c r="I4018" t="s">
        <v>72</v>
      </c>
      <c r="J4018" s="4">
        <v>10.9</v>
      </c>
      <c r="K4018">
        <v>1</v>
      </c>
      <c r="L4018">
        <v>10.9</v>
      </c>
      <c r="M4018">
        <v>10.9</v>
      </c>
      <c r="N4018" s="5">
        <v>0.55396414710774344</v>
      </c>
      <c r="O4018" t="s">
        <v>1859</v>
      </c>
      <c r="P4018" t="s">
        <v>340</v>
      </c>
      <c r="Q4018" s="10" t="s">
        <v>24</v>
      </c>
      <c r="R4018" t="s">
        <v>1863</v>
      </c>
    </row>
    <row r="4019" spans="1:18" hidden="1" x14ac:dyDescent="0.25">
      <c r="A4019" s="9" t="s">
        <v>1092</v>
      </c>
      <c r="B4019" s="3" t="s">
        <v>1775</v>
      </c>
      <c r="C4019" s="10">
        <v>14</v>
      </c>
      <c r="D4019" s="10">
        <v>6</v>
      </c>
      <c r="E4019" s="10">
        <v>19</v>
      </c>
      <c r="F4019" t="s">
        <v>104</v>
      </c>
      <c r="G4019" t="s">
        <v>889</v>
      </c>
      <c r="H4019" t="s">
        <v>1748</v>
      </c>
      <c r="I4019" t="s">
        <v>72</v>
      </c>
      <c r="J4019" s="4">
        <v>14.2</v>
      </c>
      <c r="K4019">
        <v>1</v>
      </c>
      <c r="L4019">
        <v>14.2</v>
      </c>
      <c r="M4019">
        <v>14.2</v>
      </c>
      <c r="N4019" s="5">
        <v>0.72167806320458316</v>
      </c>
      <c r="O4019" t="s">
        <v>1859</v>
      </c>
      <c r="P4019" t="s">
        <v>340</v>
      </c>
      <c r="Q4019" s="10" t="s">
        <v>24</v>
      </c>
      <c r="R4019" t="s">
        <v>1860</v>
      </c>
    </row>
    <row r="4020" spans="1:18" hidden="1" x14ac:dyDescent="0.25">
      <c r="A4020" s="9" t="s">
        <v>1092</v>
      </c>
      <c r="B4020" s="3" t="s">
        <v>1775</v>
      </c>
      <c r="C4020" s="10">
        <v>14</v>
      </c>
      <c r="D4020" s="10">
        <v>6</v>
      </c>
      <c r="E4020" s="10">
        <v>19</v>
      </c>
      <c r="F4020" t="s">
        <v>104</v>
      </c>
      <c r="G4020" t="s">
        <v>889</v>
      </c>
      <c r="H4020" t="s">
        <v>1748</v>
      </c>
      <c r="I4020" t="s">
        <v>72</v>
      </c>
      <c r="J4020" s="4">
        <v>52.7</v>
      </c>
      <c r="K4020">
        <v>6</v>
      </c>
      <c r="L4020">
        <v>52.7</v>
      </c>
      <c r="M4020">
        <v>316.20000000000005</v>
      </c>
      <c r="N4020" s="5">
        <v>16.070042506006285</v>
      </c>
      <c r="O4020" t="s">
        <v>1859</v>
      </c>
      <c r="P4020" t="s">
        <v>340</v>
      </c>
      <c r="Q4020" s="10" t="s">
        <v>24</v>
      </c>
      <c r="R4020" t="s">
        <v>1861</v>
      </c>
    </row>
    <row r="4021" spans="1:18" hidden="1" x14ac:dyDescent="0.25">
      <c r="A4021" s="9" t="s">
        <v>1092</v>
      </c>
      <c r="B4021" s="3" t="s">
        <v>1775</v>
      </c>
      <c r="C4021" s="10">
        <v>14</v>
      </c>
      <c r="D4021" s="10">
        <v>6</v>
      </c>
      <c r="E4021" s="10">
        <v>19</v>
      </c>
      <c r="F4021" t="s">
        <v>107</v>
      </c>
      <c r="G4021" t="s">
        <v>889</v>
      </c>
      <c r="H4021" t="s">
        <v>53</v>
      </c>
      <c r="I4021" t="s">
        <v>27</v>
      </c>
      <c r="J4021" s="4">
        <v>59.5</v>
      </c>
      <c r="K4021">
        <v>2</v>
      </c>
      <c r="L4021">
        <v>59.5</v>
      </c>
      <c r="M4021">
        <v>119</v>
      </c>
      <c r="N4021" s="5">
        <v>6.0478654592496754</v>
      </c>
      <c r="O4021" t="s">
        <v>51</v>
      </c>
      <c r="P4021" t="s">
        <v>340</v>
      </c>
      <c r="Q4021" s="10" t="s">
        <v>24</v>
      </c>
    </row>
    <row r="4022" spans="1:18" hidden="1" x14ac:dyDescent="0.25">
      <c r="A4022" s="9" t="s">
        <v>1092</v>
      </c>
      <c r="B4022" s="3" t="s">
        <v>1775</v>
      </c>
      <c r="C4022" s="10">
        <v>14</v>
      </c>
      <c r="D4022" s="10">
        <v>6</v>
      </c>
      <c r="E4022" s="10">
        <v>19</v>
      </c>
      <c r="F4022" t="s">
        <v>1611</v>
      </c>
      <c r="G4022" t="s">
        <v>889</v>
      </c>
      <c r="H4022" t="s">
        <v>59</v>
      </c>
      <c r="I4022" t="s">
        <v>27</v>
      </c>
      <c r="J4022" s="4">
        <v>169</v>
      </c>
      <c r="K4022">
        <v>1</v>
      </c>
      <c r="L4022">
        <v>169</v>
      </c>
      <c r="M4022">
        <v>169</v>
      </c>
      <c r="N4022" s="5">
        <v>8.5889854001108841</v>
      </c>
      <c r="O4022" t="s">
        <v>51</v>
      </c>
      <c r="P4022" t="s">
        <v>340</v>
      </c>
      <c r="Q4022" s="10" t="s">
        <v>24</v>
      </c>
    </row>
    <row r="4023" spans="1:18" hidden="1" x14ac:dyDescent="0.25">
      <c r="A4023" s="9" t="s">
        <v>1092</v>
      </c>
      <c r="B4023" s="3" t="s">
        <v>1775</v>
      </c>
      <c r="C4023" s="10">
        <v>14</v>
      </c>
      <c r="D4023" s="10">
        <v>6</v>
      </c>
      <c r="E4023" s="10">
        <v>19</v>
      </c>
      <c r="F4023" t="s">
        <v>55</v>
      </c>
      <c r="G4023" t="s">
        <v>889</v>
      </c>
      <c r="H4023" t="s">
        <v>56</v>
      </c>
      <c r="I4023" t="s">
        <v>27</v>
      </c>
      <c r="J4023" s="4">
        <v>24.49</v>
      </c>
      <c r="K4023">
        <v>1</v>
      </c>
      <c r="L4023">
        <v>24.49</v>
      </c>
      <c r="M4023">
        <v>24.49</v>
      </c>
      <c r="N4023" s="5">
        <v>1.2446405470338198</v>
      </c>
      <c r="O4023" t="s">
        <v>51</v>
      </c>
      <c r="P4023" t="s">
        <v>340</v>
      </c>
      <c r="Q4023" s="10" t="s">
        <v>24</v>
      </c>
    </row>
    <row r="4024" spans="1:18" hidden="1" x14ac:dyDescent="0.25">
      <c r="A4024" s="9" t="s">
        <v>1092</v>
      </c>
      <c r="B4024" s="3" t="s">
        <v>1799</v>
      </c>
      <c r="C4024" s="10">
        <v>15</v>
      </c>
      <c r="D4024" s="10">
        <v>6</v>
      </c>
      <c r="E4024" s="10">
        <v>19</v>
      </c>
      <c r="F4024" t="s">
        <v>86</v>
      </c>
      <c r="G4024" t="s">
        <v>889</v>
      </c>
      <c r="H4024" t="s">
        <v>102</v>
      </c>
      <c r="I4024" t="s">
        <v>27</v>
      </c>
      <c r="J4024" s="4">
        <v>15</v>
      </c>
      <c r="K4024">
        <v>1</v>
      </c>
      <c r="L4024">
        <v>15</v>
      </c>
      <c r="M4024">
        <v>15</v>
      </c>
      <c r="N4024" s="5">
        <v>0.76233598225836252</v>
      </c>
      <c r="O4024" t="s">
        <v>1790</v>
      </c>
      <c r="P4024" t="s">
        <v>340</v>
      </c>
      <c r="Q4024" s="10" t="s">
        <v>24</v>
      </c>
    </row>
    <row r="4025" spans="1:18" hidden="1" x14ac:dyDescent="0.25">
      <c r="A4025" s="9" t="s">
        <v>1092</v>
      </c>
      <c r="B4025" s="3" t="s">
        <v>1809</v>
      </c>
      <c r="C4025" s="10">
        <v>2</v>
      </c>
      <c r="D4025" s="10">
        <v>6</v>
      </c>
      <c r="E4025" s="10">
        <v>19</v>
      </c>
      <c r="F4025" t="s">
        <v>78</v>
      </c>
      <c r="G4025" t="s">
        <v>889</v>
      </c>
      <c r="H4025" t="s">
        <v>78</v>
      </c>
      <c r="I4025" t="s">
        <v>79</v>
      </c>
      <c r="J4025" s="4">
        <v>19.47</v>
      </c>
      <c r="K4025">
        <v>53</v>
      </c>
      <c r="L4025">
        <v>19.47</v>
      </c>
      <c r="M4025">
        <v>1031.9099999999999</v>
      </c>
      <c r="N4025" s="5">
        <v>52.444141563481779</v>
      </c>
      <c r="O4025" t="s">
        <v>80</v>
      </c>
      <c r="P4025" t="s">
        <v>340</v>
      </c>
      <c r="Q4025" s="10" t="s">
        <v>24</v>
      </c>
    </row>
    <row r="4026" spans="1:18" hidden="1" x14ac:dyDescent="0.25">
      <c r="A4026" s="9" t="s">
        <v>1092</v>
      </c>
      <c r="B4026" s="3" t="s">
        <v>1809</v>
      </c>
      <c r="C4026" s="10">
        <v>2</v>
      </c>
      <c r="D4026" s="10">
        <v>6</v>
      </c>
      <c r="E4026" s="10">
        <v>19</v>
      </c>
      <c r="F4026" t="s">
        <v>1895</v>
      </c>
      <c r="G4026" t="s">
        <v>224</v>
      </c>
      <c r="H4026" t="s">
        <v>131</v>
      </c>
      <c r="I4026" t="s">
        <v>27</v>
      </c>
      <c r="J4026" s="4">
        <v>51.6</v>
      </c>
      <c r="K4026">
        <v>1</v>
      </c>
      <c r="L4026">
        <v>51.6</v>
      </c>
      <c r="M4026">
        <v>51.6</v>
      </c>
      <c r="N4026" s="5">
        <v>2.6224357789687671</v>
      </c>
      <c r="O4026" t="s">
        <v>100</v>
      </c>
      <c r="P4026" t="s">
        <v>340</v>
      </c>
      <c r="Q4026" s="10" t="s">
        <v>24</v>
      </c>
    </row>
    <row r="4027" spans="1:18" hidden="1" x14ac:dyDescent="0.25">
      <c r="A4027" s="9" t="s">
        <v>1092</v>
      </c>
      <c r="B4027" s="3" t="s">
        <v>1809</v>
      </c>
      <c r="C4027" s="10">
        <v>2</v>
      </c>
      <c r="D4027" s="10">
        <v>6</v>
      </c>
      <c r="E4027" s="10">
        <v>19</v>
      </c>
      <c r="F4027" t="s">
        <v>98</v>
      </c>
      <c r="G4027" t="s">
        <v>889</v>
      </c>
      <c r="H4027" t="s">
        <v>26</v>
      </c>
      <c r="I4027" t="s">
        <v>27</v>
      </c>
      <c r="J4027" s="4">
        <v>46.75</v>
      </c>
      <c r="K4027">
        <v>1</v>
      </c>
      <c r="L4027">
        <v>46.75</v>
      </c>
      <c r="M4027">
        <v>46.75</v>
      </c>
      <c r="N4027" s="5">
        <v>2.3759471447052296</v>
      </c>
      <c r="O4027" t="s">
        <v>100</v>
      </c>
      <c r="P4027" t="s">
        <v>340</v>
      </c>
      <c r="Q4027" s="10" t="s">
        <v>24</v>
      </c>
      <c r="R4027" t="s">
        <v>1768</v>
      </c>
    </row>
    <row r="4028" spans="1:18" hidden="1" x14ac:dyDescent="0.25">
      <c r="A4028" s="9" t="s">
        <v>1092</v>
      </c>
      <c r="B4028" s="3" t="s">
        <v>1809</v>
      </c>
      <c r="C4028" s="10">
        <v>2</v>
      </c>
      <c r="D4028" s="10">
        <v>6</v>
      </c>
      <c r="E4028" s="10">
        <v>19</v>
      </c>
      <c r="F4028" t="s">
        <v>974</v>
      </c>
      <c r="G4028" t="s">
        <v>25</v>
      </c>
      <c r="H4028" t="s">
        <v>26</v>
      </c>
      <c r="I4028" t="s">
        <v>27</v>
      </c>
      <c r="J4028" s="4">
        <v>211.6</v>
      </c>
      <c r="K4028">
        <v>0.27800000000000002</v>
      </c>
      <c r="L4028">
        <v>211.6</v>
      </c>
      <c r="M4028">
        <v>58.824800000000003</v>
      </c>
      <c r="N4028" s="5">
        <v>2.9896174459434484</v>
      </c>
      <c r="O4028" t="s">
        <v>100</v>
      </c>
      <c r="P4028" t="s">
        <v>340</v>
      </c>
      <c r="Q4028" s="10" t="s">
        <v>24</v>
      </c>
    </row>
    <row r="4029" spans="1:18" hidden="1" x14ac:dyDescent="0.25">
      <c r="A4029" s="9" t="s">
        <v>1092</v>
      </c>
      <c r="B4029" s="3" t="s">
        <v>1809</v>
      </c>
      <c r="C4029" s="10">
        <v>2</v>
      </c>
      <c r="D4029" s="10">
        <v>6</v>
      </c>
      <c r="E4029" s="10">
        <v>19</v>
      </c>
      <c r="F4029" t="s">
        <v>2041</v>
      </c>
      <c r="G4029" t="s">
        <v>889</v>
      </c>
      <c r="H4029" t="s">
        <v>35</v>
      </c>
      <c r="I4029" t="s">
        <v>27</v>
      </c>
      <c r="J4029" s="4">
        <v>145.6</v>
      </c>
      <c r="K4029">
        <v>0.21199999999999999</v>
      </c>
      <c r="L4029">
        <v>145.6</v>
      </c>
      <c r="M4029">
        <v>30.867199999999997</v>
      </c>
      <c r="N4029" s="5">
        <v>1.5687451487710216</v>
      </c>
      <c r="O4029" t="s">
        <v>100</v>
      </c>
      <c r="P4029" t="s">
        <v>340</v>
      </c>
      <c r="Q4029" s="10" t="s">
        <v>24</v>
      </c>
    </row>
    <row r="4030" spans="1:18" hidden="1" x14ac:dyDescent="0.25">
      <c r="A4030" s="9" t="s">
        <v>1092</v>
      </c>
      <c r="B4030" s="3" t="s">
        <v>1809</v>
      </c>
      <c r="C4030" s="10">
        <v>2</v>
      </c>
      <c r="D4030" s="10">
        <v>6</v>
      </c>
      <c r="E4030" s="10">
        <v>19</v>
      </c>
      <c r="F4030" t="s">
        <v>1036</v>
      </c>
      <c r="G4030" t="s">
        <v>889</v>
      </c>
      <c r="H4030" t="s">
        <v>38</v>
      </c>
      <c r="I4030" t="s">
        <v>27</v>
      </c>
      <c r="J4030" s="4">
        <v>126</v>
      </c>
      <c r="K4030">
        <v>0.33800000000000002</v>
      </c>
      <c r="L4030">
        <v>126</v>
      </c>
      <c r="M4030">
        <v>42.588000000000001</v>
      </c>
      <c r="N4030" s="5">
        <v>2.1644243208279428</v>
      </c>
      <c r="O4030" t="s">
        <v>100</v>
      </c>
      <c r="P4030" t="s">
        <v>340</v>
      </c>
      <c r="Q4030" s="10" t="s">
        <v>24</v>
      </c>
    </row>
    <row r="4031" spans="1:18" hidden="1" x14ac:dyDescent="0.25">
      <c r="A4031" s="9" t="s">
        <v>1092</v>
      </c>
      <c r="B4031" s="3" t="s">
        <v>1809</v>
      </c>
      <c r="C4031" s="10">
        <v>2</v>
      </c>
      <c r="D4031" s="10">
        <v>6</v>
      </c>
      <c r="E4031" s="10">
        <v>19</v>
      </c>
      <c r="F4031" t="s">
        <v>656</v>
      </c>
      <c r="G4031" t="s">
        <v>33</v>
      </c>
      <c r="H4031" t="s">
        <v>35</v>
      </c>
      <c r="I4031" t="s">
        <v>27</v>
      </c>
      <c r="J4031" s="4">
        <v>105.6</v>
      </c>
      <c r="K4031">
        <v>0.35599999999999998</v>
      </c>
      <c r="L4031">
        <v>105.6</v>
      </c>
      <c r="M4031">
        <v>37.593599999999995</v>
      </c>
      <c r="N4031" s="5">
        <v>1.9105969321751981</v>
      </c>
      <c r="O4031" t="s">
        <v>100</v>
      </c>
      <c r="P4031" t="s">
        <v>340</v>
      </c>
      <c r="Q4031" s="10" t="s">
        <v>24</v>
      </c>
    </row>
    <row r="4032" spans="1:18" hidden="1" x14ac:dyDescent="0.25">
      <c r="A4032" s="9" t="s">
        <v>1092</v>
      </c>
      <c r="B4032" s="3" t="s">
        <v>1809</v>
      </c>
      <c r="C4032" s="10">
        <v>2</v>
      </c>
      <c r="D4032" s="10">
        <v>6</v>
      </c>
      <c r="E4032" s="10">
        <v>19</v>
      </c>
      <c r="F4032" t="s">
        <v>155</v>
      </c>
      <c r="G4032" t="s">
        <v>155</v>
      </c>
      <c r="H4032" t="s">
        <v>131</v>
      </c>
      <c r="I4032" t="s">
        <v>27</v>
      </c>
      <c r="J4032" s="4">
        <v>45</v>
      </c>
      <c r="K4032">
        <v>1</v>
      </c>
      <c r="L4032">
        <v>45</v>
      </c>
      <c r="M4032">
        <v>45</v>
      </c>
      <c r="N4032" s="5">
        <v>2.2870079467750872</v>
      </c>
      <c r="O4032" t="s">
        <v>100</v>
      </c>
      <c r="P4032" t="s">
        <v>340</v>
      </c>
      <c r="Q4032" s="10" t="s">
        <v>24</v>
      </c>
    </row>
    <row r="4033" spans="1:17" hidden="1" x14ac:dyDescent="0.25">
      <c r="A4033" s="9" t="s">
        <v>1092</v>
      </c>
      <c r="B4033" s="3" t="s">
        <v>1809</v>
      </c>
      <c r="C4033" s="10">
        <v>2</v>
      </c>
      <c r="D4033" s="10">
        <v>6</v>
      </c>
      <c r="E4033" s="10">
        <v>19</v>
      </c>
      <c r="F4033" t="s">
        <v>155</v>
      </c>
      <c r="G4033" t="s">
        <v>155</v>
      </c>
      <c r="H4033" t="s">
        <v>131</v>
      </c>
      <c r="I4033" t="s">
        <v>27</v>
      </c>
      <c r="J4033" s="4">
        <v>27.6</v>
      </c>
      <c r="K4033">
        <v>1</v>
      </c>
      <c r="L4033">
        <v>27.6</v>
      </c>
      <c r="M4033">
        <v>27.6</v>
      </c>
      <c r="N4033" s="5">
        <v>1.4026982073553871</v>
      </c>
      <c r="O4033" t="s">
        <v>100</v>
      </c>
      <c r="P4033" t="s">
        <v>340</v>
      </c>
      <c r="Q4033" s="10" t="s">
        <v>24</v>
      </c>
    </row>
    <row r="4034" spans="1:17" hidden="1" x14ac:dyDescent="0.25">
      <c r="A4034" s="9" t="s">
        <v>1092</v>
      </c>
      <c r="B4034" s="3" t="s">
        <v>1809</v>
      </c>
      <c r="C4034" s="10">
        <v>2</v>
      </c>
      <c r="D4034" s="10">
        <v>6</v>
      </c>
      <c r="E4034" s="10">
        <v>19</v>
      </c>
      <c r="F4034" t="s">
        <v>155</v>
      </c>
      <c r="G4034" t="s">
        <v>155</v>
      </c>
      <c r="H4034" t="s">
        <v>131</v>
      </c>
      <c r="I4034" t="s">
        <v>27</v>
      </c>
      <c r="J4034" s="4">
        <v>80</v>
      </c>
      <c r="K4034">
        <v>1</v>
      </c>
      <c r="L4034">
        <v>80</v>
      </c>
      <c r="M4034">
        <v>80</v>
      </c>
      <c r="N4034" s="5">
        <v>4.0657919053779334</v>
      </c>
      <c r="O4034" t="s">
        <v>100</v>
      </c>
      <c r="P4034" t="s">
        <v>340</v>
      </c>
      <c r="Q4034" s="10" t="s">
        <v>24</v>
      </c>
    </row>
    <row r="4035" spans="1:17" hidden="1" x14ac:dyDescent="0.25">
      <c r="A4035" s="9" t="s">
        <v>1092</v>
      </c>
      <c r="B4035" s="3" t="s">
        <v>1809</v>
      </c>
      <c r="C4035" s="10">
        <v>2</v>
      </c>
      <c r="D4035" s="10">
        <v>6</v>
      </c>
      <c r="E4035" s="10">
        <v>19</v>
      </c>
      <c r="F4035" t="s">
        <v>155</v>
      </c>
      <c r="G4035" t="s">
        <v>155</v>
      </c>
      <c r="H4035" t="s">
        <v>131</v>
      </c>
      <c r="I4035" t="s">
        <v>27</v>
      </c>
      <c r="J4035" s="4">
        <v>80.599999999999994</v>
      </c>
      <c r="K4035">
        <v>1</v>
      </c>
      <c r="L4035">
        <v>80.599999999999994</v>
      </c>
      <c r="M4035">
        <v>80.599999999999994</v>
      </c>
      <c r="N4035" s="5">
        <v>4.0962853446682672</v>
      </c>
      <c r="O4035" t="s">
        <v>100</v>
      </c>
      <c r="P4035" t="s">
        <v>340</v>
      </c>
      <c r="Q4035" s="10" t="s">
        <v>24</v>
      </c>
    </row>
    <row r="4036" spans="1:17" hidden="1" x14ac:dyDescent="0.25">
      <c r="A4036" s="9" t="s">
        <v>1092</v>
      </c>
      <c r="B4036" s="3" t="s">
        <v>1809</v>
      </c>
      <c r="C4036" s="10">
        <v>2</v>
      </c>
      <c r="D4036" s="10">
        <v>6</v>
      </c>
      <c r="E4036" s="10">
        <v>19</v>
      </c>
      <c r="F4036" t="s">
        <v>958</v>
      </c>
      <c r="G4036" t="s">
        <v>889</v>
      </c>
      <c r="H4036" t="s">
        <v>53</v>
      </c>
      <c r="I4036" t="s">
        <v>27</v>
      </c>
      <c r="J4036" s="4">
        <v>29.9</v>
      </c>
      <c r="K4036">
        <v>6</v>
      </c>
      <c r="L4036">
        <v>29.9</v>
      </c>
      <c r="M4036">
        <v>165.06999999999996</v>
      </c>
      <c r="N4036" s="5">
        <v>8.3892533727591907</v>
      </c>
      <c r="O4036" t="s">
        <v>51</v>
      </c>
      <c r="P4036" t="s">
        <v>340</v>
      </c>
      <c r="Q4036" s="10" t="s">
        <v>24</v>
      </c>
    </row>
    <row r="4037" spans="1:17" hidden="1" x14ac:dyDescent="0.25">
      <c r="A4037" s="9" t="s">
        <v>1092</v>
      </c>
      <c r="B4037" s="3" t="s">
        <v>1809</v>
      </c>
      <c r="C4037" s="10">
        <v>2</v>
      </c>
      <c r="D4037" s="10">
        <v>6</v>
      </c>
      <c r="E4037" s="10">
        <v>19</v>
      </c>
      <c r="F4037" t="s">
        <v>1949</v>
      </c>
      <c r="G4037" t="s">
        <v>889</v>
      </c>
      <c r="H4037" t="s">
        <v>49</v>
      </c>
      <c r="I4037" t="s">
        <v>79</v>
      </c>
      <c r="J4037" s="4">
        <v>19.899999999999999</v>
      </c>
      <c r="K4037">
        <v>1</v>
      </c>
      <c r="L4037">
        <v>19.899999999999999</v>
      </c>
      <c r="M4037">
        <v>19.899999999999999</v>
      </c>
      <c r="N4037" s="5">
        <v>1.0113657364627608</v>
      </c>
      <c r="O4037" t="s">
        <v>51</v>
      </c>
      <c r="P4037" t="s">
        <v>340</v>
      </c>
      <c r="Q4037" s="10" t="s">
        <v>24</v>
      </c>
    </row>
    <row r="4038" spans="1:17" hidden="1" x14ac:dyDescent="0.25">
      <c r="A4038" s="9" t="s">
        <v>1092</v>
      </c>
      <c r="B4038" s="3" t="s">
        <v>1809</v>
      </c>
      <c r="C4038" s="10">
        <v>2</v>
      </c>
      <c r="D4038" s="10">
        <v>6</v>
      </c>
      <c r="E4038" s="10">
        <v>19</v>
      </c>
      <c r="F4038" t="s">
        <v>328</v>
      </c>
      <c r="G4038" t="s">
        <v>328</v>
      </c>
      <c r="H4038" t="s">
        <v>49</v>
      </c>
      <c r="I4038" t="s">
        <v>50</v>
      </c>
      <c r="J4038" s="4">
        <v>10.49</v>
      </c>
      <c r="K4038">
        <v>1</v>
      </c>
      <c r="L4038">
        <v>10.49</v>
      </c>
      <c r="M4038">
        <v>10.49</v>
      </c>
      <c r="N4038" s="5">
        <v>0.53312696359268152</v>
      </c>
      <c r="O4038" t="s">
        <v>51</v>
      </c>
      <c r="P4038" t="s">
        <v>340</v>
      </c>
      <c r="Q4038" s="10" t="s">
        <v>24</v>
      </c>
    </row>
    <row r="4039" spans="1:17" hidden="1" x14ac:dyDescent="0.25">
      <c r="A4039" s="9" t="s">
        <v>1092</v>
      </c>
      <c r="B4039" s="3" t="s">
        <v>1809</v>
      </c>
      <c r="C4039" s="10">
        <v>2</v>
      </c>
      <c r="D4039" s="10">
        <v>6</v>
      </c>
      <c r="E4039" s="10">
        <v>19</v>
      </c>
      <c r="F4039" t="s">
        <v>328</v>
      </c>
      <c r="G4039" t="s">
        <v>328</v>
      </c>
      <c r="H4039" t="s">
        <v>49</v>
      </c>
      <c r="I4039" t="s">
        <v>50</v>
      </c>
      <c r="J4039" s="4">
        <v>13.9</v>
      </c>
      <c r="K4039">
        <v>2</v>
      </c>
      <c r="L4039">
        <v>13.9</v>
      </c>
      <c r="M4039">
        <v>27.8</v>
      </c>
      <c r="N4039" s="5">
        <v>1.4128626871188319</v>
      </c>
      <c r="O4039" t="s">
        <v>51</v>
      </c>
      <c r="P4039" t="s">
        <v>340</v>
      </c>
      <c r="Q4039" s="10" t="s">
        <v>24</v>
      </c>
    </row>
    <row r="4040" spans="1:17" hidden="1" x14ac:dyDescent="0.25">
      <c r="A4040" s="9" t="s">
        <v>1092</v>
      </c>
      <c r="B4040" s="3" t="s">
        <v>1809</v>
      </c>
      <c r="C4040" s="10">
        <v>2</v>
      </c>
      <c r="D4040" s="10">
        <v>6</v>
      </c>
      <c r="E4040" s="10">
        <v>19</v>
      </c>
      <c r="F4040" t="s">
        <v>1185</v>
      </c>
      <c r="G4040" t="s">
        <v>889</v>
      </c>
      <c r="H4040" t="s">
        <v>73</v>
      </c>
      <c r="I4040" t="s">
        <v>27</v>
      </c>
      <c r="J4040" s="4">
        <v>21.6</v>
      </c>
      <c r="K4040">
        <v>1</v>
      </c>
      <c r="L4040">
        <v>21.6</v>
      </c>
      <c r="M4040">
        <v>21.6</v>
      </c>
      <c r="N4040" s="5">
        <v>1.0977638144520421</v>
      </c>
      <c r="O4040" t="s">
        <v>51</v>
      </c>
      <c r="P4040" t="s">
        <v>340</v>
      </c>
      <c r="Q4040" s="10" t="s">
        <v>24</v>
      </c>
    </row>
    <row r="4041" spans="1:17" hidden="1" x14ac:dyDescent="0.25">
      <c r="A4041" s="9" t="s">
        <v>1092</v>
      </c>
      <c r="B4041" s="3" t="s">
        <v>1809</v>
      </c>
      <c r="C4041" s="10">
        <v>2</v>
      </c>
      <c r="D4041" s="10">
        <v>6</v>
      </c>
      <c r="E4041" s="10">
        <v>19</v>
      </c>
      <c r="F4041" t="s">
        <v>44</v>
      </c>
      <c r="G4041" t="s">
        <v>889</v>
      </c>
      <c r="H4041" t="s">
        <v>44</v>
      </c>
      <c r="I4041" t="s">
        <v>27</v>
      </c>
      <c r="J4041" s="4">
        <v>12.49</v>
      </c>
      <c r="K4041">
        <v>2</v>
      </c>
      <c r="L4041">
        <v>12.49</v>
      </c>
      <c r="M4041">
        <v>24.98</v>
      </c>
      <c r="N4041" s="5">
        <v>1.2695435224542597</v>
      </c>
      <c r="O4041" t="s">
        <v>51</v>
      </c>
      <c r="P4041" t="s">
        <v>340</v>
      </c>
      <c r="Q4041" s="10" t="s">
        <v>24</v>
      </c>
    </row>
    <row r="4042" spans="1:17" hidden="1" x14ac:dyDescent="0.25">
      <c r="A4042" s="9" t="s">
        <v>1092</v>
      </c>
      <c r="B4042" s="3" t="s">
        <v>1809</v>
      </c>
      <c r="C4042" s="10">
        <v>2</v>
      </c>
      <c r="D4042" s="10">
        <v>6</v>
      </c>
      <c r="E4042" s="10">
        <v>19</v>
      </c>
      <c r="F4042" t="s">
        <v>44</v>
      </c>
      <c r="G4042" t="s">
        <v>889</v>
      </c>
      <c r="H4042" t="s">
        <v>44</v>
      </c>
      <c r="I4042" t="s">
        <v>27</v>
      </c>
      <c r="J4042" s="4">
        <v>14.99</v>
      </c>
      <c r="K4042">
        <v>8</v>
      </c>
      <c r="L4042">
        <v>14.99</v>
      </c>
      <c r="M4042">
        <v>117.69</v>
      </c>
      <c r="N4042" s="5">
        <v>5.9812881167991119</v>
      </c>
      <c r="O4042" t="s">
        <v>51</v>
      </c>
      <c r="P4042" t="s">
        <v>340</v>
      </c>
      <c r="Q4042" s="10" t="s">
        <v>24</v>
      </c>
    </row>
    <row r="4043" spans="1:17" hidden="1" x14ac:dyDescent="0.25">
      <c r="A4043" s="9" t="s">
        <v>1092</v>
      </c>
      <c r="B4043" s="3" t="s">
        <v>1809</v>
      </c>
      <c r="C4043" s="10">
        <v>2</v>
      </c>
      <c r="D4043" s="10">
        <v>6</v>
      </c>
      <c r="E4043" s="10">
        <v>19</v>
      </c>
      <c r="F4043" t="s">
        <v>140</v>
      </c>
      <c r="G4043" t="s">
        <v>889</v>
      </c>
      <c r="H4043" t="s">
        <v>49</v>
      </c>
      <c r="I4043" t="s">
        <v>50</v>
      </c>
      <c r="J4043" s="4">
        <v>43.9</v>
      </c>
      <c r="K4043">
        <v>1</v>
      </c>
      <c r="L4043">
        <v>43.9</v>
      </c>
      <c r="M4043">
        <v>43.9</v>
      </c>
      <c r="N4043" s="5">
        <v>2.2311033080761407</v>
      </c>
      <c r="O4043" t="s">
        <v>51</v>
      </c>
      <c r="P4043" t="s">
        <v>340</v>
      </c>
      <c r="Q4043" s="10" t="s">
        <v>24</v>
      </c>
    </row>
    <row r="4044" spans="1:17" hidden="1" x14ac:dyDescent="0.25">
      <c r="A4044" s="9" t="s">
        <v>1092</v>
      </c>
      <c r="B4044" s="3" t="s">
        <v>1809</v>
      </c>
      <c r="C4044" s="10">
        <v>2</v>
      </c>
      <c r="D4044" s="10">
        <v>6</v>
      </c>
      <c r="E4044" s="10">
        <v>19</v>
      </c>
      <c r="F4044" t="s">
        <v>577</v>
      </c>
      <c r="G4044" t="s">
        <v>889</v>
      </c>
      <c r="H4044" t="s">
        <v>49</v>
      </c>
      <c r="I4044" t="s">
        <v>50</v>
      </c>
      <c r="J4044" s="4">
        <v>167.88</v>
      </c>
      <c r="K4044">
        <v>1</v>
      </c>
      <c r="L4044">
        <v>167.88</v>
      </c>
      <c r="M4044">
        <v>167.88</v>
      </c>
      <c r="N4044" s="5">
        <v>8.5320643134355922</v>
      </c>
      <c r="O4044" t="s">
        <v>51</v>
      </c>
      <c r="P4044" t="s">
        <v>340</v>
      </c>
      <c r="Q4044" s="10" t="s">
        <v>24</v>
      </c>
    </row>
    <row r="4045" spans="1:17" hidden="1" x14ac:dyDescent="0.25">
      <c r="A4045" s="9" t="s">
        <v>1092</v>
      </c>
      <c r="B4045" s="3" t="s">
        <v>1809</v>
      </c>
      <c r="C4045" s="10">
        <v>2</v>
      </c>
      <c r="D4045" s="10">
        <v>6</v>
      </c>
      <c r="E4045" s="10">
        <v>19</v>
      </c>
      <c r="F4045" t="s">
        <v>388</v>
      </c>
      <c r="G4045" t="s">
        <v>889</v>
      </c>
      <c r="H4045" t="s">
        <v>49</v>
      </c>
      <c r="I4045" t="s">
        <v>50</v>
      </c>
      <c r="J4045" s="4">
        <v>29.98</v>
      </c>
      <c r="K4045">
        <v>1</v>
      </c>
      <c r="L4045">
        <v>29.98</v>
      </c>
      <c r="M4045">
        <v>29.98</v>
      </c>
      <c r="N4045" s="5">
        <v>1.5236555165403805</v>
      </c>
      <c r="O4045" t="s">
        <v>51</v>
      </c>
      <c r="P4045" t="s">
        <v>340</v>
      </c>
      <c r="Q4045" s="10" t="s">
        <v>24</v>
      </c>
    </row>
    <row r="4046" spans="1:17" hidden="1" x14ac:dyDescent="0.25">
      <c r="A4046" s="9" t="s">
        <v>1092</v>
      </c>
      <c r="B4046" s="3" t="s">
        <v>1809</v>
      </c>
      <c r="C4046" s="10">
        <v>2</v>
      </c>
      <c r="D4046" s="10">
        <v>6</v>
      </c>
      <c r="E4046" s="10">
        <v>19</v>
      </c>
      <c r="F4046" t="s">
        <v>577</v>
      </c>
      <c r="G4046" t="s">
        <v>889</v>
      </c>
      <c r="H4046" t="s">
        <v>49</v>
      </c>
      <c r="I4046" t="s">
        <v>50</v>
      </c>
      <c r="J4046" s="4">
        <v>109</v>
      </c>
      <c r="K4046">
        <v>1</v>
      </c>
      <c r="L4046">
        <v>109</v>
      </c>
      <c r="M4046">
        <v>109</v>
      </c>
      <c r="N4046" s="5">
        <v>5.5396414710774344</v>
      </c>
      <c r="O4046" t="s">
        <v>51</v>
      </c>
      <c r="P4046" t="s">
        <v>340</v>
      </c>
      <c r="Q4046" s="10" t="s">
        <v>84</v>
      </c>
    </row>
    <row r="4047" spans="1:17" hidden="1" x14ac:dyDescent="0.25">
      <c r="A4047" s="9" t="s">
        <v>1092</v>
      </c>
      <c r="B4047" s="3" t="s">
        <v>1809</v>
      </c>
      <c r="C4047" s="10">
        <v>2</v>
      </c>
      <c r="D4047" s="10">
        <v>6</v>
      </c>
      <c r="E4047" s="10">
        <v>19</v>
      </c>
      <c r="F4047" t="s">
        <v>75</v>
      </c>
      <c r="G4047" t="s">
        <v>889</v>
      </c>
      <c r="H4047" t="s">
        <v>65</v>
      </c>
      <c r="I4047" t="s">
        <v>27</v>
      </c>
      <c r="J4047" s="4">
        <v>8.69</v>
      </c>
      <c r="K4047">
        <v>9</v>
      </c>
      <c r="L4047">
        <v>8.69</v>
      </c>
      <c r="M4047">
        <v>71.949999999999989</v>
      </c>
      <c r="N4047" s="5">
        <v>3.6566715948992781</v>
      </c>
      <c r="O4047" t="s">
        <v>51</v>
      </c>
      <c r="P4047" t="s">
        <v>340</v>
      </c>
      <c r="Q4047" s="10" t="s">
        <v>24</v>
      </c>
    </row>
    <row r="4048" spans="1:17" hidden="1" x14ac:dyDescent="0.25">
      <c r="A4048" s="9" t="s">
        <v>1092</v>
      </c>
      <c r="B4048" s="3" t="s">
        <v>1809</v>
      </c>
      <c r="C4048" s="10">
        <v>2</v>
      </c>
      <c r="D4048" s="10">
        <v>6</v>
      </c>
      <c r="E4048" s="10">
        <v>19</v>
      </c>
      <c r="F4048" t="s">
        <v>1322</v>
      </c>
      <c r="G4048" t="s">
        <v>889</v>
      </c>
      <c r="H4048" t="s">
        <v>65</v>
      </c>
      <c r="I4048" t="s">
        <v>27</v>
      </c>
      <c r="J4048" s="4">
        <v>8.69</v>
      </c>
      <c r="K4048">
        <v>3</v>
      </c>
      <c r="L4048">
        <v>8.69</v>
      </c>
      <c r="M4048">
        <v>26.07</v>
      </c>
      <c r="N4048" s="5">
        <v>1.3249399371650341</v>
      </c>
      <c r="O4048" t="s">
        <v>51</v>
      </c>
      <c r="P4048" t="s">
        <v>340</v>
      </c>
      <c r="Q4048" s="10" t="s">
        <v>24</v>
      </c>
    </row>
    <row r="4049" spans="1:18" hidden="1" x14ac:dyDescent="0.25">
      <c r="A4049" s="9" t="s">
        <v>1092</v>
      </c>
      <c r="B4049" s="3" t="s">
        <v>1809</v>
      </c>
      <c r="C4049" s="10">
        <v>2</v>
      </c>
      <c r="D4049" s="10">
        <v>6</v>
      </c>
      <c r="E4049" s="10">
        <v>19</v>
      </c>
      <c r="F4049" t="s">
        <v>1294</v>
      </c>
      <c r="G4049" t="s">
        <v>889</v>
      </c>
      <c r="H4049" t="s">
        <v>131</v>
      </c>
      <c r="I4049" t="s">
        <v>27</v>
      </c>
      <c r="J4049" s="4">
        <v>9.9</v>
      </c>
      <c r="K4049">
        <v>2</v>
      </c>
      <c r="L4049">
        <v>9.9</v>
      </c>
      <c r="M4049">
        <v>19.8</v>
      </c>
      <c r="N4049" s="5">
        <v>1.0062834965810386</v>
      </c>
      <c r="O4049" t="s">
        <v>51</v>
      </c>
      <c r="P4049" t="s">
        <v>340</v>
      </c>
      <c r="Q4049" s="10" t="s">
        <v>24</v>
      </c>
    </row>
    <row r="4050" spans="1:18" hidden="1" x14ac:dyDescent="0.25">
      <c r="A4050" s="9" t="s">
        <v>1092</v>
      </c>
      <c r="B4050" s="3" t="s">
        <v>1809</v>
      </c>
      <c r="C4050" s="10">
        <v>2</v>
      </c>
      <c r="D4050" s="10">
        <v>6</v>
      </c>
      <c r="E4050" s="10">
        <v>19</v>
      </c>
      <c r="F4050" t="s">
        <v>1611</v>
      </c>
      <c r="G4050" t="s">
        <v>889</v>
      </c>
      <c r="H4050" t="s">
        <v>59</v>
      </c>
      <c r="I4050" t="s">
        <v>27</v>
      </c>
      <c r="J4050" s="4">
        <v>159</v>
      </c>
      <c r="K4050">
        <v>1</v>
      </c>
      <c r="L4050">
        <v>159</v>
      </c>
      <c r="M4050">
        <v>159</v>
      </c>
      <c r="N4050" s="5">
        <v>8.0807614119386422</v>
      </c>
      <c r="O4050" t="s">
        <v>51</v>
      </c>
      <c r="P4050" t="s">
        <v>340</v>
      </c>
      <c r="Q4050" s="10" t="s">
        <v>24</v>
      </c>
    </row>
    <row r="4051" spans="1:18" hidden="1" x14ac:dyDescent="0.25">
      <c r="A4051" s="9" t="s">
        <v>1092</v>
      </c>
      <c r="B4051" s="3" t="s">
        <v>1809</v>
      </c>
      <c r="C4051" s="10">
        <v>2</v>
      </c>
      <c r="D4051" s="10">
        <v>6</v>
      </c>
      <c r="E4051" s="10">
        <v>19</v>
      </c>
      <c r="F4051" t="s">
        <v>1692</v>
      </c>
      <c r="G4051" t="s">
        <v>889</v>
      </c>
      <c r="H4051" t="s">
        <v>49</v>
      </c>
      <c r="I4051" t="s">
        <v>50</v>
      </c>
      <c r="J4051" s="4">
        <v>33.49</v>
      </c>
      <c r="K4051">
        <v>1</v>
      </c>
      <c r="L4051">
        <v>33.49</v>
      </c>
      <c r="M4051">
        <v>33.49</v>
      </c>
      <c r="N4051" s="5">
        <v>1.7020421363888374</v>
      </c>
      <c r="O4051" t="s">
        <v>51</v>
      </c>
      <c r="P4051" t="s">
        <v>340</v>
      </c>
      <c r="Q4051" s="10" t="s">
        <v>24</v>
      </c>
    </row>
    <row r="4052" spans="1:18" hidden="1" x14ac:dyDescent="0.25">
      <c r="A4052" s="9" t="s">
        <v>1092</v>
      </c>
      <c r="B4052" s="3" t="s">
        <v>2113</v>
      </c>
      <c r="C4052" s="10">
        <v>20</v>
      </c>
      <c r="D4052" s="10">
        <v>6</v>
      </c>
      <c r="E4052" s="10">
        <v>19</v>
      </c>
      <c r="F4052" t="s">
        <v>2112</v>
      </c>
      <c r="G4052" t="s">
        <v>889</v>
      </c>
      <c r="H4052" t="s">
        <v>889</v>
      </c>
      <c r="I4052" t="s">
        <v>82</v>
      </c>
      <c r="J4052" s="4">
        <v>28.5</v>
      </c>
      <c r="K4052">
        <v>1</v>
      </c>
      <c r="L4052">
        <v>560.77636363636373</v>
      </c>
      <c r="M4052">
        <v>560.77636363636373</v>
      </c>
      <c r="N4052" s="5">
        <v>28.5</v>
      </c>
      <c r="O4052" t="s">
        <v>2109</v>
      </c>
      <c r="P4052" t="s">
        <v>469</v>
      </c>
      <c r="Q4052" s="10" t="s">
        <v>24</v>
      </c>
      <c r="R4052" t="s">
        <v>2110</v>
      </c>
    </row>
    <row r="4053" spans="1:18" hidden="1" x14ac:dyDescent="0.25">
      <c r="A4053" s="30" t="s">
        <v>1092</v>
      </c>
      <c r="B4053" s="39" t="s">
        <v>2113</v>
      </c>
      <c r="C4053" s="31">
        <v>20</v>
      </c>
      <c r="D4053" s="31">
        <v>6</v>
      </c>
      <c r="E4053" s="31">
        <v>19</v>
      </c>
      <c r="F4053" s="32" t="s">
        <v>2155</v>
      </c>
      <c r="G4053" s="32" t="s">
        <v>889</v>
      </c>
      <c r="H4053" s="32" t="s">
        <v>889</v>
      </c>
      <c r="I4053" s="32" t="s">
        <v>82</v>
      </c>
      <c r="J4053" s="4">
        <v>14.99</v>
      </c>
      <c r="K4053">
        <v>1</v>
      </c>
      <c r="L4053" s="32">
        <v>296.77701666666667</v>
      </c>
      <c r="M4053" s="32">
        <v>296.77701666666667</v>
      </c>
      <c r="N4053" s="33">
        <v>14.99</v>
      </c>
      <c r="O4053" s="32" t="s">
        <v>2153</v>
      </c>
      <c r="P4053" s="32" t="s">
        <v>469</v>
      </c>
      <c r="Q4053" s="45" t="s">
        <v>24</v>
      </c>
      <c r="R4053" t="s">
        <v>2156</v>
      </c>
    </row>
    <row r="4054" spans="1:18" hidden="1" x14ac:dyDescent="0.25">
      <c r="A4054" s="9" t="s">
        <v>1092</v>
      </c>
      <c r="B4054" s="3" t="s">
        <v>2152</v>
      </c>
      <c r="C4054" s="10">
        <v>21</v>
      </c>
      <c r="D4054" s="10">
        <v>6</v>
      </c>
      <c r="E4054" s="10">
        <v>19</v>
      </c>
      <c r="F4054" t="s">
        <v>2154</v>
      </c>
      <c r="G4054" t="s">
        <v>889</v>
      </c>
      <c r="H4054" t="s">
        <v>889</v>
      </c>
      <c r="I4054" t="s">
        <v>82</v>
      </c>
      <c r="J4054" s="4">
        <v>9.99</v>
      </c>
      <c r="K4054">
        <v>1</v>
      </c>
      <c r="L4054">
        <v>197.78534999999999</v>
      </c>
      <c r="M4054">
        <v>197.78534999999999</v>
      </c>
      <c r="N4054" s="5">
        <v>9.99</v>
      </c>
      <c r="O4054" t="s">
        <v>2153</v>
      </c>
      <c r="P4054" s="10" t="s">
        <v>469</v>
      </c>
      <c r="Q4054" s="10" t="s">
        <v>24</v>
      </c>
      <c r="R4054" t="s">
        <v>2156</v>
      </c>
    </row>
    <row r="4055" spans="1:18" hidden="1" x14ac:dyDescent="0.25">
      <c r="A4055" s="9" t="s">
        <v>1092</v>
      </c>
      <c r="B4055" s="3" t="s">
        <v>2111</v>
      </c>
      <c r="C4055" s="10">
        <v>22</v>
      </c>
      <c r="D4055" s="10">
        <v>6</v>
      </c>
      <c r="E4055" s="10">
        <v>19</v>
      </c>
      <c r="F4055" t="s">
        <v>2108</v>
      </c>
      <c r="G4055" t="s">
        <v>889</v>
      </c>
      <c r="H4055" t="s">
        <v>889</v>
      </c>
      <c r="I4055" t="s">
        <v>431</v>
      </c>
      <c r="J4055" s="4">
        <v>15</v>
      </c>
      <c r="K4055">
        <v>1</v>
      </c>
      <c r="L4055">
        <v>295.14545454545458</v>
      </c>
      <c r="M4055">
        <v>295.14545454545458</v>
      </c>
      <c r="N4055" s="5">
        <v>15</v>
      </c>
      <c r="O4055" t="s">
        <v>2109</v>
      </c>
      <c r="P4055" t="s">
        <v>469</v>
      </c>
      <c r="Q4055" s="10" t="s">
        <v>24</v>
      </c>
      <c r="R4055" t="s">
        <v>2110</v>
      </c>
    </row>
    <row r="4056" spans="1:18" hidden="1" x14ac:dyDescent="0.25">
      <c r="A4056" s="9" t="s">
        <v>1092</v>
      </c>
      <c r="B4056" s="3" t="s">
        <v>1152</v>
      </c>
      <c r="C4056" s="10">
        <v>23</v>
      </c>
      <c r="D4056" s="10">
        <v>6</v>
      </c>
      <c r="E4056" s="10">
        <v>19</v>
      </c>
      <c r="F4056" t="s">
        <v>596</v>
      </c>
      <c r="G4056" t="s">
        <v>889</v>
      </c>
      <c r="H4056" t="s">
        <v>56</v>
      </c>
      <c r="I4056" t="s">
        <v>27</v>
      </c>
      <c r="J4056" s="4">
        <v>12</v>
      </c>
      <c r="K4056">
        <v>1.25</v>
      </c>
      <c r="L4056">
        <v>12</v>
      </c>
      <c r="M4056">
        <v>15</v>
      </c>
      <c r="N4056" s="5">
        <v>0.76320341915131784</v>
      </c>
      <c r="O4056" t="s">
        <v>593</v>
      </c>
      <c r="P4056" t="s">
        <v>340</v>
      </c>
      <c r="Q4056" s="10" t="s">
        <v>1102</v>
      </c>
    </row>
    <row r="4057" spans="1:18" hidden="1" x14ac:dyDescent="0.25">
      <c r="A4057" s="9" t="s">
        <v>1092</v>
      </c>
      <c r="B4057" s="3" t="s">
        <v>2001</v>
      </c>
      <c r="C4057" s="10">
        <v>27</v>
      </c>
      <c r="D4057" s="10">
        <v>6</v>
      </c>
      <c r="E4057" s="10">
        <v>19</v>
      </c>
      <c r="F4057" t="s">
        <v>38</v>
      </c>
      <c r="G4057" t="s">
        <v>889</v>
      </c>
      <c r="H4057" t="s">
        <v>39</v>
      </c>
      <c r="I4057" t="s">
        <v>27</v>
      </c>
      <c r="J4057" s="4">
        <v>160</v>
      </c>
      <c r="K4057">
        <v>0.24199999999999999</v>
      </c>
      <c r="L4057">
        <v>160</v>
      </c>
      <c r="M4057">
        <v>38.72</v>
      </c>
      <c r="N4057" s="5">
        <v>1.9678432822029197</v>
      </c>
      <c r="O4057" t="s">
        <v>767</v>
      </c>
      <c r="P4057" t="s">
        <v>340</v>
      </c>
      <c r="Q4057" s="10" t="s">
        <v>24</v>
      </c>
    </row>
    <row r="4058" spans="1:18" hidden="1" x14ac:dyDescent="0.25">
      <c r="A4058" s="9" t="s">
        <v>1092</v>
      </c>
      <c r="B4058" s="3" t="s">
        <v>1871</v>
      </c>
      <c r="C4058" s="10">
        <v>4</v>
      </c>
      <c r="D4058" s="10">
        <v>6</v>
      </c>
      <c r="E4058" s="10">
        <v>19</v>
      </c>
      <c r="F4058" t="s">
        <v>151</v>
      </c>
      <c r="G4058" t="s">
        <v>889</v>
      </c>
      <c r="H4058" t="s">
        <v>889</v>
      </c>
      <c r="I4058" t="s">
        <v>72</v>
      </c>
      <c r="J4058" s="4">
        <v>19.87</v>
      </c>
      <c r="K4058">
        <v>1</v>
      </c>
      <c r="L4058">
        <v>19.87</v>
      </c>
      <c r="M4058">
        <v>19.87</v>
      </c>
      <c r="N4058" s="5">
        <v>1.0098410644982443</v>
      </c>
      <c r="O4058" t="s">
        <v>629</v>
      </c>
      <c r="P4058" t="s">
        <v>340</v>
      </c>
      <c r="Q4058" s="10" t="s">
        <v>24</v>
      </c>
      <c r="R4058" t="s">
        <v>1858</v>
      </c>
    </row>
    <row r="4059" spans="1:18" hidden="1" x14ac:dyDescent="0.25">
      <c r="A4059" s="9" t="s">
        <v>1092</v>
      </c>
      <c r="B4059" s="3" t="s">
        <v>1759</v>
      </c>
      <c r="C4059" s="10">
        <v>5</v>
      </c>
      <c r="D4059" s="10">
        <v>6</v>
      </c>
      <c r="E4059" s="10">
        <v>19</v>
      </c>
      <c r="F4059" t="s">
        <v>104</v>
      </c>
      <c r="G4059" t="s">
        <v>889</v>
      </c>
      <c r="H4059" t="s">
        <v>1748</v>
      </c>
      <c r="I4059" t="s">
        <v>72</v>
      </c>
      <c r="J4059" s="4">
        <v>99.02</v>
      </c>
      <c r="K4059">
        <v>1</v>
      </c>
      <c r="L4059">
        <v>99.02</v>
      </c>
      <c r="M4059">
        <v>99.02</v>
      </c>
      <c r="N4059" s="5">
        <v>5.0324339308815365</v>
      </c>
      <c r="O4059" t="s">
        <v>629</v>
      </c>
      <c r="P4059" t="s">
        <v>340</v>
      </c>
      <c r="Q4059" s="10" t="s">
        <v>24</v>
      </c>
      <c r="R4059" t="s">
        <v>1756</v>
      </c>
    </row>
    <row r="4060" spans="1:18" hidden="1" x14ac:dyDescent="0.25">
      <c r="A4060" s="9" t="s">
        <v>1092</v>
      </c>
      <c r="B4060" s="3" t="s">
        <v>1759</v>
      </c>
      <c r="C4060" s="10">
        <v>5</v>
      </c>
      <c r="D4060" s="10">
        <v>6</v>
      </c>
      <c r="E4060" s="10">
        <v>19</v>
      </c>
      <c r="F4060" t="s">
        <v>389</v>
      </c>
      <c r="G4060" t="s">
        <v>889</v>
      </c>
      <c r="H4060" t="s">
        <v>21</v>
      </c>
      <c r="I4060" t="s">
        <v>22</v>
      </c>
      <c r="J4060" s="4">
        <v>4</v>
      </c>
      <c r="K4060">
        <v>2</v>
      </c>
      <c r="L4060">
        <v>4</v>
      </c>
      <c r="M4060">
        <v>8</v>
      </c>
      <c r="N4060" s="5">
        <v>0.40657919053779334</v>
      </c>
      <c r="O4060" t="s">
        <v>354</v>
      </c>
      <c r="P4060" t="s">
        <v>340</v>
      </c>
      <c r="Q4060" s="10" t="s">
        <v>24</v>
      </c>
    </row>
    <row r="4061" spans="1:18" hidden="1" x14ac:dyDescent="0.25">
      <c r="A4061" s="9" t="s">
        <v>1092</v>
      </c>
      <c r="B4061" s="3" t="s">
        <v>1759</v>
      </c>
      <c r="C4061" s="10">
        <v>5</v>
      </c>
      <c r="D4061" s="10">
        <v>6</v>
      </c>
      <c r="E4061" s="10">
        <v>19</v>
      </c>
      <c r="F4061" t="s">
        <v>224</v>
      </c>
      <c r="G4061" t="s">
        <v>224</v>
      </c>
      <c r="H4061" t="s">
        <v>131</v>
      </c>
      <c r="I4061" t="s">
        <v>27</v>
      </c>
      <c r="J4061" s="4">
        <v>36</v>
      </c>
      <c r="K4061">
        <v>2</v>
      </c>
      <c r="L4061">
        <v>36</v>
      </c>
      <c r="M4061">
        <v>72</v>
      </c>
      <c r="N4061" s="5">
        <v>3.6592127148401401</v>
      </c>
      <c r="O4061" t="s">
        <v>1989</v>
      </c>
      <c r="P4061" t="s">
        <v>340</v>
      </c>
      <c r="Q4061" s="10" t="s">
        <v>24</v>
      </c>
    </row>
    <row r="4062" spans="1:18" hidden="1" x14ac:dyDescent="0.25">
      <c r="A4062" s="9" t="s">
        <v>1092</v>
      </c>
      <c r="B4062" s="3" t="s">
        <v>1759</v>
      </c>
      <c r="C4062" s="10">
        <v>5</v>
      </c>
      <c r="D4062" s="10">
        <v>6</v>
      </c>
      <c r="E4062" s="10">
        <v>19</v>
      </c>
      <c r="F4062" t="s">
        <v>2013</v>
      </c>
      <c r="G4062" t="s">
        <v>889</v>
      </c>
      <c r="H4062" t="s">
        <v>63</v>
      </c>
      <c r="I4062" t="s">
        <v>50</v>
      </c>
      <c r="J4062" s="4">
        <v>350</v>
      </c>
      <c r="K4062">
        <v>1</v>
      </c>
      <c r="L4062">
        <v>350</v>
      </c>
      <c r="M4062">
        <v>350</v>
      </c>
      <c r="N4062" s="5">
        <v>17.787839586028458</v>
      </c>
      <c r="O4062" t="s">
        <v>39</v>
      </c>
      <c r="P4062" t="s">
        <v>340</v>
      </c>
      <c r="Q4062" s="10" t="s">
        <v>24</v>
      </c>
      <c r="R4062" t="s">
        <v>2014</v>
      </c>
    </row>
    <row r="4063" spans="1:18" hidden="1" x14ac:dyDescent="0.25">
      <c r="A4063" s="9" t="s">
        <v>1092</v>
      </c>
      <c r="B4063" s="3" t="s">
        <v>1093</v>
      </c>
      <c r="C4063" s="10">
        <v>7</v>
      </c>
      <c r="D4063" s="10">
        <v>6</v>
      </c>
      <c r="E4063" s="10">
        <v>19</v>
      </c>
      <c r="F4063" t="s">
        <v>568</v>
      </c>
      <c r="G4063" t="s">
        <v>889</v>
      </c>
      <c r="H4063" t="s">
        <v>39</v>
      </c>
      <c r="I4063" t="s">
        <v>105</v>
      </c>
      <c r="J4063" s="4">
        <v>389.38</v>
      </c>
      <c r="K4063">
        <v>1</v>
      </c>
      <c r="L4063">
        <v>6751.0704400000004</v>
      </c>
      <c r="M4063">
        <v>6751.0704400000004</v>
      </c>
      <c r="N4063" s="5">
        <v>343.49600284929278</v>
      </c>
      <c r="O4063" t="s">
        <v>39</v>
      </c>
      <c r="P4063" t="s">
        <v>340</v>
      </c>
      <c r="Q4063" s="10" t="s">
        <v>24</v>
      </c>
    </row>
    <row r="4064" spans="1:18" hidden="1" x14ac:dyDescent="0.25">
      <c r="A4064" s="9" t="s">
        <v>1092</v>
      </c>
      <c r="B4064" s="3" t="s">
        <v>1093</v>
      </c>
      <c r="C4064" s="10">
        <v>7</v>
      </c>
      <c r="D4064" s="10">
        <v>6</v>
      </c>
      <c r="E4064" s="10">
        <v>19</v>
      </c>
      <c r="F4064" t="s">
        <v>1747</v>
      </c>
      <c r="G4064" t="s">
        <v>889</v>
      </c>
      <c r="H4064" t="s">
        <v>1748</v>
      </c>
      <c r="I4064" t="s">
        <v>72</v>
      </c>
      <c r="J4064" s="4">
        <v>330</v>
      </c>
      <c r="K4064">
        <v>1</v>
      </c>
      <c r="L4064">
        <v>330</v>
      </c>
      <c r="M4064">
        <v>330</v>
      </c>
      <c r="N4064" s="5">
        <v>16.771391609683974</v>
      </c>
      <c r="O4064" t="s">
        <v>1055</v>
      </c>
      <c r="P4064" t="s">
        <v>340</v>
      </c>
      <c r="Q4064" s="10" t="s">
        <v>24</v>
      </c>
      <c r="R4064" t="s">
        <v>1757</v>
      </c>
    </row>
    <row r="4065" spans="1:18" hidden="1" x14ac:dyDescent="0.25">
      <c r="A4065" s="9" t="s">
        <v>1092</v>
      </c>
      <c r="B4065" s="3" t="s">
        <v>1093</v>
      </c>
      <c r="C4065" s="10">
        <v>7</v>
      </c>
      <c r="D4065" s="10">
        <v>6</v>
      </c>
      <c r="E4065" s="10">
        <v>19</v>
      </c>
      <c r="F4065" t="s">
        <v>71</v>
      </c>
      <c r="G4065" t="s">
        <v>889</v>
      </c>
      <c r="H4065" t="s">
        <v>889</v>
      </c>
      <c r="I4065" t="s">
        <v>72</v>
      </c>
      <c r="J4065" s="4">
        <v>590</v>
      </c>
      <c r="K4065">
        <v>1</v>
      </c>
      <c r="L4065">
        <v>590</v>
      </c>
      <c r="M4065">
        <v>590</v>
      </c>
      <c r="N4065" s="5">
        <v>29.985215302162256</v>
      </c>
      <c r="O4065" t="s">
        <v>1679</v>
      </c>
      <c r="P4065" t="s">
        <v>340</v>
      </c>
      <c r="Q4065" s="10" t="s">
        <v>24</v>
      </c>
      <c r="R4065" t="s">
        <v>1764</v>
      </c>
    </row>
    <row r="4066" spans="1:18" hidden="1" x14ac:dyDescent="0.25">
      <c r="A4066" s="9" t="s">
        <v>1092</v>
      </c>
      <c r="B4066" s="3" t="s">
        <v>1940</v>
      </c>
      <c r="C4066" s="10">
        <v>8</v>
      </c>
      <c r="D4066" s="10">
        <v>6</v>
      </c>
      <c r="E4066" s="10">
        <v>19</v>
      </c>
      <c r="F4066" t="s">
        <v>53</v>
      </c>
      <c r="G4066" t="s">
        <v>889</v>
      </c>
      <c r="H4066" t="s">
        <v>53</v>
      </c>
      <c r="I4066" t="s">
        <v>27</v>
      </c>
      <c r="J4066" s="4">
        <v>10.26</v>
      </c>
      <c r="K4066">
        <v>1</v>
      </c>
      <c r="L4066">
        <v>10.26</v>
      </c>
      <c r="M4066">
        <v>10.26</v>
      </c>
      <c r="N4066" s="5">
        <v>0.52143781186471994</v>
      </c>
      <c r="O4066" t="s">
        <v>181</v>
      </c>
      <c r="P4066" t="s">
        <v>340</v>
      </c>
      <c r="Q4066" s="10" t="s">
        <v>24</v>
      </c>
      <c r="R4066" t="s">
        <v>385</v>
      </c>
    </row>
    <row r="4067" spans="1:18" hidden="1" x14ac:dyDescent="0.25">
      <c r="A4067" s="9" t="s">
        <v>1092</v>
      </c>
      <c r="B4067" s="3" t="s">
        <v>1940</v>
      </c>
      <c r="C4067" s="10">
        <v>8</v>
      </c>
      <c r="D4067" s="10">
        <v>6</v>
      </c>
      <c r="E4067" s="10">
        <v>19</v>
      </c>
      <c r="F4067" t="s">
        <v>1108</v>
      </c>
      <c r="G4067" t="s">
        <v>889</v>
      </c>
      <c r="H4067" t="s">
        <v>44</v>
      </c>
      <c r="I4067" t="s">
        <v>27</v>
      </c>
      <c r="J4067" s="4">
        <v>13.58</v>
      </c>
      <c r="K4067">
        <v>1</v>
      </c>
      <c r="L4067">
        <v>13.58</v>
      </c>
      <c r="M4067">
        <v>13.58</v>
      </c>
      <c r="N4067" s="5">
        <v>0.69016817593790414</v>
      </c>
      <c r="O4067" t="s">
        <v>181</v>
      </c>
      <c r="P4067" t="s">
        <v>340</v>
      </c>
      <c r="Q4067" s="10" t="s">
        <v>24</v>
      </c>
    </row>
    <row r="4068" spans="1:18" hidden="1" x14ac:dyDescent="0.25">
      <c r="A4068" s="9" t="s">
        <v>1092</v>
      </c>
      <c r="B4068" s="3" t="s">
        <v>1940</v>
      </c>
      <c r="C4068" s="10">
        <v>8</v>
      </c>
      <c r="D4068" s="10">
        <v>6</v>
      </c>
      <c r="E4068" s="10">
        <v>19</v>
      </c>
      <c r="F4068" t="s">
        <v>1637</v>
      </c>
      <c r="G4068" t="s">
        <v>889</v>
      </c>
      <c r="H4068" t="s">
        <v>59</v>
      </c>
      <c r="I4068" t="s">
        <v>27</v>
      </c>
      <c r="J4068" s="4">
        <v>25.17</v>
      </c>
      <c r="K4068">
        <v>1</v>
      </c>
      <c r="L4068">
        <v>25.17</v>
      </c>
      <c r="M4068">
        <v>25.17</v>
      </c>
      <c r="N4068" s="5">
        <v>1.2791997782295323</v>
      </c>
      <c r="O4068" t="s">
        <v>181</v>
      </c>
      <c r="P4068" t="s">
        <v>340</v>
      </c>
      <c r="Q4068" s="10" t="s">
        <v>24</v>
      </c>
      <c r="R4068" t="s">
        <v>1638</v>
      </c>
    </row>
    <row r="4069" spans="1:18" hidden="1" x14ac:dyDescent="0.25">
      <c r="A4069" s="9" t="s">
        <v>1092</v>
      </c>
      <c r="B4069" s="3" t="s">
        <v>1940</v>
      </c>
      <c r="C4069" s="10">
        <v>8</v>
      </c>
      <c r="D4069" s="10">
        <v>6</v>
      </c>
      <c r="E4069" s="10">
        <v>19</v>
      </c>
      <c r="F4069" t="s">
        <v>1932</v>
      </c>
      <c r="G4069" t="s">
        <v>25</v>
      </c>
      <c r="H4069" t="s">
        <v>26</v>
      </c>
      <c r="I4069" t="s">
        <v>27</v>
      </c>
      <c r="J4069" s="4">
        <v>114.9</v>
      </c>
      <c r="K4069">
        <v>0.30199999999999999</v>
      </c>
      <c r="L4069">
        <v>114.9</v>
      </c>
      <c r="M4069">
        <v>34.699800000000003</v>
      </c>
      <c r="N4069" s="5">
        <v>1.7635270744779152</v>
      </c>
      <c r="O4069" t="s">
        <v>181</v>
      </c>
      <c r="P4069" t="s">
        <v>340</v>
      </c>
      <c r="Q4069" s="10" t="s">
        <v>24</v>
      </c>
      <c r="R4069" t="s">
        <v>1933</v>
      </c>
    </row>
    <row r="4070" spans="1:18" hidden="1" x14ac:dyDescent="0.25">
      <c r="A4070" s="9" t="s">
        <v>1092</v>
      </c>
      <c r="B4070" s="3" t="s">
        <v>1940</v>
      </c>
      <c r="C4070" s="10">
        <v>8</v>
      </c>
      <c r="D4070" s="10">
        <v>6</v>
      </c>
      <c r="E4070" s="10">
        <v>19</v>
      </c>
      <c r="F4070" t="s">
        <v>1934</v>
      </c>
      <c r="G4070" t="s">
        <v>889</v>
      </c>
      <c r="H4070" t="s">
        <v>65</v>
      </c>
      <c r="I4070" t="s">
        <v>27</v>
      </c>
      <c r="J4070" s="4">
        <v>8.93</v>
      </c>
      <c r="K4070">
        <v>3</v>
      </c>
      <c r="L4070">
        <v>8.93</v>
      </c>
      <c r="M4070">
        <v>26.79</v>
      </c>
      <c r="N4070" s="5">
        <v>1.3615320643134354</v>
      </c>
      <c r="O4070" t="s">
        <v>181</v>
      </c>
      <c r="P4070" t="s">
        <v>340</v>
      </c>
      <c r="Q4070" s="10" t="s">
        <v>24</v>
      </c>
    </row>
    <row r="4071" spans="1:18" hidden="1" x14ac:dyDescent="0.25">
      <c r="A4071" s="9" t="s">
        <v>1092</v>
      </c>
      <c r="B4071" s="3" t="s">
        <v>1940</v>
      </c>
      <c r="C4071" s="10">
        <v>8</v>
      </c>
      <c r="D4071" s="10">
        <v>6</v>
      </c>
      <c r="E4071" s="10">
        <v>19</v>
      </c>
      <c r="F4071" t="s">
        <v>1935</v>
      </c>
      <c r="G4071" t="s">
        <v>889</v>
      </c>
      <c r="H4071" t="s">
        <v>65</v>
      </c>
      <c r="I4071" t="s">
        <v>27</v>
      </c>
      <c r="J4071" s="4">
        <v>8.93</v>
      </c>
      <c r="K4071">
        <v>2</v>
      </c>
      <c r="L4071">
        <v>8.93</v>
      </c>
      <c r="M4071">
        <v>17.86</v>
      </c>
      <c r="N4071" s="5">
        <v>0.90768804287562355</v>
      </c>
      <c r="O4071" t="s">
        <v>181</v>
      </c>
      <c r="P4071" t="s">
        <v>340</v>
      </c>
      <c r="Q4071" s="10" t="s">
        <v>24</v>
      </c>
    </row>
    <row r="4072" spans="1:18" hidden="1" x14ac:dyDescent="0.25">
      <c r="A4072" s="9" t="s">
        <v>1092</v>
      </c>
      <c r="B4072" s="3" t="s">
        <v>1940</v>
      </c>
      <c r="C4072" s="10">
        <v>8</v>
      </c>
      <c r="D4072" s="10">
        <v>6</v>
      </c>
      <c r="E4072" s="10">
        <v>19</v>
      </c>
      <c r="F4072" t="s">
        <v>2242</v>
      </c>
      <c r="G4072" t="s">
        <v>345</v>
      </c>
      <c r="H4072" t="s">
        <v>26</v>
      </c>
      <c r="I4072" t="s">
        <v>27</v>
      </c>
      <c r="J4072" s="4">
        <v>5.7</v>
      </c>
      <c r="K4072">
        <v>1</v>
      </c>
      <c r="L4072">
        <v>5.7</v>
      </c>
      <c r="M4072">
        <v>5.7</v>
      </c>
      <c r="N4072" s="5">
        <v>0.28968767325817774</v>
      </c>
      <c r="O4072" t="s">
        <v>181</v>
      </c>
      <c r="P4072" t="s">
        <v>340</v>
      </c>
      <c r="Q4072" s="10" t="s">
        <v>24</v>
      </c>
    </row>
    <row r="4073" spans="1:18" hidden="1" x14ac:dyDescent="0.25">
      <c r="A4073" s="9" t="s">
        <v>1092</v>
      </c>
      <c r="B4073" s="3" t="s">
        <v>1940</v>
      </c>
      <c r="C4073" s="10">
        <v>8</v>
      </c>
      <c r="D4073" s="10">
        <v>6</v>
      </c>
      <c r="E4073" s="10">
        <v>19</v>
      </c>
      <c r="F4073" t="s">
        <v>25</v>
      </c>
      <c r="G4073" t="s">
        <v>25</v>
      </c>
      <c r="H4073" t="s">
        <v>26</v>
      </c>
      <c r="I4073" t="s">
        <v>27</v>
      </c>
      <c r="J4073" s="4">
        <v>23.65</v>
      </c>
      <c r="K4073">
        <v>1</v>
      </c>
      <c r="L4073">
        <v>23.65</v>
      </c>
      <c r="M4073">
        <v>23.65</v>
      </c>
      <c r="N4073" s="5">
        <v>1.2019497320273513</v>
      </c>
      <c r="O4073" t="s">
        <v>181</v>
      </c>
      <c r="P4073" t="s">
        <v>340</v>
      </c>
      <c r="Q4073" s="10" t="s">
        <v>24</v>
      </c>
    </row>
    <row r="4074" spans="1:18" hidden="1" x14ac:dyDescent="0.25">
      <c r="A4074" s="9" t="s">
        <v>1092</v>
      </c>
      <c r="B4074" s="3" t="s">
        <v>1940</v>
      </c>
      <c r="C4074" s="10">
        <v>8</v>
      </c>
      <c r="D4074" s="10">
        <v>6</v>
      </c>
      <c r="E4074" s="10">
        <v>19</v>
      </c>
      <c r="F4074" t="s">
        <v>112</v>
      </c>
      <c r="G4074" t="s">
        <v>889</v>
      </c>
      <c r="H4074" t="s">
        <v>56</v>
      </c>
      <c r="I4074" t="s">
        <v>27</v>
      </c>
      <c r="J4074" s="4">
        <v>52.9</v>
      </c>
      <c r="K4074">
        <v>0.72799999999999998</v>
      </c>
      <c r="L4074">
        <v>52.9</v>
      </c>
      <c r="M4074">
        <v>38.511199999999995</v>
      </c>
      <c r="N4074" s="5">
        <v>1.9572315653298831</v>
      </c>
      <c r="O4074" t="s">
        <v>181</v>
      </c>
      <c r="P4074" t="s">
        <v>340</v>
      </c>
      <c r="Q4074" s="10" t="s">
        <v>24</v>
      </c>
    </row>
    <row r="4075" spans="1:18" hidden="1" x14ac:dyDescent="0.25">
      <c r="A4075" s="9" t="s">
        <v>1092</v>
      </c>
      <c r="B4075" s="3" t="s">
        <v>1940</v>
      </c>
      <c r="C4075" s="10">
        <v>8</v>
      </c>
      <c r="D4075" s="10">
        <v>6</v>
      </c>
      <c r="E4075" s="10">
        <v>19</v>
      </c>
      <c r="F4075" t="s">
        <v>121</v>
      </c>
      <c r="G4075" t="s">
        <v>889</v>
      </c>
      <c r="H4075" t="s">
        <v>54</v>
      </c>
      <c r="I4075" t="s">
        <v>27</v>
      </c>
      <c r="J4075" s="4">
        <v>33.200000000000003</v>
      </c>
      <c r="K4075">
        <v>0.79</v>
      </c>
      <c r="L4075">
        <v>33.200000000000003</v>
      </c>
      <c r="M4075">
        <v>26.228000000000005</v>
      </c>
      <c r="N4075" s="5">
        <v>1.3329698761781557</v>
      </c>
      <c r="O4075" t="s">
        <v>181</v>
      </c>
      <c r="P4075" t="s">
        <v>340</v>
      </c>
      <c r="Q4075" s="10" t="s">
        <v>24</v>
      </c>
    </row>
    <row r="4076" spans="1:18" hidden="1" x14ac:dyDescent="0.25">
      <c r="A4076" s="9" t="s">
        <v>1092</v>
      </c>
      <c r="B4076" s="3" t="s">
        <v>1940</v>
      </c>
      <c r="C4076" s="10">
        <v>8</v>
      </c>
      <c r="D4076" s="10">
        <v>6</v>
      </c>
      <c r="E4076" s="10">
        <v>19</v>
      </c>
      <c r="F4076" t="s">
        <v>119</v>
      </c>
      <c r="G4076" t="s">
        <v>889</v>
      </c>
      <c r="H4076" t="s">
        <v>56</v>
      </c>
      <c r="I4076" t="s">
        <v>27</v>
      </c>
      <c r="J4076" s="4">
        <v>27.8</v>
      </c>
      <c r="K4076">
        <v>1.8120000000000001</v>
      </c>
      <c r="L4076">
        <v>27.8</v>
      </c>
      <c r="M4076">
        <v>50.373600000000003</v>
      </c>
      <c r="N4076" s="5">
        <v>2.5601071890593232</v>
      </c>
      <c r="O4076" t="s">
        <v>181</v>
      </c>
      <c r="P4076" t="s">
        <v>340</v>
      </c>
      <c r="Q4076" s="10" t="s">
        <v>24</v>
      </c>
    </row>
    <row r="4077" spans="1:18" hidden="1" x14ac:dyDescent="0.25">
      <c r="A4077" s="9" t="s">
        <v>1092</v>
      </c>
      <c r="B4077" s="3" t="s">
        <v>1940</v>
      </c>
      <c r="C4077" s="10">
        <v>8</v>
      </c>
      <c r="D4077" s="10">
        <v>6</v>
      </c>
      <c r="E4077" s="10">
        <v>19</v>
      </c>
      <c r="F4077" t="s">
        <v>44</v>
      </c>
      <c r="G4077" t="s">
        <v>889</v>
      </c>
      <c r="H4077" t="s">
        <v>44</v>
      </c>
      <c r="I4077" t="s">
        <v>27</v>
      </c>
      <c r="J4077" s="4">
        <v>26.22</v>
      </c>
      <c r="K4077">
        <v>2</v>
      </c>
      <c r="L4077">
        <v>26.22</v>
      </c>
      <c r="M4077">
        <v>52.44</v>
      </c>
      <c r="N4077" s="5">
        <v>2.6651265939752351</v>
      </c>
      <c r="O4077" t="s">
        <v>181</v>
      </c>
      <c r="P4077" t="s">
        <v>340</v>
      </c>
      <c r="Q4077" s="10" t="s">
        <v>24</v>
      </c>
    </row>
    <row r="4078" spans="1:18" hidden="1" x14ac:dyDescent="0.25">
      <c r="A4078" s="9" t="s">
        <v>1092</v>
      </c>
      <c r="B4078" s="3" t="s">
        <v>1940</v>
      </c>
      <c r="C4078" s="10">
        <v>8</v>
      </c>
      <c r="D4078" s="10">
        <v>6</v>
      </c>
      <c r="E4078" s="10">
        <v>19</v>
      </c>
      <c r="F4078" t="s">
        <v>91</v>
      </c>
      <c r="G4078" t="s">
        <v>889</v>
      </c>
      <c r="H4078" t="s">
        <v>425</v>
      </c>
      <c r="I4078" t="s">
        <v>27</v>
      </c>
      <c r="J4078" s="4">
        <v>10.92</v>
      </c>
      <c r="K4078">
        <v>1</v>
      </c>
      <c r="L4078">
        <v>10.92</v>
      </c>
      <c r="M4078">
        <v>10.92</v>
      </c>
      <c r="N4078" s="5">
        <v>0.55498059508408792</v>
      </c>
      <c r="O4078" t="s">
        <v>181</v>
      </c>
      <c r="P4078" t="s">
        <v>340</v>
      </c>
      <c r="Q4078" s="10" t="s">
        <v>24</v>
      </c>
    </row>
    <row r="4079" spans="1:18" hidden="1" x14ac:dyDescent="0.25">
      <c r="A4079" s="9" t="s">
        <v>1092</v>
      </c>
      <c r="B4079" s="3" t="s">
        <v>1940</v>
      </c>
      <c r="C4079" s="10">
        <v>8</v>
      </c>
      <c r="D4079" s="10">
        <v>6</v>
      </c>
      <c r="E4079" s="10">
        <v>19</v>
      </c>
      <c r="F4079" t="s">
        <v>155</v>
      </c>
      <c r="G4079" t="s">
        <v>155</v>
      </c>
      <c r="H4079" t="s">
        <v>131</v>
      </c>
      <c r="I4079" t="s">
        <v>27</v>
      </c>
      <c r="J4079" s="4">
        <v>43.61</v>
      </c>
      <c r="K4079">
        <v>1</v>
      </c>
      <c r="L4079">
        <v>43.61</v>
      </c>
      <c r="M4079">
        <v>43.61</v>
      </c>
      <c r="N4079" s="5">
        <v>2.2163648124191457</v>
      </c>
      <c r="O4079" t="s">
        <v>181</v>
      </c>
      <c r="P4079" t="s">
        <v>340</v>
      </c>
      <c r="Q4079" s="10" t="s">
        <v>24</v>
      </c>
    </row>
    <row r="4080" spans="1:18" hidden="1" x14ac:dyDescent="0.25">
      <c r="A4080" s="9" t="s">
        <v>1092</v>
      </c>
      <c r="B4080" s="3" t="s">
        <v>1940</v>
      </c>
      <c r="C4080" s="10">
        <v>8</v>
      </c>
      <c r="D4080" s="10">
        <v>6</v>
      </c>
      <c r="E4080" s="10">
        <v>19</v>
      </c>
      <c r="F4080" t="s">
        <v>155</v>
      </c>
      <c r="G4080" t="s">
        <v>155</v>
      </c>
      <c r="H4080" t="s">
        <v>131</v>
      </c>
      <c r="I4080" t="s">
        <v>27</v>
      </c>
      <c r="J4080" s="4">
        <v>22.13</v>
      </c>
      <c r="K4080">
        <v>4</v>
      </c>
      <c r="L4080">
        <v>22.13</v>
      </c>
      <c r="M4080">
        <v>88.52</v>
      </c>
      <c r="N4080" s="5">
        <v>4.4987987433006831</v>
      </c>
      <c r="O4080" t="s">
        <v>181</v>
      </c>
      <c r="P4080" t="s">
        <v>340</v>
      </c>
      <c r="Q4080" s="10" t="s">
        <v>24</v>
      </c>
    </row>
    <row r="4081" spans="1:18" hidden="1" x14ac:dyDescent="0.25">
      <c r="A4081" s="9" t="s">
        <v>1092</v>
      </c>
      <c r="B4081" s="3" t="s">
        <v>1940</v>
      </c>
      <c r="C4081" s="10">
        <v>8</v>
      </c>
      <c r="D4081" s="10">
        <v>6</v>
      </c>
      <c r="E4081" s="10">
        <v>19</v>
      </c>
      <c r="F4081" t="s">
        <v>1198</v>
      </c>
      <c r="G4081" t="s">
        <v>889</v>
      </c>
      <c r="H4081" t="s">
        <v>56</v>
      </c>
      <c r="I4081" t="s">
        <v>27</v>
      </c>
      <c r="J4081" s="4">
        <v>36.700000000000003</v>
      </c>
      <c r="K4081">
        <v>0.30199999999999999</v>
      </c>
      <c r="L4081">
        <v>36.700000000000003</v>
      </c>
      <c r="M4081">
        <v>11.083400000000001</v>
      </c>
      <c r="N4081" s="5">
        <v>0.56328497505082231</v>
      </c>
      <c r="O4081" t="s">
        <v>181</v>
      </c>
      <c r="P4081" t="s">
        <v>340</v>
      </c>
      <c r="Q4081" s="10" t="s">
        <v>24</v>
      </c>
    </row>
    <row r="4082" spans="1:18" hidden="1" x14ac:dyDescent="0.25">
      <c r="A4082" s="9" t="s">
        <v>1092</v>
      </c>
      <c r="B4082" s="3" t="s">
        <v>1940</v>
      </c>
      <c r="C4082" s="10">
        <v>8</v>
      </c>
      <c r="D4082" s="10">
        <v>6</v>
      </c>
      <c r="E4082" s="10">
        <v>19</v>
      </c>
      <c r="F4082" t="s">
        <v>1186</v>
      </c>
      <c r="G4082" t="s">
        <v>889</v>
      </c>
      <c r="H4082" t="s">
        <v>62</v>
      </c>
      <c r="I4082" t="s">
        <v>27</v>
      </c>
      <c r="J4082" s="4">
        <v>19.670000000000002</v>
      </c>
      <c r="K4082">
        <v>1</v>
      </c>
      <c r="L4082">
        <v>19.670000000000002</v>
      </c>
      <c r="M4082">
        <v>19.670000000000002</v>
      </c>
      <c r="N4082" s="5">
        <v>0.99967658473479937</v>
      </c>
      <c r="O4082" t="s">
        <v>181</v>
      </c>
      <c r="P4082" t="s">
        <v>340</v>
      </c>
      <c r="Q4082" s="10" t="s">
        <v>24</v>
      </c>
    </row>
    <row r="4083" spans="1:18" hidden="1" x14ac:dyDescent="0.25">
      <c r="A4083" s="9" t="s">
        <v>1092</v>
      </c>
      <c r="B4083" s="3" t="s">
        <v>1940</v>
      </c>
      <c r="C4083" s="10">
        <v>8</v>
      </c>
      <c r="D4083" s="10">
        <v>6</v>
      </c>
      <c r="E4083" s="10">
        <v>19</v>
      </c>
      <c r="F4083" t="s">
        <v>744</v>
      </c>
      <c r="G4083" t="s">
        <v>889</v>
      </c>
      <c r="H4083" t="s">
        <v>54</v>
      </c>
      <c r="I4083" t="s">
        <v>27</v>
      </c>
      <c r="J4083" s="4">
        <v>16.5</v>
      </c>
      <c r="K4083">
        <v>0.98199999999999998</v>
      </c>
      <c r="L4083">
        <v>16.5</v>
      </c>
      <c r="M4083">
        <v>16.202999999999999</v>
      </c>
      <c r="N4083" s="5">
        <v>0.82347532803548307</v>
      </c>
      <c r="O4083" t="s">
        <v>181</v>
      </c>
      <c r="P4083" t="s">
        <v>340</v>
      </c>
      <c r="Q4083" s="10" t="s">
        <v>24</v>
      </c>
    </row>
    <row r="4084" spans="1:18" hidden="1" x14ac:dyDescent="0.25">
      <c r="A4084" s="9" t="s">
        <v>1092</v>
      </c>
      <c r="B4084" s="3" t="s">
        <v>1940</v>
      </c>
      <c r="C4084" s="10">
        <v>8</v>
      </c>
      <c r="D4084" s="10">
        <v>6</v>
      </c>
      <c r="E4084" s="10">
        <v>19</v>
      </c>
      <c r="F4084" t="s">
        <v>1924</v>
      </c>
      <c r="G4084" t="s">
        <v>889</v>
      </c>
      <c r="H4084" t="s">
        <v>39</v>
      </c>
      <c r="I4084" t="s">
        <v>27</v>
      </c>
      <c r="J4084" s="4">
        <v>50.4</v>
      </c>
      <c r="K4084">
        <v>1</v>
      </c>
      <c r="L4084">
        <v>50.4</v>
      </c>
      <c r="M4084">
        <v>50.4</v>
      </c>
      <c r="N4084" s="5">
        <v>2.5614489003880978</v>
      </c>
      <c r="O4084" t="s">
        <v>181</v>
      </c>
      <c r="P4084" t="s">
        <v>340</v>
      </c>
      <c r="Q4084" s="10" t="s">
        <v>24</v>
      </c>
    </row>
    <row r="4085" spans="1:18" hidden="1" x14ac:dyDescent="0.25">
      <c r="A4085" s="9" t="s">
        <v>1092</v>
      </c>
      <c r="B4085" s="3" t="s">
        <v>1940</v>
      </c>
      <c r="C4085" s="10">
        <v>8</v>
      </c>
      <c r="D4085" s="10">
        <v>6</v>
      </c>
      <c r="E4085" s="10">
        <v>19</v>
      </c>
      <c r="F4085" t="s">
        <v>1075</v>
      </c>
      <c r="G4085" t="s">
        <v>889</v>
      </c>
      <c r="H4085" t="s">
        <v>56</v>
      </c>
      <c r="I4085" t="s">
        <v>27</v>
      </c>
      <c r="J4085" s="4">
        <v>62.3</v>
      </c>
      <c r="K4085">
        <v>0.21199999999999999</v>
      </c>
      <c r="L4085">
        <v>62.3</v>
      </c>
      <c r="M4085">
        <v>13.207599999999999</v>
      </c>
      <c r="N4085" s="5">
        <v>0.67124191461836991</v>
      </c>
      <c r="O4085" t="s">
        <v>181</v>
      </c>
      <c r="P4085" t="s">
        <v>340</v>
      </c>
      <c r="Q4085" s="10" t="s">
        <v>24</v>
      </c>
    </row>
    <row r="4086" spans="1:18" hidden="1" x14ac:dyDescent="0.25">
      <c r="A4086" s="9" t="s">
        <v>1092</v>
      </c>
      <c r="B4086" s="3" t="s">
        <v>1940</v>
      </c>
      <c r="C4086" s="10">
        <v>8</v>
      </c>
      <c r="D4086" s="10">
        <v>6</v>
      </c>
      <c r="E4086" s="10">
        <v>19</v>
      </c>
      <c r="F4086" t="s">
        <v>212</v>
      </c>
      <c r="G4086" t="s">
        <v>889</v>
      </c>
      <c r="H4086" t="s">
        <v>54</v>
      </c>
      <c r="I4086" t="s">
        <v>27</v>
      </c>
      <c r="J4086" s="4">
        <v>19.399999999999999</v>
      </c>
      <c r="K4086">
        <v>1</v>
      </c>
      <c r="L4086">
        <v>19.399999999999999</v>
      </c>
      <c r="M4086">
        <v>19.399999999999999</v>
      </c>
      <c r="N4086" s="5">
        <v>0.98595453705414871</v>
      </c>
      <c r="O4086" t="s">
        <v>181</v>
      </c>
      <c r="P4086" t="s">
        <v>340</v>
      </c>
      <c r="Q4086" s="10" t="s">
        <v>24</v>
      </c>
    </row>
    <row r="4087" spans="1:18" hidden="1" x14ac:dyDescent="0.25">
      <c r="A4087" s="9" t="s">
        <v>1092</v>
      </c>
      <c r="B4087" s="3" t="s">
        <v>1940</v>
      </c>
      <c r="C4087" s="10">
        <v>8</v>
      </c>
      <c r="D4087" s="10">
        <v>6</v>
      </c>
      <c r="E4087" s="10">
        <v>19</v>
      </c>
      <c r="F4087" t="s">
        <v>483</v>
      </c>
      <c r="G4087" t="s">
        <v>889</v>
      </c>
      <c r="H4087" t="s">
        <v>56</v>
      </c>
      <c r="I4087" t="s">
        <v>27</v>
      </c>
      <c r="J4087" s="4">
        <v>27.4</v>
      </c>
      <c r="K4087">
        <v>0.94799999999999995</v>
      </c>
      <c r="L4087">
        <v>27.4</v>
      </c>
      <c r="M4087">
        <v>25.975199999999997</v>
      </c>
      <c r="N4087" s="5">
        <v>1.320121973757161</v>
      </c>
      <c r="O4087" t="s">
        <v>181</v>
      </c>
      <c r="P4087" t="s">
        <v>340</v>
      </c>
      <c r="Q4087" s="10" t="s">
        <v>24</v>
      </c>
    </row>
    <row r="4088" spans="1:18" hidden="1" x14ac:dyDescent="0.25">
      <c r="A4088" s="9" t="s">
        <v>1092</v>
      </c>
      <c r="B4088" s="3" t="s">
        <v>1940</v>
      </c>
      <c r="C4088" s="10">
        <v>8</v>
      </c>
      <c r="D4088" s="10">
        <v>6</v>
      </c>
      <c r="E4088" s="10">
        <v>19</v>
      </c>
      <c r="F4088" t="s">
        <v>1274</v>
      </c>
      <c r="G4088" t="s">
        <v>889</v>
      </c>
      <c r="H4088" t="s">
        <v>73</v>
      </c>
      <c r="I4088" t="s">
        <v>27</v>
      </c>
      <c r="J4088" s="4">
        <v>13.87</v>
      </c>
      <c r="K4088">
        <v>1</v>
      </c>
      <c r="L4088">
        <v>13.87</v>
      </c>
      <c r="M4088">
        <v>13.87</v>
      </c>
      <c r="N4088" s="5">
        <v>0.70490667159489917</v>
      </c>
      <c r="O4088" t="s">
        <v>181</v>
      </c>
      <c r="P4088" t="s">
        <v>340</v>
      </c>
      <c r="Q4088" s="10" t="s">
        <v>24</v>
      </c>
    </row>
    <row r="4089" spans="1:18" hidden="1" x14ac:dyDescent="0.25">
      <c r="A4089" s="9" t="s">
        <v>1092</v>
      </c>
      <c r="B4089" s="3" t="s">
        <v>1940</v>
      </c>
      <c r="C4089" s="10">
        <v>8</v>
      </c>
      <c r="D4089" s="10">
        <v>6</v>
      </c>
      <c r="E4089" s="10">
        <v>19</v>
      </c>
      <c r="F4089" t="s">
        <v>206</v>
      </c>
      <c r="G4089" t="s">
        <v>889</v>
      </c>
      <c r="H4089" t="s">
        <v>56</v>
      </c>
      <c r="I4089" t="s">
        <v>27</v>
      </c>
      <c r="J4089" s="4">
        <v>38.799999999999997</v>
      </c>
      <c r="K4089">
        <v>0.27800000000000002</v>
      </c>
      <c r="L4089">
        <v>38.799999999999997</v>
      </c>
      <c r="M4089">
        <v>10.7864</v>
      </c>
      <c r="N4089" s="5">
        <v>0.54819072260210677</v>
      </c>
      <c r="O4089" t="s">
        <v>181</v>
      </c>
      <c r="P4089" t="s">
        <v>340</v>
      </c>
      <c r="Q4089" s="10" t="s">
        <v>24</v>
      </c>
    </row>
    <row r="4090" spans="1:18" hidden="1" x14ac:dyDescent="0.25">
      <c r="A4090" s="9" t="s">
        <v>1092</v>
      </c>
      <c r="B4090" s="3" t="s">
        <v>1940</v>
      </c>
      <c r="C4090" s="10">
        <v>8</v>
      </c>
      <c r="D4090" s="10">
        <v>6</v>
      </c>
      <c r="E4090" s="10">
        <v>19</v>
      </c>
      <c r="F4090" t="s">
        <v>537</v>
      </c>
      <c r="G4090" t="s">
        <v>889</v>
      </c>
      <c r="H4090" t="s">
        <v>56</v>
      </c>
      <c r="I4090" t="s">
        <v>27</v>
      </c>
      <c r="J4090" s="4">
        <v>22.8</v>
      </c>
      <c r="K4090">
        <v>0.77200000000000002</v>
      </c>
      <c r="L4090">
        <v>22.8</v>
      </c>
      <c r="M4090">
        <v>17.601600000000001</v>
      </c>
      <c r="N4090" s="5">
        <v>0.89455553502125296</v>
      </c>
      <c r="O4090" t="s">
        <v>181</v>
      </c>
      <c r="P4090" t="s">
        <v>340</v>
      </c>
      <c r="Q4090" s="10" t="s">
        <v>24</v>
      </c>
    </row>
    <row r="4091" spans="1:18" hidden="1" x14ac:dyDescent="0.25">
      <c r="A4091" s="9" t="s">
        <v>1092</v>
      </c>
      <c r="B4091" s="3" t="s">
        <v>1940</v>
      </c>
      <c r="C4091" s="10">
        <v>8</v>
      </c>
      <c r="D4091" s="10">
        <v>6</v>
      </c>
      <c r="E4091" s="10">
        <v>19</v>
      </c>
      <c r="F4091" t="s">
        <v>55</v>
      </c>
      <c r="G4091" t="s">
        <v>889</v>
      </c>
      <c r="H4091" t="s">
        <v>56</v>
      </c>
      <c r="I4091" t="s">
        <v>27</v>
      </c>
      <c r="J4091" s="4">
        <v>25.1</v>
      </c>
      <c r="K4091">
        <v>0.94599999999999995</v>
      </c>
      <c r="L4091">
        <v>25.1</v>
      </c>
      <c r="M4091">
        <v>23.744599999999998</v>
      </c>
      <c r="N4091" s="5">
        <v>1.2067575309554608</v>
      </c>
      <c r="O4091" t="s">
        <v>181</v>
      </c>
      <c r="P4091" t="s">
        <v>340</v>
      </c>
      <c r="Q4091" s="10" t="s">
        <v>24</v>
      </c>
    </row>
    <row r="4092" spans="1:18" hidden="1" x14ac:dyDescent="0.25">
      <c r="A4092" s="9" t="s">
        <v>1092</v>
      </c>
      <c r="B4092" s="3" t="s">
        <v>1940</v>
      </c>
      <c r="C4092" s="10">
        <v>8</v>
      </c>
      <c r="D4092" s="10">
        <v>6</v>
      </c>
      <c r="E4092" s="10">
        <v>19</v>
      </c>
      <c r="F4092" t="s">
        <v>584</v>
      </c>
      <c r="G4092" t="s">
        <v>889</v>
      </c>
      <c r="H4092" t="s">
        <v>56</v>
      </c>
      <c r="I4092" t="s">
        <v>27</v>
      </c>
      <c r="J4092" s="4">
        <v>285.7</v>
      </c>
      <c r="K4092">
        <v>0.13</v>
      </c>
      <c r="L4092">
        <v>285.7</v>
      </c>
      <c r="M4092">
        <v>37.140999999999998</v>
      </c>
      <c r="N4092" s="5">
        <v>1.8875947144705227</v>
      </c>
      <c r="O4092" t="s">
        <v>181</v>
      </c>
      <c r="P4092" t="s">
        <v>340</v>
      </c>
      <c r="Q4092" s="10" t="s">
        <v>24</v>
      </c>
    </row>
    <row r="4093" spans="1:18" hidden="1" x14ac:dyDescent="0.25">
      <c r="A4093" s="9" t="s">
        <v>1092</v>
      </c>
      <c r="B4093" s="3" t="s">
        <v>1940</v>
      </c>
      <c r="C4093" s="10">
        <v>8</v>
      </c>
      <c r="D4093" s="10">
        <v>6</v>
      </c>
      <c r="E4093" s="10">
        <v>19</v>
      </c>
      <c r="F4093" t="s">
        <v>184</v>
      </c>
      <c r="G4093" t="s">
        <v>304</v>
      </c>
      <c r="H4093" t="s">
        <v>184</v>
      </c>
      <c r="I4093" t="s">
        <v>79</v>
      </c>
      <c r="J4093" s="4">
        <v>80</v>
      </c>
      <c r="K4093">
        <v>1</v>
      </c>
      <c r="L4093">
        <v>80</v>
      </c>
      <c r="M4093">
        <v>80</v>
      </c>
      <c r="N4093" s="5">
        <v>4.0657919053779334</v>
      </c>
      <c r="O4093" t="s">
        <v>185</v>
      </c>
      <c r="P4093" t="s">
        <v>340</v>
      </c>
      <c r="Q4093" s="10" t="s">
        <v>24</v>
      </c>
    </row>
    <row r="4094" spans="1:18" hidden="1" x14ac:dyDescent="0.25">
      <c r="A4094" s="9" t="s">
        <v>1092</v>
      </c>
      <c r="B4094" s="3" t="s">
        <v>1940</v>
      </c>
      <c r="C4094" s="10">
        <v>8</v>
      </c>
      <c r="D4094" s="10">
        <v>6</v>
      </c>
      <c r="E4094" s="10">
        <v>19</v>
      </c>
      <c r="F4094" t="s">
        <v>2007</v>
      </c>
      <c r="G4094" t="s">
        <v>489</v>
      </c>
      <c r="H4094" t="s">
        <v>1695</v>
      </c>
      <c r="I4094" t="s">
        <v>79</v>
      </c>
      <c r="J4094" s="4">
        <v>880</v>
      </c>
      <c r="K4094">
        <v>1</v>
      </c>
      <c r="L4094">
        <v>880</v>
      </c>
      <c r="M4094">
        <v>880</v>
      </c>
      <c r="N4094" s="5">
        <v>44.723710959157266</v>
      </c>
      <c r="O4094" t="s">
        <v>2008</v>
      </c>
      <c r="P4094" t="s">
        <v>340</v>
      </c>
      <c r="Q4094" s="10" t="s">
        <v>24</v>
      </c>
      <c r="R4094" t="s">
        <v>2079</v>
      </c>
    </row>
    <row r="4095" spans="1:18" hidden="1" x14ac:dyDescent="0.25">
      <c r="A4095" s="9" t="s">
        <v>1092</v>
      </c>
      <c r="B4095" s="3" t="s">
        <v>1940</v>
      </c>
      <c r="C4095" s="10">
        <v>8</v>
      </c>
      <c r="D4095" s="10">
        <v>6</v>
      </c>
      <c r="E4095" s="10">
        <v>19</v>
      </c>
      <c r="F4095" t="s">
        <v>54</v>
      </c>
      <c r="G4095" t="s">
        <v>889</v>
      </c>
      <c r="H4095" t="s">
        <v>54</v>
      </c>
      <c r="I4095" t="s">
        <v>27</v>
      </c>
      <c r="J4095" s="4">
        <v>245</v>
      </c>
      <c r="K4095">
        <v>1</v>
      </c>
      <c r="L4095">
        <v>245</v>
      </c>
      <c r="M4095">
        <v>245</v>
      </c>
      <c r="N4095" s="5">
        <v>12.45148771021992</v>
      </c>
      <c r="O4095" t="s">
        <v>593</v>
      </c>
      <c r="P4095" t="s">
        <v>340</v>
      </c>
      <c r="Q4095" s="10" t="s">
        <v>24</v>
      </c>
    </row>
    <row r="4096" spans="1:18" hidden="1" x14ac:dyDescent="0.25">
      <c r="A4096" s="9" t="s">
        <v>1097</v>
      </c>
      <c r="B4096" s="3" t="s">
        <v>1765</v>
      </c>
      <c r="C4096" s="10">
        <v>1</v>
      </c>
      <c r="D4096" s="10">
        <v>7</v>
      </c>
      <c r="E4096" s="10">
        <v>19</v>
      </c>
      <c r="F4096" t="s">
        <v>141</v>
      </c>
      <c r="G4096" t="s">
        <v>889</v>
      </c>
      <c r="H4096" t="s">
        <v>172</v>
      </c>
      <c r="I4096" t="s">
        <v>39</v>
      </c>
      <c r="J4096" s="4">
        <v>2</v>
      </c>
      <c r="K4096">
        <v>23</v>
      </c>
      <c r="L4096">
        <v>2</v>
      </c>
      <c r="M4096">
        <v>46</v>
      </c>
      <c r="N4096" s="5">
        <v>2.3378303455923115</v>
      </c>
      <c r="O4096" t="s">
        <v>39</v>
      </c>
      <c r="P4096" t="s">
        <v>340</v>
      </c>
      <c r="Q4096" s="10" t="s">
        <v>24</v>
      </c>
    </row>
    <row r="4097" spans="1:18" hidden="1" x14ac:dyDescent="0.25">
      <c r="A4097" s="9" t="s">
        <v>1097</v>
      </c>
      <c r="B4097" s="3" t="s">
        <v>1765</v>
      </c>
      <c r="C4097" s="10">
        <v>1</v>
      </c>
      <c r="D4097" s="10">
        <v>7</v>
      </c>
      <c r="E4097" s="10">
        <v>19</v>
      </c>
      <c r="F4097" t="s">
        <v>141</v>
      </c>
      <c r="G4097" t="s">
        <v>889</v>
      </c>
      <c r="H4097" t="s">
        <v>172</v>
      </c>
      <c r="I4097" t="s">
        <v>39</v>
      </c>
      <c r="J4097" s="4">
        <v>3</v>
      </c>
      <c r="K4097">
        <v>5</v>
      </c>
      <c r="L4097">
        <v>3</v>
      </c>
      <c r="M4097">
        <v>15</v>
      </c>
      <c r="N4097" s="5">
        <v>0.76233598225836252</v>
      </c>
      <c r="O4097" t="s">
        <v>39</v>
      </c>
      <c r="P4097" t="s">
        <v>340</v>
      </c>
      <c r="Q4097" s="10" t="s">
        <v>24</v>
      </c>
    </row>
    <row r="4098" spans="1:18" hidden="1" x14ac:dyDescent="0.25">
      <c r="A4098" s="9" t="s">
        <v>1097</v>
      </c>
      <c r="B4098" s="3" t="s">
        <v>1765</v>
      </c>
      <c r="C4098" s="10">
        <v>1</v>
      </c>
      <c r="D4098" s="10">
        <v>7</v>
      </c>
      <c r="E4098" s="10">
        <v>19</v>
      </c>
      <c r="F4098" t="s">
        <v>2083</v>
      </c>
      <c r="G4098" t="s">
        <v>889</v>
      </c>
      <c r="H4098" t="s">
        <v>889</v>
      </c>
      <c r="I4098" t="s">
        <v>431</v>
      </c>
      <c r="J4098" s="4">
        <v>5.9799999999999986</v>
      </c>
      <c r="K4098">
        <v>5</v>
      </c>
      <c r="L4098">
        <v>118.3940333333333</v>
      </c>
      <c r="M4098">
        <v>591.9701666666665</v>
      </c>
      <c r="N4098" s="5">
        <v>29.899999999999995</v>
      </c>
      <c r="O4098" t="s">
        <v>2084</v>
      </c>
      <c r="P4098" t="s">
        <v>2090</v>
      </c>
      <c r="Q4098" s="10" t="s">
        <v>24</v>
      </c>
      <c r="R4098" t="s">
        <v>2091</v>
      </c>
    </row>
    <row r="4099" spans="1:18" hidden="1" x14ac:dyDescent="0.25">
      <c r="A4099" s="9" t="s">
        <v>1097</v>
      </c>
      <c r="B4099" s="3" t="s">
        <v>1765</v>
      </c>
      <c r="C4099" s="10">
        <v>1</v>
      </c>
      <c r="D4099" s="10">
        <v>7</v>
      </c>
      <c r="E4099" s="10">
        <v>19</v>
      </c>
      <c r="F4099" t="s">
        <v>2085</v>
      </c>
      <c r="G4099" t="s">
        <v>889</v>
      </c>
      <c r="H4099" t="s">
        <v>889</v>
      </c>
      <c r="I4099" t="s">
        <v>431</v>
      </c>
      <c r="J4099" s="4">
        <v>12</v>
      </c>
      <c r="K4099">
        <v>1</v>
      </c>
      <c r="L4099">
        <v>237.57999999999998</v>
      </c>
      <c r="M4099">
        <v>237.57999999999998</v>
      </c>
      <c r="N4099" s="5">
        <v>12</v>
      </c>
      <c r="O4099" t="s">
        <v>2084</v>
      </c>
      <c r="P4099" t="s">
        <v>2090</v>
      </c>
      <c r="Q4099" s="10" t="s">
        <v>24</v>
      </c>
      <c r="R4099" t="s">
        <v>2091</v>
      </c>
    </row>
    <row r="4100" spans="1:18" hidden="1" x14ac:dyDescent="0.25">
      <c r="A4100" s="9" t="s">
        <v>1097</v>
      </c>
      <c r="B4100" s="3" t="s">
        <v>1765</v>
      </c>
      <c r="C4100" s="10">
        <v>1</v>
      </c>
      <c r="D4100" s="10">
        <v>7</v>
      </c>
      <c r="E4100" s="10">
        <v>19</v>
      </c>
      <c r="F4100" t="s">
        <v>2086</v>
      </c>
      <c r="G4100" t="s">
        <v>889</v>
      </c>
      <c r="H4100" t="s">
        <v>889</v>
      </c>
      <c r="I4100" t="s">
        <v>431</v>
      </c>
      <c r="J4100" s="4">
        <v>66.900000000000006</v>
      </c>
      <c r="K4100">
        <v>1</v>
      </c>
      <c r="L4100">
        <v>1324.5084999999999</v>
      </c>
      <c r="M4100">
        <v>1324.5084999999999</v>
      </c>
      <c r="N4100" s="5">
        <v>66.900000000000006</v>
      </c>
      <c r="O4100" t="s">
        <v>2087</v>
      </c>
      <c r="P4100" t="s">
        <v>2090</v>
      </c>
      <c r="Q4100" s="10" t="s">
        <v>24</v>
      </c>
      <c r="R4100" t="s">
        <v>2091</v>
      </c>
    </row>
    <row r="4101" spans="1:18" hidden="1" x14ac:dyDescent="0.25">
      <c r="A4101" s="9" t="s">
        <v>1097</v>
      </c>
      <c r="B4101" s="3" t="s">
        <v>1765</v>
      </c>
      <c r="C4101" s="10">
        <v>1</v>
      </c>
      <c r="D4101" s="10">
        <v>7</v>
      </c>
      <c r="E4101" s="10">
        <v>19</v>
      </c>
      <c r="F4101" t="s">
        <v>2088</v>
      </c>
      <c r="G4101" t="s">
        <v>889</v>
      </c>
      <c r="H4101" t="s">
        <v>889</v>
      </c>
      <c r="I4101" t="s">
        <v>431</v>
      </c>
      <c r="J4101" s="4">
        <v>45</v>
      </c>
      <c r="K4101">
        <v>1</v>
      </c>
      <c r="L4101">
        <v>890.92499999999995</v>
      </c>
      <c r="M4101">
        <v>890.92499999999995</v>
      </c>
      <c r="N4101" s="5">
        <v>45</v>
      </c>
      <c r="O4101" t="s">
        <v>2087</v>
      </c>
      <c r="P4101" t="s">
        <v>2090</v>
      </c>
      <c r="Q4101" s="10" t="s">
        <v>24</v>
      </c>
      <c r="R4101" t="s">
        <v>2091</v>
      </c>
    </row>
    <row r="4102" spans="1:18" hidden="1" x14ac:dyDescent="0.25">
      <c r="A4102" s="9" t="s">
        <v>1097</v>
      </c>
      <c r="B4102" s="3" t="s">
        <v>1765</v>
      </c>
      <c r="C4102" s="10">
        <v>1</v>
      </c>
      <c r="D4102" s="10">
        <v>7</v>
      </c>
      <c r="E4102" s="10">
        <v>19</v>
      </c>
      <c r="F4102" t="s">
        <v>2088</v>
      </c>
      <c r="G4102" t="s">
        <v>889</v>
      </c>
      <c r="H4102" t="s">
        <v>889</v>
      </c>
      <c r="I4102" t="s">
        <v>431</v>
      </c>
      <c r="J4102" s="4">
        <v>27.5</v>
      </c>
      <c r="K4102">
        <v>1</v>
      </c>
      <c r="L4102">
        <v>544.45416666666665</v>
      </c>
      <c r="M4102">
        <v>544.45416666666665</v>
      </c>
      <c r="N4102" s="5">
        <v>27.5</v>
      </c>
      <c r="O4102" t="s">
        <v>2089</v>
      </c>
      <c r="P4102" t="s">
        <v>2090</v>
      </c>
      <c r="Q4102" s="10" t="s">
        <v>24</v>
      </c>
      <c r="R4102" t="s">
        <v>2091</v>
      </c>
    </row>
    <row r="4103" spans="1:18" hidden="1" x14ac:dyDescent="0.25">
      <c r="A4103" s="9" t="s">
        <v>1097</v>
      </c>
      <c r="B4103" s="3" t="s">
        <v>1765</v>
      </c>
      <c r="C4103" s="10">
        <v>1</v>
      </c>
      <c r="D4103" s="10">
        <v>7</v>
      </c>
      <c r="E4103" s="10">
        <v>19</v>
      </c>
      <c r="F4103" t="s">
        <v>2229</v>
      </c>
      <c r="G4103" t="s">
        <v>889</v>
      </c>
      <c r="H4103" t="s">
        <v>889</v>
      </c>
      <c r="I4103" t="s">
        <v>82</v>
      </c>
      <c r="J4103" s="4">
        <v>54</v>
      </c>
      <c r="K4103">
        <v>1</v>
      </c>
      <c r="L4103">
        <v>1065.42</v>
      </c>
      <c r="M4103">
        <v>1065.42</v>
      </c>
      <c r="N4103" s="5">
        <v>54</v>
      </c>
      <c r="O4103" t="s">
        <v>2091</v>
      </c>
      <c r="P4103" t="s">
        <v>2231</v>
      </c>
      <c r="Q4103" s="10" t="s">
        <v>24</v>
      </c>
      <c r="R4103">
        <v>0</v>
      </c>
    </row>
    <row r="4104" spans="1:18" hidden="1" x14ac:dyDescent="0.25">
      <c r="A4104" s="9" t="s">
        <v>1097</v>
      </c>
      <c r="B4104" s="3" t="s">
        <v>1765</v>
      </c>
      <c r="C4104" s="10">
        <v>1</v>
      </c>
      <c r="D4104" s="10">
        <v>7</v>
      </c>
      <c r="E4104" s="10">
        <v>19</v>
      </c>
      <c r="F4104" t="s">
        <v>2230</v>
      </c>
      <c r="G4104" t="s">
        <v>889</v>
      </c>
      <c r="H4104" t="s">
        <v>889</v>
      </c>
      <c r="I4104" t="s">
        <v>431</v>
      </c>
      <c r="J4104" s="4">
        <v>100</v>
      </c>
      <c r="K4104">
        <v>1</v>
      </c>
      <c r="L4104">
        <v>1973</v>
      </c>
      <c r="M4104">
        <v>1973</v>
      </c>
      <c r="N4104" s="5">
        <v>100</v>
      </c>
      <c r="O4104" t="s">
        <v>2091</v>
      </c>
      <c r="P4104" t="s">
        <v>2231</v>
      </c>
      <c r="Q4104" s="10" t="s">
        <v>24</v>
      </c>
      <c r="R4104" t="s">
        <v>2232</v>
      </c>
    </row>
    <row r="4105" spans="1:18" hidden="1" x14ac:dyDescent="0.25">
      <c r="A4105" s="9" t="s">
        <v>1097</v>
      </c>
      <c r="B4105" s="3" t="s">
        <v>1919</v>
      </c>
      <c r="C4105" s="10">
        <v>10</v>
      </c>
      <c r="D4105" s="10">
        <v>7</v>
      </c>
      <c r="E4105" s="10">
        <v>19</v>
      </c>
      <c r="F4105" t="s">
        <v>1468</v>
      </c>
      <c r="G4105" t="s">
        <v>889</v>
      </c>
      <c r="H4105" t="s">
        <v>56</v>
      </c>
      <c r="I4105" t="s">
        <v>27</v>
      </c>
      <c r="J4105" s="4">
        <v>13.6</v>
      </c>
      <c r="K4105">
        <v>2</v>
      </c>
      <c r="L4105">
        <v>13.6</v>
      </c>
      <c r="M4105">
        <v>27.2</v>
      </c>
      <c r="N4105" s="5">
        <v>1.3823692478284972</v>
      </c>
      <c r="O4105" t="s">
        <v>100</v>
      </c>
      <c r="P4105" t="s">
        <v>340</v>
      </c>
      <c r="Q4105" s="10" t="s">
        <v>24</v>
      </c>
    </row>
    <row r="4106" spans="1:18" hidden="1" x14ac:dyDescent="0.25">
      <c r="A4106" s="9" t="s">
        <v>1097</v>
      </c>
      <c r="B4106" s="3" t="s">
        <v>1919</v>
      </c>
      <c r="C4106" s="10">
        <v>10</v>
      </c>
      <c r="D4106" s="10">
        <v>7</v>
      </c>
      <c r="E4106" s="10">
        <v>19</v>
      </c>
      <c r="F4106" t="s">
        <v>60</v>
      </c>
      <c r="G4106" t="s">
        <v>31</v>
      </c>
      <c r="H4106" t="s">
        <v>26</v>
      </c>
      <c r="I4106" t="s">
        <v>27</v>
      </c>
      <c r="J4106" s="4">
        <v>7.8</v>
      </c>
      <c r="K4106">
        <v>1</v>
      </c>
      <c r="L4106">
        <v>7.8</v>
      </c>
      <c r="M4106">
        <v>7.8</v>
      </c>
      <c r="N4106" s="5">
        <v>0.39641471077434848</v>
      </c>
      <c r="O4106" t="s">
        <v>100</v>
      </c>
      <c r="P4106" t="s">
        <v>340</v>
      </c>
      <c r="Q4106" s="10" t="s">
        <v>24</v>
      </c>
    </row>
    <row r="4107" spans="1:18" hidden="1" x14ac:dyDescent="0.25">
      <c r="A4107" s="9" t="s">
        <v>1097</v>
      </c>
      <c r="B4107" s="3" t="s">
        <v>1919</v>
      </c>
      <c r="C4107" s="10">
        <v>10</v>
      </c>
      <c r="D4107" s="10">
        <v>7</v>
      </c>
      <c r="E4107" s="10">
        <v>19</v>
      </c>
      <c r="F4107" t="s">
        <v>974</v>
      </c>
      <c r="G4107" t="s">
        <v>25</v>
      </c>
      <c r="H4107" t="s">
        <v>26</v>
      </c>
      <c r="I4107" t="s">
        <v>27</v>
      </c>
      <c r="J4107" s="4">
        <v>211.6</v>
      </c>
      <c r="K4107">
        <v>0.35199999999999998</v>
      </c>
      <c r="L4107">
        <v>211.6</v>
      </c>
      <c r="M4107">
        <v>74.483199999999997</v>
      </c>
      <c r="N4107" s="5">
        <v>3.7854148955830706</v>
      </c>
      <c r="O4107" t="s">
        <v>100</v>
      </c>
      <c r="P4107" t="s">
        <v>340</v>
      </c>
      <c r="Q4107" s="10" t="s">
        <v>24</v>
      </c>
    </row>
    <row r="4108" spans="1:18" hidden="1" x14ac:dyDescent="0.25">
      <c r="A4108" s="9" t="s">
        <v>1097</v>
      </c>
      <c r="B4108" s="3" t="s">
        <v>1919</v>
      </c>
      <c r="C4108" s="10">
        <v>10</v>
      </c>
      <c r="D4108" s="10">
        <v>7</v>
      </c>
      <c r="E4108" s="10">
        <v>19</v>
      </c>
      <c r="F4108" t="s">
        <v>372</v>
      </c>
      <c r="G4108" t="s">
        <v>373</v>
      </c>
      <c r="H4108" t="s">
        <v>65</v>
      </c>
      <c r="I4108" t="s">
        <v>27</v>
      </c>
      <c r="J4108" s="4">
        <v>9</v>
      </c>
      <c r="K4108">
        <v>1</v>
      </c>
      <c r="L4108">
        <v>9</v>
      </c>
      <c r="M4108">
        <v>9</v>
      </c>
      <c r="N4108" s="5">
        <v>0.45740158935501751</v>
      </c>
      <c r="O4108" t="s">
        <v>100</v>
      </c>
      <c r="P4108" t="s">
        <v>340</v>
      </c>
      <c r="Q4108" s="10" t="s">
        <v>24</v>
      </c>
    </row>
    <row r="4109" spans="1:18" hidden="1" x14ac:dyDescent="0.25">
      <c r="A4109" s="9" t="s">
        <v>1097</v>
      </c>
      <c r="B4109" s="3" t="s">
        <v>1919</v>
      </c>
      <c r="C4109" s="10">
        <v>10</v>
      </c>
      <c r="D4109" s="10">
        <v>7</v>
      </c>
      <c r="E4109" s="10">
        <v>19</v>
      </c>
      <c r="F4109" t="s">
        <v>1901</v>
      </c>
      <c r="G4109" t="s">
        <v>889</v>
      </c>
      <c r="H4109" t="s">
        <v>26</v>
      </c>
      <c r="I4109" t="s">
        <v>27</v>
      </c>
      <c r="J4109" s="4">
        <v>46.75</v>
      </c>
      <c r="K4109">
        <v>1</v>
      </c>
      <c r="L4109">
        <v>46.75</v>
      </c>
      <c r="M4109">
        <v>46.75</v>
      </c>
      <c r="N4109" s="5">
        <v>2.3759471447052296</v>
      </c>
      <c r="O4109" t="s">
        <v>100</v>
      </c>
      <c r="P4109" t="s">
        <v>340</v>
      </c>
      <c r="Q4109" s="10" t="s">
        <v>24</v>
      </c>
      <c r="R4109" t="s">
        <v>1768</v>
      </c>
    </row>
    <row r="4110" spans="1:18" hidden="1" x14ac:dyDescent="0.25">
      <c r="A4110" s="9" t="s">
        <v>1097</v>
      </c>
      <c r="B4110" s="3" t="s">
        <v>1919</v>
      </c>
      <c r="C4110" s="10">
        <v>10</v>
      </c>
      <c r="D4110" s="10">
        <v>7</v>
      </c>
      <c r="E4110" s="10">
        <v>19</v>
      </c>
      <c r="F4110" t="s">
        <v>2042</v>
      </c>
      <c r="G4110" t="s">
        <v>33</v>
      </c>
      <c r="H4110" t="s">
        <v>35</v>
      </c>
      <c r="I4110" t="s">
        <v>27</v>
      </c>
      <c r="J4110" s="4">
        <v>162.6</v>
      </c>
      <c r="K4110">
        <v>0.17199999999999999</v>
      </c>
      <c r="L4110">
        <v>162.6</v>
      </c>
      <c r="M4110">
        <v>27.967199999999998</v>
      </c>
      <c r="N4110" s="5">
        <v>1.4213601922010717</v>
      </c>
      <c r="O4110" t="s">
        <v>100</v>
      </c>
      <c r="P4110" t="s">
        <v>340</v>
      </c>
      <c r="Q4110" s="10" t="s">
        <v>24</v>
      </c>
    </row>
    <row r="4111" spans="1:18" hidden="1" x14ac:dyDescent="0.25">
      <c r="A4111" s="9" t="s">
        <v>1097</v>
      </c>
      <c r="B4111" s="3" t="s">
        <v>1919</v>
      </c>
      <c r="C4111" s="10">
        <v>10</v>
      </c>
      <c r="D4111" s="10">
        <v>7</v>
      </c>
      <c r="E4111" s="10">
        <v>19</v>
      </c>
      <c r="F4111" t="s">
        <v>118</v>
      </c>
      <c r="G4111" t="s">
        <v>889</v>
      </c>
      <c r="H4111" t="s">
        <v>40</v>
      </c>
      <c r="I4111" t="s">
        <v>27</v>
      </c>
      <c r="J4111" s="4">
        <v>10</v>
      </c>
      <c r="K4111">
        <v>1</v>
      </c>
      <c r="L4111">
        <v>10</v>
      </c>
      <c r="M4111">
        <v>10</v>
      </c>
      <c r="N4111" s="5">
        <v>0.50822398817224168</v>
      </c>
      <c r="O4111" t="s">
        <v>100</v>
      </c>
      <c r="P4111" t="s">
        <v>340</v>
      </c>
      <c r="Q4111" s="10" t="s">
        <v>24</v>
      </c>
    </row>
    <row r="4112" spans="1:18" hidden="1" x14ac:dyDescent="0.25">
      <c r="A4112" s="9" t="s">
        <v>1097</v>
      </c>
      <c r="B4112" s="3" t="s">
        <v>1919</v>
      </c>
      <c r="C4112" s="10">
        <v>10</v>
      </c>
      <c r="D4112" s="10">
        <v>7</v>
      </c>
      <c r="E4112" s="10">
        <v>19</v>
      </c>
      <c r="F4112" t="s">
        <v>1902</v>
      </c>
      <c r="G4112" t="s">
        <v>889</v>
      </c>
      <c r="H4112" t="s">
        <v>49</v>
      </c>
      <c r="I4112" t="s">
        <v>50</v>
      </c>
      <c r="J4112" s="4">
        <v>0.75</v>
      </c>
      <c r="K4112">
        <v>1</v>
      </c>
      <c r="L4112">
        <v>0.75</v>
      </c>
      <c r="M4112">
        <v>0.75</v>
      </c>
      <c r="N4112" s="5">
        <v>3.8116799112918126E-2</v>
      </c>
      <c r="O4112" t="s">
        <v>100</v>
      </c>
      <c r="P4112" t="s">
        <v>340</v>
      </c>
      <c r="Q4112" s="10" t="s">
        <v>24</v>
      </c>
    </row>
    <row r="4113" spans="1:18" hidden="1" x14ac:dyDescent="0.25">
      <c r="A4113" s="9" t="s">
        <v>1097</v>
      </c>
      <c r="B4113" s="3" t="s">
        <v>1100</v>
      </c>
      <c r="C4113" s="10">
        <v>11</v>
      </c>
      <c r="D4113" s="10">
        <v>7</v>
      </c>
      <c r="E4113" s="10">
        <v>19</v>
      </c>
      <c r="F4113" t="s">
        <v>933</v>
      </c>
      <c r="I4113" t="s">
        <v>72</v>
      </c>
      <c r="J4113" s="4">
        <v>150</v>
      </c>
      <c r="K4113">
        <v>1</v>
      </c>
      <c r="L4113">
        <v>150</v>
      </c>
      <c r="M4113">
        <v>150</v>
      </c>
      <c r="N4113" s="5">
        <v>7.6320341915131777</v>
      </c>
      <c r="O4113" t="s">
        <v>933</v>
      </c>
      <c r="P4113" t="s">
        <v>340</v>
      </c>
      <c r="Q4113" s="10" t="s">
        <v>24</v>
      </c>
    </row>
    <row r="4114" spans="1:18" hidden="1" x14ac:dyDescent="0.25">
      <c r="A4114" s="9" t="s">
        <v>1097</v>
      </c>
      <c r="B4114" s="3" t="s">
        <v>1921</v>
      </c>
      <c r="C4114" s="10">
        <v>12</v>
      </c>
      <c r="D4114" s="10">
        <v>7</v>
      </c>
      <c r="E4114" s="10">
        <v>19</v>
      </c>
      <c r="F4114" t="s">
        <v>118</v>
      </c>
      <c r="G4114" t="s">
        <v>889</v>
      </c>
      <c r="H4114" t="s">
        <v>40</v>
      </c>
      <c r="I4114" t="s">
        <v>27</v>
      </c>
      <c r="J4114" s="4">
        <v>10</v>
      </c>
      <c r="K4114">
        <v>1</v>
      </c>
      <c r="L4114">
        <v>10</v>
      </c>
      <c r="M4114">
        <v>10</v>
      </c>
      <c r="N4114" s="5">
        <v>0.50822398817224168</v>
      </c>
      <c r="O4114" t="s">
        <v>100</v>
      </c>
      <c r="P4114" t="s">
        <v>340</v>
      </c>
      <c r="Q4114" s="10" t="s">
        <v>24</v>
      </c>
    </row>
    <row r="4115" spans="1:18" hidden="1" x14ac:dyDescent="0.25">
      <c r="A4115" s="9" t="s">
        <v>1097</v>
      </c>
      <c r="B4115" s="3" t="s">
        <v>1921</v>
      </c>
      <c r="C4115" s="10">
        <v>12</v>
      </c>
      <c r="D4115" s="10">
        <v>7</v>
      </c>
      <c r="E4115" s="10">
        <v>19</v>
      </c>
      <c r="F4115" t="s">
        <v>155</v>
      </c>
      <c r="G4115" t="s">
        <v>155</v>
      </c>
      <c r="H4115" t="s">
        <v>131</v>
      </c>
      <c r="I4115" t="s">
        <v>27</v>
      </c>
      <c r="J4115" s="4">
        <v>67.599999999999994</v>
      </c>
      <c r="K4115">
        <v>2</v>
      </c>
      <c r="L4115">
        <v>67.599999999999994</v>
      </c>
      <c r="M4115">
        <v>135.19999999999999</v>
      </c>
      <c r="N4115" s="5">
        <v>6.8711883200887067</v>
      </c>
      <c r="O4115" t="s">
        <v>100</v>
      </c>
      <c r="P4115" t="s">
        <v>340</v>
      </c>
      <c r="Q4115" s="10" t="s">
        <v>24</v>
      </c>
    </row>
    <row r="4116" spans="1:18" hidden="1" x14ac:dyDescent="0.25">
      <c r="A4116" s="9" t="s">
        <v>1097</v>
      </c>
      <c r="B4116" s="3" t="s">
        <v>1921</v>
      </c>
      <c r="C4116" s="10">
        <v>12</v>
      </c>
      <c r="D4116" s="10">
        <v>7</v>
      </c>
      <c r="E4116" s="10">
        <v>19</v>
      </c>
      <c r="F4116" t="s">
        <v>1036</v>
      </c>
      <c r="G4116" t="s">
        <v>889</v>
      </c>
      <c r="H4116" t="s">
        <v>38</v>
      </c>
      <c r="I4116" t="s">
        <v>27</v>
      </c>
      <c r="J4116" s="4">
        <v>126</v>
      </c>
      <c r="K4116">
        <v>0.26800000000000002</v>
      </c>
      <c r="L4116">
        <v>126</v>
      </c>
      <c r="M4116">
        <v>33.768000000000001</v>
      </c>
      <c r="N4116" s="5">
        <v>1.7161707632600256</v>
      </c>
      <c r="O4116" t="s">
        <v>100</v>
      </c>
      <c r="P4116" t="s">
        <v>340</v>
      </c>
      <c r="Q4116" s="10" t="s">
        <v>24</v>
      </c>
    </row>
    <row r="4117" spans="1:18" hidden="1" x14ac:dyDescent="0.25">
      <c r="A4117" s="9" t="s">
        <v>1097</v>
      </c>
      <c r="B4117" s="3" t="s">
        <v>1921</v>
      </c>
      <c r="C4117" s="10">
        <v>12</v>
      </c>
      <c r="D4117" s="10">
        <v>7</v>
      </c>
      <c r="E4117" s="10">
        <v>19</v>
      </c>
      <c r="F4117" t="s">
        <v>1908</v>
      </c>
      <c r="G4117" t="s">
        <v>889</v>
      </c>
      <c r="H4117" t="s">
        <v>35</v>
      </c>
      <c r="I4117" t="s">
        <v>27</v>
      </c>
      <c r="J4117" s="4">
        <v>104.6</v>
      </c>
      <c r="K4117">
        <v>0.51200000000000001</v>
      </c>
      <c r="L4117">
        <v>104.6</v>
      </c>
      <c r="M4117">
        <v>53.555199999999999</v>
      </c>
      <c r="N4117" s="5">
        <v>2.7218037331362037</v>
      </c>
      <c r="O4117" t="s">
        <v>100</v>
      </c>
      <c r="P4117" t="s">
        <v>340</v>
      </c>
      <c r="Q4117" s="10" t="s">
        <v>24</v>
      </c>
      <c r="R4117" t="s">
        <v>1909</v>
      </c>
    </row>
    <row r="4118" spans="1:18" hidden="1" x14ac:dyDescent="0.25">
      <c r="A4118" s="9" t="s">
        <v>1097</v>
      </c>
      <c r="B4118" s="3" t="s">
        <v>1921</v>
      </c>
      <c r="C4118" s="10">
        <v>12</v>
      </c>
      <c r="D4118" s="10">
        <v>7</v>
      </c>
      <c r="E4118" s="10">
        <v>19</v>
      </c>
      <c r="F4118" t="s">
        <v>1542</v>
      </c>
      <c r="G4118" t="s">
        <v>889</v>
      </c>
      <c r="H4118" t="s">
        <v>131</v>
      </c>
      <c r="I4118" t="s">
        <v>27</v>
      </c>
      <c r="J4118" s="4">
        <v>125.8</v>
      </c>
      <c r="K4118">
        <v>0.93400000000000005</v>
      </c>
      <c r="L4118">
        <v>125.8</v>
      </c>
      <c r="M4118">
        <v>117.49720000000001</v>
      </c>
      <c r="N4118" s="5">
        <v>5.9714895583071517</v>
      </c>
      <c r="O4118" t="s">
        <v>88</v>
      </c>
      <c r="P4118" t="s">
        <v>340</v>
      </c>
      <c r="Q4118" s="10" t="s">
        <v>84</v>
      </c>
      <c r="R4118" t="s">
        <v>1976</v>
      </c>
    </row>
    <row r="4119" spans="1:18" hidden="1" x14ac:dyDescent="0.25">
      <c r="A4119" s="9" t="s">
        <v>1097</v>
      </c>
      <c r="B4119" s="3" t="s">
        <v>1921</v>
      </c>
      <c r="C4119" s="10">
        <v>12</v>
      </c>
      <c r="D4119" s="10">
        <v>7</v>
      </c>
      <c r="E4119" s="10">
        <v>19</v>
      </c>
      <c r="F4119" t="s">
        <v>1902</v>
      </c>
      <c r="G4119" t="s">
        <v>889</v>
      </c>
      <c r="H4119" t="s">
        <v>49</v>
      </c>
      <c r="I4119" t="s">
        <v>50</v>
      </c>
      <c r="J4119" s="4">
        <v>3</v>
      </c>
      <c r="K4119">
        <v>1</v>
      </c>
      <c r="L4119">
        <v>3</v>
      </c>
      <c r="M4119">
        <v>3</v>
      </c>
      <c r="N4119" s="5">
        <v>0.1524671964516725</v>
      </c>
      <c r="O4119" t="s">
        <v>88</v>
      </c>
      <c r="P4119" t="s">
        <v>340</v>
      </c>
      <c r="Q4119" s="10" t="s">
        <v>24</v>
      </c>
    </row>
    <row r="4120" spans="1:18" hidden="1" x14ac:dyDescent="0.25">
      <c r="A4120" s="9" t="s">
        <v>1097</v>
      </c>
      <c r="B4120" s="3" t="s">
        <v>2036</v>
      </c>
      <c r="C4120" s="10">
        <v>13</v>
      </c>
      <c r="D4120" s="10">
        <v>7</v>
      </c>
      <c r="E4120" s="10">
        <v>19</v>
      </c>
      <c r="F4120" t="s">
        <v>81</v>
      </c>
      <c r="G4120" t="s">
        <v>889</v>
      </c>
      <c r="H4120" t="s">
        <v>889</v>
      </c>
      <c r="I4120" t="s">
        <v>39</v>
      </c>
      <c r="J4120" s="4">
        <v>247</v>
      </c>
      <c r="K4120">
        <v>1</v>
      </c>
      <c r="L4120">
        <v>247</v>
      </c>
      <c r="M4120">
        <v>247</v>
      </c>
      <c r="N4120" s="5">
        <v>12.553132507854368</v>
      </c>
      <c r="O4120" t="s">
        <v>39</v>
      </c>
      <c r="P4120" t="s">
        <v>340</v>
      </c>
      <c r="Q4120" s="10" t="s">
        <v>84</v>
      </c>
      <c r="R4120" t="s">
        <v>2015</v>
      </c>
    </row>
    <row r="4121" spans="1:18" hidden="1" x14ac:dyDescent="0.25">
      <c r="A4121" s="9" t="s">
        <v>1097</v>
      </c>
      <c r="B4121" s="3" t="s">
        <v>2036</v>
      </c>
      <c r="C4121" s="10">
        <v>13</v>
      </c>
      <c r="D4121" s="10">
        <v>7</v>
      </c>
      <c r="E4121" s="10">
        <v>19</v>
      </c>
      <c r="F4121" t="s">
        <v>44</v>
      </c>
      <c r="G4121" t="s">
        <v>889</v>
      </c>
      <c r="H4121" t="s">
        <v>44</v>
      </c>
      <c r="I4121" t="s">
        <v>27</v>
      </c>
      <c r="J4121" s="4">
        <v>35</v>
      </c>
      <c r="K4121">
        <v>1</v>
      </c>
      <c r="L4121">
        <v>35</v>
      </c>
      <c r="M4121">
        <v>35</v>
      </c>
      <c r="N4121" s="5">
        <v>1.7787839586028458</v>
      </c>
      <c r="O4121" t="s">
        <v>39</v>
      </c>
      <c r="P4121" t="s">
        <v>340</v>
      </c>
      <c r="Q4121" s="10" t="s">
        <v>24</v>
      </c>
      <c r="R4121" t="s">
        <v>2019</v>
      </c>
    </row>
    <row r="4122" spans="1:18" hidden="1" x14ac:dyDescent="0.25">
      <c r="A4122" s="9" t="s">
        <v>1097</v>
      </c>
      <c r="B4122" s="3" t="s">
        <v>1810</v>
      </c>
      <c r="C4122" s="10">
        <v>14</v>
      </c>
      <c r="D4122" s="10">
        <v>7</v>
      </c>
      <c r="E4122" s="10">
        <v>19</v>
      </c>
      <c r="F4122" t="s">
        <v>78</v>
      </c>
      <c r="G4122" t="s">
        <v>889</v>
      </c>
      <c r="H4122" t="s">
        <v>78</v>
      </c>
      <c r="I4122" t="s">
        <v>79</v>
      </c>
      <c r="J4122" s="4">
        <v>19.05</v>
      </c>
      <c r="K4122">
        <v>44.84</v>
      </c>
      <c r="L4122">
        <v>19.05</v>
      </c>
      <c r="M4122">
        <v>854.20200000000011</v>
      </c>
      <c r="N4122" s="5">
        <v>43.412594714470522</v>
      </c>
      <c r="O4122" t="s">
        <v>80</v>
      </c>
      <c r="P4122" t="s">
        <v>340</v>
      </c>
      <c r="Q4122" s="10" t="s">
        <v>24</v>
      </c>
    </row>
    <row r="4123" spans="1:18" hidden="1" x14ac:dyDescent="0.25">
      <c r="A4123" s="9" t="s">
        <v>1097</v>
      </c>
      <c r="B4123" s="3" t="s">
        <v>1810</v>
      </c>
      <c r="C4123" s="10">
        <v>14</v>
      </c>
      <c r="D4123" s="10">
        <v>7</v>
      </c>
      <c r="E4123" s="10">
        <v>19</v>
      </c>
      <c r="F4123" t="s">
        <v>107</v>
      </c>
      <c r="G4123" t="s">
        <v>889</v>
      </c>
      <c r="H4123" t="s">
        <v>53</v>
      </c>
      <c r="I4123" t="s">
        <v>27</v>
      </c>
      <c r="J4123" s="4">
        <v>59.5</v>
      </c>
      <c r="K4123">
        <v>3</v>
      </c>
      <c r="L4123">
        <v>59.5</v>
      </c>
      <c r="M4123">
        <v>178.5</v>
      </c>
      <c r="N4123" s="5">
        <v>9.0717981888745136</v>
      </c>
      <c r="O4123" t="s">
        <v>51</v>
      </c>
      <c r="P4123" t="s">
        <v>340</v>
      </c>
      <c r="Q4123" s="10" t="s">
        <v>24</v>
      </c>
    </row>
    <row r="4124" spans="1:18" hidden="1" x14ac:dyDescent="0.25">
      <c r="A4124" s="9" t="s">
        <v>1097</v>
      </c>
      <c r="B4124" s="3" t="s">
        <v>1810</v>
      </c>
      <c r="C4124" s="10">
        <v>14</v>
      </c>
      <c r="D4124" s="10">
        <v>7</v>
      </c>
      <c r="E4124" s="10">
        <v>19</v>
      </c>
      <c r="F4124" t="s">
        <v>1692</v>
      </c>
      <c r="G4124" t="s">
        <v>889</v>
      </c>
      <c r="H4124" t="s">
        <v>49</v>
      </c>
      <c r="I4124" t="s">
        <v>50</v>
      </c>
      <c r="J4124" s="4">
        <v>33.49</v>
      </c>
      <c r="K4124">
        <v>1</v>
      </c>
      <c r="L4124">
        <v>33.49</v>
      </c>
      <c r="M4124">
        <v>33.49</v>
      </c>
      <c r="N4124" s="5">
        <v>1.7020421363888374</v>
      </c>
      <c r="O4124" t="s">
        <v>51</v>
      </c>
      <c r="P4124" t="s">
        <v>340</v>
      </c>
      <c r="Q4124" s="10" t="s">
        <v>24</v>
      </c>
    </row>
    <row r="4125" spans="1:18" hidden="1" x14ac:dyDescent="0.25">
      <c r="A4125" s="9" t="s">
        <v>1097</v>
      </c>
      <c r="B4125" s="3" t="s">
        <v>1810</v>
      </c>
      <c r="C4125" s="10">
        <v>14</v>
      </c>
      <c r="D4125" s="10">
        <v>7</v>
      </c>
      <c r="E4125" s="10">
        <v>19</v>
      </c>
      <c r="F4125" t="s">
        <v>39</v>
      </c>
      <c r="G4125" t="s">
        <v>889</v>
      </c>
      <c r="H4125" t="s">
        <v>49</v>
      </c>
      <c r="I4125" t="s">
        <v>50</v>
      </c>
      <c r="J4125" s="4">
        <v>47.88</v>
      </c>
      <c r="K4125">
        <v>1</v>
      </c>
      <c r="L4125">
        <v>47.88</v>
      </c>
      <c r="M4125">
        <v>47.88</v>
      </c>
      <c r="N4125" s="5">
        <v>2.433376455368693</v>
      </c>
      <c r="O4125" t="s">
        <v>51</v>
      </c>
      <c r="P4125" t="s">
        <v>340</v>
      </c>
      <c r="Q4125" s="10" t="s">
        <v>24</v>
      </c>
      <c r="R4125" t="s">
        <v>1950</v>
      </c>
    </row>
    <row r="4126" spans="1:18" hidden="1" x14ac:dyDescent="0.25">
      <c r="A4126" s="9" t="s">
        <v>1097</v>
      </c>
      <c r="B4126" s="3" t="s">
        <v>1810</v>
      </c>
      <c r="C4126" s="10">
        <v>14</v>
      </c>
      <c r="D4126" s="10">
        <v>7</v>
      </c>
      <c r="E4126" s="10">
        <v>19</v>
      </c>
      <c r="F4126" t="s">
        <v>237</v>
      </c>
      <c r="G4126" t="s">
        <v>889</v>
      </c>
      <c r="H4126" t="s">
        <v>49</v>
      </c>
      <c r="I4126" t="s">
        <v>50</v>
      </c>
      <c r="J4126" s="4">
        <v>21.9</v>
      </c>
      <c r="K4126">
        <v>1</v>
      </c>
      <c r="L4126">
        <v>21.9</v>
      </c>
      <c r="M4126">
        <v>21.9</v>
      </c>
      <c r="N4126" s="5">
        <v>1.1130105340972092</v>
      </c>
      <c r="O4126" t="s">
        <v>51</v>
      </c>
      <c r="P4126" t="s">
        <v>340</v>
      </c>
      <c r="Q4126" s="10" t="s">
        <v>24</v>
      </c>
    </row>
    <row r="4127" spans="1:18" hidden="1" x14ac:dyDescent="0.25">
      <c r="A4127" s="9" t="s">
        <v>1097</v>
      </c>
      <c r="B4127" s="3" t="s">
        <v>1810</v>
      </c>
      <c r="C4127" s="10">
        <v>14</v>
      </c>
      <c r="D4127" s="10">
        <v>7</v>
      </c>
      <c r="E4127" s="10">
        <v>19</v>
      </c>
      <c r="F4127" t="s">
        <v>177</v>
      </c>
      <c r="G4127" t="s">
        <v>889</v>
      </c>
      <c r="H4127" t="s">
        <v>56</v>
      </c>
      <c r="I4127" t="s">
        <v>27</v>
      </c>
      <c r="J4127" s="4">
        <v>14.9</v>
      </c>
      <c r="K4127">
        <v>0.84399999999999997</v>
      </c>
      <c r="L4127">
        <v>14.9</v>
      </c>
      <c r="M4127">
        <v>12.5756</v>
      </c>
      <c r="N4127" s="5">
        <v>0.63912215856588417</v>
      </c>
      <c r="O4127" t="s">
        <v>51</v>
      </c>
      <c r="P4127" t="s">
        <v>340</v>
      </c>
      <c r="Q4127" s="10" t="s">
        <v>24</v>
      </c>
    </row>
    <row r="4128" spans="1:18" hidden="1" x14ac:dyDescent="0.25">
      <c r="A4128" s="9" t="s">
        <v>1097</v>
      </c>
      <c r="B4128" s="3" t="s">
        <v>1810</v>
      </c>
      <c r="C4128" s="10">
        <v>14</v>
      </c>
      <c r="D4128" s="10">
        <v>7</v>
      </c>
      <c r="E4128" s="10">
        <v>19</v>
      </c>
      <c r="F4128" t="s">
        <v>1611</v>
      </c>
      <c r="G4128" t="s">
        <v>889</v>
      </c>
      <c r="H4128" t="s">
        <v>59</v>
      </c>
      <c r="I4128" t="s">
        <v>27</v>
      </c>
      <c r="J4128" s="4">
        <v>149</v>
      </c>
      <c r="K4128">
        <v>2</v>
      </c>
      <c r="L4128">
        <v>149</v>
      </c>
      <c r="M4128">
        <v>298</v>
      </c>
      <c r="N4128" s="5">
        <v>15.145074847532801</v>
      </c>
      <c r="O4128" t="s">
        <v>51</v>
      </c>
      <c r="P4128" t="s">
        <v>340</v>
      </c>
      <c r="Q4128" s="10" t="s">
        <v>24</v>
      </c>
    </row>
    <row r="4129" spans="1:18" hidden="1" x14ac:dyDescent="0.25">
      <c r="A4129" s="9" t="s">
        <v>1097</v>
      </c>
      <c r="B4129" s="3" t="s">
        <v>1810</v>
      </c>
      <c r="C4129" s="10">
        <v>14</v>
      </c>
      <c r="D4129" s="10">
        <v>7</v>
      </c>
      <c r="E4129" s="10">
        <v>19</v>
      </c>
      <c r="F4129" t="s">
        <v>1951</v>
      </c>
      <c r="G4129" t="s">
        <v>889</v>
      </c>
      <c r="H4129" t="s">
        <v>54</v>
      </c>
      <c r="I4129" t="s">
        <v>27</v>
      </c>
      <c r="J4129" s="4">
        <v>39.9</v>
      </c>
      <c r="K4129">
        <v>0.58799999999999997</v>
      </c>
      <c r="L4129">
        <v>39.9</v>
      </c>
      <c r="M4129">
        <v>23.461199999999998</v>
      </c>
      <c r="N4129" s="5">
        <v>1.1923544631306595</v>
      </c>
      <c r="O4129" t="s">
        <v>51</v>
      </c>
      <c r="P4129" t="s">
        <v>340</v>
      </c>
      <c r="Q4129" s="10" t="s">
        <v>24</v>
      </c>
    </row>
    <row r="4130" spans="1:18" hidden="1" x14ac:dyDescent="0.25">
      <c r="A4130" s="9" t="s">
        <v>1097</v>
      </c>
      <c r="B4130" s="3" t="s">
        <v>1810</v>
      </c>
      <c r="C4130" s="10">
        <v>14</v>
      </c>
      <c r="D4130" s="10">
        <v>7</v>
      </c>
      <c r="E4130" s="10">
        <v>19</v>
      </c>
      <c r="F4130" t="s">
        <v>744</v>
      </c>
      <c r="G4130" t="s">
        <v>889</v>
      </c>
      <c r="H4130" t="s">
        <v>54</v>
      </c>
      <c r="I4130" t="s">
        <v>27</v>
      </c>
      <c r="J4130" s="4">
        <v>9.7799999999999994</v>
      </c>
      <c r="K4130">
        <v>1</v>
      </c>
      <c r="L4130">
        <v>9.7799999999999994</v>
      </c>
      <c r="M4130">
        <v>9.7799999999999994</v>
      </c>
      <c r="N4130" s="5">
        <v>0.49704306043245228</v>
      </c>
      <c r="O4130" t="s">
        <v>51</v>
      </c>
      <c r="P4130" t="s">
        <v>340</v>
      </c>
      <c r="Q4130" s="10" t="s">
        <v>24</v>
      </c>
    </row>
    <row r="4131" spans="1:18" hidden="1" x14ac:dyDescent="0.25">
      <c r="A4131" s="9" t="s">
        <v>1097</v>
      </c>
      <c r="B4131" s="3" t="s">
        <v>1810</v>
      </c>
      <c r="C4131" s="10">
        <v>14</v>
      </c>
      <c r="D4131" s="10">
        <v>7</v>
      </c>
      <c r="E4131" s="10">
        <v>19</v>
      </c>
      <c r="F4131" t="s">
        <v>523</v>
      </c>
      <c r="G4131" t="s">
        <v>889</v>
      </c>
      <c r="H4131" t="s">
        <v>73</v>
      </c>
      <c r="I4131" t="s">
        <v>27</v>
      </c>
      <c r="J4131" s="4">
        <v>20.52</v>
      </c>
      <c r="K4131">
        <v>1</v>
      </c>
      <c r="L4131">
        <v>20.52</v>
      </c>
      <c r="M4131">
        <v>20.52</v>
      </c>
      <c r="N4131" s="5">
        <v>1.0428756237294399</v>
      </c>
      <c r="O4131" t="s">
        <v>51</v>
      </c>
      <c r="P4131" t="s">
        <v>340</v>
      </c>
      <c r="Q4131" s="10" t="s">
        <v>24</v>
      </c>
    </row>
    <row r="4132" spans="1:18" hidden="1" x14ac:dyDescent="0.25">
      <c r="A4132" s="9" t="s">
        <v>1097</v>
      </c>
      <c r="B4132" s="3" t="s">
        <v>1810</v>
      </c>
      <c r="C4132" s="10">
        <v>14</v>
      </c>
      <c r="D4132" s="10">
        <v>7</v>
      </c>
      <c r="E4132" s="10">
        <v>19</v>
      </c>
      <c r="F4132" t="s">
        <v>224</v>
      </c>
      <c r="G4132" t="s">
        <v>224</v>
      </c>
      <c r="H4132" t="s">
        <v>131</v>
      </c>
      <c r="I4132" t="s">
        <v>27</v>
      </c>
      <c r="J4132" s="4">
        <v>88.49</v>
      </c>
      <c r="K4132">
        <v>1</v>
      </c>
      <c r="L4132">
        <v>88.49</v>
      </c>
      <c r="M4132">
        <v>88.49</v>
      </c>
      <c r="N4132" s="5">
        <v>4.4972740713361663</v>
      </c>
      <c r="O4132" t="s">
        <v>51</v>
      </c>
      <c r="P4132" t="s">
        <v>340</v>
      </c>
      <c r="Q4132" s="10" t="s">
        <v>24</v>
      </c>
    </row>
    <row r="4133" spans="1:18" hidden="1" x14ac:dyDescent="0.25">
      <c r="A4133" s="9" t="s">
        <v>1097</v>
      </c>
      <c r="B4133" s="3" t="s">
        <v>1816</v>
      </c>
      <c r="C4133" s="10">
        <v>15</v>
      </c>
      <c r="D4133" s="10">
        <v>7</v>
      </c>
      <c r="E4133" s="10">
        <v>19</v>
      </c>
      <c r="F4133" t="s">
        <v>389</v>
      </c>
      <c r="G4133" t="s">
        <v>889</v>
      </c>
      <c r="H4133" t="s">
        <v>21</v>
      </c>
      <c r="I4133" t="s">
        <v>22</v>
      </c>
      <c r="J4133" s="4">
        <v>4</v>
      </c>
      <c r="K4133">
        <v>1</v>
      </c>
      <c r="L4133">
        <v>4</v>
      </c>
      <c r="M4133">
        <v>4</v>
      </c>
      <c r="N4133" s="5">
        <v>0.20328959526889667</v>
      </c>
      <c r="O4133" t="s">
        <v>354</v>
      </c>
      <c r="P4133" t="s">
        <v>340</v>
      </c>
      <c r="Q4133" s="10" t="s">
        <v>24</v>
      </c>
    </row>
    <row r="4134" spans="1:18" hidden="1" x14ac:dyDescent="0.25">
      <c r="A4134" s="9" t="s">
        <v>1097</v>
      </c>
      <c r="B4134" s="3" t="s">
        <v>1101</v>
      </c>
      <c r="C4134" s="10">
        <v>16</v>
      </c>
      <c r="D4134" s="10">
        <v>7</v>
      </c>
      <c r="E4134" s="10">
        <v>19</v>
      </c>
      <c r="F4134" t="s">
        <v>933</v>
      </c>
      <c r="I4134" t="s">
        <v>72</v>
      </c>
      <c r="J4134" s="4">
        <v>200</v>
      </c>
      <c r="K4134">
        <v>1</v>
      </c>
      <c r="L4134">
        <v>200</v>
      </c>
      <c r="M4134">
        <v>200</v>
      </c>
      <c r="N4134" s="5">
        <v>10.176045588684238</v>
      </c>
      <c r="O4134" t="s">
        <v>933</v>
      </c>
      <c r="P4134" t="s">
        <v>340</v>
      </c>
      <c r="Q4134" s="10" t="s">
        <v>24</v>
      </c>
    </row>
    <row r="4135" spans="1:18" hidden="1" x14ac:dyDescent="0.25">
      <c r="A4135" s="9" t="s">
        <v>1097</v>
      </c>
      <c r="B4135" s="3" t="s">
        <v>1101</v>
      </c>
      <c r="C4135" s="10">
        <v>16</v>
      </c>
      <c r="D4135" s="10">
        <v>7</v>
      </c>
      <c r="E4135" s="10">
        <v>19</v>
      </c>
      <c r="F4135" t="s">
        <v>1747</v>
      </c>
      <c r="G4135" t="s">
        <v>889</v>
      </c>
      <c r="H4135" t="s">
        <v>1748</v>
      </c>
      <c r="I4135" t="s">
        <v>72</v>
      </c>
      <c r="J4135" s="4">
        <v>300</v>
      </c>
      <c r="K4135">
        <v>1</v>
      </c>
      <c r="L4135">
        <v>300</v>
      </c>
      <c r="M4135">
        <v>300</v>
      </c>
      <c r="N4135" s="5">
        <v>15.24671964516725</v>
      </c>
      <c r="O4135" t="s">
        <v>231</v>
      </c>
      <c r="P4135" t="s">
        <v>340</v>
      </c>
      <c r="Q4135" s="10" t="s">
        <v>24</v>
      </c>
      <c r="R4135" t="s">
        <v>1755</v>
      </c>
    </row>
    <row r="4136" spans="1:18" hidden="1" x14ac:dyDescent="0.25">
      <c r="A4136" s="9" t="s">
        <v>1097</v>
      </c>
      <c r="B4136" s="3" t="s">
        <v>1101</v>
      </c>
      <c r="C4136" s="10">
        <v>16</v>
      </c>
      <c r="D4136" s="10">
        <v>7</v>
      </c>
      <c r="E4136" s="10">
        <v>19</v>
      </c>
      <c r="F4136" t="s">
        <v>1339</v>
      </c>
      <c r="G4136" t="s">
        <v>889</v>
      </c>
      <c r="H4136" t="s">
        <v>131</v>
      </c>
      <c r="I4136" t="s">
        <v>27</v>
      </c>
      <c r="J4136" s="4">
        <v>12</v>
      </c>
      <c r="K4136">
        <v>2</v>
      </c>
      <c r="L4136">
        <v>12</v>
      </c>
      <c r="M4136">
        <v>24</v>
      </c>
      <c r="N4136" s="5">
        <v>1.21973757161338</v>
      </c>
      <c r="O4136" t="s">
        <v>39</v>
      </c>
      <c r="P4136" t="s">
        <v>340</v>
      </c>
      <c r="Q4136" s="10" t="s">
        <v>24</v>
      </c>
    </row>
    <row r="4137" spans="1:18" hidden="1" x14ac:dyDescent="0.25">
      <c r="A4137" s="9" t="s">
        <v>1097</v>
      </c>
      <c r="B4137" s="3" t="s">
        <v>1101</v>
      </c>
      <c r="C4137" s="10">
        <v>16</v>
      </c>
      <c r="D4137" s="10">
        <v>7</v>
      </c>
      <c r="E4137" s="10">
        <v>19</v>
      </c>
      <c r="F4137" t="s">
        <v>55</v>
      </c>
      <c r="G4137" t="s">
        <v>889</v>
      </c>
      <c r="H4137" t="s">
        <v>56</v>
      </c>
      <c r="I4137" t="s">
        <v>27</v>
      </c>
      <c r="J4137" s="4">
        <v>21.1</v>
      </c>
      <c r="K4137">
        <v>0.61599999999999999</v>
      </c>
      <c r="L4137">
        <v>21.1</v>
      </c>
      <c r="M4137">
        <v>12.9976</v>
      </c>
      <c r="N4137" s="5">
        <v>0.6605692108667528</v>
      </c>
      <c r="O4137" t="s">
        <v>457</v>
      </c>
      <c r="P4137" t="s">
        <v>340</v>
      </c>
      <c r="Q4137" s="10" t="s">
        <v>24</v>
      </c>
    </row>
    <row r="4138" spans="1:18" hidden="1" x14ac:dyDescent="0.25">
      <c r="A4138" s="9" t="s">
        <v>1097</v>
      </c>
      <c r="B4138" s="3" t="s">
        <v>1101</v>
      </c>
      <c r="C4138" s="10">
        <v>16</v>
      </c>
      <c r="D4138" s="10">
        <v>7</v>
      </c>
      <c r="E4138" s="10">
        <v>19</v>
      </c>
      <c r="F4138" t="s">
        <v>224</v>
      </c>
      <c r="G4138" t="s">
        <v>224</v>
      </c>
      <c r="H4138" t="s">
        <v>131</v>
      </c>
      <c r="I4138" t="s">
        <v>27</v>
      </c>
      <c r="J4138" s="4">
        <v>28.65</v>
      </c>
      <c r="K4138">
        <v>1</v>
      </c>
      <c r="L4138">
        <v>28.65</v>
      </c>
      <c r="M4138">
        <v>28.65</v>
      </c>
      <c r="N4138" s="5">
        <v>1.4560617261134723</v>
      </c>
      <c r="O4138" t="s">
        <v>1472</v>
      </c>
      <c r="P4138" t="s">
        <v>340</v>
      </c>
      <c r="Q4138" s="10" t="s">
        <v>24</v>
      </c>
    </row>
    <row r="4139" spans="1:18" hidden="1" x14ac:dyDescent="0.25">
      <c r="A4139" s="9" t="s">
        <v>1097</v>
      </c>
      <c r="B4139" s="3" t="s">
        <v>1101</v>
      </c>
      <c r="C4139" s="10">
        <v>16</v>
      </c>
      <c r="D4139" s="10">
        <v>7</v>
      </c>
      <c r="E4139" s="10">
        <v>19</v>
      </c>
      <c r="F4139" t="s">
        <v>45</v>
      </c>
      <c r="G4139" t="s">
        <v>31</v>
      </c>
      <c r="H4139" t="s">
        <v>26</v>
      </c>
      <c r="I4139" t="s">
        <v>27</v>
      </c>
      <c r="J4139" s="4">
        <v>9.6</v>
      </c>
      <c r="K4139">
        <v>2</v>
      </c>
      <c r="L4139">
        <v>9.6</v>
      </c>
      <c r="M4139">
        <v>19.2</v>
      </c>
      <c r="N4139" s="5">
        <v>0.97579005729070389</v>
      </c>
      <c r="O4139" t="s">
        <v>1472</v>
      </c>
      <c r="P4139" t="s">
        <v>340</v>
      </c>
      <c r="Q4139" s="10" t="s">
        <v>24</v>
      </c>
    </row>
    <row r="4140" spans="1:18" hidden="1" x14ac:dyDescent="0.25">
      <c r="A4140" s="9" t="s">
        <v>1097</v>
      </c>
      <c r="B4140" s="3" t="s">
        <v>1101</v>
      </c>
      <c r="C4140" s="10">
        <v>16</v>
      </c>
      <c r="D4140" s="10">
        <v>7</v>
      </c>
      <c r="E4140" s="10">
        <v>19</v>
      </c>
      <c r="F4140" t="s">
        <v>40</v>
      </c>
      <c r="G4140" t="s">
        <v>889</v>
      </c>
      <c r="H4140" t="s">
        <v>40</v>
      </c>
      <c r="I4140" t="s">
        <v>27</v>
      </c>
      <c r="J4140" s="4">
        <v>7.8</v>
      </c>
      <c r="K4140">
        <v>1</v>
      </c>
      <c r="L4140">
        <v>7.8</v>
      </c>
      <c r="M4140">
        <v>7.8</v>
      </c>
      <c r="N4140" s="5">
        <v>0.39641471077434848</v>
      </c>
      <c r="O4140" t="s">
        <v>1472</v>
      </c>
      <c r="P4140" t="s">
        <v>340</v>
      </c>
      <c r="Q4140" s="10" t="s">
        <v>24</v>
      </c>
    </row>
    <row r="4141" spans="1:18" hidden="1" x14ac:dyDescent="0.25">
      <c r="A4141" s="9" t="s">
        <v>1097</v>
      </c>
      <c r="B4141" s="3" t="s">
        <v>1101</v>
      </c>
      <c r="C4141" s="10">
        <v>16</v>
      </c>
      <c r="D4141" s="10">
        <v>7</v>
      </c>
      <c r="E4141" s="10">
        <v>19</v>
      </c>
      <c r="F4141" t="s">
        <v>1339</v>
      </c>
      <c r="G4141" t="s">
        <v>889</v>
      </c>
      <c r="H4141" t="s">
        <v>131</v>
      </c>
      <c r="I4141" t="s">
        <v>27</v>
      </c>
      <c r="J4141" s="4">
        <v>12</v>
      </c>
      <c r="K4141">
        <v>2</v>
      </c>
      <c r="L4141">
        <v>12</v>
      </c>
      <c r="M4141">
        <v>24</v>
      </c>
      <c r="N4141" s="5">
        <v>1.21973757161338</v>
      </c>
      <c r="O4141" t="s">
        <v>1472</v>
      </c>
      <c r="P4141" t="s">
        <v>340</v>
      </c>
      <c r="Q4141" s="10" t="s">
        <v>24</v>
      </c>
    </row>
    <row r="4142" spans="1:18" hidden="1" x14ac:dyDescent="0.25">
      <c r="A4142" s="9" t="s">
        <v>1097</v>
      </c>
      <c r="B4142" s="3" t="s">
        <v>1101</v>
      </c>
      <c r="C4142" s="10">
        <v>16</v>
      </c>
      <c r="D4142" s="10">
        <v>7</v>
      </c>
      <c r="E4142" s="10">
        <v>19</v>
      </c>
      <c r="F4142" t="s">
        <v>104</v>
      </c>
      <c r="G4142" t="s">
        <v>889</v>
      </c>
      <c r="H4142" t="s">
        <v>1748</v>
      </c>
      <c r="I4142" t="s">
        <v>72</v>
      </c>
      <c r="J4142" s="4">
        <v>124.93</v>
      </c>
      <c r="K4142">
        <v>1</v>
      </c>
      <c r="L4142">
        <v>124.93</v>
      </c>
      <c r="M4142">
        <v>124.93</v>
      </c>
      <c r="N4142" s="5">
        <v>6.3492422842358156</v>
      </c>
      <c r="O4142" t="s">
        <v>233</v>
      </c>
      <c r="P4142" t="s">
        <v>340</v>
      </c>
      <c r="Q4142" s="10" t="s">
        <v>24</v>
      </c>
      <c r="R4142" t="s">
        <v>1840</v>
      </c>
    </row>
    <row r="4143" spans="1:18" hidden="1" x14ac:dyDescent="0.25">
      <c r="A4143" s="9" t="s">
        <v>1097</v>
      </c>
      <c r="B4143" s="3" t="s">
        <v>1101</v>
      </c>
      <c r="C4143" s="10">
        <v>16</v>
      </c>
      <c r="D4143" s="10">
        <v>7</v>
      </c>
      <c r="E4143" s="10">
        <v>19</v>
      </c>
      <c r="F4143" t="s">
        <v>39</v>
      </c>
      <c r="G4143" t="s">
        <v>889</v>
      </c>
      <c r="H4143" t="s">
        <v>889</v>
      </c>
      <c r="I4143" t="s">
        <v>72</v>
      </c>
      <c r="J4143" s="4">
        <v>3.09</v>
      </c>
      <c r="K4143">
        <v>1</v>
      </c>
      <c r="L4143">
        <v>3.09</v>
      </c>
      <c r="M4143">
        <v>3.09</v>
      </c>
      <c r="N4143" s="5">
        <v>0.15704121234522267</v>
      </c>
      <c r="O4143" t="s">
        <v>233</v>
      </c>
      <c r="P4143" t="s">
        <v>340</v>
      </c>
      <c r="Q4143" s="10" t="s">
        <v>24</v>
      </c>
      <c r="R4143" t="s">
        <v>1841</v>
      </c>
    </row>
    <row r="4144" spans="1:18" hidden="1" x14ac:dyDescent="0.25">
      <c r="A4144" s="9" t="s">
        <v>1097</v>
      </c>
      <c r="B4144" s="3" t="s">
        <v>1098</v>
      </c>
      <c r="C4144" s="10">
        <v>17</v>
      </c>
      <c r="D4144" s="10">
        <v>7</v>
      </c>
      <c r="E4144" s="10">
        <v>19</v>
      </c>
      <c r="F4144" t="s">
        <v>595</v>
      </c>
      <c r="G4144" t="s">
        <v>889</v>
      </c>
      <c r="H4144" t="s">
        <v>54</v>
      </c>
      <c r="I4144" t="s">
        <v>27</v>
      </c>
      <c r="J4144" s="4">
        <v>6</v>
      </c>
      <c r="K4144">
        <v>3</v>
      </c>
      <c r="L4144">
        <v>6</v>
      </c>
      <c r="M4144">
        <v>18</v>
      </c>
      <c r="N4144" s="5">
        <v>0.91584410298158136</v>
      </c>
      <c r="O4144" t="s">
        <v>593</v>
      </c>
      <c r="P4144" t="s">
        <v>340</v>
      </c>
      <c r="Q4144" s="10" t="s">
        <v>24</v>
      </c>
    </row>
    <row r="4145" spans="1:18" hidden="1" x14ac:dyDescent="0.25">
      <c r="A4145" s="9" t="s">
        <v>1097</v>
      </c>
      <c r="B4145" s="3" t="s">
        <v>1098</v>
      </c>
      <c r="C4145" s="10">
        <v>17</v>
      </c>
      <c r="D4145" s="10">
        <v>7</v>
      </c>
      <c r="E4145" s="10">
        <v>19</v>
      </c>
      <c r="F4145" t="s">
        <v>662</v>
      </c>
      <c r="G4145" t="s">
        <v>889</v>
      </c>
      <c r="H4145" t="s">
        <v>56</v>
      </c>
      <c r="I4145" t="s">
        <v>27</v>
      </c>
      <c r="J4145" s="4">
        <v>12</v>
      </c>
      <c r="K4145">
        <v>1</v>
      </c>
      <c r="L4145">
        <v>12</v>
      </c>
      <c r="M4145">
        <v>12</v>
      </c>
      <c r="N4145" s="5">
        <v>0.61056273532105421</v>
      </c>
      <c r="O4145" t="s">
        <v>593</v>
      </c>
      <c r="P4145" t="s">
        <v>340</v>
      </c>
      <c r="Q4145" s="10" t="s">
        <v>24</v>
      </c>
    </row>
    <row r="4146" spans="1:18" hidden="1" x14ac:dyDescent="0.25">
      <c r="A4146" s="9" t="s">
        <v>1097</v>
      </c>
      <c r="B4146" s="3" t="s">
        <v>1098</v>
      </c>
      <c r="C4146" s="10">
        <v>17</v>
      </c>
      <c r="D4146" s="10">
        <v>7</v>
      </c>
      <c r="E4146" s="10">
        <v>19</v>
      </c>
      <c r="F4146" t="s">
        <v>556</v>
      </c>
      <c r="G4146" t="s">
        <v>889</v>
      </c>
      <c r="H4146" t="s">
        <v>56</v>
      </c>
      <c r="I4146" t="s">
        <v>27</v>
      </c>
      <c r="J4146" s="4">
        <v>15</v>
      </c>
      <c r="K4146">
        <v>1</v>
      </c>
      <c r="L4146">
        <v>15</v>
      </c>
      <c r="M4146">
        <v>15</v>
      </c>
      <c r="N4146" s="5">
        <v>0.76320341915131784</v>
      </c>
      <c r="O4146" t="s">
        <v>593</v>
      </c>
      <c r="P4146" t="s">
        <v>340</v>
      </c>
      <c r="Q4146" s="10" t="s">
        <v>24</v>
      </c>
    </row>
    <row r="4147" spans="1:18" hidden="1" x14ac:dyDescent="0.25">
      <c r="A4147" s="9" t="s">
        <v>1097</v>
      </c>
      <c r="B4147" s="3" t="s">
        <v>1098</v>
      </c>
      <c r="C4147" s="10">
        <v>17</v>
      </c>
      <c r="D4147" s="10">
        <v>7</v>
      </c>
      <c r="E4147" s="10">
        <v>19</v>
      </c>
      <c r="F4147" t="s">
        <v>536</v>
      </c>
      <c r="H4147" t="s">
        <v>56</v>
      </c>
      <c r="I4147" t="s">
        <v>27</v>
      </c>
      <c r="J4147" s="4">
        <v>20</v>
      </c>
      <c r="K4147">
        <v>1</v>
      </c>
      <c r="L4147">
        <v>20</v>
      </c>
      <c r="M4147">
        <v>20</v>
      </c>
      <c r="N4147" s="5">
        <v>1.0176045588684237</v>
      </c>
      <c r="O4147" t="s">
        <v>593</v>
      </c>
      <c r="P4147" t="s">
        <v>340</v>
      </c>
      <c r="Q4147" s="10" t="s">
        <v>24</v>
      </c>
    </row>
    <row r="4148" spans="1:18" hidden="1" x14ac:dyDescent="0.25">
      <c r="A4148" s="9" t="s">
        <v>1097</v>
      </c>
      <c r="B4148" s="3" t="s">
        <v>1098</v>
      </c>
      <c r="C4148" s="10">
        <v>17</v>
      </c>
      <c r="D4148" s="10">
        <v>7</v>
      </c>
      <c r="E4148" s="10">
        <v>19</v>
      </c>
      <c r="F4148" t="s">
        <v>933</v>
      </c>
      <c r="I4148" t="s">
        <v>72</v>
      </c>
      <c r="J4148" s="4">
        <v>150</v>
      </c>
      <c r="K4148">
        <v>1</v>
      </c>
      <c r="L4148">
        <v>150</v>
      </c>
      <c r="M4148">
        <v>150</v>
      </c>
      <c r="N4148" s="5">
        <v>7.6320341915131777</v>
      </c>
      <c r="O4148" t="s">
        <v>933</v>
      </c>
      <c r="P4148" t="s">
        <v>340</v>
      </c>
      <c r="Q4148" s="10" t="s">
        <v>24</v>
      </c>
    </row>
    <row r="4149" spans="1:18" hidden="1" x14ac:dyDescent="0.25">
      <c r="A4149" s="9" t="s">
        <v>1097</v>
      </c>
      <c r="B4149" s="3" t="s">
        <v>1098</v>
      </c>
      <c r="C4149" s="10">
        <v>17</v>
      </c>
      <c r="D4149" s="10">
        <v>7</v>
      </c>
      <c r="E4149" s="10">
        <v>19</v>
      </c>
      <c r="F4149" t="s">
        <v>933</v>
      </c>
      <c r="I4149" t="s">
        <v>72</v>
      </c>
      <c r="J4149" s="4">
        <v>200</v>
      </c>
      <c r="K4149">
        <v>1</v>
      </c>
      <c r="L4149">
        <v>150</v>
      </c>
      <c r="M4149">
        <v>150</v>
      </c>
      <c r="N4149" s="5">
        <v>7.6320341915131777</v>
      </c>
      <c r="O4149" t="s">
        <v>933</v>
      </c>
      <c r="P4149" t="s">
        <v>340</v>
      </c>
      <c r="Q4149" s="10" t="s">
        <v>24</v>
      </c>
    </row>
    <row r="4150" spans="1:18" hidden="1" x14ac:dyDescent="0.25">
      <c r="A4150" s="9" t="s">
        <v>1097</v>
      </c>
      <c r="B4150" s="3" t="s">
        <v>1098</v>
      </c>
      <c r="C4150" s="10">
        <v>17</v>
      </c>
      <c r="D4150" s="10">
        <v>7</v>
      </c>
      <c r="E4150" s="10">
        <v>19</v>
      </c>
      <c r="F4150" t="s">
        <v>2251</v>
      </c>
      <c r="G4150" t="s">
        <v>304</v>
      </c>
      <c r="H4150" t="s">
        <v>39</v>
      </c>
      <c r="I4150" t="s">
        <v>79</v>
      </c>
      <c r="J4150" s="4">
        <v>300</v>
      </c>
      <c r="K4150">
        <v>1</v>
      </c>
      <c r="L4150">
        <v>300</v>
      </c>
      <c r="M4150">
        <v>300</v>
      </c>
      <c r="N4150" s="5">
        <v>15.264068383026355</v>
      </c>
      <c r="O4150" t="s">
        <v>39</v>
      </c>
      <c r="P4150" t="s">
        <v>340</v>
      </c>
      <c r="Q4150" s="10" t="s">
        <v>1102</v>
      </c>
      <c r="R4150" t="s">
        <v>1145</v>
      </c>
    </row>
    <row r="4151" spans="1:18" hidden="1" x14ac:dyDescent="0.25">
      <c r="A4151" s="9" t="s">
        <v>1097</v>
      </c>
      <c r="B4151" s="3" t="s">
        <v>1818</v>
      </c>
      <c r="C4151" s="10">
        <v>18</v>
      </c>
      <c r="D4151" s="10">
        <v>7</v>
      </c>
      <c r="E4151" s="10">
        <v>19</v>
      </c>
      <c r="F4151" t="s">
        <v>2041</v>
      </c>
      <c r="G4151" t="s">
        <v>889</v>
      </c>
      <c r="H4151" t="s">
        <v>35</v>
      </c>
      <c r="I4151" t="s">
        <v>27</v>
      </c>
      <c r="J4151" s="4">
        <v>162.6</v>
      </c>
      <c r="K4151">
        <v>0.182</v>
      </c>
      <c r="L4151">
        <v>162.6</v>
      </c>
      <c r="M4151">
        <v>29.5932</v>
      </c>
      <c r="N4151" s="5">
        <v>1.5039974126778781</v>
      </c>
      <c r="O4151" t="s">
        <v>100</v>
      </c>
      <c r="P4151" t="s">
        <v>340</v>
      </c>
      <c r="Q4151" s="10" t="s">
        <v>24</v>
      </c>
    </row>
    <row r="4152" spans="1:18" hidden="1" x14ac:dyDescent="0.25">
      <c r="A4152" s="9" t="s">
        <v>1097</v>
      </c>
      <c r="B4152" s="3" t="s">
        <v>1818</v>
      </c>
      <c r="C4152" s="10">
        <v>18</v>
      </c>
      <c r="D4152" s="10">
        <v>7</v>
      </c>
      <c r="E4152" s="10">
        <v>19</v>
      </c>
      <c r="F4152" t="s">
        <v>118</v>
      </c>
      <c r="G4152" t="s">
        <v>889</v>
      </c>
      <c r="H4152" t="s">
        <v>40</v>
      </c>
      <c r="I4152" t="s">
        <v>27</v>
      </c>
      <c r="J4152" s="4">
        <v>10</v>
      </c>
      <c r="K4152">
        <v>1</v>
      </c>
      <c r="L4152">
        <v>10</v>
      </c>
      <c r="M4152">
        <v>10</v>
      </c>
      <c r="N4152" s="5">
        <v>0.50822398817224168</v>
      </c>
      <c r="O4152" t="s">
        <v>100</v>
      </c>
      <c r="P4152" t="s">
        <v>340</v>
      </c>
      <c r="Q4152" s="10" t="s">
        <v>24</v>
      </c>
    </row>
    <row r="4153" spans="1:18" hidden="1" x14ac:dyDescent="0.25">
      <c r="A4153" s="9" t="s">
        <v>1097</v>
      </c>
      <c r="B4153" s="3" t="s">
        <v>1818</v>
      </c>
      <c r="C4153" s="10">
        <v>18</v>
      </c>
      <c r="D4153" s="10">
        <v>7</v>
      </c>
      <c r="E4153" s="10">
        <v>19</v>
      </c>
      <c r="F4153" t="s">
        <v>373</v>
      </c>
      <c r="G4153" t="s">
        <v>889</v>
      </c>
      <c r="H4153" t="s">
        <v>65</v>
      </c>
      <c r="I4153" t="s">
        <v>27</v>
      </c>
      <c r="J4153" s="4">
        <v>13</v>
      </c>
      <c r="K4153">
        <v>1</v>
      </c>
      <c r="L4153">
        <v>13</v>
      </c>
      <c r="M4153">
        <v>13</v>
      </c>
      <c r="N4153" s="5">
        <v>0.66069118462391419</v>
      </c>
      <c r="O4153" t="s">
        <v>100</v>
      </c>
      <c r="P4153" t="s">
        <v>340</v>
      </c>
      <c r="Q4153" s="10" t="s">
        <v>24</v>
      </c>
    </row>
    <row r="4154" spans="1:18" hidden="1" x14ac:dyDescent="0.25">
      <c r="A4154" s="9" t="s">
        <v>1097</v>
      </c>
      <c r="B4154" s="3" t="s">
        <v>1818</v>
      </c>
      <c r="C4154" s="10">
        <v>18</v>
      </c>
      <c r="D4154" s="10">
        <v>7</v>
      </c>
      <c r="E4154" s="10">
        <v>19</v>
      </c>
      <c r="F4154" t="s">
        <v>1468</v>
      </c>
      <c r="G4154" t="s">
        <v>889</v>
      </c>
      <c r="H4154" t="s">
        <v>56</v>
      </c>
      <c r="I4154" t="s">
        <v>27</v>
      </c>
      <c r="J4154" s="4">
        <v>13.6</v>
      </c>
      <c r="K4154">
        <v>2</v>
      </c>
      <c r="L4154">
        <v>13.6</v>
      </c>
      <c r="M4154">
        <v>27.2</v>
      </c>
      <c r="N4154" s="5">
        <v>1.3823692478284972</v>
      </c>
      <c r="O4154" t="s">
        <v>100</v>
      </c>
      <c r="P4154" t="s">
        <v>340</v>
      </c>
      <c r="Q4154" s="10" t="s">
        <v>24</v>
      </c>
    </row>
    <row r="4155" spans="1:18" hidden="1" x14ac:dyDescent="0.25">
      <c r="A4155" s="9" t="s">
        <v>1097</v>
      </c>
      <c r="B4155" s="3" t="s">
        <v>1818</v>
      </c>
      <c r="C4155" s="10">
        <v>18</v>
      </c>
      <c r="D4155" s="10">
        <v>7</v>
      </c>
      <c r="E4155" s="10">
        <v>19</v>
      </c>
      <c r="F4155" t="s">
        <v>146</v>
      </c>
      <c r="G4155" t="s">
        <v>889</v>
      </c>
      <c r="H4155" t="s">
        <v>49</v>
      </c>
      <c r="I4155" t="s">
        <v>50</v>
      </c>
      <c r="J4155" s="4">
        <v>0.75</v>
      </c>
      <c r="K4155">
        <v>1</v>
      </c>
      <c r="L4155">
        <v>0.75</v>
      </c>
      <c r="M4155">
        <v>0.75</v>
      </c>
      <c r="N4155" s="5">
        <v>3.8116799112918126E-2</v>
      </c>
      <c r="O4155" t="s">
        <v>100</v>
      </c>
      <c r="P4155" t="s">
        <v>340</v>
      </c>
      <c r="Q4155" s="10" t="s">
        <v>24</v>
      </c>
    </row>
    <row r="4156" spans="1:18" hidden="1" x14ac:dyDescent="0.25">
      <c r="A4156" s="9" t="s">
        <v>1097</v>
      </c>
      <c r="B4156" s="3" t="s">
        <v>1818</v>
      </c>
      <c r="C4156" s="10">
        <v>18</v>
      </c>
      <c r="D4156" s="10">
        <v>7</v>
      </c>
      <c r="E4156" s="10">
        <v>19</v>
      </c>
      <c r="F4156" t="s">
        <v>189</v>
      </c>
      <c r="G4156" t="s">
        <v>889</v>
      </c>
      <c r="H4156" t="s">
        <v>172</v>
      </c>
      <c r="I4156" t="s">
        <v>39</v>
      </c>
      <c r="J4156" s="4">
        <v>45</v>
      </c>
      <c r="K4156">
        <v>1</v>
      </c>
      <c r="L4156">
        <v>45</v>
      </c>
      <c r="M4156">
        <v>45</v>
      </c>
      <c r="N4156" s="5">
        <v>2.2870079467750872</v>
      </c>
      <c r="O4156" t="s">
        <v>39</v>
      </c>
      <c r="P4156" t="s">
        <v>340</v>
      </c>
      <c r="Q4156" s="10" t="s">
        <v>24</v>
      </c>
    </row>
    <row r="4157" spans="1:18" hidden="1" x14ac:dyDescent="0.25">
      <c r="A4157" s="9" t="s">
        <v>1097</v>
      </c>
      <c r="B4157" s="3" t="s">
        <v>1112</v>
      </c>
      <c r="C4157" s="10">
        <v>19</v>
      </c>
      <c r="D4157" s="10">
        <v>7</v>
      </c>
      <c r="E4157" s="10">
        <v>19</v>
      </c>
      <c r="F4157" t="s">
        <v>1319</v>
      </c>
      <c r="G4157" t="s">
        <v>889</v>
      </c>
      <c r="H4157" t="s">
        <v>131</v>
      </c>
      <c r="I4157" t="s">
        <v>27</v>
      </c>
      <c r="J4157" s="4">
        <v>305.12</v>
      </c>
      <c r="K4157">
        <v>1</v>
      </c>
      <c r="L4157">
        <v>305.12</v>
      </c>
      <c r="M4157">
        <v>305.12</v>
      </c>
      <c r="N4157" s="5">
        <v>15.524575150096673</v>
      </c>
      <c r="O4157" t="s">
        <v>654</v>
      </c>
      <c r="P4157" t="s">
        <v>340</v>
      </c>
      <c r="Q4157" s="10" t="s">
        <v>84</v>
      </c>
      <c r="R4157" t="s">
        <v>646</v>
      </c>
    </row>
    <row r="4158" spans="1:18" hidden="1" x14ac:dyDescent="0.25">
      <c r="A4158" s="9" t="s">
        <v>1097</v>
      </c>
      <c r="B4158" s="3" t="s">
        <v>2078</v>
      </c>
      <c r="C4158" s="10">
        <v>2</v>
      </c>
      <c r="D4158" s="10">
        <v>7</v>
      </c>
      <c r="E4158" s="10">
        <v>19</v>
      </c>
      <c r="F4158" t="s">
        <v>2071</v>
      </c>
      <c r="G4158" t="s">
        <v>889</v>
      </c>
      <c r="H4158" t="s">
        <v>53</v>
      </c>
      <c r="I4158" t="s">
        <v>27</v>
      </c>
      <c r="J4158" s="4">
        <v>2.19</v>
      </c>
      <c r="K4158">
        <v>6</v>
      </c>
      <c r="L4158">
        <v>9.2198999999999991</v>
      </c>
      <c r="M4158">
        <v>55.319399999999995</v>
      </c>
      <c r="N4158" s="5">
        <v>2.8114646091295503</v>
      </c>
      <c r="O4158" t="s">
        <v>301</v>
      </c>
      <c r="P4158" t="s">
        <v>148</v>
      </c>
      <c r="Q4158" s="10" t="s">
        <v>24</v>
      </c>
    </row>
    <row r="4159" spans="1:18" hidden="1" x14ac:dyDescent="0.25">
      <c r="A4159" s="9" t="s">
        <v>1097</v>
      </c>
      <c r="B4159" s="3" t="s">
        <v>2078</v>
      </c>
      <c r="C4159" s="10">
        <v>2</v>
      </c>
      <c r="D4159" s="10">
        <v>7</v>
      </c>
      <c r="E4159" s="10">
        <v>19</v>
      </c>
      <c r="F4159" t="s">
        <v>1637</v>
      </c>
      <c r="G4159" t="s">
        <v>889</v>
      </c>
      <c r="H4159" t="s">
        <v>59</v>
      </c>
      <c r="I4159" t="s">
        <v>27</v>
      </c>
      <c r="J4159" s="4">
        <v>5.49</v>
      </c>
      <c r="K4159">
        <v>1</v>
      </c>
      <c r="L4159">
        <v>23.1129</v>
      </c>
      <c r="M4159">
        <v>23.1129</v>
      </c>
      <c r="N4159" s="5">
        <v>1.1746530216226203</v>
      </c>
      <c r="O4159" t="s">
        <v>301</v>
      </c>
      <c r="P4159" t="s">
        <v>148</v>
      </c>
      <c r="Q4159" s="10" t="s">
        <v>24</v>
      </c>
    </row>
    <row r="4160" spans="1:18" hidden="1" x14ac:dyDescent="0.25">
      <c r="A4160" s="9" t="s">
        <v>1097</v>
      </c>
      <c r="B4160" s="3" t="s">
        <v>2078</v>
      </c>
      <c r="C4160" s="10">
        <v>2</v>
      </c>
      <c r="D4160" s="10">
        <v>7</v>
      </c>
      <c r="E4160" s="10">
        <v>19</v>
      </c>
      <c r="F4160" t="s">
        <v>1026</v>
      </c>
      <c r="G4160" t="s">
        <v>889</v>
      </c>
      <c r="H4160" t="s">
        <v>65</v>
      </c>
      <c r="I4160" t="s">
        <v>27</v>
      </c>
      <c r="J4160" s="4">
        <v>0.28999999999999998</v>
      </c>
      <c r="K4160">
        <v>3</v>
      </c>
      <c r="L4160">
        <v>1.2208999999999999</v>
      </c>
      <c r="M4160">
        <v>3.6626999999999996</v>
      </c>
      <c r="N4160" s="5">
        <v>0.18614720014784694</v>
      </c>
      <c r="O4160" t="s">
        <v>301</v>
      </c>
      <c r="P4160" t="s">
        <v>148</v>
      </c>
      <c r="Q4160" s="10" t="s">
        <v>24</v>
      </c>
    </row>
    <row r="4161" spans="1:18" hidden="1" x14ac:dyDescent="0.25">
      <c r="A4161" s="9" t="s">
        <v>1097</v>
      </c>
      <c r="B4161" s="3" t="s">
        <v>2078</v>
      </c>
      <c r="C4161" s="10">
        <v>2</v>
      </c>
      <c r="D4161" s="10">
        <v>7</v>
      </c>
      <c r="E4161" s="10">
        <v>19</v>
      </c>
      <c r="F4161" t="s">
        <v>1339</v>
      </c>
      <c r="G4161" t="s">
        <v>889</v>
      </c>
      <c r="H4161" t="s">
        <v>131</v>
      </c>
      <c r="I4161" t="s">
        <v>27</v>
      </c>
      <c r="J4161" s="4">
        <v>2.79</v>
      </c>
      <c r="K4161">
        <v>2</v>
      </c>
      <c r="L4161">
        <v>11.745900000000001</v>
      </c>
      <c r="M4161">
        <v>23.491800000000001</v>
      </c>
      <c r="N4161" s="5">
        <v>1.1939096285344668</v>
      </c>
      <c r="O4161" t="s">
        <v>301</v>
      </c>
      <c r="P4161" t="s">
        <v>148</v>
      </c>
      <c r="Q4161" s="10" t="s">
        <v>24</v>
      </c>
    </row>
    <row r="4162" spans="1:18" hidden="1" x14ac:dyDescent="0.25">
      <c r="A4162" s="9" t="s">
        <v>1097</v>
      </c>
      <c r="B4162" s="3" t="s">
        <v>2078</v>
      </c>
      <c r="C4162" s="10">
        <v>2</v>
      </c>
      <c r="D4162" s="10">
        <v>7</v>
      </c>
      <c r="E4162" s="10">
        <v>19</v>
      </c>
      <c r="F4162" t="s">
        <v>2072</v>
      </c>
      <c r="G4162" t="s">
        <v>328</v>
      </c>
      <c r="H4162" t="s">
        <v>49</v>
      </c>
      <c r="I4162" t="s">
        <v>50</v>
      </c>
      <c r="J4162" s="4">
        <v>2.99</v>
      </c>
      <c r="K4162">
        <v>4</v>
      </c>
      <c r="L4162">
        <v>12.587900000000001</v>
      </c>
      <c r="M4162">
        <v>50.351600000000005</v>
      </c>
      <c r="N4162" s="5">
        <v>2.5589890962853445</v>
      </c>
      <c r="O4162" t="s">
        <v>301</v>
      </c>
      <c r="P4162" t="s">
        <v>148</v>
      </c>
      <c r="Q4162" s="10" t="s">
        <v>24</v>
      </c>
    </row>
    <row r="4163" spans="1:18" hidden="1" x14ac:dyDescent="0.25">
      <c r="A4163" s="9" t="s">
        <v>1097</v>
      </c>
      <c r="B4163" s="3" t="s">
        <v>2078</v>
      </c>
      <c r="C4163" s="10">
        <v>2</v>
      </c>
      <c r="D4163" s="10">
        <v>7</v>
      </c>
      <c r="E4163" s="10">
        <v>19</v>
      </c>
      <c r="F4163" t="s">
        <v>140</v>
      </c>
      <c r="G4163" t="s">
        <v>889</v>
      </c>
      <c r="H4163" t="s">
        <v>49</v>
      </c>
      <c r="I4163" t="s">
        <v>50</v>
      </c>
      <c r="J4163" s="4">
        <v>0.69</v>
      </c>
      <c r="K4163">
        <v>1</v>
      </c>
      <c r="L4163">
        <v>2.9048999999999996</v>
      </c>
      <c r="M4163">
        <v>2.9048999999999996</v>
      </c>
      <c r="N4163" s="5">
        <v>0.14763398632415445</v>
      </c>
      <c r="O4163" t="s">
        <v>301</v>
      </c>
      <c r="P4163" t="s">
        <v>148</v>
      </c>
      <c r="Q4163" s="10" t="s">
        <v>24</v>
      </c>
    </row>
    <row r="4164" spans="1:18" hidden="1" x14ac:dyDescent="0.25">
      <c r="A4164" s="9" t="s">
        <v>1097</v>
      </c>
      <c r="B4164" s="3" t="s">
        <v>2078</v>
      </c>
      <c r="C4164" s="10">
        <v>2</v>
      </c>
      <c r="D4164" s="10">
        <v>7</v>
      </c>
      <c r="E4164" s="10">
        <v>19</v>
      </c>
      <c r="F4164" t="s">
        <v>2073</v>
      </c>
      <c r="G4164" t="s">
        <v>328</v>
      </c>
      <c r="H4164" t="s">
        <v>49</v>
      </c>
      <c r="I4164" t="s">
        <v>50</v>
      </c>
      <c r="J4164" s="4">
        <v>4.99</v>
      </c>
      <c r="K4164">
        <v>1</v>
      </c>
      <c r="L4164">
        <v>21.007899999999999</v>
      </c>
      <c r="M4164">
        <v>21.007899999999999</v>
      </c>
      <c r="N4164" s="5">
        <v>1.0676718721123635</v>
      </c>
      <c r="O4164" t="s">
        <v>301</v>
      </c>
      <c r="P4164" t="s">
        <v>148</v>
      </c>
      <c r="Q4164" s="10" t="s">
        <v>24</v>
      </c>
    </row>
    <row r="4165" spans="1:18" hidden="1" x14ac:dyDescent="0.25">
      <c r="A4165" s="9" t="s">
        <v>1097</v>
      </c>
      <c r="B4165" s="3" t="s">
        <v>2078</v>
      </c>
      <c r="C4165" s="10">
        <v>2</v>
      </c>
      <c r="D4165" s="10">
        <v>7</v>
      </c>
      <c r="E4165" s="10">
        <v>19</v>
      </c>
      <c r="F4165" t="s">
        <v>2074</v>
      </c>
      <c r="G4165" t="s">
        <v>889</v>
      </c>
      <c r="H4165" t="s">
        <v>44</v>
      </c>
      <c r="I4165" t="s">
        <v>27</v>
      </c>
      <c r="J4165" s="4">
        <v>7.99</v>
      </c>
      <c r="K4165">
        <v>1</v>
      </c>
      <c r="L4165">
        <v>33.637900000000002</v>
      </c>
      <c r="M4165">
        <v>33.637900000000002</v>
      </c>
      <c r="N4165" s="5">
        <v>1.7095587691739049</v>
      </c>
      <c r="O4165" t="s">
        <v>301</v>
      </c>
      <c r="P4165" t="s">
        <v>148</v>
      </c>
      <c r="Q4165" s="10" t="s">
        <v>24</v>
      </c>
    </row>
    <row r="4166" spans="1:18" hidden="1" x14ac:dyDescent="0.25">
      <c r="A4166" s="9" t="s">
        <v>1097</v>
      </c>
      <c r="B4166" s="3" t="s">
        <v>2078</v>
      </c>
      <c r="C4166" s="10">
        <v>2</v>
      </c>
      <c r="D4166" s="10">
        <v>7</v>
      </c>
      <c r="E4166" s="10">
        <v>19</v>
      </c>
      <c r="F4166" t="s">
        <v>165</v>
      </c>
      <c r="G4166" t="s">
        <v>304</v>
      </c>
      <c r="H4166" t="s">
        <v>1593</v>
      </c>
      <c r="I4166" t="s">
        <v>79</v>
      </c>
      <c r="J4166" s="4">
        <v>24.69</v>
      </c>
      <c r="K4166">
        <v>2</v>
      </c>
      <c r="L4166">
        <v>103.9449</v>
      </c>
      <c r="M4166">
        <v>207.88980000000001</v>
      </c>
      <c r="N4166" s="5">
        <v>10.565458325632969</v>
      </c>
      <c r="O4166" t="s">
        <v>301</v>
      </c>
      <c r="P4166" t="s">
        <v>148</v>
      </c>
      <c r="Q4166" s="10" t="s">
        <v>24</v>
      </c>
    </row>
    <row r="4167" spans="1:18" hidden="1" x14ac:dyDescent="0.25">
      <c r="A4167" s="9" t="s">
        <v>1097</v>
      </c>
      <c r="B4167" s="3" t="s">
        <v>2078</v>
      </c>
      <c r="C4167" s="10">
        <v>2</v>
      </c>
      <c r="D4167" s="10">
        <v>7</v>
      </c>
      <c r="E4167" s="10">
        <v>19</v>
      </c>
      <c r="F4167" t="s">
        <v>240</v>
      </c>
      <c r="G4167" t="s">
        <v>889</v>
      </c>
      <c r="H4167" t="s">
        <v>54</v>
      </c>
      <c r="I4167" t="s">
        <v>27</v>
      </c>
      <c r="J4167" s="4">
        <v>3.99</v>
      </c>
      <c r="K4167">
        <v>1</v>
      </c>
      <c r="L4167">
        <v>16.797900000000002</v>
      </c>
      <c r="M4167">
        <v>16.797900000000002</v>
      </c>
      <c r="N4167" s="5">
        <v>0.85370957309184992</v>
      </c>
      <c r="O4167" t="s">
        <v>301</v>
      </c>
      <c r="P4167" t="s">
        <v>148</v>
      </c>
      <c r="Q4167" s="10" t="s">
        <v>24</v>
      </c>
    </row>
    <row r="4168" spans="1:18" hidden="1" x14ac:dyDescent="0.25">
      <c r="A4168" s="9" t="s">
        <v>1097</v>
      </c>
      <c r="B4168" s="3" t="s">
        <v>2078</v>
      </c>
      <c r="C4168" s="10">
        <v>2</v>
      </c>
      <c r="D4168" s="10">
        <v>7</v>
      </c>
      <c r="E4168" s="10">
        <v>19</v>
      </c>
      <c r="F4168" t="s">
        <v>662</v>
      </c>
      <c r="G4168" t="s">
        <v>889</v>
      </c>
      <c r="H4168" t="s">
        <v>56</v>
      </c>
      <c r="I4168" t="s">
        <v>27</v>
      </c>
      <c r="J4168" s="4">
        <v>3.99</v>
      </c>
      <c r="K4168">
        <v>1.4079999999999999</v>
      </c>
      <c r="L4168">
        <v>16.797900000000002</v>
      </c>
      <c r="M4168">
        <v>23.651443200000003</v>
      </c>
      <c r="N4168" s="5">
        <v>1.2020230789133246</v>
      </c>
      <c r="O4168" t="s">
        <v>301</v>
      </c>
      <c r="P4168" t="s">
        <v>148</v>
      </c>
      <c r="Q4168" s="10" t="s">
        <v>24</v>
      </c>
    </row>
    <row r="4169" spans="1:18" hidden="1" x14ac:dyDescent="0.25">
      <c r="A4169" s="9" t="s">
        <v>1097</v>
      </c>
      <c r="B4169" s="3" t="s">
        <v>2078</v>
      </c>
      <c r="C4169" s="10">
        <v>2</v>
      </c>
      <c r="D4169" s="10">
        <v>7</v>
      </c>
      <c r="E4169" s="10">
        <v>19</v>
      </c>
      <c r="F4169" t="s">
        <v>109</v>
      </c>
      <c r="G4169" t="s">
        <v>889</v>
      </c>
      <c r="H4169" t="s">
        <v>54</v>
      </c>
      <c r="I4169" t="s">
        <v>27</v>
      </c>
      <c r="J4169" s="4">
        <v>2.19</v>
      </c>
      <c r="K4169">
        <v>0.29399999999999998</v>
      </c>
      <c r="L4169">
        <v>9.2198999999999991</v>
      </c>
      <c r="M4169">
        <v>2.7106505999999997</v>
      </c>
      <c r="N4169" s="5">
        <v>0.13776176584734795</v>
      </c>
      <c r="O4169" t="s">
        <v>301</v>
      </c>
      <c r="P4169" t="s">
        <v>148</v>
      </c>
      <c r="Q4169" s="10" t="s">
        <v>24</v>
      </c>
    </row>
    <row r="4170" spans="1:18" hidden="1" x14ac:dyDescent="0.25">
      <c r="A4170" s="9" t="s">
        <v>1097</v>
      </c>
      <c r="B4170" s="3" t="s">
        <v>2078</v>
      </c>
      <c r="C4170" s="10">
        <v>2</v>
      </c>
      <c r="D4170" s="10">
        <v>7</v>
      </c>
      <c r="E4170" s="10">
        <v>19</v>
      </c>
      <c r="F4170" t="s">
        <v>112</v>
      </c>
      <c r="G4170" t="s">
        <v>889</v>
      </c>
      <c r="H4170" t="s">
        <v>56</v>
      </c>
      <c r="I4170" t="s">
        <v>27</v>
      </c>
      <c r="J4170" s="4">
        <v>8.99</v>
      </c>
      <c r="K4170">
        <v>0.50800000000000001</v>
      </c>
      <c r="L4170">
        <v>37.847900000000003</v>
      </c>
      <c r="M4170">
        <v>19.226733200000002</v>
      </c>
      <c r="N4170" s="5">
        <v>0.97714870264276465</v>
      </c>
      <c r="O4170" t="s">
        <v>301</v>
      </c>
      <c r="P4170" t="s">
        <v>148</v>
      </c>
      <c r="Q4170" s="10" t="s">
        <v>24</v>
      </c>
    </row>
    <row r="4171" spans="1:18" hidden="1" x14ac:dyDescent="0.25">
      <c r="A4171" s="9" t="s">
        <v>1097</v>
      </c>
      <c r="B4171" s="3" t="s">
        <v>2078</v>
      </c>
      <c r="C4171" s="10">
        <v>2</v>
      </c>
      <c r="D4171" s="10">
        <v>7</v>
      </c>
      <c r="E4171" s="10">
        <v>19</v>
      </c>
      <c r="F4171" t="s">
        <v>2167</v>
      </c>
      <c r="G4171" t="s">
        <v>889</v>
      </c>
      <c r="H4171" t="s">
        <v>65</v>
      </c>
      <c r="I4171" t="s">
        <v>27</v>
      </c>
      <c r="J4171" s="4">
        <v>29.99</v>
      </c>
      <c r="K4171">
        <v>2</v>
      </c>
      <c r="L4171">
        <v>126.25789999999999</v>
      </c>
      <c r="M4171">
        <v>252.51579999999998</v>
      </c>
      <c r="N4171" s="5">
        <v>12.833458695250414</v>
      </c>
      <c r="O4171" t="s">
        <v>301</v>
      </c>
      <c r="P4171" t="s">
        <v>148</v>
      </c>
      <c r="Q4171" s="10" t="s">
        <v>24</v>
      </c>
      <c r="R4171" t="s">
        <v>270</v>
      </c>
    </row>
    <row r="4172" spans="1:18" hidden="1" x14ac:dyDescent="0.25">
      <c r="A4172" s="9" t="s">
        <v>1097</v>
      </c>
      <c r="B4172" s="3" t="s">
        <v>2078</v>
      </c>
      <c r="C4172" s="10">
        <v>2</v>
      </c>
      <c r="D4172" s="10">
        <v>7</v>
      </c>
      <c r="E4172" s="10">
        <v>19</v>
      </c>
      <c r="F4172" t="s">
        <v>1643</v>
      </c>
      <c r="G4172" t="s">
        <v>889</v>
      </c>
      <c r="H4172" t="s">
        <v>65</v>
      </c>
      <c r="I4172" t="s">
        <v>27</v>
      </c>
      <c r="J4172" s="4">
        <v>7.49</v>
      </c>
      <c r="K4172">
        <v>2</v>
      </c>
      <c r="L4172">
        <v>31.532900000000001</v>
      </c>
      <c r="M4172">
        <v>63.065800000000003</v>
      </c>
      <c r="N4172" s="5">
        <v>3.2051552393272957</v>
      </c>
      <c r="O4172" t="s">
        <v>301</v>
      </c>
      <c r="P4172" t="s">
        <v>148</v>
      </c>
      <c r="Q4172" s="10" t="s">
        <v>24</v>
      </c>
    </row>
    <row r="4173" spans="1:18" hidden="1" x14ac:dyDescent="0.25">
      <c r="A4173" s="9" t="s">
        <v>1097</v>
      </c>
      <c r="B4173" s="3" t="s">
        <v>2078</v>
      </c>
      <c r="C4173" s="10">
        <v>2</v>
      </c>
      <c r="D4173" s="10">
        <v>7</v>
      </c>
      <c r="E4173" s="10">
        <v>19</v>
      </c>
      <c r="F4173" t="s">
        <v>1322</v>
      </c>
      <c r="G4173" t="s">
        <v>889</v>
      </c>
      <c r="H4173" t="s">
        <v>65</v>
      </c>
      <c r="I4173" t="s">
        <v>27</v>
      </c>
      <c r="J4173" s="4">
        <v>4.29</v>
      </c>
      <c r="K4173">
        <v>1</v>
      </c>
      <c r="L4173">
        <v>18.0609</v>
      </c>
      <c r="M4173">
        <v>18.0609</v>
      </c>
      <c r="N4173" s="5">
        <v>0.91789826279800391</v>
      </c>
      <c r="O4173" t="s">
        <v>301</v>
      </c>
      <c r="P4173" t="s">
        <v>148</v>
      </c>
      <c r="Q4173" s="10" t="s">
        <v>24</v>
      </c>
    </row>
    <row r="4174" spans="1:18" hidden="1" x14ac:dyDescent="0.25">
      <c r="A4174" s="9" t="s">
        <v>1097</v>
      </c>
      <c r="B4174" s="3" t="s">
        <v>2078</v>
      </c>
      <c r="C4174" s="10">
        <v>2</v>
      </c>
      <c r="D4174" s="10">
        <v>7</v>
      </c>
      <c r="E4174" s="10">
        <v>19</v>
      </c>
      <c r="F4174" t="s">
        <v>708</v>
      </c>
      <c r="G4174" t="s">
        <v>708</v>
      </c>
      <c r="H4174" t="s">
        <v>131</v>
      </c>
      <c r="I4174" t="s">
        <v>27</v>
      </c>
      <c r="J4174" s="4">
        <v>2.59</v>
      </c>
      <c r="K4174">
        <v>2</v>
      </c>
      <c r="L4174">
        <v>10.9039</v>
      </c>
      <c r="M4174">
        <v>21.8078</v>
      </c>
      <c r="N4174" s="5">
        <v>1.1083247089262611</v>
      </c>
      <c r="O4174" t="s">
        <v>301</v>
      </c>
      <c r="P4174" t="s">
        <v>148</v>
      </c>
      <c r="Q4174" s="10" t="s">
        <v>24</v>
      </c>
    </row>
    <row r="4175" spans="1:18" hidden="1" x14ac:dyDescent="0.25">
      <c r="A4175" s="9" t="s">
        <v>1097</v>
      </c>
      <c r="B4175" s="3" t="s">
        <v>2078</v>
      </c>
      <c r="C4175" s="10">
        <v>2</v>
      </c>
      <c r="D4175" s="10">
        <v>7</v>
      </c>
      <c r="E4175" s="10">
        <v>19</v>
      </c>
      <c r="F4175" t="s">
        <v>708</v>
      </c>
      <c r="G4175" t="s">
        <v>708</v>
      </c>
      <c r="H4175" t="s">
        <v>131</v>
      </c>
      <c r="I4175" t="s">
        <v>27</v>
      </c>
      <c r="J4175" s="4">
        <v>2.39</v>
      </c>
      <c r="K4175">
        <v>1</v>
      </c>
      <c r="L4175">
        <v>10.0619</v>
      </c>
      <c r="M4175">
        <v>10.0619</v>
      </c>
      <c r="N4175" s="5">
        <v>0.51136989465902782</v>
      </c>
      <c r="O4175" t="s">
        <v>301</v>
      </c>
      <c r="P4175" t="s">
        <v>148</v>
      </c>
      <c r="Q4175" s="10" t="s">
        <v>24</v>
      </c>
    </row>
    <row r="4176" spans="1:18" hidden="1" x14ac:dyDescent="0.25">
      <c r="A4176" s="9" t="s">
        <v>1097</v>
      </c>
      <c r="B4176" s="3" t="s">
        <v>2078</v>
      </c>
      <c r="C4176" s="10">
        <v>2</v>
      </c>
      <c r="D4176" s="10">
        <v>7</v>
      </c>
      <c r="E4176" s="10">
        <v>19</v>
      </c>
      <c r="F4176" t="s">
        <v>2077</v>
      </c>
      <c r="G4176" t="s">
        <v>224</v>
      </c>
      <c r="H4176" t="s">
        <v>131</v>
      </c>
      <c r="I4176" t="s">
        <v>27</v>
      </c>
      <c r="J4176" s="4">
        <v>7.99</v>
      </c>
      <c r="K4176">
        <v>1</v>
      </c>
      <c r="L4176">
        <v>33.637900000000002</v>
      </c>
      <c r="M4176">
        <v>33.637900000000002</v>
      </c>
      <c r="N4176" s="5">
        <v>1.7095587691739049</v>
      </c>
      <c r="O4176" t="s">
        <v>301</v>
      </c>
      <c r="P4176" t="s">
        <v>148</v>
      </c>
      <c r="Q4176" s="10" t="s">
        <v>24</v>
      </c>
    </row>
    <row r="4177" spans="1:18" hidden="1" x14ac:dyDescent="0.25">
      <c r="A4177" s="9" t="s">
        <v>1097</v>
      </c>
      <c r="B4177" s="3" t="s">
        <v>2078</v>
      </c>
      <c r="C4177" s="10">
        <v>2</v>
      </c>
      <c r="D4177" s="10">
        <v>7</v>
      </c>
      <c r="E4177" s="10">
        <v>19</v>
      </c>
      <c r="F4177" t="s">
        <v>44</v>
      </c>
      <c r="G4177" t="s">
        <v>889</v>
      </c>
      <c r="H4177" t="s">
        <v>44</v>
      </c>
      <c r="I4177" t="s">
        <v>27</v>
      </c>
      <c r="J4177" s="4">
        <v>8.99</v>
      </c>
      <c r="K4177">
        <v>1</v>
      </c>
      <c r="L4177">
        <v>37.847900000000003</v>
      </c>
      <c r="M4177">
        <v>37.847900000000003</v>
      </c>
      <c r="N4177" s="5">
        <v>1.9235210681944186</v>
      </c>
      <c r="O4177" t="s">
        <v>301</v>
      </c>
      <c r="P4177" t="s">
        <v>148</v>
      </c>
      <c r="Q4177" s="10" t="s">
        <v>24</v>
      </c>
    </row>
    <row r="4178" spans="1:18" hidden="1" x14ac:dyDescent="0.25">
      <c r="A4178" s="9" t="s">
        <v>1097</v>
      </c>
      <c r="B4178" s="3" t="s">
        <v>2151</v>
      </c>
      <c r="C4178" s="10">
        <v>21</v>
      </c>
      <c r="D4178" s="10">
        <v>7</v>
      </c>
      <c r="E4178" s="10">
        <v>19</v>
      </c>
      <c r="F4178" t="s">
        <v>430</v>
      </c>
      <c r="G4178" t="s">
        <v>889</v>
      </c>
      <c r="H4178" t="s">
        <v>889</v>
      </c>
      <c r="I4178" t="s">
        <v>431</v>
      </c>
      <c r="J4178" s="4">
        <v>150</v>
      </c>
      <c r="K4178">
        <v>1</v>
      </c>
      <c r="L4178">
        <v>631.5</v>
      </c>
      <c r="M4178">
        <v>631.5</v>
      </c>
      <c r="N4178" s="5">
        <v>32.094344853077061</v>
      </c>
      <c r="O4178" t="s">
        <v>39</v>
      </c>
      <c r="P4178" t="s">
        <v>148</v>
      </c>
      <c r="Q4178" s="10" t="s">
        <v>24</v>
      </c>
      <c r="R4178" t="s">
        <v>2157</v>
      </c>
    </row>
    <row r="4179" spans="1:18" hidden="1" x14ac:dyDescent="0.25">
      <c r="A4179" s="9" t="s">
        <v>1097</v>
      </c>
      <c r="B4179" s="3" t="s">
        <v>1817</v>
      </c>
      <c r="C4179" s="10">
        <v>22</v>
      </c>
      <c r="D4179" s="10">
        <v>7</v>
      </c>
      <c r="E4179" s="10">
        <v>19</v>
      </c>
      <c r="F4179" t="s">
        <v>1811</v>
      </c>
      <c r="G4179" t="s">
        <v>889</v>
      </c>
      <c r="H4179" t="s">
        <v>889</v>
      </c>
      <c r="I4179" t="s">
        <v>82</v>
      </c>
      <c r="J4179" s="4">
        <v>89</v>
      </c>
      <c r="K4179">
        <v>1</v>
      </c>
      <c r="L4179">
        <v>374.69</v>
      </c>
      <c r="M4179">
        <v>374.69</v>
      </c>
      <c r="N4179" s="5">
        <v>19.042644612825722</v>
      </c>
      <c r="O4179" t="s">
        <v>1812</v>
      </c>
      <c r="P4179" t="s">
        <v>148</v>
      </c>
      <c r="Q4179" s="10" t="s">
        <v>24</v>
      </c>
    </row>
    <row r="4180" spans="1:18" hidden="1" x14ac:dyDescent="0.25">
      <c r="A4180" s="9" t="s">
        <v>1097</v>
      </c>
      <c r="B4180" s="3" t="s">
        <v>1817</v>
      </c>
      <c r="C4180" s="10">
        <v>22</v>
      </c>
      <c r="D4180" s="10">
        <v>7</v>
      </c>
      <c r="E4180" s="10">
        <v>19</v>
      </c>
      <c r="F4180" t="s">
        <v>1813</v>
      </c>
      <c r="G4180" t="s">
        <v>889</v>
      </c>
      <c r="H4180" t="s">
        <v>889</v>
      </c>
      <c r="I4180" t="s">
        <v>431</v>
      </c>
      <c r="J4180" s="4">
        <v>349.1</v>
      </c>
      <c r="K4180">
        <v>1</v>
      </c>
      <c r="L4180">
        <v>1469.711</v>
      </c>
      <c r="M4180">
        <v>1469.711</v>
      </c>
      <c r="N4180" s="5">
        <v>74.694238588061339</v>
      </c>
      <c r="O4180" t="s">
        <v>1814</v>
      </c>
      <c r="P4180" t="s">
        <v>148</v>
      </c>
      <c r="Q4180" s="10" t="s">
        <v>24</v>
      </c>
    </row>
    <row r="4181" spans="1:18" hidden="1" x14ac:dyDescent="0.25">
      <c r="A4181" s="9" t="s">
        <v>1097</v>
      </c>
      <c r="B4181" s="3" t="s">
        <v>1817</v>
      </c>
      <c r="C4181" s="10">
        <v>22</v>
      </c>
      <c r="D4181" s="10">
        <v>7</v>
      </c>
      <c r="E4181" s="10">
        <v>19</v>
      </c>
      <c r="F4181" t="s">
        <v>1815</v>
      </c>
      <c r="G4181" t="s">
        <v>889</v>
      </c>
      <c r="H4181" t="s">
        <v>889</v>
      </c>
      <c r="I4181" t="s">
        <v>39</v>
      </c>
      <c r="J4181" s="4">
        <v>49.9</v>
      </c>
      <c r="K4181">
        <v>1</v>
      </c>
      <c r="L4181">
        <v>210.07899999999998</v>
      </c>
      <c r="M4181">
        <v>210.07899999999998</v>
      </c>
      <c r="N4181" s="5">
        <v>10.676718721123635</v>
      </c>
      <c r="O4181" t="s">
        <v>1814</v>
      </c>
      <c r="P4181" t="s">
        <v>340</v>
      </c>
      <c r="Q4181" s="10" t="s">
        <v>24</v>
      </c>
    </row>
    <row r="4182" spans="1:18" hidden="1" x14ac:dyDescent="0.25">
      <c r="A4182" s="9" t="s">
        <v>1097</v>
      </c>
      <c r="B4182" s="3" t="s">
        <v>1817</v>
      </c>
      <c r="C4182" s="10">
        <v>22</v>
      </c>
      <c r="D4182" s="10">
        <v>7</v>
      </c>
      <c r="E4182" s="10">
        <v>19</v>
      </c>
      <c r="F4182" t="s">
        <v>316</v>
      </c>
      <c r="G4182" t="s">
        <v>889</v>
      </c>
      <c r="H4182" t="s">
        <v>49</v>
      </c>
      <c r="I4182" t="s">
        <v>79</v>
      </c>
      <c r="J4182" s="4">
        <v>7.59</v>
      </c>
      <c r="K4182">
        <v>1</v>
      </c>
      <c r="L4182">
        <v>31.953900000000001</v>
      </c>
      <c r="M4182">
        <v>31.953900000000001</v>
      </c>
      <c r="N4182" s="5">
        <v>1.6239738495656992</v>
      </c>
      <c r="O4182" t="s">
        <v>147</v>
      </c>
      <c r="P4182" t="s">
        <v>148</v>
      </c>
      <c r="Q4182" s="10" t="s">
        <v>24</v>
      </c>
      <c r="R4182" t="s">
        <v>1819</v>
      </c>
    </row>
    <row r="4183" spans="1:18" hidden="1" x14ac:dyDescent="0.25">
      <c r="A4183" s="9" t="s">
        <v>1097</v>
      </c>
      <c r="B4183" s="3" t="s">
        <v>1817</v>
      </c>
      <c r="C4183" s="10">
        <v>22</v>
      </c>
      <c r="D4183" s="10">
        <v>7</v>
      </c>
      <c r="E4183" s="10">
        <v>19</v>
      </c>
      <c r="F4183" t="s">
        <v>1214</v>
      </c>
      <c r="G4183" t="s">
        <v>889</v>
      </c>
      <c r="H4183" t="s">
        <v>53</v>
      </c>
      <c r="I4183" t="s">
        <v>27</v>
      </c>
      <c r="J4183" s="4">
        <v>2.5099999999999998</v>
      </c>
      <c r="K4183">
        <v>12</v>
      </c>
      <c r="L4183">
        <v>10.567099999999998</v>
      </c>
      <c r="M4183">
        <v>126.80519999999999</v>
      </c>
      <c r="N4183" s="5">
        <v>6.4445444464978729</v>
      </c>
      <c r="O4183" t="s">
        <v>147</v>
      </c>
      <c r="P4183" t="s">
        <v>148</v>
      </c>
      <c r="Q4183" s="10" t="s">
        <v>24</v>
      </c>
    </row>
    <row r="4184" spans="1:18" hidden="1" x14ac:dyDescent="0.25">
      <c r="A4184" s="9" t="s">
        <v>1097</v>
      </c>
      <c r="B4184" s="3" t="s">
        <v>1817</v>
      </c>
      <c r="C4184" s="10">
        <v>22</v>
      </c>
      <c r="D4184" s="10">
        <v>7</v>
      </c>
      <c r="E4184" s="10">
        <v>19</v>
      </c>
      <c r="F4184" t="s">
        <v>1383</v>
      </c>
      <c r="G4184" t="s">
        <v>889</v>
      </c>
      <c r="H4184" t="s">
        <v>53</v>
      </c>
      <c r="I4184" t="s">
        <v>27</v>
      </c>
      <c r="J4184" s="4">
        <v>2.65</v>
      </c>
      <c r="K4184">
        <v>6</v>
      </c>
      <c r="L4184">
        <v>11.156499999999999</v>
      </c>
      <c r="M4184">
        <v>66.938999999999993</v>
      </c>
      <c r="N4184" s="5">
        <v>3.4020005544261682</v>
      </c>
      <c r="O4184" t="s">
        <v>147</v>
      </c>
      <c r="P4184" t="s">
        <v>148</v>
      </c>
      <c r="Q4184" s="10" t="s">
        <v>24</v>
      </c>
    </row>
    <row r="4185" spans="1:18" hidden="1" x14ac:dyDescent="0.25">
      <c r="A4185" s="9" t="s">
        <v>1097</v>
      </c>
      <c r="B4185" s="3" t="s">
        <v>1817</v>
      </c>
      <c r="C4185" s="10">
        <v>22</v>
      </c>
      <c r="D4185" s="10">
        <v>7</v>
      </c>
      <c r="E4185" s="10">
        <v>19</v>
      </c>
      <c r="F4185" t="s">
        <v>112</v>
      </c>
      <c r="G4185" t="s">
        <v>889</v>
      </c>
      <c r="H4185" t="s">
        <v>56</v>
      </c>
      <c r="I4185" t="s">
        <v>27</v>
      </c>
      <c r="J4185" s="4">
        <v>7.99</v>
      </c>
      <c r="K4185">
        <v>0.49399999999999999</v>
      </c>
      <c r="L4185">
        <v>33.637900000000002</v>
      </c>
      <c r="M4185">
        <v>16.617122600000002</v>
      </c>
      <c r="N4185" s="5">
        <v>0.844522031971909</v>
      </c>
      <c r="O4185" t="s">
        <v>147</v>
      </c>
      <c r="P4185" t="s">
        <v>148</v>
      </c>
      <c r="Q4185" s="10" t="s">
        <v>24</v>
      </c>
      <c r="R4185" t="s">
        <v>1614</v>
      </c>
    </row>
    <row r="4186" spans="1:18" hidden="1" x14ac:dyDescent="0.25">
      <c r="A4186" s="9" t="s">
        <v>1097</v>
      </c>
      <c r="B4186" s="3" t="s">
        <v>1817</v>
      </c>
      <c r="C4186" s="10">
        <v>22</v>
      </c>
      <c r="D4186" s="10">
        <v>7</v>
      </c>
      <c r="E4186" s="10">
        <v>19</v>
      </c>
      <c r="F4186" t="s">
        <v>112</v>
      </c>
      <c r="G4186" t="s">
        <v>889</v>
      </c>
      <c r="H4186" t="s">
        <v>56</v>
      </c>
      <c r="I4186" t="s">
        <v>27</v>
      </c>
      <c r="J4186" s="4">
        <v>8.6999999999999993</v>
      </c>
      <c r="K4186">
        <v>0.65600000000000003</v>
      </c>
      <c r="L4186">
        <v>36.626999999999995</v>
      </c>
      <c r="M4186">
        <v>24.027311999999998</v>
      </c>
      <c r="N4186" s="5">
        <v>1.2211256329698759</v>
      </c>
      <c r="O4186" t="s">
        <v>147</v>
      </c>
      <c r="P4186" t="s">
        <v>148</v>
      </c>
      <c r="Q4186" s="10" t="s">
        <v>24</v>
      </c>
      <c r="R4186" t="s">
        <v>1616</v>
      </c>
    </row>
    <row r="4187" spans="1:18" hidden="1" x14ac:dyDescent="0.25">
      <c r="A4187" s="9" t="s">
        <v>1097</v>
      </c>
      <c r="B4187" s="3" t="s">
        <v>1817</v>
      </c>
      <c r="C4187" s="10">
        <v>22</v>
      </c>
      <c r="D4187" s="10">
        <v>7</v>
      </c>
      <c r="E4187" s="10">
        <v>19</v>
      </c>
      <c r="F4187" t="s">
        <v>155</v>
      </c>
      <c r="G4187" t="s">
        <v>155</v>
      </c>
      <c r="H4187" t="s">
        <v>131</v>
      </c>
      <c r="I4187" t="s">
        <v>27</v>
      </c>
      <c r="J4187" s="4">
        <v>9.9</v>
      </c>
      <c r="K4187">
        <v>2</v>
      </c>
      <c r="L4187">
        <v>41.679000000000002</v>
      </c>
      <c r="M4187">
        <v>83.358000000000004</v>
      </c>
      <c r="N4187" s="5">
        <v>4.2364535206061724</v>
      </c>
      <c r="O4187" t="s">
        <v>147</v>
      </c>
      <c r="P4187" t="s">
        <v>148</v>
      </c>
      <c r="Q4187" s="10" t="s">
        <v>24</v>
      </c>
    </row>
    <row r="4188" spans="1:18" hidden="1" x14ac:dyDescent="0.25">
      <c r="A4188" s="9" t="s">
        <v>1097</v>
      </c>
      <c r="B4188" s="3" t="s">
        <v>1817</v>
      </c>
      <c r="C4188" s="10">
        <v>22</v>
      </c>
      <c r="D4188" s="10">
        <v>7</v>
      </c>
      <c r="E4188" s="10">
        <v>19</v>
      </c>
      <c r="F4188" t="s">
        <v>155</v>
      </c>
      <c r="G4188" t="s">
        <v>155</v>
      </c>
      <c r="H4188" t="s">
        <v>131</v>
      </c>
      <c r="I4188" t="s">
        <v>27</v>
      </c>
      <c r="J4188" s="4">
        <v>11.5</v>
      </c>
      <c r="K4188">
        <v>1</v>
      </c>
      <c r="L4188">
        <v>48.414999999999999</v>
      </c>
      <c r="M4188">
        <v>48.414999999999999</v>
      </c>
      <c r="N4188" s="5">
        <v>2.4605664387359081</v>
      </c>
      <c r="O4188" t="s">
        <v>147</v>
      </c>
      <c r="P4188" t="s">
        <v>148</v>
      </c>
      <c r="Q4188" s="10" t="s">
        <v>24</v>
      </c>
    </row>
    <row r="4189" spans="1:18" hidden="1" x14ac:dyDescent="0.25">
      <c r="A4189" s="9" t="s">
        <v>1097</v>
      </c>
      <c r="B4189" s="3" t="s">
        <v>1817</v>
      </c>
      <c r="C4189" s="10">
        <v>22</v>
      </c>
      <c r="D4189" s="10">
        <v>7</v>
      </c>
      <c r="E4189" s="10">
        <v>19</v>
      </c>
      <c r="F4189" t="s">
        <v>155</v>
      </c>
      <c r="G4189" t="s">
        <v>155</v>
      </c>
      <c r="H4189" t="s">
        <v>131</v>
      </c>
      <c r="I4189" t="s">
        <v>27</v>
      </c>
      <c r="J4189" s="4">
        <v>3.69</v>
      </c>
      <c r="K4189">
        <v>2</v>
      </c>
      <c r="L4189">
        <v>15.5349</v>
      </c>
      <c r="M4189">
        <v>31.069800000000001</v>
      </c>
      <c r="N4189" s="5">
        <v>1.5790417667713914</v>
      </c>
      <c r="O4189" t="s">
        <v>147</v>
      </c>
      <c r="P4189" t="s">
        <v>148</v>
      </c>
      <c r="Q4189" s="10" t="s">
        <v>24</v>
      </c>
    </row>
    <row r="4190" spans="1:18" hidden="1" x14ac:dyDescent="0.25">
      <c r="A4190" s="9" t="s">
        <v>1097</v>
      </c>
      <c r="B4190" s="3" t="s">
        <v>1817</v>
      </c>
      <c r="C4190" s="10">
        <v>22</v>
      </c>
      <c r="D4190" s="10">
        <v>7</v>
      </c>
      <c r="E4190" s="10">
        <v>19</v>
      </c>
      <c r="F4190" t="s">
        <v>155</v>
      </c>
      <c r="G4190" t="s">
        <v>155</v>
      </c>
      <c r="H4190" t="s">
        <v>131</v>
      </c>
      <c r="I4190" t="s">
        <v>27</v>
      </c>
      <c r="J4190" s="4">
        <v>13.7</v>
      </c>
      <c r="K4190">
        <v>1</v>
      </c>
      <c r="L4190">
        <v>57.677</v>
      </c>
      <c r="M4190">
        <v>57.677</v>
      </c>
      <c r="N4190" s="5">
        <v>2.9312834965810382</v>
      </c>
      <c r="O4190" t="s">
        <v>147</v>
      </c>
      <c r="P4190" t="s">
        <v>148</v>
      </c>
      <c r="Q4190" s="10" t="s">
        <v>24</v>
      </c>
    </row>
    <row r="4191" spans="1:18" hidden="1" x14ac:dyDescent="0.25">
      <c r="A4191" s="9" t="s">
        <v>1097</v>
      </c>
      <c r="B4191" s="3" t="s">
        <v>1817</v>
      </c>
      <c r="C4191" s="10">
        <v>22</v>
      </c>
      <c r="D4191" s="10">
        <v>7</v>
      </c>
      <c r="E4191" s="10">
        <v>19</v>
      </c>
      <c r="F4191" t="s">
        <v>155</v>
      </c>
      <c r="G4191" t="s">
        <v>155</v>
      </c>
      <c r="H4191" t="s">
        <v>131</v>
      </c>
      <c r="I4191" t="s">
        <v>27</v>
      </c>
      <c r="J4191" s="4">
        <v>1.32</v>
      </c>
      <c r="K4191">
        <v>1</v>
      </c>
      <c r="L4191">
        <v>5.5571999999999999</v>
      </c>
      <c r="M4191">
        <v>5.5571999999999999</v>
      </c>
      <c r="N4191" s="5">
        <v>0.28243023470707812</v>
      </c>
      <c r="O4191" t="s">
        <v>147</v>
      </c>
      <c r="P4191" t="s">
        <v>148</v>
      </c>
      <c r="Q4191" s="10" t="s">
        <v>24</v>
      </c>
    </row>
    <row r="4192" spans="1:18" hidden="1" x14ac:dyDescent="0.25">
      <c r="A4192" s="9" t="s">
        <v>1097</v>
      </c>
      <c r="B4192" s="3" t="s">
        <v>1817</v>
      </c>
      <c r="C4192" s="10">
        <v>22</v>
      </c>
      <c r="D4192" s="10">
        <v>7</v>
      </c>
      <c r="E4192" s="10">
        <v>19</v>
      </c>
      <c r="F4192" t="s">
        <v>217</v>
      </c>
      <c r="G4192" t="s">
        <v>25</v>
      </c>
      <c r="H4192" t="s">
        <v>26</v>
      </c>
      <c r="I4192" t="s">
        <v>27</v>
      </c>
      <c r="J4192" s="4">
        <v>4.9000000000000004</v>
      </c>
      <c r="K4192">
        <v>3</v>
      </c>
      <c r="L4192">
        <v>20.629000000000001</v>
      </c>
      <c r="M4192">
        <v>61.887</v>
      </c>
      <c r="N4192" s="5">
        <v>3.1452457956015518</v>
      </c>
      <c r="O4192" t="s">
        <v>147</v>
      </c>
      <c r="P4192" t="s">
        <v>148</v>
      </c>
      <c r="Q4192" s="10" t="s">
        <v>24</v>
      </c>
    </row>
    <row r="4193" spans="1:18" hidden="1" x14ac:dyDescent="0.25">
      <c r="A4193" s="9" t="s">
        <v>1097</v>
      </c>
      <c r="B4193" s="3" t="s">
        <v>1817</v>
      </c>
      <c r="C4193" s="10">
        <v>22</v>
      </c>
      <c r="D4193" s="10">
        <v>7</v>
      </c>
      <c r="E4193" s="10">
        <v>19</v>
      </c>
      <c r="F4193" t="s">
        <v>708</v>
      </c>
      <c r="G4193" t="s">
        <v>708</v>
      </c>
      <c r="H4193" t="s">
        <v>131</v>
      </c>
      <c r="I4193" t="s">
        <v>27</v>
      </c>
      <c r="J4193" s="4">
        <v>4.2</v>
      </c>
      <c r="K4193">
        <v>1</v>
      </c>
      <c r="L4193">
        <v>17.682000000000002</v>
      </c>
      <c r="M4193">
        <v>17.682000000000002</v>
      </c>
      <c r="N4193" s="5">
        <v>0.89864165588615785</v>
      </c>
      <c r="O4193" t="s">
        <v>147</v>
      </c>
      <c r="P4193" t="s">
        <v>148</v>
      </c>
      <c r="Q4193" s="10" t="s">
        <v>24</v>
      </c>
    </row>
    <row r="4194" spans="1:18" hidden="1" x14ac:dyDescent="0.25">
      <c r="A4194" s="9" t="s">
        <v>1097</v>
      </c>
      <c r="B4194" s="3" t="s">
        <v>1817</v>
      </c>
      <c r="C4194" s="10">
        <v>22</v>
      </c>
      <c r="D4194" s="10">
        <v>7</v>
      </c>
      <c r="E4194" s="10">
        <v>19</v>
      </c>
      <c r="F4194" t="s">
        <v>1468</v>
      </c>
      <c r="G4194" t="s">
        <v>889</v>
      </c>
      <c r="H4194" t="s">
        <v>56</v>
      </c>
      <c r="I4194" t="s">
        <v>27</v>
      </c>
      <c r="J4194" s="4">
        <v>1.92</v>
      </c>
      <c r="K4194">
        <v>4</v>
      </c>
      <c r="L4194">
        <v>8.0831999999999997</v>
      </c>
      <c r="M4194">
        <v>32.332799999999999</v>
      </c>
      <c r="N4194" s="5">
        <v>1.6432304564775455</v>
      </c>
      <c r="O4194" t="s">
        <v>147</v>
      </c>
      <c r="P4194" t="s">
        <v>148</v>
      </c>
      <c r="Q4194" s="10" t="s">
        <v>24</v>
      </c>
    </row>
    <row r="4195" spans="1:18" hidden="1" x14ac:dyDescent="0.25">
      <c r="A4195" s="9" t="s">
        <v>1097</v>
      </c>
      <c r="B4195" s="3" t="s">
        <v>1817</v>
      </c>
      <c r="C4195" s="10">
        <v>22</v>
      </c>
      <c r="D4195" s="10">
        <v>7</v>
      </c>
      <c r="E4195" s="10">
        <v>19</v>
      </c>
      <c r="F4195" t="s">
        <v>155</v>
      </c>
      <c r="G4195" t="s">
        <v>155</v>
      </c>
      <c r="H4195" t="s">
        <v>131</v>
      </c>
      <c r="I4195" t="s">
        <v>27</v>
      </c>
      <c r="J4195" s="4">
        <v>4.7</v>
      </c>
      <c r="K4195">
        <v>1</v>
      </c>
      <c r="L4195">
        <v>19.786999999999999</v>
      </c>
      <c r="M4195">
        <v>19.786999999999999</v>
      </c>
      <c r="N4195" s="5">
        <v>1.0056228053964145</v>
      </c>
      <c r="O4195" t="s">
        <v>147</v>
      </c>
      <c r="P4195" t="s">
        <v>148</v>
      </c>
      <c r="Q4195" s="10" t="s">
        <v>24</v>
      </c>
    </row>
    <row r="4196" spans="1:18" hidden="1" x14ac:dyDescent="0.25">
      <c r="A4196" s="9" t="s">
        <v>1097</v>
      </c>
      <c r="B4196" s="3" t="s">
        <v>1817</v>
      </c>
      <c r="C4196" s="10">
        <v>22</v>
      </c>
      <c r="D4196" s="10">
        <v>7</v>
      </c>
      <c r="E4196" s="10">
        <v>19</v>
      </c>
      <c r="F4196" t="s">
        <v>404</v>
      </c>
      <c r="G4196" t="s">
        <v>889</v>
      </c>
      <c r="H4196" t="s">
        <v>54</v>
      </c>
      <c r="I4196" t="s">
        <v>27</v>
      </c>
      <c r="J4196" s="4">
        <v>17.98</v>
      </c>
      <c r="K4196">
        <v>0.5</v>
      </c>
      <c r="L4196">
        <v>75.695800000000006</v>
      </c>
      <c r="M4196">
        <v>37.847900000000003</v>
      </c>
      <c r="N4196" s="5">
        <v>1.9235210681944186</v>
      </c>
      <c r="O4196" t="s">
        <v>147</v>
      </c>
      <c r="P4196" t="s">
        <v>148</v>
      </c>
      <c r="Q4196" s="10" t="s">
        <v>24</v>
      </c>
    </row>
    <row r="4197" spans="1:18" hidden="1" x14ac:dyDescent="0.25">
      <c r="A4197" s="9" t="s">
        <v>1097</v>
      </c>
      <c r="B4197" s="3" t="s">
        <v>1817</v>
      </c>
      <c r="C4197" s="10">
        <v>22</v>
      </c>
      <c r="D4197" s="10">
        <v>7</v>
      </c>
      <c r="E4197" s="10">
        <v>19</v>
      </c>
      <c r="F4197" t="s">
        <v>1823</v>
      </c>
      <c r="G4197" t="s">
        <v>31</v>
      </c>
      <c r="H4197" t="s">
        <v>26</v>
      </c>
      <c r="I4197" t="s">
        <v>27</v>
      </c>
      <c r="J4197" s="4">
        <v>1.95</v>
      </c>
      <c r="K4197">
        <v>4</v>
      </c>
      <c r="L4197">
        <v>8.2095000000000002</v>
      </c>
      <c r="M4197">
        <v>32.838000000000001</v>
      </c>
      <c r="N4197" s="5">
        <v>1.6689059323600073</v>
      </c>
      <c r="O4197" t="s">
        <v>147</v>
      </c>
      <c r="P4197" t="s">
        <v>148</v>
      </c>
      <c r="Q4197" s="10" t="s">
        <v>24</v>
      </c>
    </row>
    <row r="4198" spans="1:18" hidden="1" x14ac:dyDescent="0.25">
      <c r="A4198" s="9" t="s">
        <v>1097</v>
      </c>
      <c r="B4198" s="3" t="s">
        <v>1817</v>
      </c>
      <c r="C4198" s="10">
        <v>22</v>
      </c>
      <c r="D4198" s="10">
        <v>7</v>
      </c>
      <c r="E4198" s="10">
        <v>19</v>
      </c>
      <c r="F4198" t="s">
        <v>1144</v>
      </c>
      <c r="G4198" t="s">
        <v>31</v>
      </c>
      <c r="H4198" t="s">
        <v>26</v>
      </c>
      <c r="I4198" t="s">
        <v>27</v>
      </c>
      <c r="J4198" s="4">
        <v>3.39</v>
      </c>
      <c r="K4198">
        <v>3</v>
      </c>
      <c r="L4198">
        <v>14.2719</v>
      </c>
      <c r="M4198">
        <v>42.8157</v>
      </c>
      <c r="N4198" s="5">
        <v>2.1759965810386248</v>
      </c>
      <c r="O4198" t="s">
        <v>147</v>
      </c>
      <c r="P4198" t="s">
        <v>148</v>
      </c>
      <c r="Q4198" s="10" t="s">
        <v>24</v>
      </c>
    </row>
    <row r="4199" spans="1:18" hidden="1" x14ac:dyDescent="0.25">
      <c r="A4199" s="9" t="s">
        <v>1097</v>
      </c>
      <c r="B4199" s="3" t="s">
        <v>1817</v>
      </c>
      <c r="C4199" s="10">
        <v>22</v>
      </c>
      <c r="D4199" s="10">
        <v>7</v>
      </c>
      <c r="E4199" s="10">
        <v>19</v>
      </c>
      <c r="F4199" t="s">
        <v>2167</v>
      </c>
      <c r="G4199" t="s">
        <v>889</v>
      </c>
      <c r="H4199" t="s">
        <v>65</v>
      </c>
      <c r="I4199" t="s">
        <v>27</v>
      </c>
      <c r="J4199" s="4">
        <v>49.4</v>
      </c>
      <c r="K4199">
        <v>1</v>
      </c>
      <c r="L4199">
        <v>207.97399999999999</v>
      </c>
      <c r="M4199">
        <v>207.97399999999999</v>
      </c>
      <c r="N4199" s="5">
        <v>10.569737571613379</v>
      </c>
      <c r="O4199" t="s">
        <v>147</v>
      </c>
      <c r="P4199" t="s">
        <v>148</v>
      </c>
      <c r="Q4199" s="10" t="s">
        <v>24</v>
      </c>
    </row>
    <row r="4200" spans="1:18" hidden="1" x14ac:dyDescent="0.25">
      <c r="A4200" s="9" t="s">
        <v>1097</v>
      </c>
      <c r="B4200" s="3" t="s">
        <v>1817</v>
      </c>
      <c r="C4200" s="10">
        <v>22</v>
      </c>
      <c r="D4200" s="10">
        <v>7</v>
      </c>
      <c r="E4200" s="10">
        <v>19</v>
      </c>
      <c r="F4200" t="s">
        <v>44</v>
      </c>
      <c r="G4200" t="s">
        <v>889</v>
      </c>
      <c r="H4200" t="s">
        <v>44</v>
      </c>
      <c r="I4200" t="s">
        <v>27</v>
      </c>
      <c r="J4200" s="4">
        <v>7.6</v>
      </c>
      <c r="K4200">
        <v>2</v>
      </c>
      <c r="L4200">
        <v>31.995999999999999</v>
      </c>
      <c r="M4200">
        <v>63.991999999999997</v>
      </c>
      <c r="N4200" s="5">
        <v>3.2522269451118087</v>
      </c>
      <c r="O4200" t="s">
        <v>147</v>
      </c>
      <c r="P4200" t="s">
        <v>148</v>
      </c>
      <c r="Q4200" s="10" t="s">
        <v>24</v>
      </c>
    </row>
    <row r="4201" spans="1:18" hidden="1" x14ac:dyDescent="0.25">
      <c r="A4201" s="9" t="s">
        <v>1097</v>
      </c>
      <c r="B4201" s="3" t="s">
        <v>1817</v>
      </c>
      <c r="C4201" s="10">
        <v>22</v>
      </c>
      <c r="D4201" s="10">
        <v>7</v>
      </c>
      <c r="E4201" s="10">
        <v>19</v>
      </c>
      <c r="F4201" t="s">
        <v>1929</v>
      </c>
      <c r="G4201" t="s">
        <v>889</v>
      </c>
      <c r="H4201" t="s">
        <v>44</v>
      </c>
      <c r="I4201" t="s">
        <v>27</v>
      </c>
      <c r="J4201" s="4">
        <v>3.2</v>
      </c>
      <c r="K4201">
        <v>2</v>
      </c>
      <c r="L4201">
        <v>13.472000000000001</v>
      </c>
      <c r="M4201">
        <v>26.944000000000003</v>
      </c>
      <c r="N4201" s="5">
        <v>1.3693587137312881</v>
      </c>
      <c r="O4201" t="s">
        <v>147</v>
      </c>
      <c r="P4201" t="s">
        <v>148</v>
      </c>
      <c r="Q4201" s="10" t="s">
        <v>24</v>
      </c>
      <c r="R4201" t="s">
        <v>1930</v>
      </c>
    </row>
    <row r="4202" spans="1:18" hidden="1" x14ac:dyDescent="0.25">
      <c r="A4202" s="9" t="s">
        <v>1097</v>
      </c>
      <c r="B4202" s="3" t="s">
        <v>1817</v>
      </c>
      <c r="C4202" s="10">
        <v>22</v>
      </c>
      <c r="D4202" s="10">
        <v>7</v>
      </c>
      <c r="E4202" s="10">
        <v>19</v>
      </c>
      <c r="F4202" t="s">
        <v>1108</v>
      </c>
      <c r="G4202" t="s">
        <v>889</v>
      </c>
      <c r="H4202" t="s">
        <v>44</v>
      </c>
      <c r="I4202" t="s">
        <v>27</v>
      </c>
      <c r="J4202" s="4">
        <v>2.5</v>
      </c>
      <c r="K4202">
        <v>2</v>
      </c>
      <c r="L4202">
        <v>10.525</v>
      </c>
      <c r="M4202">
        <v>21.05</v>
      </c>
      <c r="N4202" s="5">
        <v>1.0698114951025688</v>
      </c>
      <c r="O4202" t="s">
        <v>147</v>
      </c>
      <c r="P4202" t="s">
        <v>148</v>
      </c>
      <c r="Q4202" s="10" t="s">
        <v>24</v>
      </c>
      <c r="R4202" t="s">
        <v>1930</v>
      </c>
    </row>
    <row r="4203" spans="1:18" hidden="1" x14ac:dyDescent="0.25">
      <c r="A4203" s="9" t="s">
        <v>1097</v>
      </c>
      <c r="B4203" s="3" t="s">
        <v>1817</v>
      </c>
      <c r="C4203" s="10">
        <v>22</v>
      </c>
      <c r="D4203" s="10">
        <v>7</v>
      </c>
      <c r="E4203" s="10">
        <v>19</v>
      </c>
      <c r="F4203" t="s">
        <v>1108</v>
      </c>
      <c r="G4203" t="s">
        <v>889</v>
      </c>
      <c r="H4203" t="s">
        <v>44</v>
      </c>
      <c r="I4203" t="s">
        <v>27</v>
      </c>
      <c r="J4203" s="4">
        <v>2.5</v>
      </c>
      <c r="K4203">
        <v>1</v>
      </c>
      <c r="L4203">
        <v>10.525</v>
      </c>
      <c r="M4203">
        <v>10.525</v>
      </c>
      <c r="N4203" s="5">
        <v>0.53490574755128439</v>
      </c>
      <c r="O4203" t="s">
        <v>147</v>
      </c>
      <c r="P4203" t="s">
        <v>148</v>
      </c>
      <c r="Q4203" s="10" t="s">
        <v>24</v>
      </c>
      <c r="R4203" t="s">
        <v>1931</v>
      </c>
    </row>
    <row r="4204" spans="1:18" hidden="1" x14ac:dyDescent="0.25">
      <c r="A4204" s="9" t="s">
        <v>1097</v>
      </c>
      <c r="B4204" s="3" t="s">
        <v>1817</v>
      </c>
      <c r="C4204" s="10">
        <v>22</v>
      </c>
      <c r="D4204" s="10">
        <v>7</v>
      </c>
      <c r="E4204" s="10">
        <v>19</v>
      </c>
      <c r="F4204" t="s">
        <v>1820</v>
      </c>
      <c r="G4204" t="s">
        <v>889</v>
      </c>
      <c r="H4204" t="s">
        <v>44</v>
      </c>
      <c r="I4204" t="s">
        <v>27</v>
      </c>
      <c r="J4204" s="4">
        <v>4.9000000000000004</v>
      </c>
      <c r="K4204">
        <v>2</v>
      </c>
      <c r="L4204">
        <v>20.629000000000001</v>
      </c>
      <c r="M4204">
        <v>41.258000000000003</v>
      </c>
      <c r="N4204" s="5">
        <v>2.0968305304010348</v>
      </c>
      <c r="O4204" t="s">
        <v>147</v>
      </c>
      <c r="P4204" t="s">
        <v>148</v>
      </c>
      <c r="Q4204" s="10" t="s">
        <v>24</v>
      </c>
    </row>
    <row r="4205" spans="1:18" hidden="1" x14ac:dyDescent="0.25">
      <c r="A4205" s="9" t="s">
        <v>1097</v>
      </c>
      <c r="B4205" s="3" t="s">
        <v>1817</v>
      </c>
      <c r="C4205" s="10">
        <v>22</v>
      </c>
      <c r="D4205" s="10">
        <v>7</v>
      </c>
      <c r="E4205" s="10">
        <v>19</v>
      </c>
      <c r="F4205" t="s">
        <v>1821</v>
      </c>
      <c r="G4205" t="s">
        <v>889</v>
      </c>
      <c r="H4205" t="s">
        <v>63</v>
      </c>
      <c r="I4205" t="s">
        <v>50</v>
      </c>
      <c r="J4205" s="4">
        <v>40.9</v>
      </c>
      <c r="K4205">
        <v>1</v>
      </c>
      <c r="L4205">
        <v>172.18899999999999</v>
      </c>
      <c r="M4205">
        <v>172.18899999999999</v>
      </c>
      <c r="N4205" s="5">
        <v>8.7510580299390117</v>
      </c>
      <c r="O4205" t="s">
        <v>147</v>
      </c>
      <c r="P4205" t="s">
        <v>148</v>
      </c>
      <c r="Q4205" s="10" t="s">
        <v>24</v>
      </c>
    </row>
    <row r="4206" spans="1:18" hidden="1" x14ac:dyDescent="0.25">
      <c r="A4206" s="9" t="s">
        <v>1097</v>
      </c>
      <c r="B4206" s="3" t="s">
        <v>1817</v>
      </c>
      <c r="C4206" s="10">
        <v>22</v>
      </c>
      <c r="D4206" s="10">
        <v>7</v>
      </c>
      <c r="E4206" s="10">
        <v>19</v>
      </c>
      <c r="F4206" t="s">
        <v>1822</v>
      </c>
      <c r="G4206" t="s">
        <v>889</v>
      </c>
      <c r="H4206" t="s">
        <v>49</v>
      </c>
      <c r="I4206" t="s">
        <v>50</v>
      </c>
      <c r="J4206" s="4">
        <v>11</v>
      </c>
      <c r="K4206">
        <v>1</v>
      </c>
      <c r="L4206">
        <v>46.31</v>
      </c>
      <c r="M4206">
        <v>46.31</v>
      </c>
      <c r="N4206" s="5">
        <v>2.3535852892256512</v>
      </c>
      <c r="O4206" t="s">
        <v>147</v>
      </c>
      <c r="P4206" t="s">
        <v>148</v>
      </c>
      <c r="Q4206" s="10" t="s">
        <v>24</v>
      </c>
    </row>
    <row r="4207" spans="1:18" hidden="1" x14ac:dyDescent="0.25">
      <c r="A4207" s="9" t="s">
        <v>1097</v>
      </c>
      <c r="B4207" s="3" t="s">
        <v>1817</v>
      </c>
      <c r="C4207" s="10">
        <v>22</v>
      </c>
      <c r="D4207" s="10">
        <v>7</v>
      </c>
      <c r="E4207" s="10">
        <v>19</v>
      </c>
      <c r="F4207" t="s">
        <v>2187</v>
      </c>
      <c r="G4207" t="s">
        <v>320</v>
      </c>
      <c r="H4207" t="s">
        <v>49</v>
      </c>
      <c r="I4207" t="s">
        <v>50</v>
      </c>
      <c r="J4207" s="4">
        <v>22.48</v>
      </c>
      <c r="K4207">
        <v>1</v>
      </c>
      <c r="L4207">
        <v>94.640799999999999</v>
      </c>
      <c r="M4207">
        <v>94.640799999999999</v>
      </c>
      <c r="N4207" s="5">
        <v>4.8098724819811487</v>
      </c>
      <c r="O4207" t="s">
        <v>147</v>
      </c>
      <c r="P4207" t="s">
        <v>148</v>
      </c>
      <c r="Q4207" s="10" t="s">
        <v>24</v>
      </c>
    </row>
    <row r="4208" spans="1:18" hidden="1" x14ac:dyDescent="0.25">
      <c r="A4208" s="9" t="s">
        <v>1097</v>
      </c>
      <c r="B4208" s="3" t="s">
        <v>1817</v>
      </c>
      <c r="C4208" s="10">
        <v>22</v>
      </c>
      <c r="D4208" s="10">
        <v>7</v>
      </c>
      <c r="E4208" s="10">
        <v>19</v>
      </c>
      <c r="F4208" t="s">
        <v>2167</v>
      </c>
      <c r="G4208" t="s">
        <v>889</v>
      </c>
      <c r="H4208" t="s">
        <v>65</v>
      </c>
      <c r="I4208" t="s">
        <v>27</v>
      </c>
      <c r="J4208" s="4">
        <v>32.99</v>
      </c>
      <c r="K4208">
        <v>1</v>
      </c>
      <c r="L4208">
        <v>138.8879</v>
      </c>
      <c r="M4208">
        <v>138.8879</v>
      </c>
      <c r="N4208" s="5">
        <v>7.058616244686748</v>
      </c>
      <c r="O4208" t="s">
        <v>147</v>
      </c>
      <c r="P4208" t="s">
        <v>148</v>
      </c>
      <c r="Q4208" s="10" t="s">
        <v>24</v>
      </c>
    </row>
    <row r="4209" spans="1:18" hidden="1" x14ac:dyDescent="0.25">
      <c r="A4209" s="9" t="s">
        <v>1097</v>
      </c>
      <c r="B4209" s="3" t="s">
        <v>1817</v>
      </c>
      <c r="C4209" s="10">
        <v>22</v>
      </c>
      <c r="D4209" s="10">
        <v>7</v>
      </c>
      <c r="E4209" s="10">
        <v>19</v>
      </c>
      <c r="F4209" t="s">
        <v>1078</v>
      </c>
      <c r="G4209" t="s">
        <v>889</v>
      </c>
      <c r="H4209" t="s">
        <v>65</v>
      </c>
      <c r="I4209" t="s">
        <v>27</v>
      </c>
      <c r="J4209" s="4">
        <v>28.5</v>
      </c>
      <c r="K4209">
        <v>1</v>
      </c>
      <c r="L4209">
        <v>119.985</v>
      </c>
      <c r="M4209">
        <v>119.985</v>
      </c>
      <c r="N4209" s="5">
        <v>6.0979255220846413</v>
      </c>
      <c r="O4209" t="s">
        <v>147</v>
      </c>
      <c r="P4209" t="s">
        <v>148</v>
      </c>
      <c r="Q4209" s="10" t="s">
        <v>24</v>
      </c>
    </row>
    <row r="4210" spans="1:18" hidden="1" x14ac:dyDescent="0.25">
      <c r="A4210" s="9" t="s">
        <v>1097</v>
      </c>
      <c r="B4210" s="3" t="s">
        <v>1817</v>
      </c>
      <c r="C4210" s="10">
        <v>22</v>
      </c>
      <c r="D4210" s="10">
        <v>7</v>
      </c>
      <c r="E4210" s="10">
        <v>19</v>
      </c>
      <c r="F4210" t="s">
        <v>140</v>
      </c>
      <c r="G4210" t="s">
        <v>889</v>
      </c>
      <c r="H4210" t="s">
        <v>49</v>
      </c>
      <c r="I4210" t="s">
        <v>50</v>
      </c>
      <c r="J4210" s="4">
        <v>1.22</v>
      </c>
      <c r="K4210">
        <v>1</v>
      </c>
      <c r="L4210">
        <v>5.1361999999999997</v>
      </c>
      <c r="M4210">
        <v>5.1361999999999997</v>
      </c>
      <c r="N4210" s="5">
        <v>0.26103400480502675</v>
      </c>
      <c r="O4210" t="s">
        <v>147</v>
      </c>
      <c r="P4210" t="s">
        <v>148</v>
      </c>
      <c r="Q4210" s="10" t="s">
        <v>24</v>
      </c>
    </row>
    <row r="4211" spans="1:18" hidden="1" x14ac:dyDescent="0.25">
      <c r="A4211" s="9" t="s">
        <v>1097</v>
      </c>
      <c r="B4211" s="3" t="s">
        <v>1817</v>
      </c>
      <c r="C4211" s="10">
        <v>22</v>
      </c>
      <c r="D4211" s="10">
        <v>7</v>
      </c>
      <c r="E4211" s="10">
        <v>19</v>
      </c>
      <c r="F4211" t="s">
        <v>2188</v>
      </c>
      <c r="G4211" t="s">
        <v>889</v>
      </c>
      <c r="H4211" t="s">
        <v>49</v>
      </c>
      <c r="I4211" t="s">
        <v>50</v>
      </c>
      <c r="J4211" s="4">
        <v>6.29</v>
      </c>
      <c r="K4211">
        <v>1</v>
      </c>
      <c r="L4211">
        <v>26.480899999999998</v>
      </c>
      <c r="M4211">
        <v>26.480899999999998</v>
      </c>
      <c r="N4211" s="5">
        <v>1.3458228608390312</v>
      </c>
      <c r="O4211" t="s">
        <v>147</v>
      </c>
      <c r="P4211" t="s">
        <v>148</v>
      </c>
      <c r="Q4211" s="10" t="s">
        <v>24</v>
      </c>
    </row>
    <row r="4212" spans="1:18" hidden="1" x14ac:dyDescent="0.25">
      <c r="A4212" s="9" t="s">
        <v>1097</v>
      </c>
      <c r="B4212" s="3" t="s">
        <v>1817</v>
      </c>
      <c r="C4212" s="10">
        <v>22</v>
      </c>
      <c r="D4212" s="10">
        <v>7</v>
      </c>
      <c r="E4212" s="10">
        <v>19</v>
      </c>
      <c r="F4212" t="s">
        <v>318</v>
      </c>
      <c r="G4212" t="s">
        <v>319</v>
      </c>
      <c r="H4212" t="s">
        <v>131</v>
      </c>
      <c r="I4212" t="s">
        <v>27</v>
      </c>
      <c r="J4212" s="4">
        <v>2.4900000000000002</v>
      </c>
      <c r="K4212">
        <v>2</v>
      </c>
      <c r="L4212">
        <v>10.482900000000001</v>
      </c>
      <c r="M4212">
        <v>20.965800000000002</v>
      </c>
      <c r="N4212" s="5">
        <v>1.0655322491221584</v>
      </c>
      <c r="O4212" t="s">
        <v>147</v>
      </c>
      <c r="P4212" t="s">
        <v>148</v>
      </c>
      <c r="Q4212" s="10" t="s">
        <v>24</v>
      </c>
    </row>
    <row r="4213" spans="1:18" hidden="1" x14ac:dyDescent="0.25">
      <c r="A4213" s="9" t="s">
        <v>1097</v>
      </c>
      <c r="B4213" s="3" t="s">
        <v>1817</v>
      </c>
      <c r="C4213" s="10">
        <v>22</v>
      </c>
      <c r="D4213" s="10">
        <v>7</v>
      </c>
      <c r="E4213" s="10">
        <v>19</v>
      </c>
      <c r="F4213" t="s">
        <v>1339</v>
      </c>
      <c r="G4213" t="s">
        <v>889</v>
      </c>
      <c r="H4213" t="s">
        <v>131</v>
      </c>
      <c r="I4213" t="s">
        <v>27</v>
      </c>
      <c r="J4213" s="4">
        <v>1.79</v>
      </c>
      <c r="K4213">
        <v>2</v>
      </c>
      <c r="L4213">
        <v>7.5358999999999998</v>
      </c>
      <c r="M4213">
        <v>15.0718</v>
      </c>
      <c r="N4213" s="5">
        <v>0.76598503049343913</v>
      </c>
      <c r="O4213" t="s">
        <v>147</v>
      </c>
      <c r="P4213" t="s">
        <v>148</v>
      </c>
      <c r="Q4213" s="10" t="s">
        <v>24</v>
      </c>
    </row>
    <row r="4214" spans="1:18" hidden="1" x14ac:dyDescent="0.25">
      <c r="A4214" s="9" t="s">
        <v>1097</v>
      </c>
      <c r="B4214" s="3" t="s">
        <v>1817</v>
      </c>
      <c r="C4214" s="10">
        <v>22</v>
      </c>
      <c r="D4214" s="10">
        <v>7</v>
      </c>
      <c r="E4214" s="10">
        <v>19</v>
      </c>
      <c r="F4214" t="s">
        <v>1026</v>
      </c>
      <c r="G4214" t="s">
        <v>889</v>
      </c>
      <c r="H4214" t="s">
        <v>65</v>
      </c>
      <c r="I4214" t="s">
        <v>27</v>
      </c>
      <c r="J4214" s="4">
        <v>1.19</v>
      </c>
      <c r="K4214">
        <v>4</v>
      </c>
      <c r="L4214">
        <v>5.0099</v>
      </c>
      <c r="M4214">
        <v>20.0396</v>
      </c>
      <c r="N4214" s="5">
        <v>1.0184605433376455</v>
      </c>
      <c r="O4214" t="s">
        <v>147</v>
      </c>
      <c r="P4214" t="s">
        <v>148</v>
      </c>
      <c r="Q4214" s="10" t="s">
        <v>24</v>
      </c>
    </row>
    <row r="4215" spans="1:18" hidden="1" x14ac:dyDescent="0.25">
      <c r="A4215" s="9" t="s">
        <v>1097</v>
      </c>
      <c r="B4215" s="3" t="s">
        <v>1110</v>
      </c>
      <c r="C4215" s="10">
        <v>24</v>
      </c>
      <c r="D4215" s="10">
        <v>7</v>
      </c>
      <c r="E4215" s="10">
        <v>19</v>
      </c>
      <c r="F4215" t="s">
        <v>99</v>
      </c>
      <c r="G4215" t="s">
        <v>889</v>
      </c>
      <c r="H4215" t="s">
        <v>40</v>
      </c>
      <c r="I4215" t="s">
        <v>27</v>
      </c>
      <c r="J4215" s="4">
        <v>10</v>
      </c>
      <c r="K4215">
        <v>2</v>
      </c>
      <c r="L4215">
        <v>10</v>
      </c>
      <c r="M4215">
        <v>20</v>
      </c>
      <c r="N4215" s="5">
        <v>1.0176045588684237</v>
      </c>
      <c r="O4215" t="s">
        <v>100</v>
      </c>
      <c r="P4215" t="s">
        <v>340</v>
      </c>
      <c r="Q4215" s="10" t="s">
        <v>1102</v>
      </c>
    </row>
    <row r="4216" spans="1:18" hidden="1" x14ac:dyDescent="0.25">
      <c r="A4216" s="9" t="s">
        <v>1097</v>
      </c>
      <c r="B4216" s="3" t="s">
        <v>1110</v>
      </c>
      <c r="C4216" s="10">
        <v>24</v>
      </c>
      <c r="D4216" s="10">
        <v>7</v>
      </c>
      <c r="E4216" s="10">
        <v>19</v>
      </c>
      <c r="F4216" t="s">
        <v>1036</v>
      </c>
      <c r="G4216" t="s">
        <v>889</v>
      </c>
      <c r="H4216" t="s">
        <v>38</v>
      </c>
      <c r="I4216" t="s">
        <v>27</v>
      </c>
      <c r="J4216" s="4">
        <v>126</v>
      </c>
      <c r="K4216">
        <v>0.24199999999999999</v>
      </c>
      <c r="L4216">
        <v>126</v>
      </c>
      <c r="M4216">
        <v>30.491999999999997</v>
      </c>
      <c r="N4216" s="5">
        <v>1.5514399104507988</v>
      </c>
      <c r="O4216" t="s">
        <v>100</v>
      </c>
      <c r="P4216" t="s">
        <v>340</v>
      </c>
      <c r="Q4216" s="10" t="s">
        <v>1102</v>
      </c>
    </row>
    <row r="4217" spans="1:18" hidden="1" x14ac:dyDescent="0.25">
      <c r="A4217" s="9" t="s">
        <v>1097</v>
      </c>
      <c r="B4217" s="3" t="s">
        <v>1110</v>
      </c>
      <c r="C4217" s="10">
        <v>24</v>
      </c>
      <c r="D4217" s="10">
        <v>7</v>
      </c>
      <c r="E4217" s="10">
        <v>19</v>
      </c>
      <c r="F4217" t="s">
        <v>974</v>
      </c>
      <c r="G4217" t="s">
        <v>25</v>
      </c>
      <c r="H4217" t="s">
        <v>26</v>
      </c>
      <c r="I4217" t="s">
        <v>27</v>
      </c>
      <c r="J4217" s="4">
        <v>211.6</v>
      </c>
      <c r="K4217">
        <v>0.32400000000000001</v>
      </c>
      <c r="L4217">
        <v>211.6</v>
      </c>
      <c r="M4217">
        <v>68.558400000000006</v>
      </c>
      <c r="N4217" s="5">
        <v>3.4882670194362473</v>
      </c>
      <c r="O4217" t="s">
        <v>100</v>
      </c>
      <c r="P4217" t="s">
        <v>340</v>
      </c>
      <c r="Q4217" s="10" t="s">
        <v>1102</v>
      </c>
    </row>
    <row r="4218" spans="1:18" hidden="1" x14ac:dyDescent="0.25">
      <c r="A4218" s="9" t="s">
        <v>1097</v>
      </c>
      <c r="B4218" s="3" t="s">
        <v>1110</v>
      </c>
      <c r="C4218" s="10">
        <v>24</v>
      </c>
      <c r="D4218" s="10">
        <v>7</v>
      </c>
      <c r="E4218" s="10">
        <v>19</v>
      </c>
      <c r="F4218" t="s">
        <v>246</v>
      </c>
      <c r="G4218" t="s">
        <v>889</v>
      </c>
      <c r="H4218" t="s">
        <v>1748</v>
      </c>
      <c r="I4218" t="s">
        <v>72</v>
      </c>
      <c r="J4218" s="4">
        <v>45</v>
      </c>
      <c r="K4218">
        <v>1</v>
      </c>
      <c r="L4218">
        <v>45</v>
      </c>
      <c r="M4218">
        <v>45</v>
      </c>
      <c r="N4218" s="5">
        <v>2.2870079467750872</v>
      </c>
      <c r="O4218" t="s">
        <v>1743</v>
      </c>
      <c r="P4218" t="s">
        <v>340</v>
      </c>
      <c r="Q4218" s="10" t="s">
        <v>24</v>
      </c>
      <c r="R4218" t="s">
        <v>1754</v>
      </c>
    </row>
    <row r="4219" spans="1:18" hidden="1" x14ac:dyDescent="0.25">
      <c r="A4219" s="9" t="s">
        <v>1097</v>
      </c>
      <c r="B4219" s="3" t="s">
        <v>1103</v>
      </c>
      <c r="C4219" s="10">
        <v>26</v>
      </c>
      <c r="D4219" s="10">
        <v>7</v>
      </c>
      <c r="E4219" s="10">
        <v>19</v>
      </c>
      <c r="F4219" t="s">
        <v>94</v>
      </c>
      <c r="G4219" t="s">
        <v>889</v>
      </c>
      <c r="I4219" t="s">
        <v>87</v>
      </c>
      <c r="J4219" s="4">
        <v>100</v>
      </c>
      <c r="K4219">
        <v>1</v>
      </c>
      <c r="L4219">
        <v>100</v>
      </c>
      <c r="M4219">
        <v>100</v>
      </c>
      <c r="N4219" s="5">
        <v>5.0880227943421188</v>
      </c>
      <c r="O4219" t="s">
        <v>39</v>
      </c>
      <c r="P4219" t="s">
        <v>340</v>
      </c>
      <c r="Q4219" s="10" t="s">
        <v>1102</v>
      </c>
      <c r="R4219" t="s">
        <v>943</v>
      </c>
    </row>
    <row r="4220" spans="1:18" hidden="1" x14ac:dyDescent="0.25">
      <c r="A4220" s="9" t="s">
        <v>1097</v>
      </c>
      <c r="B4220" s="3" t="s">
        <v>1103</v>
      </c>
      <c r="C4220" s="10">
        <v>26</v>
      </c>
      <c r="D4220" s="10">
        <v>7</v>
      </c>
      <c r="E4220" s="10">
        <v>19</v>
      </c>
      <c r="F4220" t="s">
        <v>141</v>
      </c>
      <c r="G4220" t="s">
        <v>889</v>
      </c>
      <c r="H4220" t="s">
        <v>172</v>
      </c>
      <c r="I4220" t="s">
        <v>39</v>
      </c>
      <c r="J4220" s="4">
        <v>2</v>
      </c>
      <c r="K4220">
        <v>6</v>
      </c>
      <c r="L4220">
        <v>2</v>
      </c>
      <c r="M4220">
        <v>12</v>
      </c>
      <c r="N4220" s="5">
        <v>0.61056273532105421</v>
      </c>
      <c r="O4220" t="s">
        <v>2107</v>
      </c>
      <c r="P4220" t="s">
        <v>340</v>
      </c>
      <c r="Q4220" s="10" t="s">
        <v>1102</v>
      </c>
    </row>
    <row r="4221" spans="1:18" hidden="1" x14ac:dyDescent="0.25">
      <c r="A4221" s="9" t="s">
        <v>1097</v>
      </c>
      <c r="B4221" s="3" t="s">
        <v>1103</v>
      </c>
      <c r="C4221" s="10">
        <v>26</v>
      </c>
      <c r="D4221" s="10">
        <v>7</v>
      </c>
      <c r="E4221" s="10">
        <v>19</v>
      </c>
      <c r="F4221" t="s">
        <v>248</v>
      </c>
      <c r="G4221" t="s">
        <v>224</v>
      </c>
      <c r="H4221" t="s">
        <v>26</v>
      </c>
      <c r="I4221" t="s">
        <v>27</v>
      </c>
      <c r="J4221" s="4">
        <v>75</v>
      </c>
      <c r="K4221">
        <v>1</v>
      </c>
      <c r="L4221">
        <v>75</v>
      </c>
      <c r="M4221">
        <v>75</v>
      </c>
      <c r="N4221" s="5">
        <v>3.8160170957565889</v>
      </c>
      <c r="O4221" t="s">
        <v>101</v>
      </c>
      <c r="P4221" t="s">
        <v>340</v>
      </c>
      <c r="Q4221" s="10" t="s">
        <v>1102</v>
      </c>
    </row>
    <row r="4222" spans="1:18" hidden="1" x14ac:dyDescent="0.25">
      <c r="A4222" s="9" t="s">
        <v>1097</v>
      </c>
      <c r="B4222" s="3" t="s">
        <v>1103</v>
      </c>
      <c r="C4222" s="10">
        <v>26</v>
      </c>
      <c r="D4222" s="10">
        <v>7</v>
      </c>
      <c r="E4222" s="10">
        <v>19</v>
      </c>
      <c r="F4222" t="s">
        <v>104</v>
      </c>
      <c r="G4222" t="s">
        <v>889</v>
      </c>
      <c r="H4222" t="s">
        <v>889</v>
      </c>
      <c r="I4222" t="s">
        <v>72</v>
      </c>
      <c r="J4222" s="4">
        <v>95.24</v>
      </c>
      <c r="K4222">
        <v>6.6000000000000003E-2</v>
      </c>
      <c r="L4222">
        <v>95.24</v>
      </c>
      <c r="M4222">
        <v>6.2858400000000003</v>
      </c>
      <c r="N4222" s="5">
        <v>0.31946146738126036</v>
      </c>
      <c r="O4222" t="s">
        <v>629</v>
      </c>
      <c r="P4222" t="s">
        <v>340</v>
      </c>
      <c r="Q4222" s="10" t="s">
        <v>24</v>
      </c>
      <c r="R4222" t="s">
        <v>614</v>
      </c>
    </row>
    <row r="4223" spans="1:18" hidden="1" x14ac:dyDescent="0.25">
      <c r="A4223" s="9" t="s">
        <v>1097</v>
      </c>
      <c r="B4223" s="3" t="s">
        <v>1126</v>
      </c>
      <c r="C4223" s="10">
        <v>27</v>
      </c>
      <c r="D4223" s="10">
        <v>7</v>
      </c>
      <c r="E4223" s="10">
        <v>19</v>
      </c>
      <c r="F4223" t="s">
        <v>1124</v>
      </c>
      <c r="H4223" t="s">
        <v>69</v>
      </c>
      <c r="I4223" t="s">
        <v>27</v>
      </c>
      <c r="J4223" s="4">
        <v>148</v>
      </c>
      <c r="K4223">
        <v>0.96799999999999997</v>
      </c>
      <c r="L4223">
        <v>148</v>
      </c>
      <c r="M4223">
        <v>143.26400000000001</v>
      </c>
      <c r="N4223" s="5">
        <v>7.2893049760862931</v>
      </c>
      <c r="O4223" t="s">
        <v>750</v>
      </c>
      <c r="P4223" t="s">
        <v>340</v>
      </c>
      <c r="Q4223" s="10" t="s">
        <v>1102</v>
      </c>
    </row>
    <row r="4224" spans="1:18" hidden="1" x14ac:dyDescent="0.25">
      <c r="A4224" s="9" t="s">
        <v>1097</v>
      </c>
      <c r="B4224" s="3" t="s">
        <v>1126</v>
      </c>
      <c r="C4224" s="10">
        <v>27</v>
      </c>
      <c r="D4224" s="10">
        <v>7</v>
      </c>
      <c r="E4224" s="10">
        <v>19</v>
      </c>
      <c r="F4224" t="s">
        <v>1125</v>
      </c>
      <c r="G4224" t="s">
        <v>889</v>
      </c>
      <c r="H4224" t="s">
        <v>69</v>
      </c>
      <c r="I4224" t="s">
        <v>27</v>
      </c>
      <c r="J4224" s="4">
        <v>248</v>
      </c>
      <c r="K4224">
        <v>1.8120000000000001</v>
      </c>
      <c r="L4224">
        <v>248</v>
      </c>
      <c r="M4224">
        <v>449.37600000000003</v>
      </c>
      <c r="N4224" s="5">
        <v>22.864353312302843</v>
      </c>
      <c r="O4224" t="s">
        <v>750</v>
      </c>
      <c r="P4224" t="s">
        <v>340</v>
      </c>
      <c r="Q4224" s="10" t="s">
        <v>1102</v>
      </c>
    </row>
    <row r="4225" spans="1:18" hidden="1" x14ac:dyDescent="0.25">
      <c r="A4225" s="9" t="s">
        <v>1097</v>
      </c>
      <c r="B4225" s="3" t="s">
        <v>1126</v>
      </c>
      <c r="C4225" s="10">
        <v>27</v>
      </c>
      <c r="D4225" s="10">
        <v>7</v>
      </c>
      <c r="E4225" s="10">
        <v>19</v>
      </c>
      <c r="F4225" t="s">
        <v>44</v>
      </c>
      <c r="G4225" t="s">
        <v>889</v>
      </c>
      <c r="H4225" t="s">
        <v>44</v>
      </c>
      <c r="I4225" t="s">
        <v>27</v>
      </c>
      <c r="J4225" s="4">
        <v>11.5</v>
      </c>
      <c r="K4225">
        <v>1</v>
      </c>
      <c r="L4225">
        <v>11.5</v>
      </c>
      <c r="M4225">
        <v>11.5</v>
      </c>
      <c r="N4225" s="5">
        <v>0.58445758639807788</v>
      </c>
      <c r="O4225" t="s">
        <v>80</v>
      </c>
      <c r="P4225" t="s">
        <v>340</v>
      </c>
      <c r="Q4225" s="10" t="s">
        <v>24</v>
      </c>
    </row>
    <row r="4226" spans="1:18" hidden="1" x14ac:dyDescent="0.25">
      <c r="A4226" s="9" t="s">
        <v>1097</v>
      </c>
      <c r="B4226" s="3" t="s">
        <v>1126</v>
      </c>
      <c r="C4226" s="10">
        <v>27</v>
      </c>
      <c r="D4226" s="10">
        <v>7</v>
      </c>
      <c r="E4226" s="10">
        <v>19</v>
      </c>
      <c r="F4226" t="s">
        <v>86</v>
      </c>
      <c r="G4226" t="s">
        <v>889</v>
      </c>
      <c r="H4226" t="s">
        <v>102</v>
      </c>
      <c r="I4226" t="s">
        <v>27</v>
      </c>
      <c r="J4226" s="4">
        <v>15</v>
      </c>
      <c r="K4226">
        <v>1</v>
      </c>
      <c r="L4226">
        <v>15</v>
      </c>
      <c r="M4226">
        <v>15</v>
      </c>
      <c r="N4226" s="5">
        <v>0.76233598225836252</v>
      </c>
      <c r="O4226" t="s">
        <v>80</v>
      </c>
      <c r="P4226" t="s">
        <v>340</v>
      </c>
      <c r="Q4226" s="10" t="s">
        <v>24</v>
      </c>
    </row>
    <row r="4227" spans="1:18" hidden="1" x14ac:dyDescent="0.25">
      <c r="A4227" s="9" t="s">
        <v>1097</v>
      </c>
      <c r="B4227" s="3" t="s">
        <v>1126</v>
      </c>
      <c r="C4227" s="10">
        <v>27</v>
      </c>
      <c r="D4227" s="10">
        <v>7</v>
      </c>
      <c r="E4227" s="10">
        <v>19</v>
      </c>
      <c r="F4227" t="s">
        <v>118</v>
      </c>
      <c r="G4227" t="s">
        <v>889</v>
      </c>
      <c r="H4227" t="s">
        <v>40</v>
      </c>
      <c r="I4227" t="s">
        <v>27</v>
      </c>
      <c r="J4227" s="4">
        <v>10</v>
      </c>
      <c r="K4227">
        <v>1</v>
      </c>
      <c r="L4227">
        <v>10</v>
      </c>
      <c r="M4227">
        <v>10</v>
      </c>
      <c r="N4227" s="5">
        <v>0.50822398817224168</v>
      </c>
      <c r="O4227" t="s">
        <v>100</v>
      </c>
      <c r="P4227" t="s">
        <v>340</v>
      </c>
      <c r="Q4227" s="10" t="s">
        <v>24</v>
      </c>
    </row>
    <row r="4228" spans="1:18" hidden="1" x14ac:dyDescent="0.25">
      <c r="A4228" s="9" t="s">
        <v>1097</v>
      </c>
      <c r="B4228" s="3" t="s">
        <v>1126</v>
      </c>
      <c r="C4228" s="10">
        <v>27</v>
      </c>
      <c r="D4228" s="10">
        <v>7</v>
      </c>
      <c r="E4228" s="10">
        <v>19</v>
      </c>
      <c r="F4228" t="s">
        <v>184</v>
      </c>
      <c r="G4228" t="s">
        <v>304</v>
      </c>
      <c r="H4228" t="s">
        <v>184</v>
      </c>
      <c r="I4228" t="s">
        <v>79</v>
      </c>
      <c r="J4228" s="4">
        <v>80</v>
      </c>
      <c r="K4228">
        <v>1</v>
      </c>
      <c r="L4228">
        <v>80</v>
      </c>
      <c r="M4228">
        <v>80</v>
      </c>
      <c r="N4228" s="5">
        <v>4.0657919053779334</v>
      </c>
      <c r="O4228" t="s">
        <v>185</v>
      </c>
      <c r="P4228" t="s">
        <v>340</v>
      </c>
      <c r="Q4228" s="10" t="s">
        <v>24</v>
      </c>
    </row>
    <row r="4229" spans="1:18" hidden="1" x14ac:dyDescent="0.25">
      <c r="A4229" s="9" t="s">
        <v>1097</v>
      </c>
      <c r="B4229" s="3" t="s">
        <v>1126</v>
      </c>
      <c r="C4229" s="10">
        <v>27</v>
      </c>
      <c r="D4229" s="10">
        <v>7</v>
      </c>
      <c r="E4229" s="10">
        <v>19</v>
      </c>
      <c r="F4229" t="s">
        <v>873</v>
      </c>
      <c r="G4229" t="s">
        <v>889</v>
      </c>
      <c r="H4229" t="s">
        <v>69</v>
      </c>
      <c r="I4229" t="s">
        <v>27</v>
      </c>
      <c r="J4229" s="4">
        <v>420</v>
      </c>
      <c r="K4229">
        <v>0.27400000000000002</v>
      </c>
      <c r="L4229">
        <v>420</v>
      </c>
      <c r="M4229">
        <v>115.08000000000001</v>
      </c>
      <c r="N4229" s="5">
        <v>5.8486416558861576</v>
      </c>
      <c r="O4229" t="s">
        <v>767</v>
      </c>
      <c r="P4229" t="s">
        <v>340</v>
      </c>
      <c r="Q4229" s="10" t="s">
        <v>24</v>
      </c>
    </row>
    <row r="4230" spans="1:18" hidden="1" x14ac:dyDescent="0.25">
      <c r="A4230" s="9" t="s">
        <v>1097</v>
      </c>
      <c r="B4230" s="3" t="s">
        <v>1918</v>
      </c>
      <c r="C4230" s="10">
        <v>28</v>
      </c>
      <c r="D4230" s="10">
        <v>7</v>
      </c>
      <c r="E4230" s="10">
        <v>19</v>
      </c>
      <c r="F4230" t="s">
        <v>224</v>
      </c>
      <c r="G4230" t="s">
        <v>224</v>
      </c>
      <c r="H4230" t="s">
        <v>131</v>
      </c>
      <c r="I4230" t="s">
        <v>27</v>
      </c>
      <c r="J4230" s="4">
        <v>17.600000000000001</v>
      </c>
      <c r="K4230">
        <v>1</v>
      </c>
      <c r="L4230">
        <v>17.600000000000001</v>
      </c>
      <c r="M4230">
        <v>17.600000000000001</v>
      </c>
      <c r="N4230" s="5">
        <v>0.8944742191831454</v>
      </c>
      <c r="O4230" t="s">
        <v>100</v>
      </c>
      <c r="P4230" t="s">
        <v>340</v>
      </c>
      <c r="Q4230" s="10" t="s">
        <v>24</v>
      </c>
    </row>
    <row r="4231" spans="1:18" hidden="1" x14ac:dyDescent="0.25">
      <c r="A4231" s="9" t="s">
        <v>1097</v>
      </c>
      <c r="B4231" s="3" t="s">
        <v>1918</v>
      </c>
      <c r="C4231" s="10">
        <v>28</v>
      </c>
      <c r="D4231" s="10">
        <v>7</v>
      </c>
      <c r="E4231" s="10">
        <v>19</v>
      </c>
      <c r="F4231" t="s">
        <v>2344</v>
      </c>
      <c r="G4231" t="s">
        <v>889</v>
      </c>
      <c r="H4231" t="s">
        <v>59</v>
      </c>
      <c r="I4231" t="s">
        <v>27</v>
      </c>
      <c r="J4231" s="4">
        <v>24.6</v>
      </c>
      <c r="K4231">
        <v>2</v>
      </c>
      <c r="L4231">
        <v>24.6</v>
      </c>
      <c r="M4231">
        <v>49.2</v>
      </c>
      <c r="N4231" s="5">
        <v>2.5004620218074289</v>
      </c>
      <c r="O4231" t="s">
        <v>100</v>
      </c>
      <c r="P4231" t="s">
        <v>340</v>
      </c>
      <c r="Q4231" s="10" t="s">
        <v>24</v>
      </c>
    </row>
    <row r="4232" spans="1:18" hidden="1" x14ac:dyDescent="0.25">
      <c r="A4232" s="9" t="s">
        <v>1097</v>
      </c>
      <c r="B4232" s="3" t="s">
        <v>1918</v>
      </c>
      <c r="C4232" s="10">
        <v>28</v>
      </c>
      <c r="D4232" s="10">
        <v>7</v>
      </c>
      <c r="E4232" s="10">
        <v>19</v>
      </c>
      <c r="F4232" t="s">
        <v>1108</v>
      </c>
      <c r="G4232" t="s">
        <v>889</v>
      </c>
      <c r="H4232" t="s">
        <v>44</v>
      </c>
      <c r="I4232" t="s">
        <v>27</v>
      </c>
      <c r="J4232" s="4">
        <v>9.6</v>
      </c>
      <c r="K4232">
        <v>3</v>
      </c>
      <c r="L4232">
        <v>9.6</v>
      </c>
      <c r="M4232">
        <v>28.799999999999997</v>
      </c>
      <c r="N4232" s="5">
        <v>1.4636850859360557</v>
      </c>
      <c r="O4232" t="s">
        <v>100</v>
      </c>
      <c r="P4232" t="s">
        <v>340</v>
      </c>
      <c r="Q4232" s="10" t="s">
        <v>24</v>
      </c>
      <c r="R4232" t="s">
        <v>1930</v>
      </c>
    </row>
    <row r="4233" spans="1:18" hidden="1" x14ac:dyDescent="0.25">
      <c r="A4233" s="9" t="s">
        <v>1097</v>
      </c>
      <c r="B4233" s="3" t="s">
        <v>1918</v>
      </c>
      <c r="C4233" s="10">
        <v>28</v>
      </c>
      <c r="D4233" s="10">
        <v>7</v>
      </c>
      <c r="E4233" s="10">
        <v>19</v>
      </c>
      <c r="F4233" t="s">
        <v>974</v>
      </c>
      <c r="G4233" t="s">
        <v>25</v>
      </c>
      <c r="H4233" t="s">
        <v>26</v>
      </c>
      <c r="I4233" t="s">
        <v>27</v>
      </c>
      <c r="J4233" s="4">
        <v>185.6</v>
      </c>
      <c r="K4233">
        <v>0.25600000000000001</v>
      </c>
      <c r="L4233">
        <v>185.6</v>
      </c>
      <c r="M4233">
        <v>47.513599999999997</v>
      </c>
      <c r="N4233" s="5">
        <v>2.4147551284420619</v>
      </c>
      <c r="O4233" t="s">
        <v>100</v>
      </c>
      <c r="P4233" t="s">
        <v>340</v>
      </c>
      <c r="Q4233" s="10" t="s">
        <v>24</v>
      </c>
      <c r="R4233" t="s">
        <v>1899</v>
      </c>
    </row>
    <row r="4234" spans="1:18" hidden="1" x14ac:dyDescent="0.25">
      <c r="A4234" s="9" t="s">
        <v>1097</v>
      </c>
      <c r="B4234" s="3" t="s">
        <v>1918</v>
      </c>
      <c r="C4234" s="10">
        <v>28</v>
      </c>
      <c r="D4234" s="10">
        <v>7</v>
      </c>
      <c r="E4234" s="10">
        <v>19</v>
      </c>
      <c r="F4234" t="s">
        <v>86</v>
      </c>
      <c r="G4234" t="s">
        <v>889</v>
      </c>
      <c r="H4234" t="s">
        <v>102</v>
      </c>
      <c r="I4234" t="s">
        <v>27</v>
      </c>
      <c r="J4234" s="4">
        <v>15</v>
      </c>
      <c r="K4234">
        <v>1</v>
      </c>
      <c r="L4234">
        <v>15</v>
      </c>
      <c r="M4234">
        <v>15</v>
      </c>
      <c r="N4234" s="5">
        <v>0.76233598225836252</v>
      </c>
      <c r="O4234" t="s">
        <v>39</v>
      </c>
      <c r="P4234" t="s">
        <v>340</v>
      </c>
      <c r="Q4234" s="10" t="s">
        <v>24</v>
      </c>
    </row>
    <row r="4235" spans="1:18" hidden="1" x14ac:dyDescent="0.25">
      <c r="A4235" s="9" t="s">
        <v>1097</v>
      </c>
      <c r="B4235" s="3" t="s">
        <v>1111</v>
      </c>
      <c r="C4235" s="10">
        <v>29</v>
      </c>
      <c r="D4235" s="10">
        <v>7</v>
      </c>
      <c r="E4235" s="10">
        <v>19</v>
      </c>
      <c r="F4235" t="s">
        <v>508</v>
      </c>
      <c r="G4235" t="s">
        <v>889</v>
      </c>
      <c r="H4235" t="s">
        <v>73</v>
      </c>
      <c r="I4235" t="s">
        <v>27</v>
      </c>
      <c r="J4235" s="4">
        <v>29.6</v>
      </c>
      <c r="K4235">
        <v>1</v>
      </c>
      <c r="L4235">
        <v>29.6</v>
      </c>
      <c r="M4235">
        <v>29.6</v>
      </c>
      <c r="N4235" s="5">
        <v>1.5060547471252672</v>
      </c>
      <c r="O4235" t="s">
        <v>100</v>
      </c>
      <c r="P4235" t="s">
        <v>340</v>
      </c>
      <c r="Q4235" s="10" t="s">
        <v>1102</v>
      </c>
    </row>
    <row r="4236" spans="1:18" hidden="1" x14ac:dyDescent="0.25">
      <c r="A4236" s="9" t="s">
        <v>1097</v>
      </c>
      <c r="B4236" s="3" t="s">
        <v>1111</v>
      </c>
      <c r="C4236" s="10">
        <v>29</v>
      </c>
      <c r="D4236" s="10">
        <v>7</v>
      </c>
      <c r="E4236" s="10">
        <v>19</v>
      </c>
      <c r="F4236" t="s">
        <v>1036</v>
      </c>
      <c r="G4236" t="s">
        <v>889</v>
      </c>
      <c r="H4236" t="s">
        <v>38</v>
      </c>
      <c r="I4236" t="s">
        <v>27</v>
      </c>
      <c r="J4236" s="4">
        <v>126</v>
      </c>
      <c r="K4236">
        <v>0.26800000000000002</v>
      </c>
      <c r="L4236">
        <v>126</v>
      </c>
      <c r="M4236">
        <v>33.768000000000001</v>
      </c>
      <c r="N4236" s="5">
        <v>1.7181235371934467</v>
      </c>
      <c r="O4236" t="s">
        <v>100</v>
      </c>
      <c r="P4236" t="s">
        <v>340</v>
      </c>
      <c r="Q4236" s="10" t="s">
        <v>1102</v>
      </c>
    </row>
    <row r="4237" spans="1:18" hidden="1" x14ac:dyDescent="0.25">
      <c r="A4237" s="9" t="s">
        <v>1097</v>
      </c>
      <c r="B4237" s="3" t="s">
        <v>1111</v>
      </c>
      <c r="C4237" s="10">
        <v>29</v>
      </c>
      <c r="D4237" s="10">
        <v>7</v>
      </c>
      <c r="E4237" s="10">
        <v>19</v>
      </c>
      <c r="F4237" t="s">
        <v>974</v>
      </c>
      <c r="G4237" t="s">
        <v>25</v>
      </c>
      <c r="H4237" t="s">
        <v>26</v>
      </c>
      <c r="I4237" t="s">
        <v>27</v>
      </c>
      <c r="J4237" s="4">
        <v>211.6</v>
      </c>
      <c r="K4237">
        <v>0.35199999999999998</v>
      </c>
      <c r="L4237">
        <v>211.6</v>
      </c>
      <c r="M4237">
        <v>74.483199999999997</v>
      </c>
      <c r="N4237" s="5">
        <v>3.7897221939554289</v>
      </c>
      <c r="O4237" t="s">
        <v>100</v>
      </c>
      <c r="P4237" t="s">
        <v>340</v>
      </c>
      <c r="Q4237" s="10" t="s">
        <v>1102</v>
      </c>
    </row>
    <row r="4238" spans="1:18" hidden="1" x14ac:dyDescent="0.25">
      <c r="A4238" s="9" t="s">
        <v>1097</v>
      </c>
      <c r="B4238" s="3" t="s">
        <v>1111</v>
      </c>
      <c r="C4238" s="10">
        <v>29</v>
      </c>
      <c r="D4238" s="10">
        <v>7</v>
      </c>
      <c r="E4238" s="10">
        <v>19</v>
      </c>
      <c r="F4238" t="s">
        <v>398</v>
      </c>
      <c r="G4238" t="s">
        <v>889</v>
      </c>
      <c r="H4238" t="s">
        <v>40</v>
      </c>
      <c r="I4238" t="s">
        <v>27</v>
      </c>
      <c r="J4238" s="4">
        <v>14.6</v>
      </c>
      <c r="K4238">
        <v>1</v>
      </c>
      <c r="L4238">
        <v>14.6</v>
      </c>
      <c r="M4238">
        <v>14.6</v>
      </c>
      <c r="N4238" s="5">
        <v>0.74285132797394926</v>
      </c>
      <c r="O4238" t="s">
        <v>100</v>
      </c>
      <c r="P4238" t="s">
        <v>340</v>
      </c>
      <c r="Q4238" s="10" t="s">
        <v>1102</v>
      </c>
    </row>
    <row r="4239" spans="1:18" hidden="1" x14ac:dyDescent="0.25">
      <c r="A4239" s="9" t="s">
        <v>1097</v>
      </c>
      <c r="B4239" s="3" t="s">
        <v>1777</v>
      </c>
      <c r="C4239" s="10">
        <v>3</v>
      </c>
      <c r="D4239" s="10">
        <v>7</v>
      </c>
      <c r="E4239" s="10">
        <v>19</v>
      </c>
      <c r="F4239" t="s">
        <v>1522</v>
      </c>
      <c r="G4239" t="s">
        <v>889</v>
      </c>
      <c r="H4239" t="s">
        <v>49</v>
      </c>
      <c r="I4239" t="s">
        <v>50</v>
      </c>
      <c r="J4239" s="4">
        <v>69.95</v>
      </c>
      <c r="K4239">
        <v>1</v>
      </c>
      <c r="L4239">
        <v>69.95</v>
      </c>
      <c r="M4239">
        <v>69.95</v>
      </c>
      <c r="N4239" s="5">
        <v>3.5550267972648304</v>
      </c>
      <c r="O4239" t="s">
        <v>1472</v>
      </c>
      <c r="P4239" t="s">
        <v>340</v>
      </c>
      <c r="Q4239" s="10" t="s">
        <v>24</v>
      </c>
      <c r="R4239" t="s">
        <v>1521</v>
      </c>
    </row>
    <row r="4240" spans="1:18" hidden="1" x14ac:dyDescent="0.25">
      <c r="A4240" s="9" t="s">
        <v>1097</v>
      </c>
      <c r="B4240" s="3" t="s">
        <v>1777</v>
      </c>
      <c r="C4240" s="10">
        <v>3</v>
      </c>
      <c r="D4240" s="10">
        <v>7</v>
      </c>
      <c r="E4240" s="10">
        <v>19</v>
      </c>
      <c r="F4240" t="s">
        <v>1522</v>
      </c>
      <c r="G4240" t="s">
        <v>889</v>
      </c>
      <c r="H4240" t="s">
        <v>49</v>
      </c>
      <c r="I4240" t="s">
        <v>50</v>
      </c>
      <c r="J4240" s="4">
        <v>29.75</v>
      </c>
      <c r="K4240">
        <v>1</v>
      </c>
      <c r="L4240">
        <v>29.75</v>
      </c>
      <c r="M4240">
        <v>29.75</v>
      </c>
      <c r="N4240" s="5">
        <v>1.5119663648124189</v>
      </c>
      <c r="O4240" t="s">
        <v>1472</v>
      </c>
      <c r="P4240" t="s">
        <v>340</v>
      </c>
      <c r="Q4240" s="10" t="s">
        <v>24</v>
      </c>
      <c r="R4240" t="s">
        <v>1776</v>
      </c>
    </row>
    <row r="4241" spans="1:18" hidden="1" x14ac:dyDescent="0.25">
      <c r="A4241" s="9" t="s">
        <v>1097</v>
      </c>
      <c r="B4241" s="3" t="s">
        <v>1777</v>
      </c>
      <c r="C4241" s="10">
        <v>3</v>
      </c>
      <c r="D4241" s="10">
        <v>7</v>
      </c>
      <c r="E4241" s="10">
        <v>19</v>
      </c>
      <c r="F4241" t="s">
        <v>1274</v>
      </c>
      <c r="G4241" t="s">
        <v>889</v>
      </c>
      <c r="H4241" t="s">
        <v>73</v>
      </c>
      <c r="I4241" t="s">
        <v>27</v>
      </c>
      <c r="J4241" s="4">
        <v>14.9</v>
      </c>
      <c r="K4241">
        <v>1</v>
      </c>
      <c r="L4241">
        <v>14.9</v>
      </c>
      <c r="M4241">
        <v>14.9</v>
      </c>
      <c r="N4241" s="5">
        <v>0.75725374237664012</v>
      </c>
      <c r="O4241" t="s">
        <v>1472</v>
      </c>
      <c r="P4241" t="s">
        <v>340</v>
      </c>
      <c r="Q4241" s="10" t="s">
        <v>24</v>
      </c>
    </row>
    <row r="4242" spans="1:18" hidden="1" x14ac:dyDescent="0.25">
      <c r="A4242" s="9" t="s">
        <v>1097</v>
      </c>
      <c r="B4242" s="3" t="s">
        <v>1777</v>
      </c>
      <c r="C4242" s="10">
        <v>3</v>
      </c>
      <c r="D4242" s="10">
        <v>7</v>
      </c>
      <c r="E4242" s="10">
        <v>19</v>
      </c>
      <c r="F4242" t="s">
        <v>224</v>
      </c>
      <c r="G4242" t="s">
        <v>224</v>
      </c>
      <c r="H4242" t="s">
        <v>131</v>
      </c>
      <c r="I4242" t="s">
        <v>27</v>
      </c>
      <c r="J4242" s="4">
        <v>60.8</v>
      </c>
      <c r="K4242">
        <v>1</v>
      </c>
      <c r="L4242">
        <v>60.8</v>
      </c>
      <c r="M4242">
        <v>60.8</v>
      </c>
      <c r="N4242" s="5">
        <v>3.0900018480872289</v>
      </c>
      <c r="O4242" t="s">
        <v>1472</v>
      </c>
      <c r="P4242" t="s">
        <v>340</v>
      </c>
      <c r="Q4242" s="10" t="s">
        <v>24</v>
      </c>
    </row>
    <row r="4243" spans="1:18" hidden="1" x14ac:dyDescent="0.25">
      <c r="A4243" s="9" t="s">
        <v>1097</v>
      </c>
      <c r="B4243" s="3" t="s">
        <v>1777</v>
      </c>
      <c r="C4243" s="10">
        <v>3</v>
      </c>
      <c r="D4243" s="10">
        <v>7</v>
      </c>
      <c r="E4243" s="10">
        <v>19</v>
      </c>
      <c r="F4243" t="s">
        <v>840</v>
      </c>
      <c r="G4243" t="s">
        <v>840</v>
      </c>
      <c r="H4243" t="s">
        <v>56</v>
      </c>
      <c r="I4243" t="s">
        <v>27</v>
      </c>
      <c r="J4243" s="4">
        <v>9</v>
      </c>
      <c r="K4243">
        <v>1</v>
      </c>
      <c r="L4243">
        <v>9</v>
      </c>
      <c r="M4243">
        <v>9</v>
      </c>
      <c r="N4243" s="5">
        <v>0.45740158935501751</v>
      </c>
      <c r="O4243" t="s">
        <v>39</v>
      </c>
      <c r="P4243" t="s">
        <v>340</v>
      </c>
      <c r="Q4243" s="10" t="s">
        <v>24</v>
      </c>
    </row>
    <row r="4244" spans="1:18" hidden="1" x14ac:dyDescent="0.25">
      <c r="A4244" s="9" t="s">
        <v>1097</v>
      </c>
      <c r="B4244" s="3" t="s">
        <v>1777</v>
      </c>
      <c r="C4244" s="10">
        <v>3</v>
      </c>
      <c r="D4244" s="10">
        <v>7</v>
      </c>
      <c r="E4244" s="10">
        <v>19</v>
      </c>
      <c r="F4244" t="s">
        <v>958</v>
      </c>
      <c r="G4244" t="s">
        <v>889</v>
      </c>
      <c r="H4244" t="s">
        <v>53</v>
      </c>
      <c r="I4244" t="s">
        <v>27</v>
      </c>
      <c r="J4244" s="4">
        <v>32.450000000000003</v>
      </c>
      <c r="K4244">
        <v>1</v>
      </c>
      <c r="L4244">
        <v>32.450000000000003</v>
      </c>
      <c r="M4244">
        <v>32.450000000000003</v>
      </c>
      <c r="N4244" s="5">
        <v>1.6491868416189244</v>
      </c>
      <c r="O4244" t="s">
        <v>46</v>
      </c>
      <c r="P4244" t="s">
        <v>340</v>
      </c>
      <c r="Q4244" s="10" t="s">
        <v>24</v>
      </c>
    </row>
    <row r="4245" spans="1:18" hidden="1" x14ac:dyDescent="0.25">
      <c r="A4245" s="9" t="s">
        <v>1097</v>
      </c>
      <c r="B4245" s="3" t="s">
        <v>1109</v>
      </c>
      <c r="C4245" s="10">
        <v>30</v>
      </c>
      <c r="D4245" s="10">
        <v>7</v>
      </c>
      <c r="E4245" s="10">
        <v>19</v>
      </c>
      <c r="F4245" t="s">
        <v>1107</v>
      </c>
      <c r="G4245" t="s">
        <v>889</v>
      </c>
      <c r="H4245" t="s">
        <v>131</v>
      </c>
      <c r="I4245" t="s">
        <v>27</v>
      </c>
      <c r="J4245" s="4">
        <v>17</v>
      </c>
      <c r="K4245">
        <v>2</v>
      </c>
      <c r="L4245">
        <v>17</v>
      </c>
      <c r="M4245">
        <v>34</v>
      </c>
      <c r="N4245" s="5">
        <v>1.7299277500763204</v>
      </c>
      <c r="O4245" t="s">
        <v>100</v>
      </c>
      <c r="P4245" t="s">
        <v>340</v>
      </c>
      <c r="Q4245" s="10" t="s">
        <v>1102</v>
      </c>
    </row>
    <row r="4246" spans="1:18" hidden="1" x14ac:dyDescent="0.25">
      <c r="A4246" s="9" t="s">
        <v>1097</v>
      </c>
      <c r="B4246" s="3" t="s">
        <v>1109</v>
      </c>
      <c r="C4246" s="10">
        <v>30</v>
      </c>
      <c r="D4246" s="10">
        <v>7</v>
      </c>
      <c r="E4246" s="10">
        <v>19</v>
      </c>
      <c r="F4246" t="s">
        <v>1108</v>
      </c>
      <c r="G4246" t="s">
        <v>889</v>
      </c>
      <c r="H4246" t="s">
        <v>44</v>
      </c>
      <c r="I4246" t="s">
        <v>27</v>
      </c>
      <c r="J4246" s="4">
        <v>9.4</v>
      </c>
      <c r="K4246">
        <v>1</v>
      </c>
      <c r="L4246">
        <v>9.4</v>
      </c>
      <c r="M4246">
        <v>9.4</v>
      </c>
      <c r="N4246" s="5">
        <v>0.47827414266815915</v>
      </c>
      <c r="O4246" t="s">
        <v>100</v>
      </c>
      <c r="P4246" t="s">
        <v>340</v>
      </c>
      <c r="Q4246" s="10" t="s">
        <v>1102</v>
      </c>
    </row>
    <row r="4247" spans="1:18" hidden="1" x14ac:dyDescent="0.25">
      <c r="A4247" s="9" t="s">
        <v>1097</v>
      </c>
      <c r="B4247" s="3" t="s">
        <v>1109</v>
      </c>
      <c r="C4247" s="10">
        <v>30</v>
      </c>
      <c r="D4247" s="10">
        <v>7</v>
      </c>
      <c r="E4247" s="10">
        <v>19</v>
      </c>
      <c r="F4247" t="s">
        <v>398</v>
      </c>
      <c r="G4247" t="s">
        <v>889</v>
      </c>
      <c r="H4247" t="s">
        <v>40</v>
      </c>
      <c r="I4247" t="s">
        <v>27</v>
      </c>
      <c r="J4247" s="4">
        <v>14.6</v>
      </c>
      <c r="K4247">
        <v>1</v>
      </c>
      <c r="L4247">
        <v>14.6</v>
      </c>
      <c r="M4247">
        <v>14.6</v>
      </c>
      <c r="N4247" s="5">
        <v>0.74285132797394926</v>
      </c>
      <c r="O4247" t="s">
        <v>100</v>
      </c>
      <c r="P4247" t="s">
        <v>340</v>
      </c>
      <c r="Q4247" s="10" t="s">
        <v>1102</v>
      </c>
    </row>
    <row r="4248" spans="1:18" hidden="1" x14ac:dyDescent="0.25">
      <c r="A4248" s="9" t="s">
        <v>1097</v>
      </c>
      <c r="B4248" s="3" t="s">
        <v>1109</v>
      </c>
      <c r="C4248" s="10">
        <v>30</v>
      </c>
      <c r="D4248" s="10">
        <v>7</v>
      </c>
      <c r="E4248" s="10">
        <v>19</v>
      </c>
      <c r="F4248" t="s">
        <v>146</v>
      </c>
      <c r="G4248" t="s">
        <v>889</v>
      </c>
      <c r="H4248" t="s">
        <v>49</v>
      </c>
      <c r="I4248" t="s">
        <v>50</v>
      </c>
      <c r="J4248" s="4">
        <v>0.35</v>
      </c>
      <c r="K4248">
        <v>1</v>
      </c>
      <c r="L4248">
        <v>0.35</v>
      </c>
      <c r="M4248">
        <v>0.35</v>
      </c>
      <c r="N4248" s="5">
        <v>1.7808079780197415E-2</v>
      </c>
      <c r="O4248" t="s">
        <v>100</v>
      </c>
      <c r="P4248" t="s">
        <v>340</v>
      </c>
      <c r="Q4248" s="10" t="s">
        <v>1102</v>
      </c>
    </row>
    <row r="4249" spans="1:18" hidden="1" x14ac:dyDescent="0.25">
      <c r="A4249" s="9" t="s">
        <v>1097</v>
      </c>
      <c r="B4249" s="3" t="s">
        <v>1109</v>
      </c>
      <c r="C4249" s="10">
        <v>30</v>
      </c>
      <c r="D4249" s="10">
        <v>7</v>
      </c>
      <c r="E4249" s="10">
        <v>19</v>
      </c>
      <c r="F4249" t="s">
        <v>159</v>
      </c>
      <c r="H4249" t="s">
        <v>1748</v>
      </c>
      <c r="I4249" t="s">
        <v>72</v>
      </c>
      <c r="J4249" s="4">
        <v>59.86</v>
      </c>
      <c r="K4249">
        <v>0</v>
      </c>
      <c r="L4249">
        <v>59.86</v>
      </c>
      <c r="M4249">
        <v>0</v>
      </c>
      <c r="N4249" s="5">
        <v>0</v>
      </c>
      <c r="O4249" t="s">
        <v>1118</v>
      </c>
      <c r="P4249" t="s">
        <v>340</v>
      </c>
      <c r="Q4249" s="10" t="s">
        <v>1102</v>
      </c>
      <c r="R4249" t="s">
        <v>1119</v>
      </c>
    </row>
    <row r="4250" spans="1:18" hidden="1" x14ac:dyDescent="0.25">
      <c r="A4250" s="9" t="s">
        <v>1097</v>
      </c>
      <c r="B4250" s="3" t="s">
        <v>1109</v>
      </c>
      <c r="C4250" s="10">
        <v>30</v>
      </c>
      <c r="D4250" s="10">
        <v>7</v>
      </c>
      <c r="E4250" s="10">
        <v>19</v>
      </c>
      <c r="F4250" t="s">
        <v>159</v>
      </c>
      <c r="H4250" t="s">
        <v>1748</v>
      </c>
      <c r="I4250" t="s">
        <v>72</v>
      </c>
      <c r="J4250" s="4">
        <v>7.13</v>
      </c>
      <c r="K4250">
        <v>0</v>
      </c>
      <c r="L4250">
        <v>7.13</v>
      </c>
      <c r="M4250">
        <v>0</v>
      </c>
      <c r="N4250" s="5">
        <v>0</v>
      </c>
      <c r="O4250" t="s">
        <v>1118</v>
      </c>
      <c r="P4250" t="s">
        <v>340</v>
      </c>
      <c r="Q4250" s="10" t="s">
        <v>1102</v>
      </c>
      <c r="R4250" t="s">
        <v>2284</v>
      </c>
    </row>
    <row r="4251" spans="1:18" hidden="1" x14ac:dyDescent="0.25">
      <c r="A4251" s="9" t="s">
        <v>1097</v>
      </c>
      <c r="B4251" s="3" t="s">
        <v>1109</v>
      </c>
      <c r="C4251" s="10">
        <v>30</v>
      </c>
      <c r="D4251" s="10">
        <v>7</v>
      </c>
      <c r="E4251" s="10">
        <v>19</v>
      </c>
      <c r="F4251" t="s">
        <v>1551</v>
      </c>
      <c r="G4251" t="s">
        <v>889</v>
      </c>
      <c r="H4251" t="s">
        <v>889</v>
      </c>
      <c r="I4251" t="s">
        <v>431</v>
      </c>
      <c r="J4251" s="4">
        <v>1323</v>
      </c>
      <c r="K4251">
        <v>1</v>
      </c>
      <c r="L4251">
        <v>1323</v>
      </c>
      <c r="M4251">
        <v>1323</v>
      </c>
      <c r="N4251" s="5">
        <v>67.314541569146229</v>
      </c>
      <c r="O4251" t="s">
        <v>39</v>
      </c>
      <c r="P4251" t="s">
        <v>340</v>
      </c>
      <c r="Q4251" s="10" t="s">
        <v>1102</v>
      </c>
      <c r="R4251" t="s">
        <v>1548</v>
      </c>
    </row>
    <row r="4252" spans="1:18" hidden="1" x14ac:dyDescent="0.25">
      <c r="A4252" s="9" t="s">
        <v>1097</v>
      </c>
      <c r="B4252" s="3" t="s">
        <v>1109</v>
      </c>
      <c r="C4252" s="10">
        <v>30</v>
      </c>
      <c r="D4252" s="10">
        <v>7</v>
      </c>
      <c r="E4252" s="10">
        <v>19</v>
      </c>
      <c r="F4252" t="s">
        <v>1551</v>
      </c>
      <c r="G4252" t="s">
        <v>889</v>
      </c>
      <c r="H4252" t="s">
        <v>889</v>
      </c>
      <c r="I4252" t="s">
        <v>431</v>
      </c>
      <c r="J4252" s="4">
        <v>900</v>
      </c>
      <c r="K4252">
        <v>1</v>
      </c>
      <c r="L4252">
        <v>900</v>
      </c>
      <c r="M4252">
        <v>900</v>
      </c>
      <c r="N4252" s="5">
        <v>45.792205149079066</v>
      </c>
      <c r="O4252" t="s">
        <v>39</v>
      </c>
      <c r="P4252" t="s">
        <v>340</v>
      </c>
      <c r="Q4252" s="10" t="s">
        <v>1102</v>
      </c>
      <c r="R4252" t="s">
        <v>1550</v>
      </c>
    </row>
    <row r="4253" spans="1:18" hidden="1" x14ac:dyDescent="0.25">
      <c r="A4253" s="9" t="s">
        <v>1097</v>
      </c>
      <c r="B4253" s="3" t="s">
        <v>1109</v>
      </c>
      <c r="C4253" s="10">
        <v>30</v>
      </c>
      <c r="D4253" s="10">
        <v>7</v>
      </c>
      <c r="E4253" s="10">
        <v>19</v>
      </c>
      <c r="F4253" t="s">
        <v>81</v>
      </c>
      <c r="G4253" t="s">
        <v>889</v>
      </c>
      <c r="H4253" t="s">
        <v>889</v>
      </c>
      <c r="I4253" t="s">
        <v>82</v>
      </c>
      <c r="J4253" s="4">
        <v>151</v>
      </c>
      <c r="K4253">
        <v>1</v>
      </c>
      <c r="L4253">
        <v>151</v>
      </c>
      <c r="M4253">
        <v>151</v>
      </c>
      <c r="N4253" s="5">
        <v>7.6829144194565995</v>
      </c>
      <c r="O4253" t="s">
        <v>84</v>
      </c>
      <c r="P4253" t="s">
        <v>340</v>
      </c>
      <c r="Q4253" s="10" t="s">
        <v>1102</v>
      </c>
      <c r="R4253" t="s">
        <v>1120</v>
      </c>
    </row>
    <row r="4254" spans="1:18" hidden="1" x14ac:dyDescent="0.25">
      <c r="A4254" s="9" t="s">
        <v>1097</v>
      </c>
      <c r="B4254" s="3" t="s">
        <v>1109</v>
      </c>
      <c r="C4254" s="10">
        <v>30</v>
      </c>
      <c r="D4254" s="10">
        <v>7</v>
      </c>
      <c r="E4254" s="10">
        <v>19</v>
      </c>
      <c r="F4254" t="s">
        <v>432</v>
      </c>
      <c r="G4254" t="s">
        <v>889</v>
      </c>
      <c r="H4254" t="s">
        <v>889</v>
      </c>
      <c r="I4254" t="s">
        <v>431</v>
      </c>
      <c r="J4254" s="4">
        <v>368</v>
      </c>
      <c r="K4254">
        <v>1</v>
      </c>
      <c r="L4254">
        <v>368</v>
      </c>
      <c r="M4254">
        <v>368</v>
      </c>
      <c r="N4254" s="5">
        <v>18.723923883178998</v>
      </c>
      <c r="O4254" t="s">
        <v>39</v>
      </c>
      <c r="P4254" t="s">
        <v>340</v>
      </c>
      <c r="Q4254" s="10" t="s">
        <v>1102</v>
      </c>
    </row>
    <row r="4255" spans="1:18" hidden="1" x14ac:dyDescent="0.25">
      <c r="A4255" s="9" t="s">
        <v>1097</v>
      </c>
      <c r="B4255" s="3" t="s">
        <v>1109</v>
      </c>
      <c r="C4255" s="10">
        <v>30</v>
      </c>
      <c r="D4255" s="10">
        <v>7</v>
      </c>
      <c r="E4255" s="10">
        <v>19</v>
      </c>
      <c r="F4255" t="s">
        <v>1551</v>
      </c>
      <c r="G4255" t="s">
        <v>889</v>
      </c>
      <c r="H4255" t="s">
        <v>889</v>
      </c>
      <c r="I4255" t="s">
        <v>431</v>
      </c>
      <c r="J4255" s="4">
        <v>900</v>
      </c>
      <c r="K4255">
        <v>1</v>
      </c>
      <c r="L4255">
        <v>900</v>
      </c>
      <c r="M4255">
        <v>900</v>
      </c>
      <c r="N4255" s="5">
        <v>45.740158935501746</v>
      </c>
      <c r="O4255" t="s">
        <v>1961</v>
      </c>
      <c r="P4255" t="s">
        <v>340</v>
      </c>
      <c r="Q4255" s="10" t="s">
        <v>24</v>
      </c>
      <c r="R4255" t="s">
        <v>1960</v>
      </c>
    </row>
    <row r="4256" spans="1:18" hidden="1" x14ac:dyDescent="0.25">
      <c r="A4256" s="9" t="s">
        <v>1097</v>
      </c>
      <c r="B4256" s="3" t="s">
        <v>1121</v>
      </c>
      <c r="C4256" s="10">
        <v>31</v>
      </c>
      <c r="D4256" s="10">
        <v>7</v>
      </c>
      <c r="E4256" s="10">
        <v>19</v>
      </c>
      <c r="F4256" t="s">
        <v>25</v>
      </c>
      <c r="G4256" t="s">
        <v>25</v>
      </c>
      <c r="H4256" t="s">
        <v>26</v>
      </c>
      <c r="I4256" t="s">
        <v>27</v>
      </c>
      <c r="J4256" s="4">
        <v>26.5</v>
      </c>
      <c r="K4256">
        <v>1</v>
      </c>
      <c r="L4256">
        <v>26.5</v>
      </c>
      <c r="M4256">
        <v>26.5</v>
      </c>
      <c r="N4256" s="5">
        <v>1.3483260405006614</v>
      </c>
      <c r="O4256" t="s">
        <v>28</v>
      </c>
      <c r="P4256" t="s">
        <v>340</v>
      </c>
      <c r="Q4256" s="10" t="s">
        <v>1102</v>
      </c>
    </row>
    <row r="4257" spans="1:18" hidden="1" x14ac:dyDescent="0.25">
      <c r="A4257" s="9" t="s">
        <v>1097</v>
      </c>
      <c r="B4257" s="3" t="s">
        <v>1121</v>
      </c>
      <c r="C4257" s="10">
        <v>31</v>
      </c>
      <c r="D4257" s="10">
        <v>7</v>
      </c>
      <c r="E4257" s="10">
        <v>19</v>
      </c>
      <c r="F4257" t="s">
        <v>112</v>
      </c>
      <c r="G4257" t="s">
        <v>889</v>
      </c>
      <c r="H4257" t="s">
        <v>56</v>
      </c>
      <c r="I4257" t="s">
        <v>27</v>
      </c>
      <c r="J4257" s="4">
        <v>39.99</v>
      </c>
      <c r="K4257">
        <v>1.0760000000000001</v>
      </c>
      <c r="L4257">
        <v>39.99</v>
      </c>
      <c r="M4257">
        <v>43.029240000000001</v>
      </c>
      <c r="N4257" s="5">
        <v>2.1893375394321768</v>
      </c>
      <c r="O4257" t="s">
        <v>28</v>
      </c>
      <c r="P4257" t="s">
        <v>340</v>
      </c>
      <c r="Q4257" s="10" t="s">
        <v>1102</v>
      </c>
    </row>
    <row r="4258" spans="1:18" hidden="1" x14ac:dyDescent="0.25">
      <c r="A4258" s="9" t="s">
        <v>1097</v>
      </c>
      <c r="B4258" s="3" t="s">
        <v>1121</v>
      </c>
      <c r="C4258" s="10">
        <v>31</v>
      </c>
      <c r="D4258" s="10">
        <v>7</v>
      </c>
      <c r="E4258" s="10">
        <v>19</v>
      </c>
      <c r="F4258" t="s">
        <v>389</v>
      </c>
      <c r="G4258" t="s">
        <v>889</v>
      </c>
      <c r="H4258" t="s">
        <v>889</v>
      </c>
      <c r="I4258" t="s">
        <v>87</v>
      </c>
      <c r="J4258" s="4">
        <v>4</v>
      </c>
      <c r="K4258">
        <v>2</v>
      </c>
      <c r="L4258">
        <v>4</v>
      </c>
      <c r="M4258">
        <v>8</v>
      </c>
      <c r="N4258" s="5">
        <v>0.40704182354736951</v>
      </c>
      <c r="O4258" t="s">
        <v>354</v>
      </c>
      <c r="P4258" t="s">
        <v>340</v>
      </c>
      <c r="Q4258" s="10" t="s">
        <v>1102</v>
      </c>
      <c r="R4258" t="s">
        <v>1122</v>
      </c>
    </row>
    <row r="4259" spans="1:18" hidden="1" x14ac:dyDescent="0.25">
      <c r="A4259" s="9" t="s">
        <v>1097</v>
      </c>
      <c r="B4259" s="3" t="s">
        <v>1121</v>
      </c>
      <c r="C4259" s="10">
        <v>31</v>
      </c>
      <c r="D4259" s="10">
        <v>7</v>
      </c>
      <c r="E4259" s="10">
        <v>19</v>
      </c>
      <c r="F4259" t="s">
        <v>1123</v>
      </c>
      <c r="G4259" t="s">
        <v>77</v>
      </c>
      <c r="H4259" t="s">
        <v>26</v>
      </c>
      <c r="I4259" t="s">
        <v>27</v>
      </c>
      <c r="J4259" s="4">
        <v>37.35</v>
      </c>
      <c r="K4259">
        <v>1</v>
      </c>
      <c r="L4259">
        <v>37.35</v>
      </c>
      <c r="M4259">
        <v>37.35</v>
      </c>
      <c r="N4259" s="5">
        <v>1.9003765136867814</v>
      </c>
      <c r="O4259" t="s">
        <v>1472</v>
      </c>
      <c r="P4259" t="s">
        <v>340</v>
      </c>
      <c r="Q4259" s="10" t="s">
        <v>1102</v>
      </c>
    </row>
    <row r="4260" spans="1:18" hidden="1" x14ac:dyDescent="0.25">
      <c r="A4260" s="9" t="s">
        <v>1097</v>
      </c>
      <c r="B4260" s="3" t="s">
        <v>1121</v>
      </c>
      <c r="C4260" s="10">
        <v>31</v>
      </c>
      <c r="D4260" s="10">
        <v>7</v>
      </c>
      <c r="E4260" s="10">
        <v>19</v>
      </c>
      <c r="F4260" t="s">
        <v>71</v>
      </c>
      <c r="I4260" t="s">
        <v>72</v>
      </c>
      <c r="J4260" s="4">
        <v>200</v>
      </c>
      <c r="K4260">
        <v>1</v>
      </c>
      <c r="L4260">
        <v>200</v>
      </c>
      <c r="M4260">
        <v>200</v>
      </c>
      <c r="N4260" s="5">
        <v>10.176045588684238</v>
      </c>
      <c r="O4260" t="s">
        <v>39</v>
      </c>
      <c r="P4260" t="s">
        <v>340</v>
      </c>
      <c r="Q4260" s="10" t="s">
        <v>1102</v>
      </c>
      <c r="R4260" t="s">
        <v>230</v>
      </c>
    </row>
    <row r="4261" spans="1:18" hidden="1" x14ac:dyDescent="0.25">
      <c r="A4261" s="9" t="s">
        <v>1097</v>
      </c>
      <c r="B4261" s="3" t="s">
        <v>1121</v>
      </c>
      <c r="C4261" s="10">
        <v>31</v>
      </c>
      <c r="D4261" s="10">
        <v>7</v>
      </c>
      <c r="E4261" s="10">
        <v>19</v>
      </c>
      <c r="F4261" t="s">
        <v>933</v>
      </c>
      <c r="I4261" t="s">
        <v>72</v>
      </c>
      <c r="J4261" s="4">
        <v>200</v>
      </c>
      <c r="K4261">
        <v>1</v>
      </c>
      <c r="L4261">
        <v>200</v>
      </c>
      <c r="M4261">
        <v>200</v>
      </c>
      <c r="N4261" s="5">
        <v>10.176045588684238</v>
      </c>
      <c r="O4261" t="s">
        <v>39</v>
      </c>
      <c r="P4261" t="s">
        <v>340</v>
      </c>
      <c r="Q4261" s="10" t="s">
        <v>1102</v>
      </c>
    </row>
    <row r="4262" spans="1:18" hidden="1" x14ac:dyDescent="0.25">
      <c r="A4262" s="9" t="s">
        <v>1097</v>
      </c>
      <c r="B4262" s="3" t="s">
        <v>1121</v>
      </c>
      <c r="C4262" s="10">
        <v>31</v>
      </c>
      <c r="D4262" s="10">
        <v>7</v>
      </c>
      <c r="E4262" s="10">
        <v>19</v>
      </c>
      <c r="F4262" t="s">
        <v>1144</v>
      </c>
      <c r="G4262" t="s">
        <v>31</v>
      </c>
      <c r="H4262" t="s">
        <v>26</v>
      </c>
      <c r="I4262" t="s">
        <v>27</v>
      </c>
      <c r="J4262" s="4">
        <v>35</v>
      </c>
      <c r="K4262">
        <v>1</v>
      </c>
      <c r="L4262">
        <v>35</v>
      </c>
      <c r="M4262">
        <v>35</v>
      </c>
      <c r="N4262" s="5">
        <v>1.7808079780197414</v>
      </c>
      <c r="O4262" t="s">
        <v>39</v>
      </c>
      <c r="P4262" t="s">
        <v>340</v>
      </c>
      <c r="Q4262" s="10" t="s">
        <v>1102</v>
      </c>
    </row>
    <row r="4263" spans="1:18" hidden="1" x14ac:dyDescent="0.25">
      <c r="A4263" s="9" t="s">
        <v>1097</v>
      </c>
      <c r="B4263" s="3" t="s">
        <v>1121</v>
      </c>
      <c r="C4263" s="10">
        <v>31</v>
      </c>
      <c r="D4263" s="10">
        <v>7</v>
      </c>
      <c r="E4263" s="10">
        <v>19</v>
      </c>
      <c r="F4263" t="s">
        <v>1108</v>
      </c>
      <c r="G4263" t="s">
        <v>889</v>
      </c>
      <c r="H4263" t="s">
        <v>44</v>
      </c>
      <c r="I4263" t="s">
        <v>27</v>
      </c>
      <c r="J4263" s="4">
        <v>8.1</v>
      </c>
      <c r="K4263">
        <v>4</v>
      </c>
      <c r="L4263">
        <v>8.1</v>
      </c>
      <c r="M4263">
        <v>32.4</v>
      </c>
      <c r="N4263" s="5">
        <v>1.6466457216780628</v>
      </c>
      <c r="O4263" t="s">
        <v>181</v>
      </c>
      <c r="P4263" t="s">
        <v>340</v>
      </c>
      <c r="Q4263" s="10" t="s">
        <v>24</v>
      </c>
    </row>
    <row r="4264" spans="1:18" hidden="1" x14ac:dyDescent="0.25">
      <c r="A4264" s="9" t="s">
        <v>1097</v>
      </c>
      <c r="B4264" s="3" t="s">
        <v>1121</v>
      </c>
      <c r="C4264" s="10">
        <v>31</v>
      </c>
      <c r="D4264" s="10">
        <v>7</v>
      </c>
      <c r="E4264" s="10">
        <v>19</v>
      </c>
      <c r="F4264" t="s">
        <v>1902</v>
      </c>
      <c r="G4264" t="s">
        <v>889</v>
      </c>
      <c r="H4264" t="s">
        <v>49</v>
      </c>
      <c r="I4264" t="s">
        <v>50</v>
      </c>
      <c r="J4264" s="4">
        <v>0.4</v>
      </c>
      <c r="K4264">
        <v>1</v>
      </c>
      <c r="L4264">
        <v>0.4</v>
      </c>
      <c r="M4264">
        <v>0.4</v>
      </c>
      <c r="N4264" s="5">
        <v>2.0328959526889668E-2</v>
      </c>
      <c r="O4264" t="s">
        <v>181</v>
      </c>
      <c r="P4264" t="s">
        <v>340</v>
      </c>
      <c r="Q4264" s="10" t="s">
        <v>24</v>
      </c>
    </row>
    <row r="4265" spans="1:18" hidden="1" x14ac:dyDescent="0.25">
      <c r="A4265" s="9" t="s">
        <v>1097</v>
      </c>
      <c r="B4265" s="3" t="s">
        <v>1121</v>
      </c>
      <c r="C4265" s="10">
        <v>31</v>
      </c>
      <c r="D4265" s="10">
        <v>7</v>
      </c>
      <c r="E4265" s="10">
        <v>19</v>
      </c>
      <c r="F4265" t="s">
        <v>112</v>
      </c>
      <c r="G4265" t="s">
        <v>889</v>
      </c>
      <c r="H4265" t="s">
        <v>56</v>
      </c>
      <c r="I4265" t="s">
        <v>27</v>
      </c>
      <c r="J4265" s="4">
        <v>41.4</v>
      </c>
      <c r="K4265">
        <v>0.86599999999999999</v>
      </c>
      <c r="L4265">
        <v>41.4</v>
      </c>
      <c r="M4265">
        <v>35.852399999999996</v>
      </c>
      <c r="N4265" s="5">
        <v>1.8221049713546476</v>
      </c>
      <c r="O4265" t="s">
        <v>181</v>
      </c>
      <c r="P4265" t="s">
        <v>340</v>
      </c>
      <c r="Q4265" s="10" t="s">
        <v>24</v>
      </c>
    </row>
    <row r="4266" spans="1:18" hidden="1" x14ac:dyDescent="0.25">
      <c r="A4266" s="9" t="s">
        <v>1097</v>
      </c>
      <c r="B4266" s="3" t="s">
        <v>1121</v>
      </c>
      <c r="C4266" s="10">
        <v>31</v>
      </c>
      <c r="D4266" s="10">
        <v>7</v>
      </c>
      <c r="E4266" s="10">
        <v>19</v>
      </c>
      <c r="F4266" t="s">
        <v>1938</v>
      </c>
      <c r="G4266" t="s">
        <v>889</v>
      </c>
      <c r="H4266" t="s">
        <v>53</v>
      </c>
      <c r="I4266" t="s">
        <v>27</v>
      </c>
      <c r="J4266" s="4">
        <v>10.8</v>
      </c>
      <c r="K4266">
        <v>1</v>
      </c>
      <c r="L4266">
        <v>10.8</v>
      </c>
      <c r="M4266">
        <v>10.8</v>
      </c>
      <c r="N4266" s="5">
        <v>0.54888190722602104</v>
      </c>
      <c r="O4266" t="s">
        <v>181</v>
      </c>
      <c r="P4266" t="s">
        <v>340</v>
      </c>
      <c r="Q4266" s="10" t="s">
        <v>24</v>
      </c>
    </row>
    <row r="4267" spans="1:18" hidden="1" x14ac:dyDescent="0.25">
      <c r="A4267" s="9" t="s">
        <v>1097</v>
      </c>
      <c r="B4267" s="3" t="s">
        <v>1121</v>
      </c>
      <c r="C4267" s="10">
        <v>31</v>
      </c>
      <c r="D4267" s="10">
        <v>7</v>
      </c>
      <c r="E4267" s="10">
        <v>19</v>
      </c>
      <c r="F4267" t="s">
        <v>390</v>
      </c>
      <c r="G4267" t="s">
        <v>304</v>
      </c>
      <c r="H4267" t="s">
        <v>39</v>
      </c>
      <c r="I4267" t="s">
        <v>79</v>
      </c>
      <c r="J4267" s="4">
        <v>310.24</v>
      </c>
      <c r="K4267">
        <v>1</v>
      </c>
      <c r="L4267">
        <v>310.24</v>
      </c>
      <c r="M4267">
        <v>310.24</v>
      </c>
      <c r="N4267" s="5">
        <v>15.724277749619869</v>
      </c>
      <c r="O4267" t="s">
        <v>39</v>
      </c>
      <c r="P4267" t="s">
        <v>340</v>
      </c>
      <c r="Q4267" s="10" t="s">
        <v>24</v>
      </c>
    </row>
    <row r="4268" spans="1:18" hidden="1" x14ac:dyDescent="0.25">
      <c r="A4268" s="9" t="s">
        <v>1097</v>
      </c>
      <c r="B4268" s="3" t="s">
        <v>1917</v>
      </c>
      <c r="C4268" s="10">
        <v>4</v>
      </c>
      <c r="D4268" s="10">
        <v>7</v>
      </c>
      <c r="E4268" s="10">
        <v>19</v>
      </c>
      <c r="F4268" t="s">
        <v>1036</v>
      </c>
      <c r="G4268" t="s">
        <v>889</v>
      </c>
      <c r="H4268" t="s">
        <v>38</v>
      </c>
      <c r="I4268" t="s">
        <v>27</v>
      </c>
      <c r="J4268" s="4">
        <v>126</v>
      </c>
      <c r="K4268">
        <v>0.35</v>
      </c>
      <c r="L4268">
        <v>126</v>
      </c>
      <c r="M4268">
        <v>44.099999999999994</v>
      </c>
      <c r="N4268" s="5">
        <v>2.2412677878395852</v>
      </c>
      <c r="O4268" t="s">
        <v>100</v>
      </c>
      <c r="P4268" t="s">
        <v>340</v>
      </c>
      <c r="Q4268" s="10" t="s">
        <v>24</v>
      </c>
    </row>
    <row r="4269" spans="1:18" hidden="1" x14ac:dyDescent="0.25">
      <c r="A4269" s="9" t="s">
        <v>1097</v>
      </c>
      <c r="B4269" s="3" t="s">
        <v>1917</v>
      </c>
      <c r="C4269" s="10">
        <v>4</v>
      </c>
      <c r="D4269" s="10">
        <v>7</v>
      </c>
      <c r="E4269" s="10">
        <v>19</v>
      </c>
      <c r="F4269" t="s">
        <v>1274</v>
      </c>
      <c r="G4269" t="s">
        <v>889</v>
      </c>
      <c r="H4269" t="s">
        <v>73</v>
      </c>
      <c r="I4269" t="s">
        <v>27</v>
      </c>
      <c r="J4269" s="4">
        <v>15.85</v>
      </c>
      <c r="K4269">
        <v>1</v>
      </c>
      <c r="L4269">
        <v>15.85</v>
      </c>
      <c r="M4269">
        <v>15.85</v>
      </c>
      <c r="N4269" s="5">
        <v>0.80553502125300303</v>
      </c>
      <c r="O4269" t="s">
        <v>100</v>
      </c>
      <c r="P4269" t="s">
        <v>340</v>
      </c>
      <c r="Q4269" s="10" t="s">
        <v>24</v>
      </c>
    </row>
    <row r="4270" spans="1:18" hidden="1" x14ac:dyDescent="0.25">
      <c r="A4270" s="9" t="s">
        <v>1097</v>
      </c>
      <c r="B4270" s="3" t="s">
        <v>1917</v>
      </c>
      <c r="C4270" s="10">
        <v>4</v>
      </c>
      <c r="D4270" s="10">
        <v>7</v>
      </c>
      <c r="E4270" s="10">
        <v>19</v>
      </c>
      <c r="F4270" t="s">
        <v>2041</v>
      </c>
      <c r="G4270" t="s">
        <v>889</v>
      </c>
      <c r="H4270" t="s">
        <v>35</v>
      </c>
      <c r="I4270" t="s">
        <v>27</v>
      </c>
      <c r="J4270" s="4">
        <v>145.6</v>
      </c>
      <c r="K4270">
        <v>0.214</v>
      </c>
      <c r="L4270">
        <v>145.6</v>
      </c>
      <c r="M4270">
        <v>31.158399999999997</v>
      </c>
      <c r="N4270" s="5">
        <v>1.5835446313065973</v>
      </c>
      <c r="O4270" t="s">
        <v>100</v>
      </c>
      <c r="P4270" t="s">
        <v>340</v>
      </c>
      <c r="Q4270" s="10" t="s">
        <v>24</v>
      </c>
    </row>
    <row r="4271" spans="1:18" hidden="1" x14ac:dyDescent="0.25">
      <c r="A4271" s="9" t="s">
        <v>1097</v>
      </c>
      <c r="B4271" s="3" t="s">
        <v>1917</v>
      </c>
      <c r="C4271" s="10">
        <v>4</v>
      </c>
      <c r="D4271" s="10">
        <v>7</v>
      </c>
      <c r="E4271" s="10">
        <v>19</v>
      </c>
      <c r="F4271" t="s">
        <v>974</v>
      </c>
      <c r="G4271" t="s">
        <v>25</v>
      </c>
      <c r="H4271" t="s">
        <v>26</v>
      </c>
      <c r="I4271" t="s">
        <v>27</v>
      </c>
      <c r="J4271" s="4">
        <v>211.6</v>
      </c>
      <c r="K4271">
        <v>0.28999999999999998</v>
      </c>
      <c r="L4271">
        <v>211.6</v>
      </c>
      <c r="M4271">
        <v>61.363999999999997</v>
      </c>
      <c r="N4271" s="5">
        <v>3.1186656810201434</v>
      </c>
      <c r="O4271" t="s">
        <v>100</v>
      </c>
      <c r="P4271" t="s">
        <v>340</v>
      </c>
      <c r="Q4271" s="10" t="s">
        <v>24</v>
      </c>
    </row>
    <row r="4272" spans="1:18" hidden="1" x14ac:dyDescent="0.25">
      <c r="A4272" s="9" t="s">
        <v>1097</v>
      </c>
      <c r="B4272" s="3" t="s">
        <v>1917</v>
      </c>
      <c r="C4272" s="10">
        <v>4</v>
      </c>
      <c r="D4272" s="10">
        <v>7</v>
      </c>
      <c r="E4272" s="10">
        <v>19</v>
      </c>
      <c r="F4272" t="s">
        <v>1898</v>
      </c>
      <c r="G4272" t="s">
        <v>889</v>
      </c>
      <c r="H4272" t="s">
        <v>35</v>
      </c>
      <c r="I4272" t="s">
        <v>27</v>
      </c>
      <c r="J4272" s="4">
        <v>175.6</v>
      </c>
      <c r="K4272">
        <v>0.158</v>
      </c>
      <c r="L4272">
        <v>175.6</v>
      </c>
      <c r="M4272">
        <v>27.744799999999998</v>
      </c>
      <c r="N4272" s="5">
        <v>1.4100572907041209</v>
      </c>
      <c r="O4272" t="s">
        <v>100</v>
      </c>
      <c r="P4272" t="s">
        <v>340</v>
      </c>
      <c r="Q4272" s="10" t="s">
        <v>24</v>
      </c>
    </row>
    <row r="4273" spans="1:18" hidden="1" x14ac:dyDescent="0.25">
      <c r="A4273" s="9" t="s">
        <v>1097</v>
      </c>
      <c r="B4273" s="3" t="s">
        <v>1917</v>
      </c>
      <c r="C4273" s="10">
        <v>4</v>
      </c>
      <c r="D4273" s="10">
        <v>7</v>
      </c>
      <c r="E4273" s="10">
        <v>19</v>
      </c>
      <c r="F4273" t="s">
        <v>99</v>
      </c>
      <c r="G4273" t="s">
        <v>889</v>
      </c>
      <c r="H4273" t="s">
        <v>40</v>
      </c>
      <c r="I4273" t="s">
        <v>27</v>
      </c>
      <c r="J4273" s="4">
        <v>10</v>
      </c>
      <c r="K4273">
        <v>1</v>
      </c>
      <c r="L4273">
        <v>10</v>
      </c>
      <c r="M4273">
        <v>10</v>
      </c>
      <c r="N4273" s="5">
        <v>0.50822398817224168</v>
      </c>
      <c r="O4273" t="s">
        <v>100</v>
      </c>
      <c r="P4273" t="s">
        <v>340</v>
      </c>
      <c r="Q4273" s="10" t="s">
        <v>24</v>
      </c>
    </row>
    <row r="4274" spans="1:18" hidden="1" x14ac:dyDescent="0.25">
      <c r="A4274" s="9" t="s">
        <v>1097</v>
      </c>
      <c r="B4274" s="3" t="s">
        <v>1917</v>
      </c>
      <c r="C4274" s="10">
        <v>4</v>
      </c>
      <c r="D4274" s="10">
        <v>7</v>
      </c>
      <c r="E4274" s="10">
        <v>19</v>
      </c>
      <c r="F4274" t="s">
        <v>98</v>
      </c>
      <c r="G4274" t="s">
        <v>889</v>
      </c>
      <c r="H4274" t="s">
        <v>26</v>
      </c>
      <c r="I4274" t="s">
        <v>27</v>
      </c>
      <c r="J4274" s="4">
        <v>46.75</v>
      </c>
      <c r="K4274">
        <v>1</v>
      </c>
      <c r="L4274">
        <v>46.75</v>
      </c>
      <c r="M4274">
        <v>46.75</v>
      </c>
      <c r="N4274" s="5">
        <v>2.3759471447052296</v>
      </c>
      <c r="O4274" t="s">
        <v>100</v>
      </c>
      <c r="P4274" t="s">
        <v>340</v>
      </c>
      <c r="Q4274" s="10" t="s">
        <v>24</v>
      </c>
      <c r="R4274" t="s">
        <v>1768</v>
      </c>
    </row>
    <row r="4275" spans="1:18" hidden="1" x14ac:dyDescent="0.25">
      <c r="A4275" s="9" t="s">
        <v>1097</v>
      </c>
      <c r="B4275" s="3" t="s">
        <v>1150</v>
      </c>
      <c r="C4275" s="10">
        <v>5</v>
      </c>
      <c r="D4275" s="10">
        <v>7</v>
      </c>
      <c r="E4275" s="10">
        <v>19</v>
      </c>
      <c r="F4275" t="s">
        <v>1700</v>
      </c>
      <c r="G4275" t="s">
        <v>304</v>
      </c>
      <c r="H4275" t="s">
        <v>1695</v>
      </c>
      <c r="I4275" t="s">
        <v>79</v>
      </c>
      <c r="J4275" s="4">
        <v>5600</v>
      </c>
      <c r="K4275">
        <v>1</v>
      </c>
      <c r="L4275">
        <v>5600</v>
      </c>
      <c r="M4275">
        <v>5600</v>
      </c>
      <c r="N4275" s="5">
        <v>284.92927648315867</v>
      </c>
      <c r="O4275" t="s">
        <v>39</v>
      </c>
      <c r="P4275" t="s">
        <v>340</v>
      </c>
      <c r="Q4275" s="10" t="s">
        <v>1102</v>
      </c>
    </row>
    <row r="4276" spans="1:18" hidden="1" x14ac:dyDescent="0.25">
      <c r="A4276" s="9" t="s">
        <v>1097</v>
      </c>
      <c r="B4276" s="3" t="s">
        <v>1150</v>
      </c>
      <c r="C4276" s="10">
        <v>5</v>
      </c>
      <c r="D4276" s="10">
        <v>7</v>
      </c>
      <c r="E4276" s="10">
        <v>19</v>
      </c>
      <c r="F4276" t="s">
        <v>39</v>
      </c>
      <c r="G4276" t="s">
        <v>889</v>
      </c>
      <c r="H4276" t="s">
        <v>889</v>
      </c>
      <c r="I4276" t="s">
        <v>39</v>
      </c>
      <c r="J4276" s="4">
        <v>5</v>
      </c>
      <c r="K4276">
        <v>1</v>
      </c>
      <c r="L4276">
        <v>5</v>
      </c>
      <c r="M4276">
        <v>5</v>
      </c>
      <c r="N4276" s="5">
        <v>0.25411199408612084</v>
      </c>
      <c r="O4276" t="s">
        <v>39</v>
      </c>
      <c r="P4276" t="s">
        <v>340</v>
      </c>
      <c r="Q4276" s="10" t="s">
        <v>24</v>
      </c>
      <c r="R4276" t="s">
        <v>1967</v>
      </c>
    </row>
    <row r="4277" spans="1:18" hidden="1" x14ac:dyDescent="0.25">
      <c r="A4277" s="9" t="s">
        <v>1097</v>
      </c>
      <c r="B4277" s="3" t="s">
        <v>1150</v>
      </c>
      <c r="C4277" s="10">
        <v>5</v>
      </c>
      <c r="D4277" s="10">
        <v>7</v>
      </c>
      <c r="E4277" s="10">
        <v>19</v>
      </c>
      <c r="F4277" t="s">
        <v>39</v>
      </c>
      <c r="G4277" t="s">
        <v>889</v>
      </c>
      <c r="H4277" t="s">
        <v>889</v>
      </c>
      <c r="I4277" t="s">
        <v>39</v>
      </c>
      <c r="J4277" s="4">
        <v>10</v>
      </c>
      <c r="K4277">
        <v>1</v>
      </c>
      <c r="L4277">
        <v>10</v>
      </c>
      <c r="M4277">
        <v>10</v>
      </c>
      <c r="N4277" s="5">
        <v>0.50822398817224168</v>
      </c>
      <c r="O4277" t="s">
        <v>39</v>
      </c>
      <c r="P4277" t="s">
        <v>340</v>
      </c>
      <c r="Q4277" s="10" t="s">
        <v>24</v>
      </c>
      <c r="R4277" t="s">
        <v>1969</v>
      </c>
    </row>
    <row r="4278" spans="1:18" hidden="1" x14ac:dyDescent="0.25">
      <c r="A4278" s="9" t="s">
        <v>1097</v>
      </c>
      <c r="B4278" s="3" t="s">
        <v>1150</v>
      </c>
      <c r="C4278" s="10">
        <v>5</v>
      </c>
      <c r="D4278" s="10">
        <v>7</v>
      </c>
      <c r="E4278" s="10">
        <v>19</v>
      </c>
      <c r="F4278" t="s">
        <v>39</v>
      </c>
      <c r="G4278" t="s">
        <v>889</v>
      </c>
      <c r="H4278" t="s">
        <v>39</v>
      </c>
      <c r="I4278" t="s">
        <v>27</v>
      </c>
      <c r="J4278" s="4">
        <v>25</v>
      </c>
      <c r="K4278">
        <v>1</v>
      </c>
      <c r="L4278">
        <v>25</v>
      </c>
      <c r="M4278">
        <v>25</v>
      </c>
      <c r="N4278" s="5">
        <v>1.2705599704306041</v>
      </c>
      <c r="O4278" t="s">
        <v>39</v>
      </c>
      <c r="P4278" t="s">
        <v>340</v>
      </c>
      <c r="Q4278" s="10" t="s">
        <v>24</v>
      </c>
      <c r="R4278" t="s">
        <v>2017</v>
      </c>
    </row>
    <row r="4279" spans="1:18" hidden="1" x14ac:dyDescent="0.25">
      <c r="A4279" s="9" t="s">
        <v>1097</v>
      </c>
      <c r="B4279" s="3" t="s">
        <v>1150</v>
      </c>
      <c r="C4279" s="10">
        <v>5</v>
      </c>
      <c r="D4279" s="10">
        <v>7</v>
      </c>
      <c r="E4279" s="10">
        <v>19</v>
      </c>
      <c r="F4279" t="s">
        <v>39</v>
      </c>
      <c r="G4279" t="s">
        <v>889</v>
      </c>
      <c r="H4279" t="s">
        <v>889</v>
      </c>
      <c r="I4279" t="s">
        <v>39</v>
      </c>
      <c r="J4279" s="4">
        <v>20</v>
      </c>
      <c r="K4279">
        <v>1</v>
      </c>
      <c r="L4279">
        <v>20</v>
      </c>
      <c r="M4279">
        <v>20</v>
      </c>
      <c r="N4279" s="5">
        <v>1.0164479763444834</v>
      </c>
      <c r="O4279" t="s">
        <v>39</v>
      </c>
      <c r="P4279" t="s">
        <v>340</v>
      </c>
      <c r="Q4279" s="10" t="s">
        <v>24</v>
      </c>
      <c r="R4279" t="s">
        <v>2026</v>
      </c>
    </row>
    <row r="4280" spans="1:18" hidden="1" x14ac:dyDescent="0.25">
      <c r="A4280" s="9" t="s">
        <v>1097</v>
      </c>
      <c r="B4280" s="3" t="s">
        <v>1149</v>
      </c>
      <c r="C4280" s="10">
        <v>6</v>
      </c>
      <c r="D4280" s="10">
        <v>7</v>
      </c>
      <c r="E4280" s="10">
        <v>19</v>
      </c>
      <c r="F4280" t="s">
        <v>535</v>
      </c>
      <c r="G4280" t="s">
        <v>889</v>
      </c>
      <c r="H4280" t="s">
        <v>54</v>
      </c>
      <c r="I4280" t="s">
        <v>27</v>
      </c>
      <c r="J4280" s="4">
        <v>11</v>
      </c>
      <c r="K4280">
        <v>1</v>
      </c>
      <c r="L4280">
        <v>11</v>
      </c>
      <c r="M4280">
        <v>11</v>
      </c>
      <c r="N4280" s="5">
        <v>0.55968250737763303</v>
      </c>
      <c r="O4280" t="s">
        <v>39</v>
      </c>
      <c r="P4280" t="s">
        <v>340</v>
      </c>
      <c r="Q4280" s="10" t="s">
        <v>1102</v>
      </c>
    </row>
    <row r="4281" spans="1:18" hidden="1" x14ac:dyDescent="0.25">
      <c r="A4281" s="9" t="s">
        <v>1097</v>
      </c>
      <c r="B4281" s="3" t="s">
        <v>1149</v>
      </c>
      <c r="C4281" s="10">
        <v>6</v>
      </c>
      <c r="D4281" s="10">
        <v>7</v>
      </c>
      <c r="E4281" s="10">
        <v>19</v>
      </c>
      <c r="F4281" t="s">
        <v>595</v>
      </c>
      <c r="G4281" t="s">
        <v>889</v>
      </c>
      <c r="H4281" t="s">
        <v>54</v>
      </c>
      <c r="I4281" t="s">
        <v>27</v>
      </c>
      <c r="J4281" s="4">
        <v>32</v>
      </c>
      <c r="K4281">
        <v>1</v>
      </c>
      <c r="L4281">
        <v>32</v>
      </c>
      <c r="M4281">
        <v>32</v>
      </c>
      <c r="N4281" s="5">
        <v>1.628167294189478</v>
      </c>
      <c r="O4281" t="s">
        <v>39</v>
      </c>
      <c r="P4281" t="s">
        <v>340</v>
      </c>
      <c r="Q4281" s="10" t="s">
        <v>1102</v>
      </c>
    </row>
    <row r="4282" spans="1:18" hidden="1" x14ac:dyDescent="0.25">
      <c r="A4282" s="9" t="s">
        <v>1097</v>
      </c>
      <c r="B4282" s="3" t="s">
        <v>1149</v>
      </c>
      <c r="C4282" s="10">
        <v>6</v>
      </c>
      <c r="D4282" s="10">
        <v>7</v>
      </c>
      <c r="E4282" s="10">
        <v>19</v>
      </c>
      <c r="F4282" t="s">
        <v>1146</v>
      </c>
      <c r="G4282" t="s">
        <v>889</v>
      </c>
      <c r="H4282" t="s">
        <v>54</v>
      </c>
      <c r="I4282" t="s">
        <v>27</v>
      </c>
      <c r="J4282" s="4">
        <v>10</v>
      </c>
      <c r="K4282">
        <v>1</v>
      </c>
      <c r="L4282">
        <v>10</v>
      </c>
      <c r="M4282">
        <v>10</v>
      </c>
      <c r="N4282" s="5">
        <v>0.50880227943421186</v>
      </c>
      <c r="O4282" t="s">
        <v>39</v>
      </c>
      <c r="P4282" t="s">
        <v>340</v>
      </c>
      <c r="Q4282" s="10" t="s">
        <v>1102</v>
      </c>
    </row>
    <row r="4283" spans="1:18" hidden="1" x14ac:dyDescent="0.25">
      <c r="A4283" s="9" t="s">
        <v>1097</v>
      </c>
      <c r="B4283" s="3" t="s">
        <v>1149</v>
      </c>
      <c r="C4283" s="10">
        <v>6</v>
      </c>
      <c r="D4283" s="10">
        <v>7</v>
      </c>
      <c r="E4283" s="10">
        <v>19</v>
      </c>
      <c r="F4283" t="s">
        <v>1147</v>
      </c>
      <c r="G4283" t="s">
        <v>889</v>
      </c>
      <c r="H4283" t="s">
        <v>1599</v>
      </c>
      <c r="I4283" t="s">
        <v>22</v>
      </c>
      <c r="J4283" s="4">
        <v>107</v>
      </c>
      <c r="K4283">
        <v>1</v>
      </c>
      <c r="L4283">
        <v>107</v>
      </c>
      <c r="M4283">
        <v>107</v>
      </c>
      <c r="N4283" s="5">
        <v>5.4441843899460673</v>
      </c>
      <c r="O4283" t="s">
        <v>39</v>
      </c>
      <c r="P4283" t="s">
        <v>340</v>
      </c>
      <c r="Q4283" s="10" t="s">
        <v>1102</v>
      </c>
    </row>
    <row r="4284" spans="1:18" hidden="1" x14ac:dyDescent="0.25">
      <c r="A4284" s="9" t="s">
        <v>1097</v>
      </c>
      <c r="B4284" s="3" t="s">
        <v>1149</v>
      </c>
      <c r="C4284" s="10">
        <v>6</v>
      </c>
      <c r="D4284" s="10">
        <v>7</v>
      </c>
      <c r="E4284" s="10">
        <v>19</v>
      </c>
      <c r="F4284" t="s">
        <v>536</v>
      </c>
      <c r="G4284" t="s">
        <v>889</v>
      </c>
      <c r="H4284" t="s">
        <v>56</v>
      </c>
      <c r="I4284" t="s">
        <v>27</v>
      </c>
      <c r="J4284" s="4">
        <v>37</v>
      </c>
      <c r="K4284">
        <v>1</v>
      </c>
      <c r="L4284">
        <v>37</v>
      </c>
      <c r="M4284">
        <v>37</v>
      </c>
      <c r="N4284" s="5">
        <v>1.882568433906584</v>
      </c>
      <c r="O4284" t="s">
        <v>39</v>
      </c>
      <c r="P4284" t="s">
        <v>340</v>
      </c>
      <c r="Q4284" s="10" t="s">
        <v>1102</v>
      </c>
    </row>
    <row r="4285" spans="1:18" hidden="1" x14ac:dyDescent="0.25">
      <c r="A4285" s="9" t="s">
        <v>1097</v>
      </c>
      <c r="B4285" s="3" t="s">
        <v>1149</v>
      </c>
      <c r="C4285" s="10">
        <v>6</v>
      </c>
      <c r="D4285" s="10">
        <v>7</v>
      </c>
      <c r="E4285" s="10">
        <v>19</v>
      </c>
      <c r="F4285" t="s">
        <v>662</v>
      </c>
      <c r="G4285" t="s">
        <v>889</v>
      </c>
      <c r="H4285" t="s">
        <v>56</v>
      </c>
      <c r="I4285" t="s">
        <v>27</v>
      </c>
      <c r="J4285" s="4">
        <v>22</v>
      </c>
      <c r="K4285">
        <v>1</v>
      </c>
      <c r="L4285">
        <v>22</v>
      </c>
      <c r="M4285">
        <v>22</v>
      </c>
      <c r="N4285" s="5">
        <v>1.1193650147552661</v>
      </c>
      <c r="O4285" t="s">
        <v>39</v>
      </c>
      <c r="P4285" t="s">
        <v>340</v>
      </c>
      <c r="Q4285" s="10" t="s">
        <v>1102</v>
      </c>
    </row>
    <row r="4286" spans="1:18" hidden="1" x14ac:dyDescent="0.25">
      <c r="A4286" s="9" t="s">
        <v>1097</v>
      </c>
      <c r="B4286" s="3" t="s">
        <v>1149</v>
      </c>
      <c r="C4286" s="10">
        <v>6</v>
      </c>
      <c r="D4286" s="10">
        <v>7</v>
      </c>
      <c r="E4286" s="10">
        <v>19</v>
      </c>
      <c r="F4286" t="s">
        <v>1148</v>
      </c>
      <c r="G4286" t="s">
        <v>889</v>
      </c>
      <c r="H4286" t="s">
        <v>56</v>
      </c>
      <c r="I4286" t="s">
        <v>27</v>
      </c>
      <c r="J4286" s="4">
        <v>20</v>
      </c>
      <c r="K4286">
        <v>1</v>
      </c>
      <c r="L4286">
        <v>20</v>
      </c>
      <c r="M4286">
        <v>20</v>
      </c>
      <c r="N4286" s="5">
        <v>1.0176045588684237</v>
      </c>
      <c r="O4286" t="s">
        <v>39</v>
      </c>
      <c r="P4286" t="s">
        <v>340</v>
      </c>
      <c r="Q4286" s="10" t="s">
        <v>1102</v>
      </c>
    </row>
    <row r="4287" spans="1:18" hidden="1" x14ac:dyDescent="0.25">
      <c r="A4287" s="9" t="s">
        <v>1097</v>
      </c>
      <c r="B4287" s="3" t="s">
        <v>1149</v>
      </c>
      <c r="C4287" s="10">
        <v>6</v>
      </c>
      <c r="D4287" s="10">
        <v>7</v>
      </c>
      <c r="E4287" s="10">
        <v>19</v>
      </c>
      <c r="F4287" t="s">
        <v>556</v>
      </c>
      <c r="G4287" t="s">
        <v>889</v>
      </c>
      <c r="H4287" t="s">
        <v>56</v>
      </c>
      <c r="I4287" t="s">
        <v>27</v>
      </c>
      <c r="J4287" s="4">
        <v>30</v>
      </c>
      <c r="K4287">
        <v>1</v>
      </c>
      <c r="L4287">
        <v>30</v>
      </c>
      <c r="M4287">
        <v>30</v>
      </c>
      <c r="N4287" s="5">
        <v>1.5264068383026357</v>
      </c>
      <c r="O4287" t="s">
        <v>39</v>
      </c>
      <c r="P4287" t="s">
        <v>340</v>
      </c>
      <c r="Q4287" s="10" t="s">
        <v>1102</v>
      </c>
    </row>
    <row r="4288" spans="1:18" hidden="1" x14ac:dyDescent="0.25">
      <c r="A4288" s="9" t="s">
        <v>1097</v>
      </c>
      <c r="B4288" s="3" t="s">
        <v>1149</v>
      </c>
      <c r="C4288" s="10">
        <v>6</v>
      </c>
      <c r="D4288" s="10">
        <v>7</v>
      </c>
      <c r="E4288" s="10">
        <v>19</v>
      </c>
      <c r="F4288" t="s">
        <v>1339</v>
      </c>
      <c r="G4288" t="s">
        <v>889</v>
      </c>
      <c r="H4288" t="s">
        <v>131</v>
      </c>
      <c r="I4288" t="s">
        <v>27</v>
      </c>
      <c r="J4288" s="4">
        <v>10.75</v>
      </c>
      <c r="K4288">
        <v>2</v>
      </c>
      <c r="L4288">
        <v>10.75</v>
      </c>
      <c r="M4288">
        <v>21.5</v>
      </c>
      <c r="N4288" s="5">
        <v>1.0926815745703196</v>
      </c>
      <c r="O4288" t="s">
        <v>1790</v>
      </c>
      <c r="P4288" t="s">
        <v>340</v>
      </c>
      <c r="Q4288" s="10" t="s">
        <v>24</v>
      </c>
    </row>
    <row r="4289" spans="1:18" hidden="1" x14ac:dyDescent="0.25">
      <c r="A4289" s="9" t="s">
        <v>1097</v>
      </c>
      <c r="B4289" s="3" t="s">
        <v>1149</v>
      </c>
      <c r="C4289" s="10">
        <v>6</v>
      </c>
      <c r="D4289" s="10">
        <v>7</v>
      </c>
      <c r="E4289" s="10">
        <v>19</v>
      </c>
      <c r="F4289" t="s">
        <v>1846</v>
      </c>
      <c r="G4289" t="s">
        <v>889</v>
      </c>
      <c r="H4289" t="s">
        <v>102</v>
      </c>
      <c r="I4289" t="s">
        <v>27</v>
      </c>
      <c r="J4289" s="4">
        <v>15</v>
      </c>
      <c r="K4289">
        <v>1</v>
      </c>
      <c r="L4289">
        <v>15</v>
      </c>
      <c r="M4289">
        <v>15</v>
      </c>
      <c r="N4289" s="5">
        <v>0.76233598225836252</v>
      </c>
      <c r="O4289" t="s">
        <v>1790</v>
      </c>
      <c r="P4289" t="s">
        <v>340</v>
      </c>
      <c r="Q4289" s="10" t="s">
        <v>24</v>
      </c>
    </row>
    <row r="4290" spans="1:18" hidden="1" x14ac:dyDescent="0.25">
      <c r="A4290" s="9" t="s">
        <v>1097</v>
      </c>
      <c r="B4290" s="3" t="s">
        <v>1149</v>
      </c>
      <c r="C4290" s="10">
        <v>6</v>
      </c>
      <c r="D4290" s="10">
        <v>7</v>
      </c>
      <c r="E4290" s="10">
        <v>19</v>
      </c>
      <c r="F4290" t="s">
        <v>86</v>
      </c>
      <c r="G4290" t="s">
        <v>889</v>
      </c>
      <c r="H4290" t="s">
        <v>102</v>
      </c>
      <c r="I4290" t="s">
        <v>27</v>
      </c>
      <c r="J4290" s="4">
        <v>15</v>
      </c>
      <c r="K4290">
        <v>1</v>
      </c>
      <c r="L4290">
        <v>15</v>
      </c>
      <c r="M4290">
        <v>15</v>
      </c>
      <c r="N4290" s="5">
        <v>0.76233598225836252</v>
      </c>
      <c r="O4290" t="s">
        <v>1790</v>
      </c>
      <c r="P4290" t="s">
        <v>340</v>
      </c>
      <c r="Q4290" s="10" t="s">
        <v>24</v>
      </c>
    </row>
    <row r="4291" spans="1:18" hidden="1" x14ac:dyDescent="0.25">
      <c r="A4291" s="9" t="s">
        <v>1097</v>
      </c>
      <c r="B4291" s="3" t="s">
        <v>1879</v>
      </c>
      <c r="C4291" s="10">
        <v>7</v>
      </c>
      <c r="D4291" s="10">
        <v>7</v>
      </c>
      <c r="E4291" s="10">
        <v>19</v>
      </c>
      <c r="F4291" t="s">
        <v>184</v>
      </c>
      <c r="G4291" t="s">
        <v>304</v>
      </c>
      <c r="H4291" t="s">
        <v>184</v>
      </c>
      <c r="I4291" t="s">
        <v>79</v>
      </c>
      <c r="J4291" s="4">
        <v>190</v>
      </c>
      <c r="K4291">
        <v>1</v>
      </c>
      <c r="L4291">
        <v>190</v>
      </c>
      <c r="M4291">
        <v>190</v>
      </c>
      <c r="N4291" s="5">
        <v>9.6562557752725908</v>
      </c>
      <c r="O4291" t="s">
        <v>39</v>
      </c>
      <c r="P4291" t="s">
        <v>340</v>
      </c>
      <c r="Q4291" s="10" t="s">
        <v>24</v>
      </c>
      <c r="R4291" t="s">
        <v>1872</v>
      </c>
    </row>
    <row r="4292" spans="1:18" hidden="1" x14ac:dyDescent="0.25">
      <c r="A4292" s="9" t="s">
        <v>1097</v>
      </c>
      <c r="B4292" s="3" t="s">
        <v>1879</v>
      </c>
      <c r="C4292" s="10">
        <v>7</v>
      </c>
      <c r="D4292" s="10">
        <v>7</v>
      </c>
      <c r="E4292" s="10">
        <v>19</v>
      </c>
      <c r="F4292" t="s">
        <v>55</v>
      </c>
      <c r="G4292" t="s">
        <v>889</v>
      </c>
      <c r="H4292" t="s">
        <v>56</v>
      </c>
      <c r="I4292" t="s">
        <v>27</v>
      </c>
      <c r="J4292" s="4">
        <v>36</v>
      </c>
      <c r="K4292">
        <v>0.308</v>
      </c>
      <c r="L4292">
        <v>36</v>
      </c>
      <c r="M4292">
        <v>11.087999999999999</v>
      </c>
      <c r="N4292" s="5">
        <v>0.56351875808538154</v>
      </c>
      <c r="O4292" t="s">
        <v>101</v>
      </c>
      <c r="P4292" t="s">
        <v>340</v>
      </c>
      <c r="Q4292" s="10" t="s">
        <v>24</v>
      </c>
    </row>
    <row r="4293" spans="1:18" hidden="1" x14ac:dyDescent="0.25">
      <c r="A4293" s="9" t="s">
        <v>1097</v>
      </c>
      <c r="B4293" s="3" t="s">
        <v>1994</v>
      </c>
      <c r="C4293" s="10">
        <v>8</v>
      </c>
      <c r="D4293" s="10">
        <v>7</v>
      </c>
      <c r="E4293" s="10">
        <v>19</v>
      </c>
      <c r="F4293" t="s">
        <v>39</v>
      </c>
      <c r="G4293" t="s">
        <v>889</v>
      </c>
      <c r="H4293" t="s">
        <v>1748</v>
      </c>
      <c r="I4293" t="s">
        <v>72</v>
      </c>
      <c r="J4293" s="4">
        <v>3.65</v>
      </c>
      <c r="K4293">
        <v>1</v>
      </c>
      <c r="L4293">
        <v>3.65</v>
      </c>
      <c r="M4293">
        <v>3.65</v>
      </c>
      <c r="N4293" s="5">
        <v>0.1855017556828682</v>
      </c>
      <c r="O4293" t="s">
        <v>1659</v>
      </c>
      <c r="P4293" t="s">
        <v>340</v>
      </c>
      <c r="Q4293" s="10" t="s">
        <v>24</v>
      </c>
      <c r="R4293" t="s">
        <v>1428</v>
      </c>
    </row>
    <row r="4294" spans="1:18" hidden="1" x14ac:dyDescent="0.25">
      <c r="A4294" s="9" t="s">
        <v>1097</v>
      </c>
      <c r="B4294" s="3" t="s">
        <v>1099</v>
      </c>
      <c r="C4294" s="10">
        <v>9</v>
      </c>
      <c r="D4294" s="10">
        <v>7</v>
      </c>
      <c r="E4294" s="10">
        <v>19</v>
      </c>
      <c r="F4294" t="s">
        <v>933</v>
      </c>
      <c r="I4294" t="s">
        <v>72</v>
      </c>
      <c r="J4294" s="4">
        <v>150</v>
      </c>
      <c r="K4294">
        <v>3</v>
      </c>
      <c r="L4294">
        <v>150</v>
      </c>
      <c r="M4294">
        <v>450</v>
      </c>
      <c r="N4294" s="5">
        <v>22.896102574539533</v>
      </c>
      <c r="O4294" t="s">
        <v>933</v>
      </c>
      <c r="P4294" t="s">
        <v>340</v>
      </c>
      <c r="Q4294" s="10" t="s">
        <v>24</v>
      </c>
    </row>
    <row r="4295" spans="1:18" hidden="1" x14ac:dyDescent="0.25">
      <c r="A4295" s="9" t="s">
        <v>1105</v>
      </c>
      <c r="B4295" s="3" t="s">
        <v>1116</v>
      </c>
      <c r="C4295" s="10">
        <v>1</v>
      </c>
      <c r="D4295" s="10">
        <v>8</v>
      </c>
      <c r="E4295" s="10">
        <v>19</v>
      </c>
      <c r="F4295" t="s">
        <v>1113</v>
      </c>
      <c r="G4295" t="s">
        <v>889</v>
      </c>
      <c r="H4295" t="s">
        <v>35</v>
      </c>
      <c r="I4295" t="s">
        <v>27</v>
      </c>
      <c r="J4295" s="4">
        <v>318.60000000000002</v>
      </c>
      <c r="K4295">
        <v>0.104</v>
      </c>
      <c r="L4295">
        <v>318.60000000000002</v>
      </c>
      <c r="M4295">
        <v>33.134399999999999</v>
      </c>
      <c r="N4295" s="5">
        <v>1.6858858247684949</v>
      </c>
      <c r="O4295" t="s">
        <v>100</v>
      </c>
      <c r="P4295" t="s">
        <v>340</v>
      </c>
      <c r="Q4295" s="10" t="s">
        <v>1102</v>
      </c>
    </row>
    <row r="4296" spans="1:18" hidden="1" x14ac:dyDescent="0.25">
      <c r="A4296" s="9" t="s">
        <v>1105</v>
      </c>
      <c r="B4296" s="3" t="s">
        <v>1116</v>
      </c>
      <c r="C4296" s="10">
        <v>1</v>
      </c>
      <c r="D4296" s="10">
        <v>8</v>
      </c>
      <c r="E4296" s="10">
        <v>19</v>
      </c>
      <c r="F4296" t="s">
        <v>2041</v>
      </c>
      <c r="G4296" t="s">
        <v>889</v>
      </c>
      <c r="H4296" t="s">
        <v>35</v>
      </c>
      <c r="I4296" t="s">
        <v>27</v>
      </c>
      <c r="J4296" s="4">
        <v>145.6</v>
      </c>
      <c r="K4296">
        <v>0.158</v>
      </c>
      <c r="L4296">
        <v>145.6</v>
      </c>
      <c r="M4296">
        <v>23.004799999999999</v>
      </c>
      <c r="N4296" s="5">
        <v>1.1704894677928157</v>
      </c>
      <c r="O4296" t="s">
        <v>100</v>
      </c>
      <c r="P4296" t="s">
        <v>340</v>
      </c>
      <c r="Q4296" s="10" t="s">
        <v>1102</v>
      </c>
    </row>
    <row r="4297" spans="1:18" hidden="1" x14ac:dyDescent="0.25">
      <c r="A4297" s="9" t="s">
        <v>1105</v>
      </c>
      <c r="B4297" s="3" t="s">
        <v>1116</v>
      </c>
      <c r="C4297" s="10">
        <v>1</v>
      </c>
      <c r="D4297" s="10">
        <v>8</v>
      </c>
      <c r="E4297" s="10">
        <v>19</v>
      </c>
      <c r="F4297" t="s">
        <v>398</v>
      </c>
      <c r="G4297" t="s">
        <v>889</v>
      </c>
      <c r="H4297" t="s">
        <v>40</v>
      </c>
      <c r="I4297" t="s">
        <v>27</v>
      </c>
      <c r="J4297" s="4">
        <v>14.6</v>
      </c>
      <c r="K4297">
        <v>1</v>
      </c>
      <c r="L4297">
        <v>14.6</v>
      </c>
      <c r="M4297">
        <v>14.6</v>
      </c>
      <c r="N4297" s="5">
        <v>0.74285132797394926</v>
      </c>
      <c r="O4297" t="s">
        <v>100</v>
      </c>
      <c r="P4297" t="s">
        <v>340</v>
      </c>
      <c r="Q4297" s="10" t="s">
        <v>1102</v>
      </c>
    </row>
    <row r="4298" spans="1:18" hidden="1" x14ac:dyDescent="0.25">
      <c r="A4298" s="9" t="s">
        <v>1105</v>
      </c>
      <c r="B4298" s="3" t="s">
        <v>1116</v>
      </c>
      <c r="C4298" s="10">
        <v>1</v>
      </c>
      <c r="D4298" s="10">
        <v>8</v>
      </c>
      <c r="E4298" s="10">
        <v>19</v>
      </c>
      <c r="F4298" t="s">
        <v>1637</v>
      </c>
      <c r="G4298" t="s">
        <v>889</v>
      </c>
      <c r="H4298" t="s">
        <v>59</v>
      </c>
      <c r="I4298" t="s">
        <v>27</v>
      </c>
      <c r="J4298" s="4">
        <v>38.700000000000003</v>
      </c>
      <c r="K4298">
        <v>1</v>
      </c>
      <c r="L4298">
        <v>38.700000000000003</v>
      </c>
      <c r="M4298">
        <v>38.700000000000003</v>
      </c>
      <c r="N4298" s="5">
        <v>1.9690648214104001</v>
      </c>
      <c r="O4298" t="s">
        <v>100</v>
      </c>
      <c r="P4298" t="s">
        <v>340</v>
      </c>
      <c r="Q4298" s="10" t="s">
        <v>1102</v>
      </c>
      <c r="R4298" t="s">
        <v>1638</v>
      </c>
    </row>
    <row r="4299" spans="1:18" hidden="1" x14ac:dyDescent="0.25">
      <c r="A4299" s="9" t="s">
        <v>1105</v>
      </c>
      <c r="B4299" s="3" t="s">
        <v>1116</v>
      </c>
      <c r="C4299" s="10">
        <v>1</v>
      </c>
      <c r="D4299" s="10">
        <v>8</v>
      </c>
      <c r="E4299" s="10">
        <v>19</v>
      </c>
      <c r="F4299" t="s">
        <v>2344</v>
      </c>
      <c r="G4299" t="s">
        <v>889</v>
      </c>
      <c r="H4299" t="s">
        <v>59</v>
      </c>
      <c r="I4299" t="s">
        <v>27</v>
      </c>
      <c r="J4299" s="4">
        <v>24.6</v>
      </c>
      <c r="K4299">
        <v>7</v>
      </c>
      <c r="L4299">
        <v>24.6</v>
      </c>
      <c r="M4299">
        <v>172.20000000000002</v>
      </c>
      <c r="N4299" s="5">
        <v>8.7615752518571295</v>
      </c>
      <c r="O4299" t="s">
        <v>100</v>
      </c>
      <c r="P4299" t="s">
        <v>340</v>
      </c>
      <c r="Q4299" s="10" t="s">
        <v>1102</v>
      </c>
    </row>
    <row r="4300" spans="1:18" hidden="1" x14ac:dyDescent="0.25">
      <c r="A4300" s="9" t="s">
        <v>1105</v>
      </c>
      <c r="B4300" s="3" t="s">
        <v>1116</v>
      </c>
      <c r="C4300" s="10">
        <v>1</v>
      </c>
      <c r="D4300" s="10">
        <v>8</v>
      </c>
      <c r="E4300" s="10">
        <v>19</v>
      </c>
      <c r="F4300" t="s">
        <v>1114</v>
      </c>
      <c r="G4300" t="s">
        <v>31</v>
      </c>
      <c r="H4300" t="s">
        <v>26</v>
      </c>
      <c r="I4300" t="s">
        <v>27</v>
      </c>
      <c r="J4300" s="4">
        <v>13</v>
      </c>
      <c r="K4300">
        <v>4</v>
      </c>
      <c r="L4300">
        <v>13</v>
      </c>
      <c r="M4300">
        <v>52</v>
      </c>
      <c r="N4300" s="5">
        <v>2.6457718530579015</v>
      </c>
      <c r="O4300" t="s">
        <v>100</v>
      </c>
      <c r="P4300" t="s">
        <v>340</v>
      </c>
      <c r="Q4300" s="10" t="s">
        <v>1102</v>
      </c>
    </row>
    <row r="4301" spans="1:18" hidden="1" x14ac:dyDescent="0.25">
      <c r="A4301" s="9" t="s">
        <v>1105</v>
      </c>
      <c r="B4301" s="3" t="s">
        <v>1116</v>
      </c>
      <c r="C4301" s="10">
        <v>1</v>
      </c>
      <c r="D4301" s="10">
        <v>8</v>
      </c>
      <c r="E4301" s="10">
        <v>19</v>
      </c>
      <c r="F4301" t="s">
        <v>1115</v>
      </c>
      <c r="G4301" t="s">
        <v>889</v>
      </c>
      <c r="H4301" t="s">
        <v>44</v>
      </c>
      <c r="I4301" t="s">
        <v>27</v>
      </c>
      <c r="J4301" s="4">
        <v>21</v>
      </c>
      <c r="K4301">
        <v>1</v>
      </c>
      <c r="L4301">
        <v>21</v>
      </c>
      <c r="M4301">
        <v>21</v>
      </c>
      <c r="N4301" s="5">
        <v>1.068484786811845</v>
      </c>
      <c r="O4301" t="s">
        <v>100</v>
      </c>
      <c r="P4301" t="s">
        <v>340</v>
      </c>
      <c r="Q4301" s="10" t="s">
        <v>1102</v>
      </c>
    </row>
    <row r="4302" spans="1:18" hidden="1" x14ac:dyDescent="0.25">
      <c r="A4302" s="9" t="s">
        <v>1105</v>
      </c>
      <c r="B4302" s="3" t="s">
        <v>1116</v>
      </c>
      <c r="C4302" s="10">
        <v>1</v>
      </c>
      <c r="D4302" s="10">
        <v>8</v>
      </c>
      <c r="E4302" s="10">
        <v>19</v>
      </c>
      <c r="F4302" t="s">
        <v>1108</v>
      </c>
      <c r="G4302" t="s">
        <v>889</v>
      </c>
      <c r="H4302" t="s">
        <v>44</v>
      </c>
      <c r="I4302" t="s">
        <v>27</v>
      </c>
      <c r="J4302" s="4">
        <v>9.6</v>
      </c>
      <c r="K4302">
        <v>1</v>
      </c>
      <c r="L4302">
        <v>9.6</v>
      </c>
      <c r="M4302">
        <v>9.6</v>
      </c>
      <c r="N4302" s="5">
        <v>0.48845018825684339</v>
      </c>
      <c r="O4302" t="s">
        <v>100</v>
      </c>
      <c r="P4302" t="s">
        <v>340</v>
      </c>
      <c r="Q4302" s="10" t="s">
        <v>1102</v>
      </c>
    </row>
    <row r="4303" spans="1:18" hidden="1" x14ac:dyDescent="0.25">
      <c r="A4303" s="9" t="s">
        <v>1105</v>
      </c>
      <c r="B4303" s="3" t="s">
        <v>1877</v>
      </c>
      <c r="C4303" s="10">
        <v>10</v>
      </c>
      <c r="D4303" s="10">
        <v>8</v>
      </c>
      <c r="E4303" s="10">
        <v>19</v>
      </c>
      <c r="F4303" t="s">
        <v>55</v>
      </c>
      <c r="G4303" t="s">
        <v>889</v>
      </c>
      <c r="H4303" t="s">
        <v>56</v>
      </c>
      <c r="I4303" t="s">
        <v>27</v>
      </c>
      <c r="J4303" s="4">
        <v>36</v>
      </c>
      <c r="K4303">
        <v>0.77400000000000002</v>
      </c>
      <c r="L4303">
        <v>36</v>
      </c>
      <c r="M4303">
        <v>27.864000000000001</v>
      </c>
      <c r="N4303" s="5">
        <v>1.4161153206431343</v>
      </c>
      <c r="O4303" t="s">
        <v>101</v>
      </c>
      <c r="P4303" t="s">
        <v>340</v>
      </c>
      <c r="Q4303" s="10" t="s">
        <v>24</v>
      </c>
    </row>
    <row r="4304" spans="1:18" hidden="1" x14ac:dyDescent="0.25">
      <c r="A4304" s="9" t="s">
        <v>1105</v>
      </c>
      <c r="B4304" s="3" t="s">
        <v>1878</v>
      </c>
      <c r="C4304" s="10">
        <v>11</v>
      </c>
      <c r="D4304" s="10">
        <v>8</v>
      </c>
      <c r="E4304" s="10">
        <v>19</v>
      </c>
      <c r="F4304" t="s">
        <v>2242</v>
      </c>
      <c r="G4304" t="s">
        <v>345</v>
      </c>
      <c r="H4304" t="s">
        <v>26</v>
      </c>
      <c r="I4304" t="s">
        <v>27</v>
      </c>
      <c r="J4304" s="4">
        <v>6.5</v>
      </c>
      <c r="K4304">
        <v>1</v>
      </c>
      <c r="L4304">
        <v>6.5</v>
      </c>
      <c r="M4304">
        <v>6.5</v>
      </c>
      <c r="N4304" s="5">
        <v>0.33034559231195709</v>
      </c>
      <c r="O4304" t="s">
        <v>101</v>
      </c>
      <c r="P4304" t="s">
        <v>340</v>
      </c>
      <c r="Q4304" s="10" t="s">
        <v>24</v>
      </c>
    </row>
    <row r="4305" spans="1:18" hidden="1" x14ac:dyDescent="0.25">
      <c r="A4305" s="9" t="s">
        <v>1105</v>
      </c>
      <c r="B4305" s="3" t="s">
        <v>1878</v>
      </c>
      <c r="C4305" s="10">
        <v>11</v>
      </c>
      <c r="D4305" s="10">
        <v>8</v>
      </c>
      <c r="E4305" s="10">
        <v>19</v>
      </c>
      <c r="F4305" t="s">
        <v>55</v>
      </c>
      <c r="G4305" t="s">
        <v>889</v>
      </c>
      <c r="H4305" t="s">
        <v>56</v>
      </c>
      <c r="I4305" t="s">
        <v>27</v>
      </c>
      <c r="J4305" s="4">
        <v>36</v>
      </c>
      <c r="K4305">
        <v>0.96599999999999997</v>
      </c>
      <c r="L4305">
        <v>36</v>
      </c>
      <c r="M4305">
        <v>34.775999999999996</v>
      </c>
      <c r="N4305" s="5">
        <v>1.7673997412677873</v>
      </c>
      <c r="O4305" t="s">
        <v>101</v>
      </c>
      <c r="P4305" t="s">
        <v>340</v>
      </c>
      <c r="Q4305" s="10" t="s">
        <v>24</v>
      </c>
    </row>
    <row r="4306" spans="1:18" hidden="1" x14ac:dyDescent="0.25">
      <c r="A4306" s="9" t="s">
        <v>1105</v>
      </c>
      <c r="B4306" s="3" t="s">
        <v>1132</v>
      </c>
      <c r="C4306" s="10">
        <v>14</v>
      </c>
      <c r="D4306" s="10">
        <v>8</v>
      </c>
      <c r="E4306" s="10">
        <v>19</v>
      </c>
      <c r="F4306" t="s">
        <v>1130</v>
      </c>
      <c r="G4306" t="s">
        <v>889</v>
      </c>
      <c r="H4306" t="s">
        <v>1133</v>
      </c>
      <c r="I4306" t="s">
        <v>27</v>
      </c>
      <c r="J4306" s="4">
        <v>94</v>
      </c>
      <c r="K4306">
        <v>1</v>
      </c>
      <c r="L4306">
        <v>94</v>
      </c>
      <c r="M4306">
        <v>94</v>
      </c>
      <c r="N4306" s="5">
        <v>4.782741426681592</v>
      </c>
      <c r="O4306" t="s">
        <v>593</v>
      </c>
      <c r="P4306" t="s">
        <v>340</v>
      </c>
      <c r="Q4306" s="10" t="s">
        <v>1102</v>
      </c>
    </row>
    <row r="4307" spans="1:18" hidden="1" x14ac:dyDescent="0.25">
      <c r="A4307" s="9" t="s">
        <v>1105</v>
      </c>
      <c r="B4307" s="3" t="s">
        <v>1132</v>
      </c>
      <c r="C4307" s="10">
        <v>14</v>
      </c>
      <c r="D4307" s="10">
        <v>8</v>
      </c>
      <c r="E4307" s="10">
        <v>19</v>
      </c>
      <c r="F4307" t="s">
        <v>1134</v>
      </c>
      <c r="G4307" t="s">
        <v>31</v>
      </c>
      <c r="H4307" t="s">
        <v>26</v>
      </c>
      <c r="I4307" t="s">
        <v>27</v>
      </c>
      <c r="J4307" s="4">
        <v>35</v>
      </c>
      <c r="K4307">
        <v>1</v>
      </c>
      <c r="L4307">
        <v>35</v>
      </c>
      <c r="M4307">
        <v>35</v>
      </c>
      <c r="N4307" s="5">
        <v>1.7808079780197414</v>
      </c>
      <c r="O4307" t="s">
        <v>1135</v>
      </c>
      <c r="P4307" t="s">
        <v>340</v>
      </c>
      <c r="Q4307" s="10" t="s">
        <v>1102</v>
      </c>
    </row>
    <row r="4308" spans="1:18" hidden="1" x14ac:dyDescent="0.25">
      <c r="A4308" s="9" t="s">
        <v>1105</v>
      </c>
      <c r="B4308" s="3" t="s">
        <v>1131</v>
      </c>
      <c r="C4308" s="10">
        <v>15</v>
      </c>
      <c r="D4308" s="10">
        <v>8</v>
      </c>
      <c r="E4308" s="10">
        <v>19</v>
      </c>
      <c r="F4308" t="s">
        <v>933</v>
      </c>
      <c r="I4308" t="s">
        <v>72</v>
      </c>
      <c r="J4308" s="4">
        <v>150</v>
      </c>
      <c r="K4308">
        <v>1</v>
      </c>
      <c r="L4308">
        <v>150</v>
      </c>
      <c r="M4308">
        <v>150</v>
      </c>
      <c r="N4308" s="5">
        <v>7.6320341915131777</v>
      </c>
      <c r="O4308" t="s">
        <v>39</v>
      </c>
      <c r="P4308" t="s">
        <v>340</v>
      </c>
      <c r="Q4308" s="10" t="s">
        <v>1102</v>
      </c>
    </row>
    <row r="4309" spans="1:18" hidden="1" x14ac:dyDescent="0.25">
      <c r="A4309" s="9" t="s">
        <v>513</v>
      </c>
      <c r="B4309" s="3" t="s">
        <v>1131</v>
      </c>
      <c r="C4309" s="10">
        <v>15</v>
      </c>
      <c r="D4309" s="10">
        <v>8</v>
      </c>
      <c r="E4309" s="10">
        <v>19</v>
      </c>
      <c r="F4309" t="s">
        <v>430</v>
      </c>
      <c r="G4309" t="s">
        <v>889</v>
      </c>
      <c r="H4309" t="s">
        <v>889</v>
      </c>
      <c r="I4309" t="s">
        <v>431</v>
      </c>
      <c r="J4309" s="4">
        <v>175</v>
      </c>
      <c r="K4309">
        <v>3</v>
      </c>
      <c r="L4309">
        <v>175</v>
      </c>
      <c r="M4309">
        <v>525</v>
      </c>
      <c r="N4309" s="5">
        <v>26.574803149606296</v>
      </c>
      <c r="O4309" t="s">
        <v>39</v>
      </c>
      <c r="P4309" t="s">
        <v>340</v>
      </c>
      <c r="Q4309" s="10" t="s">
        <v>24</v>
      </c>
    </row>
    <row r="4310" spans="1:18" hidden="1" x14ac:dyDescent="0.25">
      <c r="A4310" s="9" t="s">
        <v>1105</v>
      </c>
      <c r="B4310" s="3" t="s">
        <v>1191</v>
      </c>
      <c r="C4310" s="10">
        <v>16</v>
      </c>
      <c r="D4310" s="10">
        <v>8</v>
      </c>
      <c r="E4310" s="10">
        <v>19</v>
      </c>
      <c r="F4310" t="s">
        <v>1190</v>
      </c>
      <c r="G4310" t="s">
        <v>31</v>
      </c>
      <c r="H4310" t="s">
        <v>26</v>
      </c>
      <c r="I4310" t="s">
        <v>27</v>
      </c>
      <c r="J4310" s="4">
        <v>10.6</v>
      </c>
      <c r="K4310">
        <v>2</v>
      </c>
      <c r="L4310">
        <v>10.6</v>
      </c>
      <c r="M4310">
        <v>21.2</v>
      </c>
      <c r="N4310" s="5">
        <v>1.0786608324005291</v>
      </c>
      <c r="O4310" t="s">
        <v>100</v>
      </c>
      <c r="P4310" t="s">
        <v>340</v>
      </c>
      <c r="Q4310" s="10" t="s">
        <v>1102</v>
      </c>
    </row>
    <row r="4311" spans="1:18" hidden="1" x14ac:dyDescent="0.25">
      <c r="A4311" s="9" t="s">
        <v>1105</v>
      </c>
      <c r="B4311" s="3" t="s">
        <v>1191</v>
      </c>
      <c r="C4311" s="10">
        <v>16</v>
      </c>
      <c r="D4311" s="10">
        <v>8</v>
      </c>
      <c r="E4311" s="10">
        <v>19</v>
      </c>
      <c r="F4311" t="s">
        <v>1078</v>
      </c>
      <c r="H4311" t="s">
        <v>65</v>
      </c>
      <c r="I4311" t="s">
        <v>27</v>
      </c>
      <c r="J4311" s="4">
        <v>35.85</v>
      </c>
      <c r="K4311">
        <v>2</v>
      </c>
      <c r="L4311" s="13">
        <v>35.85</v>
      </c>
      <c r="M4311">
        <v>71.7</v>
      </c>
      <c r="N4311" s="5">
        <v>3.6481123435432994</v>
      </c>
      <c r="O4311" t="s">
        <v>100</v>
      </c>
      <c r="P4311" t="s">
        <v>340</v>
      </c>
      <c r="Q4311" s="10" t="s">
        <v>1102</v>
      </c>
    </row>
    <row r="4312" spans="1:18" hidden="1" x14ac:dyDescent="0.25">
      <c r="A4312" s="9" t="s">
        <v>1105</v>
      </c>
      <c r="B4312" s="3" t="s">
        <v>1136</v>
      </c>
      <c r="C4312" s="10">
        <v>18</v>
      </c>
      <c r="D4312" s="10">
        <v>8</v>
      </c>
      <c r="E4312" s="10">
        <v>19</v>
      </c>
      <c r="F4312" t="s">
        <v>184</v>
      </c>
      <c r="G4312" t="s">
        <v>304</v>
      </c>
      <c r="H4312" t="s">
        <v>184</v>
      </c>
      <c r="I4312" t="s">
        <v>79</v>
      </c>
      <c r="J4312" s="4">
        <v>220</v>
      </c>
      <c r="K4312">
        <v>1</v>
      </c>
      <c r="L4312">
        <v>220</v>
      </c>
      <c r="M4312">
        <v>220</v>
      </c>
      <c r="N4312" s="5">
        <v>11.193650147552662</v>
      </c>
      <c r="O4312" t="s">
        <v>39</v>
      </c>
      <c r="P4312" t="s">
        <v>340</v>
      </c>
      <c r="Q4312" s="10" t="s">
        <v>1102</v>
      </c>
    </row>
    <row r="4313" spans="1:18" hidden="1" x14ac:dyDescent="0.25">
      <c r="A4313" s="9" t="s">
        <v>1105</v>
      </c>
      <c r="B4313" s="3" t="s">
        <v>1136</v>
      </c>
      <c r="C4313" s="10">
        <v>18</v>
      </c>
      <c r="D4313" s="10">
        <v>8</v>
      </c>
      <c r="E4313" s="10">
        <v>19</v>
      </c>
      <c r="F4313" t="s">
        <v>1078</v>
      </c>
      <c r="H4313" t="s">
        <v>65</v>
      </c>
      <c r="I4313" t="s">
        <v>27</v>
      </c>
      <c r="J4313" s="4">
        <v>20</v>
      </c>
      <c r="K4313">
        <v>2</v>
      </c>
      <c r="L4313" s="13">
        <v>20</v>
      </c>
      <c r="M4313">
        <v>40</v>
      </c>
      <c r="N4313" s="5">
        <v>2.0352091177368474</v>
      </c>
      <c r="O4313" t="s">
        <v>39</v>
      </c>
      <c r="P4313" t="s">
        <v>340</v>
      </c>
      <c r="Q4313" s="10" t="s">
        <v>1102</v>
      </c>
    </row>
    <row r="4314" spans="1:18" hidden="1" x14ac:dyDescent="0.25">
      <c r="A4314" s="9" t="s">
        <v>1105</v>
      </c>
      <c r="B4314" s="3" t="s">
        <v>1136</v>
      </c>
      <c r="C4314" s="10">
        <v>18</v>
      </c>
      <c r="D4314" s="10">
        <v>8</v>
      </c>
      <c r="E4314" s="10">
        <v>19</v>
      </c>
      <c r="F4314" t="s">
        <v>536</v>
      </c>
      <c r="G4314" t="s">
        <v>889</v>
      </c>
      <c r="H4314" t="s">
        <v>56</v>
      </c>
      <c r="I4314" t="s">
        <v>27</v>
      </c>
      <c r="J4314" s="4">
        <v>20</v>
      </c>
      <c r="K4314">
        <v>1</v>
      </c>
      <c r="L4314">
        <v>20</v>
      </c>
      <c r="M4314">
        <v>20</v>
      </c>
      <c r="N4314" s="5">
        <v>1.0176045588684237</v>
      </c>
      <c r="O4314" t="s">
        <v>39</v>
      </c>
      <c r="P4314" t="s">
        <v>340</v>
      </c>
      <c r="Q4314" s="10" t="s">
        <v>1102</v>
      </c>
    </row>
    <row r="4315" spans="1:18" hidden="1" x14ac:dyDescent="0.25">
      <c r="A4315" s="9" t="s">
        <v>1105</v>
      </c>
      <c r="B4315" s="3" t="s">
        <v>1136</v>
      </c>
      <c r="C4315" s="10">
        <v>18</v>
      </c>
      <c r="D4315" s="10">
        <v>8</v>
      </c>
      <c r="E4315" s="10">
        <v>19</v>
      </c>
      <c r="F4315" t="s">
        <v>1209</v>
      </c>
      <c r="G4315" t="s">
        <v>889</v>
      </c>
      <c r="H4315" t="s">
        <v>56</v>
      </c>
      <c r="I4315" t="s">
        <v>27</v>
      </c>
      <c r="J4315" s="4">
        <v>25</v>
      </c>
      <c r="K4315">
        <v>1</v>
      </c>
      <c r="L4315">
        <v>25</v>
      </c>
      <c r="M4315">
        <v>25</v>
      </c>
      <c r="N4315" s="5">
        <v>1.2720056985855297</v>
      </c>
      <c r="O4315" t="s">
        <v>39</v>
      </c>
      <c r="P4315" t="s">
        <v>340</v>
      </c>
      <c r="Q4315" s="10" t="s">
        <v>1102</v>
      </c>
    </row>
    <row r="4316" spans="1:18" hidden="1" x14ac:dyDescent="0.25">
      <c r="A4316" s="9" t="s">
        <v>1105</v>
      </c>
      <c r="B4316" s="3" t="s">
        <v>1141</v>
      </c>
      <c r="C4316" s="10">
        <v>20</v>
      </c>
      <c r="D4316" s="10">
        <v>8</v>
      </c>
      <c r="E4316" s="10">
        <v>19</v>
      </c>
      <c r="F4316" t="s">
        <v>71</v>
      </c>
      <c r="I4316" t="s">
        <v>72</v>
      </c>
      <c r="J4316" s="4">
        <v>300</v>
      </c>
      <c r="K4316">
        <v>1</v>
      </c>
      <c r="L4316">
        <v>300</v>
      </c>
      <c r="M4316">
        <v>300</v>
      </c>
      <c r="N4316" s="5">
        <v>15.264068383026355</v>
      </c>
      <c r="O4316" t="s">
        <v>1140</v>
      </c>
      <c r="P4316" t="s">
        <v>340</v>
      </c>
      <c r="Q4316" s="10" t="s">
        <v>1102</v>
      </c>
      <c r="R4316" t="s">
        <v>1137</v>
      </c>
    </row>
    <row r="4317" spans="1:18" hidden="1" x14ac:dyDescent="0.25">
      <c r="A4317" s="9" t="s">
        <v>1105</v>
      </c>
      <c r="B4317" s="3" t="s">
        <v>1141</v>
      </c>
      <c r="C4317" s="10">
        <v>20</v>
      </c>
      <c r="D4317" s="10">
        <v>8</v>
      </c>
      <c r="E4317" s="10">
        <v>19</v>
      </c>
      <c r="F4317" t="s">
        <v>71</v>
      </c>
      <c r="I4317" t="s">
        <v>72</v>
      </c>
      <c r="J4317" s="4">
        <v>350</v>
      </c>
      <c r="K4317">
        <v>1</v>
      </c>
      <c r="L4317">
        <v>350</v>
      </c>
      <c r="M4317">
        <v>350</v>
      </c>
      <c r="N4317" s="5">
        <v>17.808079780197417</v>
      </c>
      <c r="O4317" t="s">
        <v>1140</v>
      </c>
      <c r="P4317" t="s">
        <v>340</v>
      </c>
      <c r="Q4317" s="10" t="s">
        <v>1102</v>
      </c>
      <c r="R4317" t="s">
        <v>1138</v>
      </c>
    </row>
    <row r="4318" spans="1:18" hidden="1" x14ac:dyDescent="0.25">
      <c r="A4318" s="9" t="s">
        <v>1105</v>
      </c>
      <c r="B4318" s="3" t="s">
        <v>1141</v>
      </c>
      <c r="C4318" s="10">
        <v>20</v>
      </c>
      <c r="D4318" s="10">
        <v>8</v>
      </c>
      <c r="E4318" s="10">
        <v>19</v>
      </c>
      <c r="F4318" t="s">
        <v>246</v>
      </c>
      <c r="I4318" t="s">
        <v>72</v>
      </c>
      <c r="J4318" s="4">
        <v>1050</v>
      </c>
      <c r="K4318">
        <v>1</v>
      </c>
      <c r="L4318">
        <v>1050</v>
      </c>
      <c r="M4318">
        <v>1050</v>
      </c>
      <c r="N4318" s="5">
        <v>53.424239340592244</v>
      </c>
      <c r="O4318" t="s">
        <v>1140</v>
      </c>
      <c r="P4318" t="s">
        <v>340</v>
      </c>
      <c r="Q4318" s="10" t="s">
        <v>1102</v>
      </c>
      <c r="R4318" t="s">
        <v>1139</v>
      </c>
    </row>
    <row r="4319" spans="1:18" hidden="1" x14ac:dyDescent="0.25">
      <c r="A4319" s="9" t="s">
        <v>1105</v>
      </c>
      <c r="B4319" s="3" t="s">
        <v>1141</v>
      </c>
      <c r="C4319" s="10">
        <v>20</v>
      </c>
      <c r="D4319" s="10">
        <v>8</v>
      </c>
      <c r="E4319" s="10">
        <v>19</v>
      </c>
      <c r="F4319" t="s">
        <v>246</v>
      </c>
      <c r="I4319" t="s">
        <v>72</v>
      </c>
      <c r="J4319" s="4">
        <v>660</v>
      </c>
      <c r="K4319">
        <v>1</v>
      </c>
      <c r="L4319">
        <v>660</v>
      </c>
      <c r="M4319">
        <v>660</v>
      </c>
      <c r="N4319" s="5">
        <v>33.580950442657986</v>
      </c>
      <c r="O4319" t="s">
        <v>1140</v>
      </c>
      <c r="P4319" t="s">
        <v>340</v>
      </c>
      <c r="Q4319" s="10" t="s">
        <v>1102</v>
      </c>
    </row>
    <row r="4320" spans="1:18" hidden="1" x14ac:dyDescent="0.25">
      <c r="A4320" s="9" t="s">
        <v>1105</v>
      </c>
      <c r="B4320" s="3" t="s">
        <v>1196</v>
      </c>
      <c r="C4320" s="10">
        <v>22</v>
      </c>
      <c r="D4320" s="10">
        <v>8</v>
      </c>
      <c r="E4320" s="10">
        <v>19</v>
      </c>
      <c r="F4320" t="s">
        <v>1193</v>
      </c>
      <c r="G4320" t="s">
        <v>889</v>
      </c>
      <c r="H4320" t="s">
        <v>65</v>
      </c>
      <c r="I4320" t="s">
        <v>27</v>
      </c>
      <c r="J4320" s="4">
        <v>7</v>
      </c>
      <c r="K4320">
        <v>1</v>
      </c>
      <c r="L4320">
        <v>7</v>
      </c>
      <c r="M4320">
        <v>7</v>
      </c>
      <c r="N4320" s="5">
        <v>0.35616159560394833</v>
      </c>
      <c r="O4320" t="s">
        <v>39</v>
      </c>
      <c r="P4320" t="s">
        <v>340</v>
      </c>
      <c r="Q4320" s="10" t="s">
        <v>1102</v>
      </c>
    </row>
    <row r="4321" spans="1:18" hidden="1" x14ac:dyDescent="0.25">
      <c r="A4321" s="9" t="s">
        <v>1105</v>
      </c>
      <c r="B4321" s="3" t="s">
        <v>1196</v>
      </c>
      <c r="C4321" s="10">
        <v>22</v>
      </c>
      <c r="D4321" s="10">
        <v>8</v>
      </c>
      <c r="E4321" s="10">
        <v>19</v>
      </c>
      <c r="F4321" t="s">
        <v>81</v>
      </c>
      <c r="G4321" t="s">
        <v>889</v>
      </c>
      <c r="H4321" t="s">
        <v>889</v>
      </c>
      <c r="I4321" t="s">
        <v>39</v>
      </c>
      <c r="J4321" s="4">
        <v>1000</v>
      </c>
      <c r="K4321">
        <v>1</v>
      </c>
      <c r="L4321">
        <v>1000</v>
      </c>
      <c r="M4321">
        <v>1000</v>
      </c>
      <c r="N4321" s="5">
        <v>50.88022794342119</v>
      </c>
      <c r="O4321" t="s">
        <v>39</v>
      </c>
      <c r="P4321" t="s">
        <v>340</v>
      </c>
      <c r="Q4321" s="10" t="s">
        <v>84</v>
      </c>
      <c r="R4321" t="s">
        <v>1194</v>
      </c>
    </row>
    <row r="4322" spans="1:18" hidden="1" x14ac:dyDescent="0.25">
      <c r="A4322" s="9" t="s">
        <v>1105</v>
      </c>
      <c r="B4322" s="3" t="s">
        <v>1187</v>
      </c>
      <c r="C4322" s="10">
        <v>24</v>
      </c>
      <c r="D4322" s="10">
        <v>8</v>
      </c>
      <c r="E4322" s="10">
        <v>19</v>
      </c>
      <c r="F4322" t="s">
        <v>102</v>
      </c>
      <c r="H4322" t="s">
        <v>102</v>
      </c>
      <c r="I4322" t="s">
        <v>27</v>
      </c>
      <c r="J4322" s="4">
        <v>18</v>
      </c>
      <c r="K4322">
        <v>1</v>
      </c>
      <c r="L4322">
        <v>18</v>
      </c>
      <c r="M4322">
        <v>18</v>
      </c>
      <c r="N4322" s="5">
        <v>0.91584410298158136</v>
      </c>
      <c r="O4322" t="s">
        <v>103</v>
      </c>
      <c r="P4322" t="s">
        <v>340</v>
      </c>
      <c r="Q4322" s="10" t="s">
        <v>1102</v>
      </c>
    </row>
    <row r="4323" spans="1:18" hidden="1" x14ac:dyDescent="0.25">
      <c r="A4323" s="9" t="s">
        <v>1105</v>
      </c>
      <c r="B4323" s="3" t="s">
        <v>1187</v>
      </c>
      <c r="C4323" s="10">
        <v>24</v>
      </c>
      <c r="D4323" s="10">
        <v>8</v>
      </c>
      <c r="E4323" s="10">
        <v>19</v>
      </c>
      <c r="F4323" t="s">
        <v>1184</v>
      </c>
      <c r="G4323" t="s">
        <v>889</v>
      </c>
      <c r="H4323" t="s">
        <v>35</v>
      </c>
      <c r="I4323" t="s">
        <v>27</v>
      </c>
      <c r="J4323" s="4">
        <v>90</v>
      </c>
      <c r="K4323">
        <v>1</v>
      </c>
      <c r="L4323">
        <v>90</v>
      </c>
      <c r="M4323">
        <v>90</v>
      </c>
      <c r="N4323" s="5">
        <v>4.5792205149079068</v>
      </c>
      <c r="O4323" t="s">
        <v>100</v>
      </c>
      <c r="P4323" t="s">
        <v>340</v>
      </c>
      <c r="Q4323" s="10" t="s">
        <v>1102</v>
      </c>
    </row>
    <row r="4324" spans="1:18" hidden="1" x14ac:dyDescent="0.25">
      <c r="A4324" s="9" t="s">
        <v>1105</v>
      </c>
      <c r="B4324" s="3" t="s">
        <v>1187</v>
      </c>
      <c r="C4324" s="10">
        <v>24</v>
      </c>
      <c r="D4324" s="10">
        <v>8</v>
      </c>
      <c r="E4324" s="10">
        <v>19</v>
      </c>
      <c r="F4324" t="s">
        <v>71</v>
      </c>
      <c r="G4324" t="s">
        <v>889</v>
      </c>
      <c r="H4324" t="s">
        <v>1748</v>
      </c>
      <c r="I4324" t="s">
        <v>72</v>
      </c>
      <c r="J4324" s="4">
        <v>350</v>
      </c>
      <c r="K4324">
        <v>1</v>
      </c>
      <c r="L4324">
        <v>350</v>
      </c>
      <c r="M4324">
        <v>350</v>
      </c>
      <c r="N4324" s="5">
        <v>17.787839586028458</v>
      </c>
      <c r="O4324" t="s">
        <v>231</v>
      </c>
      <c r="P4324" t="s">
        <v>340</v>
      </c>
      <c r="Q4324" s="10" t="s">
        <v>24</v>
      </c>
      <c r="R4324" t="s">
        <v>1753</v>
      </c>
    </row>
    <row r="4325" spans="1:18" hidden="1" x14ac:dyDescent="0.25">
      <c r="A4325" s="9" t="s">
        <v>1105</v>
      </c>
      <c r="B4325" s="3" t="s">
        <v>1143</v>
      </c>
      <c r="C4325" s="10">
        <v>25</v>
      </c>
      <c r="D4325" s="10">
        <v>8</v>
      </c>
      <c r="E4325" s="10">
        <v>19</v>
      </c>
      <c r="F4325" t="s">
        <v>184</v>
      </c>
      <c r="G4325" t="s">
        <v>304</v>
      </c>
      <c r="H4325" t="s">
        <v>184</v>
      </c>
      <c r="I4325" t="s">
        <v>79</v>
      </c>
      <c r="J4325" s="4">
        <v>30</v>
      </c>
      <c r="K4325">
        <v>1</v>
      </c>
      <c r="L4325">
        <v>30</v>
      </c>
      <c r="M4325">
        <v>30</v>
      </c>
      <c r="N4325" s="5">
        <v>1.5264068383026357</v>
      </c>
      <c r="O4325" t="s">
        <v>39</v>
      </c>
      <c r="P4325" t="s">
        <v>340</v>
      </c>
      <c r="Q4325" s="10" t="s">
        <v>1102</v>
      </c>
    </row>
    <row r="4326" spans="1:18" hidden="1" x14ac:dyDescent="0.25">
      <c r="A4326" s="9" t="s">
        <v>1105</v>
      </c>
      <c r="B4326" s="3" t="s">
        <v>1143</v>
      </c>
      <c r="C4326" s="10">
        <v>25</v>
      </c>
      <c r="D4326" s="10">
        <v>8</v>
      </c>
      <c r="E4326" s="10">
        <v>19</v>
      </c>
      <c r="F4326" t="s">
        <v>102</v>
      </c>
      <c r="H4326" t="s">
        <v>102</v>
      </c>
      <c r="I4326" t="s">
        <v>27</v>
      </c>
      <c r="J4326" s="4">
        <v>80</v>
      </c>
      <c r="K4326">
        <v>1</v>
      </c>
      <c r="L4326">
        <v>80</v>
      </c>
      <c r="M4326">
        <v>80</v>
      </c>
      <c r="N4326" s="5">
        <v>4.0704182354736949</v>
      </c>
      <c r="O4326" t="s">
        <v>39</v>
      </c>
      <c r="P4326" t="s">
        <v>340</v>
      </c>
      <c r="Q4326" s="10" t="s">
        <v>1102</v>
      </c>
      <c r="R4326" t="s">
        <v>1142</v>
      </c>
    </row>
    <row r="4327" spans="1:18" hidden="1" x14ac:dyDescent="0.25">
      <c r="A4327" s="9" t="s">
        <v>1105</v>
      </c>
      <c r="B4327" s="3" t="s">
        <v>1143</v>
      </c>
      <c r="C4327" s="10">
        <v>25</v>
      </c>
      <c r="D4327" s="10">
        <v>8</v>
      </c>
      <c r="E4327" s="10">
        <v>19</v>
      </c>
      <c r="F4327" t="s">
        <v>169</v>
      </c>
      <c r="G4327" t="s">
        <v>889</v>
      </c>
      <c r="H4327" t="s">
        <v>170</v>
      </c>
      <c r="I4327" t="s">
        <v>105</v>
      </c>
      <c r="J4327" s="4">
        <v>210</v>
      </c>
      <c r="K4327">
        <v>1</v>
      </c>
      <c r="L4327">
        <v>210</v>
      </c>
      <c r="M4327">
        <v>210</v>
      </c>
      <c r="N4327" s="5">
        <v>10.68484786811845</v>
      </c>
      <c r="O4327" t="s">
        <v>39</v>
      </c>
      <c r="P4327" t="s">
        <v>340</v>
      </c>
      <c r="Q4327" s="10" t="s">
        <v>1102</v>
      </c>
    </row>
    <row r="4328" spans="1:18" hidden="1" x14ac:dyDescent="0.25">
      <c r="A4328" s="9" t="s">
        <v>1105</v>
      </c>
      <c r="B4328" s="3" t="s">
        <v>1143</v>
      </c>
      <c r="C4328" s="10">
        <v>25</v>
      </c>
      <c r="D4328" s="10">
        <v>8</v>
      </c>
      <c r="E4328" s="10">
        <v>19</v>
      </c>
      <c r="F4328" t="s">
        <v>176</v>
      </c>
      <c r="G4328" t="s">
        <v>889</v>
      </c>
      <c r="H4328" t="s">
        <v>176</v>
      </c>
      <c r="I4328" t="s">
        <v>105</v>
      </c>
      <c r="J4328" s="4">
        <v>141.69999999999999</v>
      </c>
      <c r="K4328">
        <v>1</v>
      </c>
      <c r="L4328">
        <v>141.69999999999999</v>
      </c>
      <c r="M4328">
        <v>141.69999999999999</v>
      </c>
      <c r="N4328" s="5">
        <v>7.2097282995827818</v>
      </c>
      <c r="O4328" t="s">
        <v>39</v>
      </c>
      <c r="P4328" t="s">
        <v>340</v>
      </c>
      <c r="Q4328" s="10" t="s">
        <v>1102</v>
      </c>
    </row>
    <row r="4329" spans="1:18" hidden="1" x14ac:dyDescent="0.25">
      <c r="A4329" s="9" t="s">
        <v>1105</v>
      </c>
      <c r="B4329" s="3" t="s">
        <v>1143</v>
      </c>
      <c r="C4329" s="10">
        <v>25</v>
      </c>
      <c r="D4329" s="10">
        <v>8</v>
      </c>
      <c r="E4329" s="10">
        <v>19</v>
      </c>
      <c r="F4329" t="s">
        <v>179</v>
      </c>
      <c r="G4329" t="s">
        <v>889</v>
      </c>
      <c r="H4329" t="s">
        <v>179</v>
      </c>
      <c r="I4329" t="s">
        <v>105</v>
      </c>
      <c r="J4329" s="4">
        <v>60</v>
      </c>
      <c r="K4329">
        <v>1</v>
      </c>
      <c r="L4329">
        <v>60</v>
      </c>
      <c r="M4329">
        <v>60</v>
      </c>
      <c r="N4329" s="5">
        <v>3.0528136766052714</v>
      </c>
      <c r="O4329" t="s">
        <v>39</v>
      </c>
      <c r="P4329" t="s">
        <v>340</v>
      </c>
      <c r="Q4329" s="10" t="s">
        <v>1102</v>
      </c>
    </row>
    <row r="4330" spans="1:18" hidden="1" x14ac:dyDescent="0.25">
      <c r="A4330" s="9" t="s">
        <v>1105</v>
      </c>
      <c r="B4330" s="3" t="s">
        <v>1143</v>
      </c>
      <c r="C4330" s="10">
        <v>25</v>
      </c>
      <c r="D4330" s="10">
        <v>8</v>
      </c>
      <c r="E4330" s="10">
        <v>19</v>
      </c>
      <c r="F4330" t="s">
        <v>168</v>
      </c>
      <c r="G4330" t="s">
        <v>889</v>
      </c>
      <c r="H4330" t="s">
        <v>168</v>
      </c>
      <c r="I4330" t="s">
        <v>105</v>
      </c>
      <c r="J4330" s="4">
        <v>228</v>
      </c>
      <c r="K4330">
        <v>1</v>
      </c>
      <c r="L4330">
        <v>228</v>
      </c>
      <c r="M4330">
        <v>228</v>
      </c>
      <c r="N4330" s="5">
        <v>11.60069197110003</v>
      </c>
      <c r="O4330" t="s">
        <v>39</v>
      </c>
      <c r="P4330" t="s">
        <v>340</v>
      </c>
      <c r="Q4330" s="10" t="s">
        <v>1102</v>
      </c>
    </row>
    <row r="4331" spans="1:18" hidden="1" x14ac:dyDescent="0.25">
      <c r="A4331" s="9" t="s">
        <v>1105</v>
      </c>
      <c r="B4331" s="3" t="s">
        <v>1179</v>
      </c>
      <c r="C4331" s="10">
        <v>26</v>
      </c>
      <c r="D4331" s="10">
        <v>8</v>
      </c>
      <c r="E4331" s="10">
        <v>19</v>
      </c>
      <c r="F4331" t="s">
        <v>99</v>
      </c>
      <c r="G4331" t="s">
        <v>889</v>
      </c>
      <c r="H4331" t="s">
        <v>40</v>
      </c>
      <c r="I4331" t="s">
        <v>27</v>
      </c>
      <c r="J4331" s="4">
        <v>10</v>
      </c>
      <c r="K4331">
        <v>1</v>
      </c>
      <c r="L4331">
        <v>10</v>
      </c>
      <c r="M4331">
        <v>10</v>
      </c>
      <c r="N4331" s="5">
        <v>0.50880227943421186</v>
      </c>
      <c r="O4331" t="s">
        <v>100</v>
      </c>
      <c r="P4331" t="s">
        <v>340</v>
      </c>
      <c r="Q4331" s="10" t="s">
        <v>1102</v>
      </c>
    </row>
    <row r="4332" spans="1:18" hidden="1" x14ac:dyDescent="0.25">
      <c r="A4332" s="9" t="s">
        <v>1105</v>
      </c>
      <c r="B4332" s="3" t="s">
        <v>1179</v>
      </c>
      <c r="C4332" s="10">
        <v>26</v>
      </c>
      <c r="D4332" s="10">
        <v>8</v>
      </c>
      <c r="E4332" s="10">
        <v>19</v>
      </c>
      <c r="F4332" t="s">
        <v>108</v>
      </c>
      <c r="G4332" t="s">
        <v>889</v>
      </c>
      <c r="H4332" t="s">
        <v>54</v>
      </c>
      <c r="I4332" t="s">
        <v>27</v>
      </c>
      <c r="J4332" s="4">
        <v>17.899999999999999</v>
      </c>
      <c r="K4332">
        <v>0.47799999999999998</v>
      </c>
      <c r="L4332">
        <v>17.899999999999999</v>
      </c>
      <c r="M4332">
        <v>8.5561999999999987</v>
      </c>
      <c r="N4332" s="5">
        <v>0.4353414063295003</v>
      </c>
      <c r="O4332" t="s">
        <v>100</v>
      </c>
      <c r="P4332" t="s">
        <v>340</v>
      </c>
      <c r="Q4332" s="10" t="s">
        <v>1102</v>
      </c>
    </row>
    <row r="4333" spans="1:18" hidden="1" x14ac:dyDescent="0.25">
      <c r="A4333" s="9" t="s">
        <v>1105</v>
      </c>
      <c r="B4333" s="3" t="s">
        <v>1179</v>
      </c>
      <c r="C4333" s="10">
        <v>26</v>
      </c>
      <c r="D4333" s="10">
        <v>8</v>
      </c>
      <c r="E4333" s="10">
        <v>19</v>
      </c>
      <c r="F4333" t="s">
        <v>404</v>
      </c>
      <c r="G4333" t="s">
        <v>889</v>
      </c>
      <c r="H4333" t="s">
        <v>54</v>
      </c>
      <c r="I4333" t="s">
        <v>27</v>
      </c>
      <c r="J4333" s="4">
        <v>52.6</v>
      </c>
      <c r="K4333">
        <v>0.36</v>
      </c>
      <c r="L4333">
        <v>52.6</v>
      </c>
      <c r="M4333">
        <v>18.936</v>
      </c>
      <c r="N4333" s="5">
        <v>0.96346799633662361</v>
      </c>
      <c r="O4333" t="s">
        <v>100</v>
      </c>
      <c r="P4333" t="s">
        <v>340</v>
      </c>
      <c r="Q4333" s="10" t="s">
        <v>1102</v>
      </c>
    </row>
    <row r="4334" spans="1:18" hidden="1" x14ac:dyDescent="0.25">
      <c r="A4334" s="9" t="s">
        <v>1105</v>
      </c>
      <c r="B4334" s="3" t="s">
        <v>1179</v>
      </c>
      <c r="C4334" s="10">
        <v>26</v>
      </c>
      <c r="D4334" s="10">
        <v>8</v>
      </c>
      <c r="E4334" s="10">
        <v>19</v>
      </c>
      <c r="F4334" t="s">
        <v>109</v>
      </c>
      <c r="G4334" t="s">
        <v>889</v>
      </c>
      <c r="H4334" t="s">
        <v>54</v>
      </c>
      <c r="I4334" t="s">
        <v>27</v>
      </c>
      <c r="J4334" s="4">
        <v>33.6</v>
      </c>
      <c r="K4334">
        <v>0.56000000000000005</v>
      </c>
      <c r="L4334">
        <v>33.6</v>
      </c>
      <c r="M4334">
        <v>18.816000000000003</v>
      </c>
      <c r="N4334" s="5">
        <v>0.9573623689834132</v>
      </c>
      <c r="O4334" t="s">
        <v>100</v>
      </c>
      <c r="P4334" t="s">
        <v>340</v>
      </c>
      <c r="Q4334" s="10" t="s">
        <v>1102</v>
      </c>
    </row>
    <row r="4335" spans="1:18" hidden="1" x14ac:dyDescent="0.25">
      <c r="A4335" s="9" t="s">
        <v>1105</v>
      </c>
      <c r="B4335" s="3" t="s">
        <v>1179</v>
      </c>
      <c r="C4335" s="10">
        <v>26</v>
      </c>
      <c r="D4335" s="10">
        <v>8</v>
      </c>
      <c r="E4335" s="10">
        <v>19</v>
      </c>
      <c r="F4335" t="s">
        <v>1171</v>
      </c>
      <c r="G4335" t="s">
        <v>889</v>
      </c>
      <c r="H4335" t="s">
        <v>35</v>
      </c>
      <c r="I4335" t="s">
        <v>27</v>
      </c>
      <c r="J4335" s="4">
        <v>336.6</v>
      </c>
      <c r="K4335">
        <v>9.1999999999999998E-2</v>
      </c>
      <c r="L4335">
        <v>336.6</v>
      </c>
      <c r="M4335">
        <v>30.967200000000002</v>
      </c>
      <c r="N4335" s="5">
        <v>1.5756181947695127</v>
      </c>
      <c r="O4335" t="s">
        <v>100</v>
      </c>
      <c r="P4335" t="s">
        <v>340</v>
      </c>
      <c r="Q4335" s="10" t="s">
        <v>1102</v>
      </c>
    </row>
    <row r="4336" spans="1:18" hidden="1" x14ac:dyDescent="0.25">
      <c r="A4336" s="9" t="s">
        <v>1105</v>
      </c>
      <c r="B4336" s="3" t="s">
        <v>1179</v>
      </c>
      <c r="C4336" s="10">
        <v>26</v>
      </c>
      <c r="D4336" s="10">
        <v>8</v>
      </c>
      <c r="E4336" s="10">
        <v>19</v>
      </c>
      <c r="F4336" t="s">
        <v>2041</v>
      </c>
      <c r="G4336" t="s">
        <v>889</v>
      </c>
      <c r="H4336" t="s">
        <v>35</v>
      </c>
      <c r="I4336" t="s">
        <v>27</v>
      </c>
      <c r="J4336" s="4">
        <v>145.6</v>
      </c>
      <c r="K4336">
        <v>0.14599999999999999</v>
      </c>
      <c r="L4336">
        <v>145.6</v>
      </c>
      <c r="M4336">
        <v>21.257599999999996</v>
      </c>
      <c r="N4336" s="5">
        <v>1.0815915335300701</v>
      </c>
      <c r="O4336" t="s">
        <v>100</v>
      </c>
      <c r="P4336" t="s">
        <v>340</v>
      </c>
      <c r="Q4336" s="10" t="s">
        <v>1102</v>
      </c>
    </row>
    <row r="4337" spans="1:18" hidden="1" x14ac:dyDescent="0.25">
      <c r="A4337" s="9" t="s">
        <v>1105</v>
      </c>
      <c r="B4337" s="3" t="s">
        <v>1179</v>
      </c>
      <c r="C4337" s="10">
        <v>26</v>
      </c>
      <c r="D4337" s="10">
        <v>8</v>
      </c>
      <c r="E4337" s="10">
        <v>19</v>
      </c>
      <c r="F4337" s="10" t="s">
        <v>104</v>
      </c>
      <c r="G4337" t="s">
        <v>889</v>
      </c>
      <c r="H4337" t="s">
        <v>1748</v>
      </c>
      <c r="I4337" t="s">
        <v>72</v>
      </c>
      <c r="J4337" s="4">
        <v>123.68</v>
      </c>
      <c r="K4337">
        <v>1</v>
      </c>
      <c r="L4337">
        <v>123.68</v>
      </c>
      <c r="M4337">
        <v>123.68</v>
      </c>
      <c r="N4337" s="5">
        <v>6.2928665920423326</v>
      </c>
      <c r="O4337" s="5" t="s">
        <v>629</v>
      </c>
      <c r="P4337" t="s">
        <v>340</v>
      </c>
      <c r="Q4337" s="10" t="s">
        <v>1102</v>
      </c>
      <c r="R4337" t="s">
        <v>1175</v>
      </c>
    </row>
    <row r="4338" spans="1:18" hidden="1" x14ac:dyDescent="0.25">
      <c r="A4338" s="9" t="s">
        <v>1105</v>
      </c>
      <c r="B4338" s="3" t="s">
        <v>1179</v>
      </c>
      <c r="C4338" s="10">
        <v>26</v>
      </c>
      <c r="D4338" s="10">
        <v>8</v>
      </c>
      <c r="E4338" s="10">
        <v>19</v>
      </c>
      <c r="F4338" s="10" t="s">
        <v>104</v>
      </c>
      <c r="G4338" t="s">
        <v>889</v>
      </c>
      <c r="H4338" t="s">
        <v>1748</v>
      </c>
      <c r="I4338" t="s">
        <v>72</v>
      </c>
      <c r="J4338" s="4">
        <v>13.15</v>
      </c>
      <c r="K4338">
        <v>1</v>
      </c>
      <c r="L4338">
        <v>13.15</v>
      </c>
      <c r="M4338">
        <v>13.15</v>
      </c>
      <c r="N4338" s="5">
        <v>0.66907499745598864</v>
      </c>
      <c r="O4338" s="5" t="s">
        <v>629</v>
      </c>
      <c r="P4338" t="s">
        <v>340</v>
      </c>
      <c r="Q4338" s="10" t="s">
        <v>1102</v>
      </c>
      <c r="R4338" t="s">
        <v>1176</v>
      </c>
    </row>
    <row r="4339" spans="1:18" hidden="1" x14ac:dyDescent="0.25">
      <c r="A4339" s="9" t="s">
        <v>1105</v>
      </c>
      <c r="B4339" s="3" t="s">
        <v>1179</v>
      </c>
      <c r="C4339" s="10">
        <v>26</v>
      </c>
      <c r="D4339" s="10">
        <v>8</v>
      </c>
      <c r="E4339" s="10">
        <v>19</v>
      </c>
      <c r="F4339" s="10" t="s">
        <v>1177</v>
      </c>
      <c r="G4339" t="s">
        <v>889</v>
      </c>
      <c r="H4339" t="s">
        <v>889</v>
      </c>
      <c r="I4339" t="s">
        <v>72</v>
      </c>
      <c r="J4339" s="4">
        <v>12.01</v>
      </c>
      <c r="K4339">
        <v>1</v>
      </c>
      <c r="L4339">
        <v>12.01</v>
      </c>
      <c r="M4339">
        <v>12.01</v>
      </c>
      <c r="N4339" s="5">
        <v>0.61107153760048849</v>
      </c>
      <c r="O4339" s="5" t="s">
        <v>629</v>
      </c>
      <c r="P4339" t="s">
        <v>340</v>
      </c>
      <c r="Q4339" s="10" t="s">
        <v>1102</v>
      </c>
      <c r="R4339" t="s">
        <v>1177</v>
      </c>
    </row>
    <row r="4340" spans="1:18" hidden="1" x14ac:dyDescent="0.25">
      <c r="A4340" s="9" t="s">
        <v>1105</v>
      </c>
      <c r="B4340" s="3" t="s">
        <v>1179</v>
      </c>
      <c r="C4340" s="10">
        <v>26</v>
      </c>
      <c r="D4340" s="10">
        <v>8</v>
      </c>
      <c r="E4340" s="10">
        <v>19</v>
      </c>
      <c r="F4340" t="s">
        <v>159</v>
      </c>
      <c r="H4340" t="s">
        <v>1748</v>
      </c>
      <c r="I4340" t="s">
        <v>72</v>
      </c>
      <c r="J4340" s="4">
        <v>59.11</v>
      </c>
      <c r="K4340">
        <v>1</v>
      </c>
      <c r="L4340">
        <v>59.11</v>
      </c>
      <c r="M4340">
        <v>59.11</v>
      </c>
      <c r="N4340" s="5">
        <v>3.0075302737356262</v>
      </c>
      <c r="O4340" s="5" t="s">
        <v>629</v>
      </c>
      <c r="P4340" t="s">
        <v>340</v>
      </c>
      <c r="Q4340" s="10" t="s">
        <v>1102</v>
      </c>
      <c r="R4340" t="s">
        <v>1117</v>
      </c>
    </row>
    <row r="4341" spans="1:18" hidden="1" x14ac:dyDescent="0.25">
      <c r="A4341" s="9" t="s">
        <v>1105</v>
      </c>
      <c r="B4341" s="3" t="s">
        <v>1179</v>
      </c>
      <c r="C4341" s="10">
        <v>26</v>
      </c>
      <c r="D4341" s="10">
        <v>8</v>
      </c>
      <c r="E4341" s="10">
        <v>19</v>
      </c>
      <c r="F4341" t="s">
        <v>159</v>
      </c>
      <c r="G4341" t="s">
        <v>889</v>
      </c>
      <c r="H4341" t="s">
        <v>1748</v>
      </c>
      <c r="I4341" t="s">
        <v>72</v>
      </c>
      <c r="J4341" s="4">
        <v>131.91</v>
      </c>
      <c r="K4341">
        <v>1</v>
      </c>
      <c r="L4341">
        <v>131.91</v>
      </c>
      <c r="M4341">
        <v>131.91</v>
      </c>
      <c r="N4341" s="5">
        <v>6.7116108680166882</v>
      </c>
      <c r="O4341" s="5" t="s">
        <v>629</v>
      </c>
      <c r="P4341" t="s">
        <v>340</v>
      </c>
      <c r="Q4341" s="10" t="s">
        <v>1102</v>
      </c>
      <c r="R4341" t="s">
        <v>1178</v>
      </c>
    </row>
    <row r="4342" spans="1:18" hidden="1" x14ac:dyDescent="0.25">
      <c r="A4342" s="9" t="s">
        <v>1105</v>
      </c>
      <c r="B4342" s="3" t="s">
        <v>2002</v>
      </c>
      <c r="C4342" s="10">
        <v>27</v>
      </c>
      <c r="D4342" s="10">
        <v>8</v>
      </c>
      <c r="E4342" s="10">
        <v>19</v>
      </c>
      <c r="F4342" t="s">
        <v>92</v>
      </c>
      <c r="G4342" t="s">
        <v>889</v>
      </c>
      <c r="H4342" t="s">
        <v>69</v>
      </c>
      <c r="I4342" t="s">
        <v>27</v>
      </c>
      <c r="J4342" s="4">
        <v>270</v>
      </c>
      <c r="K4342">
        <v>0.154</v>
      </c>
      <c r="L4342">
        <v>270</v>
      </c>
      <c r="M4342">
        <v>41.58</v>
      </c>
      <c r="N4342" s="5">
        <v>2.1131953428201808</v>
      </c>
      <c r="O4342" t="s">
        <v>767</v>
      </c>
      <c r="P4342" t="s">
        <v>340</v>
      </c>
      <c r="Q4342" s="10" t="s">
        <v>24</v>
      </c>
    </row>
    <row r="4343" spans="1:18" hidden="1" x14ac:dyDescent="0.25">
      <c r="A4343" s="9" t="s">
        <v>647</v>
      </c>
      <c r="B4343" s="3" t="s">
        <v>1825</v>
      </c>
      <c r="C4343" s="10">
        <v>3</v>
      </c>
      <c r="D4343" s="10">
        <v>8</v>
      </c>
      <c r="E4343" s="10">
        <v>19</v>
      </c>
      <c r="F4343" t="s">
        <v>60</v>
      </c>
      <c r="G4343" t="s">
        <v>31</v>
      </c>
      <c r="H4343" t="s">
        <v>26</v>
      </c>
      <c r="I4343" t="s">
        <v>27</v>
      </c>
      <c r="J4343" s="4">
        <v>7.45</v>
      </c>
      <c r="K4343">
        <v>2</v>
      </c>
      <c r="L4343">
        <v>7.45</v>
      </c>
      <c r="M4343">
        <v>14.9</v>
      </c>
      <c r="N4343" s="5">
        <v>0.75725374237664012</v>
      </c>
      <c r="O4343" t="s">
        <v>1472</v>
      </c>
      <c r="P4343" t="s">
        <v>340</v>
      </c>
      <c r="Q4343" s="10" t="s">
        <v>24</v>
      </c>
    </row>
    <row r="4344" spans="1:18" hidden="1" x14ac:dyDescent="0.25">
      <c r="A4344" s="9" t="s">
        <v>1105</v>
      </c>
      <c r="B4344" s="3" t="s">
        <v>1825</v>
      </c>
      <c r="C4344" s="10">
        <v>3</v>
      </c>
      <c r="D4344" s="10">
        <v>8</v>
      </c>
      <c r="E4344" s="10">
        <v>19</v>
      </c>
      <c r="F4344" t="s">
        <v>86</v>
      </c>
      <c r="G4344" t="s">
        <v>889</v>
      </c>
      <c r="H4344" t="s">
        <v>102</v>
      </c>
      <c r="I4344" t="s">
        <v>27</v>
      </c>
      <c r="J4344" s="4">
        <v>45</v>
      </c>
      <c r="K4344">
        <v>3</v>
      </c>
      <c r="L4344">
        <v>45</v>
      </c>
      <c r="M4344">
        <v>135</v>
      </c>
      <c r="N4344" s="5">
        <v>6.8610238403252621</v>
      </c>
      <c r="O4344" t="s">
        <v>103</v>
      </c>
      <c r="P4344" t="s">
        <v>340</v>
      </c>
      <c r="Q4344" s="10" t="s">
        <v>24</v>
      </c>
    </row>
    <row r="4345" spans="1:18" hidden="1" x14ac:dyDescent="0.25">
      <c r="A4345" s="9" t="s">
        <v>1105</v>
      </c>
      <c r="B4345" s="3" t="s">
        <v>2252</v>
      </c>
      <c r="C4345" s="10">
        <v>31</v>
      </c>
      <c r="D4345" s="10">
        <v>8</v>
      </c>
      <c r="E4345" s="10">
        <v>19</v>
      </c>
      <c r="F4345" t="s">
        <v>390</v>
      </c>
      <c r="G4345" t="s">
        <v>304</v>
      </c>
      <c r="H4345" t="s">
        <v>39</v>
      </c>
      <c r="I4345" t="s">
        <v>79</v>
      </c>
      <c r="J4345" s="4">
        <v>310.24</v>
      </c>
      <c r="K4345">
        <v>1</v>
      </c>
      <c r="L4345">
        <v>310.24</v>
      </c>
      <c r="M4345">
        <v>310.24</v>
      </c>
      <c r="N4345" s="5">
        <v>15.724277749619869</v>
      </c>
      <c r="O4345" t="s">
        <v>39</v>
      </c>
      <c r="P4345" t="s">
        <v>340</v>
      </c>
      <c r="Q4345" s="10" t="s">
        <v>24</v>
      </c>
    </row>
    <row r="4346" spans="1:18" hidden="1" x14ac:dyDescent="0.25">
      <c r="A4346" s="9" t="s">
        <v>1105</v>
      </c>
      <c r="B4346" s="3" t="s">
        <v>1106</v>
      </c>
      <c r="C4346" s="10">
        <v>4</v>
      </c>
      <c r="D4346" s="10">
        <v>8</v>
      </c>
      <c r="E4346" s="10">
        <v>19</v>
      </c>
      <c r="F4346" t="s">
        <v>141</v>
      </c>
      <c r="G4346" t="s">
        <v>889</v>
      </c>
      <c r="H4346" t="s">
        <v>172</v>
      </c>
      <c r="I4346" t="s">
        <v>39</v>
      </c>
      <c r="J4346" s="4">
        <v>3</v>
      </c>
      <c r="K4346">
        <v>1</v>
      </c>
      <c r="L4346">
        <v>3</v>
      </c>
      <c r="M4346">
        <v>3</v>
      </c>
      <c r="N4346" s="5">
        <v>0.15264068383026355</v>
      </c>
      <c r="O4346" t="s">
        <v>2107</v>
      </c>
      <c r="P4346" t="s">
        <v>340</v>
      </c>
      <c r="Q4346" s="10" t="s">
        <v>1102</v>
      </c>
    </row>
    <row r="4347" spans="1:18" hidden="1" x14ac:dyDescent="0.25">
      <c r="A4347" s="9" t="s">
        <v>1105</v>
      </c>
      <c r="B4347" s="3" t="s">
        <v>1106</v>
      </c>
      <c r="C4347" s="10">
        <v>4</v>
      </c>
      <c r="D4347" s="10">
        <v>8</v>
      </c>
      <c r="E4347" s="10">
        <v>19</v>
      </c>
      <c r="F4347" t="s">
        <v>1104</v>
      </c>
      <c r="G4347" t="s">
        <v>889</v>
      </c>
      <c r="H4347" t="s">
        <v>39</v>
      </c>
      <c r="I4347" t="s">
        <v>27</v>
      </c>
      <c r="J4347" s="4">
        <v>245</v>
      </c>
      <c r="K4347">
        <v>1</v>
      </c>
      <c r="L4347">
        <v>245</v>
      </c>
      <c r="M4347">
        <v>245</v>
      </c>
      <c r="N4347" s="5">
        <v>12.465655846138191</v>
      </c>
      <c r="O4347" t="s">
        <v>593</v>
      </c>
      <c r="P4347" t="s">
        <v>340</v>
      </c>
      <c r="Q4347" s="10" t="s">
        <v>1102</v>
      </c>
    </row>
    <row r="4348" spans="1:18" hidden="1" x14ac:dyDescent="0.25">
      <c r="A4348" s="9" t="s">
        <v>1105</v>
      </c>
      <c r="B4348" s="3" t="s">
        <v>1127</v>
      </c>
      <c r="C4348" s="10">
        <v>5</v>
      </c>
      <c r="D4348" s="10">
        <v>8</v>
      </c>
      <c r="E4348" s="10">
        <v>19</v>
      </c>
      <c r="F4348" t="s">
        <v>1588</v>
      </c>
      <c r="G4348" t="s">
        <v>889</v>
      </c>
      <c r="H4348" t="s">
        <v>1593</v>
      </c>
      <c r="I4348" t="s">
        <v>79</v>
      </c>
      <c r="J4348" s="4">
        <v>200</v>
      </c>
      <c r="K4348">
        <v>1</v>
      </c>
      <c r="L4348">
        <v>200</v>
      </c>
      <c r="M4348">
        <v>200</v>
      </c>
      <c r="N4348" s="5">
        <v>10.176045588684238</v>
      </c>
      <c r="O4348" t="s">
        <v>39</v>
      </c>
      <c r="P4348" t="s">
        <v>340</v>
      </c>
      <c r="Q4348" s="10" t="s">
        <v>1102</v>
      </c>
      <c r="R4348" t="s">
        <v>1549</v>
      </c>
    </row>
    <row r="4349" spans="1:18" hidden="1" x14ac:dyDescent="0.25">
      <c r="A4349" s="9" t="s">
        <v>1105</v>
      </c>
      <c r="B4349" s="3" t="s">
        <v>1127</v>
      </c>
      <c r="C4349" s="10">
        <v>5</v>
      </c>
      <c r="D4349" s="10">
        <v>8</v>
      </c>
      <c r="E4349" s="10">
        <v>19</v>
      </c>
      <c r="F4349" t="s">
        <v>1078</v>
      </c>
      <c r="H4349" t="s">
        <v>65</v>
      </c>
      <c r="I4349" t="s">
        <v>27</v>
      </c>
      <c r="J4349" s="4">
        <v>20</v>
      </c>
      <c r="K4349">
        <v>1</v>
      </c>
      <c r="L4349" s="13">
        <v>20</v>
      </c>
      <c r="M4349">
        <v>20</v>
      </c>
      <c r="N4349" s="5">
        <v>1.0176045588684237</v>
      </c>
      <c r="O4349" t="s">
        <v>39</v>
      </c>
      <c r="P4349" t="s">
        <v>340</v>
      </c>
      <c r="Q4349" s="10" t="s">
        <v>1102</v>
      </c>
    </row>
    <row r="4350" spans="1:18" hidden="1" x14ac:dyDescent="0.25">
      <c r="A4350" s="9" t="s">
        <v>1105</v>
      </c>
      <c r="B4350" s="3" t="s">
        <v>1127</v>
      </c>
      <c r="C4350" s="10">
        <v>5</v>
      </c>
      <c r="D4350" s="10">
        <v>8</v>
      </c>
      <c r="E4350" s="10">
        <v>19</v>
      </c>
      <c r="F4350" t="s">
        <v>141</v>
      </c>
      <c r="G4350" t="s">
        <v>889</v>
      </c>
      <c r="H4350" t="s">
        <v>172</v>
      </c>
      <c r="I4350" t="s">
        <v>39</v>
      </c>
      <c r="J4350" s="4">
        <v>2</v>
      </c>
      <c r="K4350">
        <v>1</v>
      </c>
      <c r="L4350">
        <v>2</v>
      </c>
      <c r="M4350">
        <v>2</v>
      </c>
      <c r="N4350" s="5">
        <v>0.10176045588684238</v>
      </c>
      <c r="O4350" t="s">
        <v>39</v>
      </c>
      <c r="P4350" t="s">
        <v>340</v>
      </c>
      <c r="Q4350" s="10" t="s">
        <v>1102</v>
      </c>
    </row>
    <row r="4351" spans="1:18" hidden="1" x14ac:dyDescent="0.25">
      <c r="A4351" s="9" t="s">
        <v>1105</v>
      </c>
      <c r="B4351" s="3" t="s">
        <v>1127</v>
      </c>
      <c r="C4351" s="10">
        <v>5</v>
      </c>
      <c r="D4351" s="10">
        <v>8</v>
      </c>
      <c r="E4351" s="10">
        <v>19</v>
      </c>
      <c r="F4351" t="s">
        <v>141</v>
      </c>
      <c r="G4351" t="s">
        <v>889</v>
      </c>
      <c r="H4351" t="s">
        <v>172</v>
      </c>
      <c r="I4351" t="s">
        <v>39</v>
      </c>
      <c r="J4351" s="4">
        <v>3</v>
      </c>
      <c r="K4351">
        <v>1</v>
      </c>
      <c r="L4351">
        <v>3</v>
      </c>
      <c r="M4351">
        <v>3</v>
      </c>
      <c r="N4351" s="5">
        <v>0.15264068383026355</v>
      </c>
      <c r="O4351" t="s">
        <v>39</v>
      </c>
      <c r="P4351" t="s">
        <v>340</v>
      </c>
      <c r="Q4351" s="10" t="s">
        <v>1102</v>
      </c>
    </row>
    <row r="4352" spans="1:18" hidden="1" x14ac:dyDescent="0.25">
      <c r="A4352" s="9" t="s">
        <v>1105</v>
      </c>
      <c r="B4352" s="3" t="s">
        <v>1127</v>
      </c>
      <c r="C4352" s="10">
        <v>5</v>
      </c>
      <c r="D4352" s="10">
        <v>8</v>
      </c>
      <c r="E4352" s="10">
        <v>19</v>
      </c>
      <c r="F4352" t="s">
        <v>1056</v>
      </c>
      <c r="G4352" t="s">
        <v>889</v>
      </c>
      <c r="H4352" t="s">
        <v>172</v>
      </c>
      <c r="I4352" t="s">
        <v>39</v>
      </c>
      <c r="J4352" s="4">
        <v>55</v>
      </c>
      <c r="K4352">
        <v>1</v>
      </c>
      <c r="L4352">
        <v>55</v>
      </c>
      <c r="M4352">
        <v>55</v>
      </c>
      <c r="N4352" s="5">
        <v>2.7984125368881654</v>
      </c>
      <c r="O4352" t="s">
        <v>39</v>
      </c>
      <c r="P4352" t="s">
        <v>340</v>
      </c>
      <c r="Q4352" s="10" t="s">
        <v>1102</v>
      </c>
    </row>
    <row r="4353" spans="1:18" hidden="1" x14ac:dyDescent="0.25">
      <c r="A4353" s="9" t="s">
        <v>1105</v>
      </c>
      <c r="B4353" s="3" t="s">
        <v>1128</v>
      </c>
      <c r="C4353" s="10">
        <v>7</v>
      </c>
      <c r="D4353" s="10">
        <v>8</v>
      </c>
      <c r="E4353" s="10">
        <v>19</v>
      </c>
      <c r="F4353" t="s">
        <v>53</v>
      </c>
      <c r="G4353" t="s">
        <v>889</v>
      </c>
      <c r="H4353" t="s">
        <v>53</v>
      </c>
      <c r="I4353" t="s">
        <v>27</v>
      </c>
      <c r="J4353" s="4">
        <v>10</v>
      </c>
      <c r="K4353">
        <v>1</v>
      </c>
      <c r="L4353">
        <v>10</v>
      </c>
      <c r="M4353">
        <v>10</v>
      </c>
      <c r="N4353" s="5">
        <v>0.50880227943421186</v>
      </c>
      <c r="O4353" t="s">
        <v>39</v>
      </c>
      <c r="P4353" t="s">
        <v>340</v>
      </c>
      <c r="Q4353" s="10" t="s">
        <v>1102</v>
      </c>
    </row>
    <row r="4354" spans="1:18" hidden="1" x14ac:dyDescent="0.25">
      <c r="A4354" s="9" t="s">
        <v>1105</v>
      </c>
      <c r="B4354" s="3" t="s">
        <v>1128</v>
      </c>
      <c r="C4354" s="10">
        <v>7</v>
      </c>
      <c r="D4354" s="10">
        <v>8</v>
      </c>
      <c r="E4354" s="10">
        <v>19</v>
      </c>
      <c r="F4354" t="s">
        <v>71</v>
      </c>
      <c r="I4354" t="s">
        <v>72</v>
      </c>
      <c r="J4354" s="4">
        <v>700</v>
      </c>
      <c r="K4354">
        <v>1</v>
      </c>
      <c r="L4354">
        <v>700</v>
      </c>
      <c r="M4354">
        <v>700</v>
      </c>
      <c r="N4354" s="5">
        <v>35.616159560394834</v>
      </c>
      <c r="O4354" t="s">
        <v>1192</v>
      </c>
      <c r="P4354" t="s">
        <v>340</v>
      </c>
      <c r="Q4354" s="10" t="s">
        <v>1102</v>
      </c>
      <c r="R4354" t="s">
        <v>1495</v>
      </c>
    </row>
    <row r="4355" spans="1:18" hidden="1" x14ac:dyDescent="0.25">
      <c r="A4355" s="9" t="s">
        <v>1105</v>
      </c>
      <c r="B4355" s="3" t="s">
        <v>1128</v>
      </c>
      <c r="C4355" s="10">
        <v>7</v>
      </c>
      <c r="D4355" s="10">
        <v>8</v>
      </c>
      <c r="E4355" s="10">
        <v>19</v>
      </c>
      <c r="F4355" t="s">
        <v>39</v>
      </c>
      <c r="G4355" t="s">
        <v>889</v>
      </c>
      <c r="H4355" t="s">
        <v>889</v>
      </c>
      <c r="I4355" t="s">
        <v>39</v>
      </c>
      <c r="J4355" s="4">
        <v>600</v>
      </c>
      <c r="K4355">
        <v>1</v>
      </c>
      <c r="L4355">
        <v>600</v>
      </c>
      <c r="M4355">
        <v>600</v>
      </c>
      <c r="N4355" s="5">
        <v>30.4934392903345</v>
      </c>
      <c r="O4355" t="s">
        <v>39</v>
      </c>
      <c r="P4355" t="s">
        <v>340</v>
      </c>
      <c r="Q4355" s="10" t="s">
        <v>24</v>
      </c>
      <c r="R4355" t="s">
        <v>2027</v>
      </c>
    </row>
    <row r="4356" spans="1:18" hidden="1" x14ac:dyDescent="0.25">
      <c r="A4356" s="9" t="s">
        <v>1105</v>
      </c>
      <c r="B4356" s="3" t="s">
        <v>1129</v>
      </c>
      <c r="C4356" s="10">
        <v>8</v>
      </c>
      <c r="D4356" s="10">
        <v>8</v>
      </c>
      <c r="E4356" s="10">
        <v>19</v>
      </c>
      <c r="F4356" t="s">
        <v>184</v>
      </c>
      <c r="G4356" t="s">
        <v>889</v>
      </c>
      <c r="H4356" t="s">
        <v>184</v>
      </c>
      <c r="I4356" t="s">
        <v>79</v>
      </c>
      <c r="J4356" s="4">
        <v>40</v>
      </c>
      <c r="K4356">
        <v>1</v>
      </c>
      <c r="L4356">
        <v>40</v>
      </c>
      <c r="M4356">
        <v>40</v>
      </c>
      <c r="N4356" s="5">
        <v>2.0352091177368474</v>
      </c>
      <c r="O4356" t="s">
        <v>39</v>
      </c>
      <c r="P4356" t="s">
        <v>340</v>
      </c>
      <c r="Q4356" s="10" t="s">
        <v>1102</v>
      </c>
      <c r="R4356" t="s">
        <v>1549</v>
      </c>
    </row>
    <row r="4357" spans="1:18" hidden="1" x14ac:dyDescent="0.25">
      <c r="A4357" s="9" t="s">
        <v>1153</v>
      </c>
      <c r="B4357" s="3" t="s">
        <v>1160</v>
      </c>
      <c r="C4357" s="10">
        <v>10</v>
      </c>
      <c r="D4357" s="10">
        <v>9</v>
      </c>
      <c r="E4357" s="10">
        <v>19</v>
      </c>
      <c r="F4357" t="s">
        <v>246</v>
      </c>
      <c r="H4357" t="s">
        <v>1748</v>
      </c>
      <c r="I4357" t="s">
        <v>72</v>
      </c>
      <c r="J4357" s="4">
        <v>660</v>
      </c>
      <c r="K4357">
        <v>1</v>
      </c>
      <c r="L4357">
        <v>660</v>
      </c>
      <c r="M4357">
        <v>660</v>
      </c>
      <c r="N4357" s="5">
        <v>33.580950442657986</v>
      </c>
      <c r="O4357" t="s">
        <v>567</v>
      </c>
      <c r="P4357" t="s">
        <v>340</v>
      </c>
      <c r="Q4357" s="10" t="s">
        <v>1102</v>
      </c>
      <c r="R4357" t="s">
        <v>1750</v>
      </c>
    </row>
    <row r="4358" spans="1:18" hidden="1" x14ac:dyDescent="0.25">
      <c r="A4358" s="9" t="s">
        <v>1153</v>
      </c>
      <c r="B4358" s="3" t="s">
        <v>1160</v>
      </c>
      <c r="C4358" s="10">
        <v>10</v>
      </c>
      <c r="D4358" s="10">
        <v>9</v>
      </c>
      <c r="E4358" s="10">
        <v>19</v>
      </c>
      <c r="F4358" t="s">
        <v>94</v>
      </c>
      <c r="G4358" t="s">
        <v>889</v>
      </c>
      <c r="H4358" t="s">
        <v>889</v>
      </c>
      <c r="I4358" t="s">
        <v>87</v>
      </c>
      <c r="J4358" s="4">
        <v>130</v>
      </c>
      <c r="K4358">
        <v>1</v>
      </c>
      <c r="L4358">
        <v>130</v>
      </c>
      <c r="M4358">
        <v>130</v>
      </c>
      <c r="N4358" s="5">
        <v>6.6144296326447547</v>
      </c>
      <c r="O4358" t="s">
        <v>598</v>
      </c>
      <c r="P4358" t="s">
        <v>340</v>
      </c>
      <c r="Q4358" s="10" t="s">
        <v>1102</v>
      </c>
      <c r="R4358" t="s">
        <v>1161</v>
      </c>
    </row>
    <row r="4359" spans="1:18" hidden="1" x14ac:dyDescent="0.25">
      <c r="A4359" s="9" t="s">
        <v>1153</v>
      </c>
      <c r="B4359" s="3" t="s">
        <v>1160</v>
      </c>
      <c r="C4359" s="10">
        <v>10</v>
      </c>
      <c r="D4359" s="10">
        <v>9</v>
      </c>
      <c r="E4359" s="10">
        <v>19</v>
      </c>
      <c r="F4359" t="s">
        <v>81</v>
      </c>
      <c r="G4359" t="s">
        <v>889</v>
      </c>
      <c r="H4359" t="s">
        <v>889</v>
      </c>
      <c r="I4359" t="s">
        <v>39</v>
      </c>
      <c r="J4359" s="4">
        <v>800</v>
      </c>
      <c r="K4359">
        <v>1</v>
      </c>
      <c r="L4359">
        <v>800</v>
      </c>
      <c r="M4359">
        <v>800</v>
      </c>
      <c r="N4359" s="5">
        <v>40.70418235473695</v>
      </c>
      <c r="O4359" t="s">
        <v>1163</v>
      </c>
      <c r="P4359" t="s">
        <v>340</v>
      </c>
      <c r="Q4359" s="10" t="s">
        <v>84</v>
      </c>
      <c r="R4359" t="s">
        <v>1162</v>
      </c>
    </row>
    <row r="4360" spans="1:18" hidden="1" x14ac:dyDescent="0.25">
      <c r="A4360" s="9" t="s">
        <v>1153</v>
      </c>
      <c r="B4360" s="3" t="s">
        <v>1160</v>
      </c>
      <c r="C4360" s="10">
        <v>10</v>
      </c>
      <c r="D4360" s="10">
        <v>9</v>
      </c>
      <c r="E4360" s="10">
        <v>19</v>
      </c>
      <c r="F4360" s="10" t="s">
        <v>77</v>
      </c>
      <c r="G4360" t="s">
        <v>77</v>
      </c>
      <c r="H4360" t="s">
        <v>26</v>
      </c>
      <c r="I4360" t="s">
        <v>27</v>
      </c>
      <c r="J4360" s="4">
        <v>19.399999999999999</v>
      </c>
      <c r="K4360">
        <v>1</v>
      </c>
      <c r="L4360">
        <v>19.399999999999999</v>
      </c>
      <c r="M4360">
        <v>19.399999999999999</v>
      </c>
      <c r="N4360" s="5">
        <v>0.9870764221023709</v>
      </c>
      <c r="O4360" s="5" t="s">
        <v>101</v>
      </c>
      <c r="P4360" t="s">
        <v>340</v>
      </c>
      <c r="Q4360" s="10" t="s">
        <v>1102</v>
      </c>
      <c r="R4360" s="10"/>
    </row>
    <row r="4361" spans="1:18" hidden="1" x14ac:dyDescent="0.25">
      <c r="A4361" s="9" t="s">
        <v>1153</v>
      </c>
      <c r="B4361" s="3" t="s">
        <v>1160</v>
      </c>
      <c r="C4361" s="10">
        <v>10</v>
      </c>
      <c r="D4361" s="10">
        <v>9</v>
      </c>
      <c r="E4361" s="10">
        <v>19</v>
      </c>
      <c r="F4361" t="s">
        <v>2242</v>
      </c>
      <c r="G4361" t="s">
        <v>345</v>
      </c>
      <c r="H4361" t="s">
        <v>26</v>
      </c>
      <c r="I4361" t="s">
        <v>27</v>
      </c>
      <c r="J4361" s="4">
        <v>6.7</v>
      </c>
      <c r="K4361">
        <v>1</v>
      </c>
      <c r="L4361">
        <v>6.7</v>
      </c>
      <c r="M4361">
        <v>6.7</v>
      </c>
      <c r="N4361" s="5">
        <v>0.34089752722092198</v>
      </c>
      <c r="O4361" s="5" t="s">
        <v>101</v>
      </c>
      <c r="P4361" t="s">
        <v>340</v>
      </c>
      <c r="Q4361" s="10" t="s">
        <v>1102</v>
      </c>
      <c r="R4361" s="10"/>
    </row>
    <row r="4362" spans="1:18" hidden="1" x14ac:dyDescent="0.25">
      <c r="A4362" s="9" t="s">
        <v>1153</v>
      </c>
      <c r="B4362" s="3" t="s">
        <v>1160</v>
      </c>
      <c r="C4362" s="10">
        <v>10</v>
      </c>
      <c r="D4362" s="10">
        <v>9</v>
      </c>
      <c r="E4362" s="10">
        <v>19</v>
      </c>
      <c r="F4362" s="10" t="s">
        <v>676</v>
      </c>
      <c r="G4362" t="s">
        <v>39</v>
      </c>
      <c r="H4362" t="s">
        <v>131</v>
      </c>
      <c r="I4362" t="s">
        <v>27</v>
      </c>
      <c r="J4362" s="4">
        <v>5.3</v>
      </c>
      <c r="K4362">
        <v>1</v>
      </c>
      <c r="L4362">
        <v>5.3</v>
      </c>
      <c r="M4362">
        <v>5.3</v>
      </c>
      <c r="N4362" s="5">
        <v>0.26966520810013228</v>
      </c>
      <c r="O4362" s="5" t="s">
        <v>101</v>
      </c>
      <c r="P4362" t="s">
        <v>340</v>
      </c>
      <c r="Q4362" s="10" t="s">
        <v>1102</v>
      </c>
      <c r="R4362" s="10"/>
    </row>
    <row r="4363" spans="1:18" hidden="1" x14ac:dyDescent="0.25">
      <c r="A4363" s="9" t="s">
        <v>647</v>
      </c>
      <c r="B4363" s="3" t="s">
        <v>1160</v>
      </c>
      <c r="C4363" s="10">
        <v>10</v>
      </c>
      <c r="D4363" s="10">
        <v>9</v>
      </c>
      <c r="E4363" s="10">
        <v>19</v>
      </c>
      <c r="F4363" t="s">
        <v>575</v>
      </c>
      <c r="G4363" t="s">
        <v>31</v>
      </c>
      <c r="H4363" t="s">
        <v>26</v>
      </c>
      <c r="I4363" t="s">
        <v>27</v>
      </c>
      <c r="J4363" s="4">
        <v>14.35</v>
      </c>
      <c r="K4363">
        <v>1</v>
      </c>
      <c r="L4363">
        <v>14.35</v>
      </c>
      <c r="M4363">
        <v>14.35</v>
      </c>
      <c r="N4363" s="5">
        <v>0.72930142302716672</v>
      </c>
      <c r="O4363" t="s">
        <v>1472</v>
      </c>
      <c r="P4363" t="s">
        <v>340</v>
      </c>
      <c r="Q4363" s="10" t="s">
        <v>24</v>
      </c>
    </row>
    <row r="4364" spans="1:18" hidden="1" x14ac:dyDescent="0.25">
      <c r="A4364" s="9" t="s">
        <v>1153</v>
      </c>
      <c r="B4364" s="3" t="s">
        <v>1751</v>
      </c>
      <c r="C4364" s="10">
        <v>11</v>
      </c>
      <c r="D4364" s="10">
        <v>9</v>
      </c>
      <c r="E4364" s="10">
        <v>19</v>
      </c>
      <c r="F4364" t="s">
        <v>246</v>
      </c>
      <c r="H4364" t="s">
        <v>1748</v>
      </c>
      <c r="I4364" t="s">
        <v>72</v>
      </c>
      <c r="J4364" s="4">
        <v>620</v>
      </c>
      <c r="K4364">
        <v>1</v>
      </c>
      <c r="L4364">
        <v>620</v>
      </c>
      <c r="M4364">
        <v>620</v>
      </c>
      <c r="N4364" s="5">
        <v>31.545741324921135</v>
      </c>
      <c r="O4364" t="s">
        <v>567</v>
      </c>
      <c r="P4364" t="s">
        <v>340</v>
      </c>
      <c r="Q4364" s="10" t="s">
        <v>1102</v>
      </c>
      <c r="R4364" t="s">
        <v>1752</v>
      </c>
    </row>
    <row r="4365" spans="1:18" hidden="1" x14ac:dyDescent="0.25">
      <c r="A4365" s="9" t="s">
        <v>647</v>
      </c>
      <c r="B4365" s="3" t="s">
        <v>1824</v>
      </c>
      <c r="C4365" s="10">
        <v>12</v>
      </c>
      <c r="D4365" s="10">
        <v>9</v>
      </c>
      <c r="E4365" s="10">
        <v>19</v>
      </c>
      <c r="F4365" t="s">
        <v>575</v>
      </c>
      <c r="G4365" t="s">
        <v>31</v>
      </c>
      <c r="H4365" t="s">
        <v>26</v>
      </c>
      <c r="I4365" t="s">
        <v>27</v>
      </c>
      <c r="J4365" s="4">
        <v>14.35</v>
      </c>
      <c r="K4365">
        <v>1</v>
      </c>
      <c r="L4365">
        <v>14.35</v>
      </c>
      <c r="M4365">
        <v>14.35</v>
      </c>
      <c r="N4365" s="5">
        <v>0.72930142302716672</v>
      </c>
      <c r="O4365" t="s">
        <v>1472</v>
      </c>
      <c r="P4365" t="s">
        <v>340</v>
      </c>
      <c r="Q4365" s="10" t="s">
        <v>24</v>
      </c>
    </row>
    <row r="4366" spans="1:18" hidden="1" x14ac:dyDescent="0.25">
      <c r="A4366" s="9" t="s">
        <v>1153</v>
      </c>
      <c r="B4366" s="3" t="s">
        <v>1166</v>
      </c>
      <c r="C4366" s="10">
        <v>13</v>
      </c>
      <c r="D4366" s="10">
        <v>9</v>
      </c>
      <c r="E4366" s="10">
        <v>19</v>
      </c>
      <c r="F4366" t="s">
        <v>974</v>
      </c>
      <c r="G4366" t="s">
        <v>25</v>
      </c>
      <c r="H4366" t="s">
        <v>26</v>
      </c>
      <c r="I4366" t="s">
        <v>27</v>
      </c>
      <c r="J4366" s="4">
        <v>211.6</v>
      </c>
      <c r="K4366">
        <v>0.36799999999999999</v>
      </c>
      <c r="L4366">
        <v>211.6</v>
      </c>
      <c r="M4366">
        <v>77.868799999999993</v>
      </c>
      <c r="N4366" s="5">
        <v>3.9619822936806752</v>
      </c>
      <c r="O4366" t="s">
        <v>100</v>
      </c>
      <c r="P4366" t="s">
        <v>340</v>
      </c>
      <c r="Q4366" s="10" t="s">
        <v>1102</v>
      </c>
    </row>
    <row r="4367" spans="1:18" hidden="1" x14ac:dyDescent="0.25">
      <c r="A4367" s="9" t="s">
        <v>1153</v>
      </c>
      <c r="B4367" s="3" t="s">
        <v>1166</v>
      </c>
      <c r="C4367" s="10">
        <v>13</v>
      </c>
      <c r="D4367" s="10">
        <v>9</v>
      </c>
      <c r="E4367" s="10">
        <v>19</v>
      </c>
      <c r="F4367" t="s">
        <v>372</v>
      </c>
      <c r="G4367" t="s">
        <v>373</v>
      </c>
      <c r="H4367" t="s">
        <v>65</v>
      </c>
      <c r="I4367" t="s">
        <v>27</v>
      </c>
      <c r="J4367" s="4">
        <v>9</v>
      </c>
      <c r="K4367">
        <v>2</v>
      </c>
      <c r="L4367">
        <v>9</v>
      </c>
      <c r="M4367">
        <v>18</v>
      </c>
      <c r="N4367" s="5">
        <v>0.91584410298158136</v>
      </c>
      <c r="O4367" t="s">
        <v>100</v>
      </c>
      <c r="P4367" t="s">
        <v>340</v>
      </c>
      <c r="Q4367" s="10" t="s">
        <v>1102</v>
      </c>
    </row>
    <row r="4368" spans="1:18" hidden="1" x14ac:dyDescent="0.25">
      <c r="A4368" s="9" t="s">
        <v>1153</v>
      </c>
      <c r="B4368" s="3" t="s">
        <v>1166</v>
      </c>
      <c r="C4368" s="10">
        <v>13</v>
      </c>
      <c r="D4368" s="10">
        <v>9</v>
      </c>
      <c r="E4368" s="10">
        <v>19</v>
      </c>
      <c r="F4368" t="s">
        <v>118</v>
      </c>
      <c r="G4368" t="s">
        <v>889</v>
      </c>
      <c r="H4368" t="s">
        <v>40</v>
      </c>
      <c r="I4368" t="s">
        <v>27</v>
      </c>
      <c r="J4368" s="4">
        <v>10</v>
      </c>
      <c r="K4368">
        <v>1</v>
      </c>
      <c r="L4368">
        <v>10</v>
      </c>
      <c r="M4368">
        <v>10</v>
      </c>
      <c r="N4368" s="5">
        <v>0.50880227943421186</v>
      </c>
      <c r="O4368" t="s">
        <v>100</v>
      </c>
      <c r="P4368" t="s">
        <v>340</v>
      </c>
      <c r="Q4368" s="10" t="s">
        <v>1102</v>
      </c>
    </row>
    <row r="4369" spans="1:17" hidden="1" x14ac:dyDescent="0.25">
      <c r="A4369" s="9" t="s">
        <v>1153</v>
      </c>
      <c r="B4369" s="3" t="s">
        <v>1166</v>
      </c>
      <c r="C4369" s="10">
        <v>13</v>
      </c>
      <c r="D4369" s="10">
        <v>9</v>
      </c>
      <c r="E4369" s="10">
        <v>19</v>
      </c>
      <c r="F4369" t="s">
        <v>1144</v>
      </c>
      <c r="G4369" t="s">
        <v>31</v>
      </c>
      <c r="H4369" t="s">
        <v>26</v>
      </c>
      <c r="I4369" t="s">
        <v>27</v>
      </c>
      <c r="J4369" s="4">
        <v>9.6</v>
      </c>
      <c r="K4369">
        <v>1</v>
      </c>
      <c r="L4369">
        <v>9.6</v>
      </c>
      <c r="M4369">
        <v>9.6</v>
      </c>
      <c r="N4369" s="5">
        <v>0.48845018825684339</v>
      </c>
      <c r="O4369" t="s">
        <v>100</v>
      </c>
      <c r="P4369" t="s">
        <v>340</v>
      </c>
      <c r="Q4369" s="10" t="s">
        <v>1102</v>
      </c>
    </row>
    <row r="4370" spans="1:17" hidden="1" x14ac:dyDescent="0.25">
      <c r="A4370" s="9" t="s">
        <v>1153</v>
      </c>
      <c r="B4370" s="3" t="s">
        <v>1166</v>
      </c>
      <c r="C4370" s="10">
        <v>13</v>
      </c>
      <c r="D4370" s="10">
        <v>9</v>
      </c>
      <c r="E4370" s="10">
        <v>19</v>
      </c>
      <c r="F4370" t="s">
        <v>146</v>
      </c>
      <c r="H4370" t="s">
        <v>49</v>
      </c>
      <c r="I4370" t="s">
        <v>50</v>
      </c>
      <c r="J4370" s="4">
        <v>0.75</v>
      </c>
      <c r="K4370">
        <v>2</v>
      </c>
      <c r="L4370">
        <v>0.75</v>
      </c>
      <c r="M4370">
        <v>1.5</v>
      </c>
      <c r="N4370" s="5">
        <v>7.6320341915131776E-2</v>
      </c>
      <c r="O4370" t="s">
        <v>100</v>
      </c>
      <c r="P4370" t="s">
        <v>340</v>
      </c>
      <c r="Q4370" s="10" t="s">
        <v>1102</v>
      </c>
    </row>
    <row r="4371" spans="1:17" hidden="1" x14ac:dyDescent="0.25">
      <c r="A4371" s="9" t="s">
        <v>1153</v>
      </c>
      <c r="B4371" s="3" t="s">
        <v>1166</v>
      </c>
      <c r="C4371" s="10">
        <v>13</v>
      </c>
      <c r="D4371" s="10">
        <v>9</v>
      </c>
      <c r="E4371" s="10">
        <v>19</v>
      </c>
      <c r="F4371" t="s">
        <v>2242</v>
      </c>
      <c r="G4371" t="s">
        <v>345</v>
      </c>
      <c r="H4371" t="s">
        <v>26</v>
      </c>
      <c r="I4371" t="s">
        <v>27</v>
      </c>
      <c r="J4371" s="4">
        <v>6.77</v>
      </c>
      <c r="K4371">
        <v>1</v>
      </c>
      <c r="L4371">
        <v>6.77</v>
      </c>
      <c r="M4371">
        <v>6.77</v>
      </c>
      <c r="N4371" s="5">
        <v>0.34445914317696141</v>
      </c>
      <c r="O4371" t="s">
        <v>100</v>
      </c>
      <c r="P4371" t="s">
        <v>340</v>
      </c>
      <c r="Q4371" s="10" t="s">
        <v>1102</v>
      </c>
    </row>
    <row r="4372" spans="1:17" hidden="1" x14ac:dyDescent="0.25">
      <c r="A4372" s="9" t="s">
        <v>647</v>
      </c>
      <c r="B4372" s="3" t="s">
        <v>1166</v>
      </c>
      <c r="C4372" s="10">
        <v>13</v>
      </c>
      <c r="D4372" s="10">
        <v>9</v>
      </c>
      <c r="E4372" s="10">
        <v>19</v>
      </c>
      <c r="F4372" t="s">
        <v>575</v>
      </c>
      <c r="G4372" t="s">
        <v>31</v>
      </c>
      <c r="H4372" t="s">
        <v>26</v>
      </c>
      <c r="I4372" t="s">
        <v>27</v>
      </c>
      <c r="J4372" s="4">
        <v>14.35</v>
      </c>
      <c r="K4372">
        <v>1</v>
      </c>
      <c r="L4372">
        <v>14.35</v>
      </c>
      <c r="M4372">
        <v>14.35</v>
      </c>
      <c r="N4372" s="5">
        <v>0.72930142302716672</v>
      </c>
      <c r="O4372" t="s">
        <v>1472</v>
      </c>
      <c r="P4372" t="s">
        <v>340</v>
      </c>
      <c r="Q4372" s="10" t="s">
        <v>24</v>
      </c>
    </row>
    <row r="4373" spans="1:17" hidden="1" x14ac:dyDescent="0.25">
      <c r="A4373" s="9" t="s">
        <v>647</v>
      </c>
      <c r="B4373" s="3" t="s">
        <v>1166</v>
      </c>
      <c r="C4373" s="10">
        <v>13</v>
      </c>
      <c r="D4373" s="10">
        <v>9</v>
      </c>
      <c r="E4373" s="10">
        <v>19</v>
      </c>
      <c r="F4373" t="s">
        <v>25</v>
      </c>
      <c r="G4373" t="s">
        <v>25</v>
      </c>
      <c r="H4373" t="s">
        <v>26</v>
      </c>
      <c r="I4373" t="s">
        <v>27</v>
      </c>
      <c r="J4373" s="4">
        <v>16.350000000000001</v>
      </c>
      <c r="K4373">
        <v>1</v>
      </c>
      <c r="L4373">
        <v>16.350000000000001</v>
      </c>
      <c r="M4373">
        <v>16.350000000000001</v>
      </c>
      <c r="N4373" s="5">
        <v>0.83094622066161516</v>
      </c>
      <c r="O4373" t="s">
        <v>1472</v>
      </c>
      <c r="P4373" t="s">
        <v>340</v>
      </c>
      <c r="Q4373" s="10" t="s">
        <v>24</v>
      </c>
    </row>
    <row r="4374" spans="1:17" hidden="1" x14ac:dyDescent="0.25">
      <c r="A4374" s="9" t="s">
        <v>1153</v>
      </c>
      <c r="B4374" s="3" t="s">
        <v>1164</v>
      </c>
      <c r="C4374" s="10">
        <v>14</v>
      </c>
      <c r="D4374" s="10">
        <v>9</v>
      </c>
      <c r="E4374" s="10">
        <v>19</v>
      </c>
      <c r="F4374" t="s">
        <v>438</v>
      </c>
      <c r="G4374" t="s">
        <v>889</v>
      </c>
      <c r="H4374" t="s">
        <v>889</v>
      </c>
      <c r="I4374" t="s">
        <v>431</v>
      </c>
      <c r="J4374" s="4">
        <v>790</v>
      </c>
      <c r="K4374">
        <v>1</v>
      </c>
      <c r="L4374">
        <v>790</v>
      </c>
      <c r="M4374">
        <v>790</v>
      </c>
      <c r="N4374" s="5">
        <v>40.195380075302737</v>
      </c>
      <c r="O4374" t="s">
        <v>39</v>
      </c>
      <c r="P4374" t="s">
        <v>340</v>
      </c>
      <c r="Q4374" s="10" t="s">
        <v>1102</v>
      </c>
    </row>
    <row r="4375" spans="1:17" hidden="1" x14ac:dyDescent="0.25">
      <c r="A4375" s="9" t="s">
        <v>1153</v>
      </c>
      <c r="B4375" s="3" t="s">
        <v>1164</v>
      </c>
      <c r="C4375" s="10">
        <v>14</v>
      </c>
      <c r="D4375" s="10">
        <v>9</v>
      </c>
      <c r="E4375" s="10">
        <v>19</v>
      </c>
      <c r="F4375" t="s">
        <v>438</v>
      </c>
      <c r="G4375" t="s">
        <v>889</v>
      </c>
      <c r="H4375" t="s">
        <v>889</v>
      </c>
      <c r="I4375" t="s">
        <v>431</v>
      </c>
      <c r="J4375" s="4">
        <v>790</v>
      </c>
      <c r="K4375">
        <v>1</v>
      </c>
      <c r="L4375">
        <v>790</v>
      </c>
      <c r="M4375">
        <v>790</v>
      </c>
      <c r="N4375" s="5">
        <v>40.195380075302737</v>
      </c>
      <c r="O4375" t="s">
        <v>39</v>
      </c>
      <c r="P4375" t="s">
        <v>340</v>
      </c>
      <c r="Q4375" s="10" t="s">
        <v>1102</v>
      </c>
    </row>
    <row r="4376" spans="1:17" hidden="1" x14ac:dyDescent="0.25">
      <c r="A4376" s="9" t="s">
        <v>1153</v>
      </c>
      <c r="B4376" s="3" t="s">
        <v>1164</v>
      </c>
      <c r="C4376" s="10">
        <v>14</v>
      </c>
      <c r="D4376" s="10">
        <v>9</v>
      </c>
      <c r="E4376" s="10">
        <v>19</v>
      </c>
      <c r="F4376" t="s">
        <v>102</v>
      </c>
      <c r="H4376" t="s">
        <v>102</v>
      </c>
      <c r="I4376" t="s">
        <v>27</v>
      </c>
      <c r="J4376" s="4">
        <v>16</v>
      </c>
      <c r="K4376">
        <v>1</v>
      </c>
      <c r="L4376">
        <v>16</v>
      </c>
      <c r="M4376">
        <v>16</v>
      </c>
      <c r="N4376" s="5">
        <v>0.81408364709473902</v>
      </c>
      <c r="O4376" t="s">
        <v>39</v>
      </c>
      <c r="P4376" t="s">
        <v>340</v>
      </c>
      <c r="Q4376" s="10" t="s">
        <v>1102</v>
      </c>
    </row>
    <row r="4377" spans="1:17" hidden="1" x14ac:dyDescent="0.25">
      <c r="A4377" s="9" t="s">
        <v>1153</v>
      </c>
      <c r="B4377" s="3" t="s">
        <v>1164</v>
      </c>
      <c r="C4377" s="10">
        <v>14</v>
      </c>
      <c r="D4377" s="10">
        <v>9</v>
      </c>
      <c r="E4377" s="10">
        <v>19</v>
      </c>
      <c r="F4377" t="s">
        <v>141</v>
      </c>
      <c r="G4377" t="s">
        <v>889</v>
      </c>
      <c r="H4377" t="s">
        <v>172</v>
      </c>
      <c r="I4377" t="s">
        <v>39</v>
      </c>
      <c r="J4377" s="4">
        <v>2</v>
      </c>
      <c r="K4377">
        <v>2</v>
      </c>
      <c r="L4377">
        <v>2</v>
      </c>
      <c r="M4377">
        <v>4</v>
      </c>
      <c r="N4377" s="5">
        <v>0.20352091177368475</v>
      </c>
      <c r="O4377" t="s">
        <v>39</v>
      </c>
      <c r="P4377" t="s">
        <v>340</v>
      </c>
      <c r="Q4377" s="10" t="s">
        <v>1102</v>
      </c>
    </row>
    <row r="4378" spans="1:17" hidden="1" x14ac:dyDescent="0.25">
      <c r="A4378" s="9" t="s">
        <v>1153</v>
      </c>
      <c r="B4378" s="3" t="s">
        <v>1164</v>
      </c>
      <c r="C4378" s="10">
        <v>14</v>
      </c>
      <c r="D4378" s="10">
        <v>9</v>
      </c>
      <c r="E4378" s="10">
        <v>19</v>
      </c>
      <c r="F4378" t="s">
        <v>1158</v>
      </c>
      <c r="G4378" t="s">
        <v>889</v>
      </c>
      <c r="H4378" t="s">
        <v>889</v>
      </c>
      <c r="I4378" t="s">
        <v>72</v>
      </c>
      <c r="J4378" s="4">
        <v>700</v>
      </c>
      <c r="K4378">
        <v>1</v>
      </c>
      <c r="L4378">
        <v>700</v>
      </c>
      <c r="M4378">
        <v>700</v>
      </c>
      <c r="N4378" s="5">
        <v>35.616159560394834</v>
      </c>
      <c r="O4378" t="s">
        <v>39</v>
      </c>
      <c r="P4378" t="s">
        <v>340</v>
      </c>
      <c r="Q4378" s="10" t="s">
        <v>1102</v>
      </c>
    </row>
    <row r="4379" spans="1:17" hidden="1" x14ac:dyDescent="0.25">
      <c r="A4379" s="9" t="s">
        <v>1153</v>
      </c>
      <c r="B4379" s="3" t="s">
        <v>1164</v>
      </c>
      <c r="C4379" s="10">
        <v>14</v>
      </c>
      <c r="D4379" s="10">
        <v>9</v>
      </c>
      <c r="E4379" s="10">
        <v>19</v>
      </c>
      <c r="F4379" t="s">
        <v>1036</v>
      </c>
      <c r="G4379" t="s">
        <v>889</v>
      </c>
      <c r="H4379" t="s">
        <v>38</v>
      </c>
      <c r="I4379" t="s">
        <v>27</v>
      </c>
      <c r="J4379" s="4">
        <v>126</v>
      </c>
      <c r="K4379">
        <v>0.248</v>
      </c>
      <c r="L4379">
        <v>126</v>
      </c>
      <c r="M4379">
        <v>31.248000000000001</v>
      </c>
      <c r="N4379" s="5">
        <v>1.5899053627760253</v>
      </c>
      <c r="O4379" t="s">
        <v>100</v>
      </c>
      <c r="P4379" t="s">
        <v>340</v>
      </c>
      <c r="Q4379" s="10" t="s">
        <v>1102</v>
      </c>
    </row>
    <row r="4380" spans="1:17" hidden="1" x14ac:dyDescent="0.25">
      <c r="A4380" s="9" t="s">
        <v>1153</v>
      </c>
      <c r="B4380" s="3" t="s">
        <v>1164</v>
      </c>
      <c r="C4380" s="10">
        <v>14</v>
      </c>
      <c r="D4380" s="10">
        <v>9</v>
      </c>
      <c r="E4380" s="10">
        <v>19</v>
      </c>
      <c r="F4380" t="s">
        <v>1165</v>
      </c>
      <c r="G4380" t="s">
        <v>889</v>
      </c>
      <c r="H4380" t="s">
        <v>35</v>
      </c>
      <c r="I4380" t="s">
        <v>27</v>
      </c>
      <c r="J4380" s="4">
        <v>129.6</v>
      </c>
      <c r="K4380">
        <v>1.1679999999999999</v>
      </c>
      <c r="L4380">
        <v>129.6</v>
      </c>
      <c r="M4380">
        <v>151.37279999999998</v>
      </c>
      <c r="N4380" s="5">
        <v>7.7018825684339056</v>
      </c>
      <c r="O4380" t="s">
        <v>100</v>
      </c>
      <c r="P4380" t="s">
        <v>340</v>
      </c>
      <c r="Q4380" s="10" t="s">
        <v>1102</v>
      </c>
    </row>
    <row r="4381" spans="1:17" hidden="1" x14ac:dyDescent="0.25">
      <c r="A4381" s="9" t="s">
        <v>1153</v>
      </c>
      <c r="B4381" s="3" t="s">
        <v>1164</v>
      </c>
      <c r="C4381" s="10">
        <v>14</v>
      </c>
      <c r="D4381" s="10">
        <v>9</v>
      </c>
      <c r="E4381" s="10">
        <v>19</v>
      </c>
      <c r="F4381" t="s">
        <v>77</v>
      </c>
      <c r="G4381" t="s">
        <v>77</v>
      </c>
      <c r="H4381" t="s">
        <v>26</v>
      </c>
      <c r="I4381" t="s">
        <v>27</v>
      </c>
      <c r="J4381" s="4">
        <v>20.65</v>
      </c>
      <c r="K4381">
        <v>1</v>
      </c>
      <c r="L4381">
        <v>20.65</v>
      </c>
      <c r="M4381">
        <v>20.65</v>
      </c>
      <c r="N4381" s="5">
        <v>1.0506767070316474</v>
      </c>
      <c r="O4381" t="s">
        <v>100</v>
      </c>
      <c r="P4381" t="s">
        <v>340</v>
      </c>
      <c r="Q4381" s="10" t="s">
        <v>1102</v>
      </c>
    </row>
    <row r="4382" spans="1:17" hidden="1" x14ac:dyDescent="0.25">
      <c r="A4382" s="9" t="s">
        <v>1153</v>
      </c>
      <c r="B4382" s="3" t="s">
        <v>1164</v>
      </c>
      <c r="C4382" s="10">
        <v>14</v>
      </c>
      <c r="D4382" s="10">
        <v>9</v>
      </c>
      <c r="E4382" s="10">
        <v>19</v>
      </c>
      <c r="F4382" t="s">
        <v>102</v>
      </c>
      <c r="H4382" t="s">
        <v>102</v>
      </c>
      <c r="I4382" t="s">
        <v>27</v>
      </c>
      <c r="J4382" s="4">
        <v>16</v>
      </c>
      <c r="K4382">
        <v>1</v>
      </c>
      <c r="L4382">
        <v>16</v>
      </c>
      <c r="M4382">
        <v>16</v>
      </c>
      <c r="N4382" s="5">
        <v>0.81408364709473902</v>
      </c>
      <c r="O4382" t="s">
        <v>39</v>
      </c>
      <c r="P4382" t="s">
        <v>340</v>
      </c>
      <c r="Q4382" s="10" t="s">
        <v>1102</v>
      </c>
    </row>
    <row r="4383" spans="1:17" hidden="1" x14ac:dyDescent="0.25">
      <c r="A4383" s="9" t="s">
        <v>1153</v>
      </c>
      <c r="B4383" s="3" t="s">
        <v>2250</v>
      </c>
      <c r="C4383" s="10">
        <v>15</v>
      </c>
      <c r="D4383" s="10">
        <v>9</v>
      </c>
      <c r="E4383" s="10">
        <v>19</v>
      </c>
      <c r="F4383" t="s">
        <v>390</v>
      </c>
      <c r="G4383" t="s">
        <v>304</v>
      </c>
      <c r="H4383" t="s">
        <v>39</v>
      </c>
      <c r="I4383" t="s">
        <v>79</v>
      </c>
      <c r="J4383" s="4">
        <v>310.24</v>
      </c>
      <c r="K4383">
        <v>1</v>
      </c>
      <c r="L4383">
        <v>310.24</v>
      </c>
      <c r="M4383">
        <v>310.24</v>
      </c>
      <c r="N4383" s="5">
        <v>15.724277749619869</v>
      </c>
      <c r="O4383" t="s">
        <v>39</v>
      </c>
      <c r="P4383" t="s">
        <v>340</v>
      </c>
      <c r="Q4383" s="10" t="s">
        <v>24</v>
      </c>
    </row>
    <row r="4384" spans="1:17" hidden="1" x14ac:dyDescent="0.25">
      <c r="A4384" s="9" t="s">
        <v>1153</v>
      </c>
      <c r="B4384" s="3" t="s">
        <v>2250</v>
      </c>
      <c r="C4384" s="10">
        <v>15</v>
      </c>
      <c r="D4384" s="10">
        <v>9</v>
      </c>
      <c r="E4384" s="10">
        <v>19</v>
      </c>
      <c r="F4384" t="s">
        <v>179</v>
      </c>
      <c r="G4384" t="s">
        <v>889</v>
      </c>
      <c r="H4384" t="s">
        <v>179</v>
      </c>
      <c r="I4384" t="s">
        <v>105</v>
      </c>
      <c r="J4384" s="4">
        <v>35.58</v>
      </c>
      <c r="K4384">
        <v>1</v>
      </c>
      <c r="L4384">
        <v>35.58</v>
      </c>
      <c r="M4384">
        <v>35.58</v>
      </c>
      <c r="N4384" s="5">
        <v>1.8033451596553471</v>
      </c>
      <c r="O4384" t="s">
        <v>39</v>
      </c>
      <c r="P4384" t="s">
        <v>340</v>
      </c>
      <c r="Q4384" s="10" t="s">
        <v>24</v>
      </c>
    </row>
    <row r="4385" spans="1:18" hidden="1" x14ac:dyDescent="0.25">
      <c r="A4385" s="9" t="s">
        <v>1153</v>
      </c>
      <c r="B4385" s="3" t="s">
        <v>2250</v>
      </c>
      <c r="C4385" s="10">
        <v>15</v>
      </c>
      <c r="D4385" s="10">
        <v>9</v>
      </c>
      <c r="E4385" s="10">
        <v>19</v>
      </c>
      <c r="F4385" t="s">
        <v>168</v>
      </c>
      <c r="G4385" t="s">
        <v>889</v>
      </c>
      <c r="H4385" t="s">
        <v>168</v>
      </c>
      <c r="I4385" t="s">
        <v>105</v>
      </c>
      <c r="J4385" s="4">
        <v>248.99</v>
      </c>
      <c r="K4385">
        <v>1</v>
      </c>
      <c r="L4385">
        <v>248.99</v>
      </c>
      <c r="M4385">
        <v>248.99</v>
      </c>
      <c r="N4385" s="5">
        <v>12.619868220983275</v>
      </c>
      <c r="O4385" t="s">
        <v>39</v>
      </c>
      <c r="P4385" t="s">
        <v>340</v>
      </c>
      <c r="Q4385" s="10" t="s">
        <v>24</v>
      </c>
    </row>
    <row r="4386" spans="1:18" hidden="1" x14ac:dyDescent="0.25">
      <c r="A4386" s="9" t="s">
        <v>1153</v>
      </c>
      <c r="B4386" s="3" t="s">
        <v>1188</v>
      </c>
      <c r="C4386" s="10">
        <v>16</v>
      </c>
      <c r="D4386" s="10">
        <v>9</v>
      </c>
      <c r="E4386" s="10">
        <v>19</v>
      </c>
      <c r="F4386" t="s">
        <v>77</v>
      </c>
      <c r="G4386" t="s">
        <v>77</v>
      </c>
      <c r="H4386" t="s">
        <v>26</v>
      </c>
      <c r="I4386" t="s">
        <v>27</v>
      </c>
      <c r="J4386" s="4">
        <v>30</v>
      </c>
      <c r="K4386">
        <v>1</v>
      </c>
      <c r="L4386">
        <v>30</v>
      </c>
      <c r="M4386">
        <v>30</v>
      </c>
      <c r="N4386" s="5">
        <v>1.5264068383026357</v>
      </c>
      <c r="O4386" t="s">
        <v>1135</v>
      </c>
      <c r="P4386" t="s">
        <v>340</v>
      </c>
      <c r="Q4386" s="10" t="s">
        <v>84</v>
      </c>
    </row>
    <row r="4387" spans="1:18" hidden="1" x14ac:dyDescent="0.25">
      <c r="A4387" s="9" t="s">
        <v>1153</v>
      </c>
      <c r="B4387" s="3" t="s">
        <v>1188</v>
      </c>
      <c r="C4387" s="10">
        <v>16</v>
      </c>
      <c r="D4387" s="10">
        <v>9</v>
      </c>
      <c r="E4387" s="10">
        <v>19</v>
      </c>
      <c r="F4387" t="s">
        <v>1144</v>
      </c>
      <c r="G4387" t="s">
        <v>31</v>
      </c>
      <c r="H4387" t="s">
        <v>26</v>
      </c>
      <c r="I4387" t="s">
        <v>27</v>
      </c>
      <c r="J4387" s="4">
        <v>35</v>
      </c>
      <c r="K4387">
        <v>1</v>
      </c>
      <c r="L4387">
        <v>35</v>
      </c>
      <c r="M4387">
        <v>35</v>
      </c>
      <c r="N4387" s="5">
        <v>1.7808079780197414</v>
      </c>
      <c r="O4387" t="s">
        <v>1135</v>
      </c>
      <c r="P4387" t="s">
        <v>340</v>
      </c>
      <c r="Q4387" s="10" t="s">
        <v>84</v>
      </c>
    </row>
    <row r="4388" spans="1:18" hidden="1" x14ac:dyDescent="0.25">
      <c r="A4388" s="9" t="s">
        <v>1153</v>
      </c>
      <c r="B4388" s="3" t="s">
        <v>1188</v>
      </c>
      <c r="C4388" s="10">
        <v>16</v>
      </c>
      <c r="D4388" s="10">
        <v>9</v>
      </c>
      <c r="E4388" s="10">
        <v>19</v>
      </c>
      <c r="F4388" t="s">
        <v>596</v>
      </c>
      <c r="G4388" t="s">
        <v>889</v>
      </c>
      <c r="H4388" t="s">
        <v>56</v>
      </c>
      <c r="I4388" t="s">
        <v>27</v>
      </c>
      <c r="J4388" s="4">
        <v>15</v>
      </c>
      <c r="K4388">
        <v>1.35</v>
      </c>
      <c r="L4388">
        <v>15</v>
      </c>
      <c r="M4388">
        <v>20.25</v>
      </c>
      <c r="N4388" s="5">
        <v>1.0303246158542789</v>
      </c>
      <c r="O4388" t="s">
        <v>593</v>
      </c>
      <c r="P4388" t="s">
        <v>340</v>
      </c>
      <c r="Q4388" s="10" t="s">
        <v>1102</v>
      </c>
    </row>
    <row r="4389" spans="1:18" hidden="1" x14ac:dyDescent="0.25">
      <c r="A4389" s="9" t="s">
        <v>1153</v>
      </c>
      <c r="B4389" s="3" t="s">
        <v>1188</v>
      </c>
      <c r="C4389" s="10">
        <v>16</v>
      </c>
      <c r="D4389" s="10">
        <v>9</v>
      </c>
      <c r="E4389" s="10">
        <v>19</v>
      </c>
      <c r="F4389" t="s">
        <v>99</v>
      </c>
      <c r="G4389" t="s">
        <v>889</v>
      </c>
      <c r="H4389" t="s">
        <v>40</v>
      </c>
      <c r="I4389" t="s">
        <v>27</v>
      </c>
      <c r="J4389" s="4">
        <v>10</v>
      </c>
      <c r="K4389">
        <v>1</v>
      </c>
      <c r="L4389">
        <v>10</v>
      </c>
      <c r="M4389">
        <v>10</v>
      </c>
      <c r="N4389" s="5">
        <v>0.50880227943421186</v>
      </c>
      <c r="O4389" t="s">
        <v>100</v>
      </c>
      <c r="P4389" t="s">
        <v>340</v>
      </c>
      <c r="Q4389" s="10" t="s">
        <v>84</v>
      </c>
    </row>
    <row r="4390" spans="1:18" hidden="1" x14ac:dyDescent="0.25">
      <c r="A4390" s="9" t="s">
        <v>1153</v>
      </c>
      <c r="B4390" s="3" t="s">
        <v>1188</v>
      </c>
      <c r="C4390" s="10">
        <v>16</v>
      </c>
      <c r="D4390" s="10">
        <v>9</v>
      </c>
      <c r="E4390" s="10">
        <v>19</v>
      </c>
      <c r="F4390" t="s">
        <v>98</v>
      </c>
      <c r="H4390" t="s">
        <v>26</v>
      </c>
      <c r="I4390" t="s">
        <v>27</v>
      </c>
      <c r="J4390" s="4">
        <v>30.75</v>
      </c>
      <c r="K4390">
        <v>1</v>
      </c>
      <c r="L4390">
        <v>30.75</v>
      </c>
      <c r="M4390">
        <v>30.75</v>
      </c>
      <c r="N4390" s="5">
        <v>1.5645670092602015</v>
      </c>
      <c r="O4390" t="s">
        <v>100</v>
      </c>
      <c r="P4390" t="s">
        <v>340</v>
      </c>
      <c r="Q4390" s="10" t="s">
        <v>84</v>
      </c>
      <c r="R4390" t="s">
        <v>1189</v>
      </c>
    </row>
    <row r="4391" spans="1:18" hidden="1" x14ac:dyDescent="0.25">
      <c r="A4391" s="9" t="s">
        <v>1153</v>
      </c>
      <c r="B4391" s="3" t="s">
        <v>1188</v>
      </c>
      <c r="C4391" s="10">
        <v>16</v>
      </c>
      <c r="D4391" s="10">
        <v>9</v>
      </c>
      <c r="E4391" s="10">
        <v>19</v>
      </c>
      <c r="F4391" t="s">
        <v>1078</v>
      </c>
      <c r="H4391" t="s">
        <v>65</v>
      </c>
      <c r="I4391" t="s">
        <v>27</v>
      </c>
      <c r="J4391" s="4">
        <v>25.9</v>
      </c>
      <c r="K4391">
        <v>1</v>
      </c>
      <c r="L4391" s="13">
        <v>25.9</v>
      </c>
      <c r="M4391">
        <v>25.9</v>
      </c>
      <c r="N4391" s="5">
        <v>1.3177979037346086</v>
      </c>
      <c r="O4391" t="s">
        <v>100</v>
      </c>
      <c r="P4391" t="s">
        <v>340</v>
      </c>
      <c r="Q4391" s="10" t="s">
        <v>1102</v>
      </c>
    </row>
    <row r="4392" spans="1:18" hidden="1" x14ac:dyDescent="0.25">
      <c r="A4392" s="9" t="s">
        <v>1153</v>
      </c>
      <c r="B4392" s="3" t="s">
        <v>1188</v>
      </c>
      <c r="C4392" s="10">
        <v>16</v>
      </c>
      <c r="D4392" s="10">
        <v>9</v>
      </c>
      <c r="E4392" s="10">
        <v>19</v>
      </c>
      <c r="F4392" t="s">
        <v>1078</v>
      </c>
      <c r="H4392" t="s">
        <v>65</v>
      </c>
      <c r="I4392" t="s">
        <v>27</v>
      </c>
      <c r="J4392" s="4">
        <v>25.9</v>
      </c>
      <c r="K4392">
        <v>1</v>
      </c>
      <c r="L4392" s="13">
        <v>25.9</v>
      </c>
      <c r="M4392" s="13">
        <v>25.9</v>
      </c>
      <c r="N4392" s="5">
        <v>1.3163001293661059</v>
      </c>
      <c r="O4392" t="s">
        <v>100</v>
      </c>
      <c r="P4392" t="s">
        <v>340</v>
      </c>
      <c r="Q4392" s="10" t="s">
        <v>1102</v>
      </c>
    </row>
    <row r="4393" spans="1:18" hidden="1" x14ac:dyDescent="0.25">
      <c r="A4393" s="9" t="s">
        <v>1153</v>
      </c>
      <c r="B4393" s="3" t="s">
        <v>1188</v>
      </c>
      <c r="C4393" s="10">
        <v>16</v>
      </c>
      <c r="D4393" s="10">
        <v>9</v>
      </c>
      <c r="E4393" s="10">
        <v>19</v>
      </c>
      <c r="F4393" t="s">
        <v>212</v>
      </c>
      <c r="G4393" t="s">
        <v>889</v>
      </c>
      <c r="H4393" t="s">
        <v>54</v>
      </c>
      <c r="I4393" t="s">
        <v>27</v>
      </c>
      <c r="J4393" s="4">
        <v>29.6</v>
      </c>
      <c r="K4393">
        <v>1</v>
      </c>
      <c r="L4393">
        <v>29.6</v>
      </c>
      <c r="M4393">
        <v>29.6</v>
      </c>
      <c r="N4393" s="5">
        <v>1.5060547471252672</v>
      </c>
      <c r="O4393" t="s">
        <v>100</v>
      </c>
      <c r="P4393" t="s">
        <v>340</v>
      </c>
      <c r="Q4393" s="10" t="s">
        <v>1102</v>
      </c>
    </row>
    <row r="4394" spans="1:18" hidden="1" x14ac:dyDescent="0.25">
      <c r="A4394" s="9" t="s">
        <v>1153</v>
      </c>
      <c r="B4394" s="3" t="s">
        <v>1188</v>
      </c>
      <c r="C4394" s="10">
        <v>16</v>
      </c>
      <c r="D4394" s="10">
        <v>9</v>
      </c>
      <c r="E4394" s="10">
        <v>19</v>
      </c>
      <c r="F4394" t="s">
        <v>141</v>
      </c>
      <c r="G4394" t="s">
        <v>889</v>
      </c>
      <c r="H4394" t="s">
        <v>172</v>
      </c>
      <c r="I4394" t="s">
        <v>39</v>
      </c>
      <c r="J4394" s="4">
        <v>2</v>
      </c>
      <c r="K4394">
        <v>1</v>
      </c>
      <c r="L4394">
        <v>2</v>
      </c>
      <c r="M4394">
        <v>2</v>
      </c>
      <c r="N4394" s="5">
        <v>0.10176045588684238</v>
      </c>
      <c r="O4394" t="s">
        <v>39</v>
      </c>
      <c r="P4394" t="s">
        <v>340</v>
      </c>
      <c r="Q4394" s="10" t="s">
        <v>1102</v>
      </c>
    </row>
    <row r="4395" spans="1:18" hidden="1" x14ac:dyDescent="0.25">
      <c r="A4395" s="9" t="s">
        <v>1153</v>
      </c>
      <c r="B4395" s="3" t="s">
        <v>1188</v>
      </c>
      <c r="C4395" s="10">
        <v>16</v>
      </c>
      <c r="D4395" s="10">
        <v>9</v>
      </c>
      <c r="E4395" s="10">
        <v>19</v>
      </c>
      <c r="F4395" t="s">
        <v>107</v>
      </c>
      <c r="G4395" t="s">
        <v>889</v>
      </c>
      <c r="H4395" t="s">
        <v>53</v>
      </c>
      <c r="I4395" t="s">
        <v>27</v>
      </c>
      <c r="J4395" s="4">
        <v>11.99</v>
      </c>
      <c r="K4395">
        <v>12</v>
      </c>
      <c r="L4395">
        <v>11.99</v>
      </c>
      <c r="M4395">
        <v>143.88</v>
      </c>
      <c r="N4395" s="5">
        <v>7.32064719649944</v>
      </c>
      <c r="O4395" t="s">
        <v>51</v>
      </c>
      <c r="P4395" t="s">
        <v>340</v>
      </c>
      <c r="Q4395" s="10" t="s">
        <v>1102</v>
      </c>
    </row>
    <row r="4396" spans="1:18" hidden="1" x14ac:dyDescent="0.25">
      <c r="A4396" s="9" t="s">
        <v>1153</v>
      </c>
      <c r="B4396" s="3" t="s">
        <v>1188</v>
      </c>
      <c r="C4396" s="10">
        <v>16</v>
      </c>
      <c r="D4396" s="10">
        <v>9</v>
      </c>
      <c r="E4396" s="10">
        <v>19</v>
      </c>
      <c r="F4396" t="s">
        <v>1214</v>
      </c>
      <c r="G4396" t="s">
        <v>889</v>
      </c>
      <c r="H4396" t="s">
        <v>53</v>
      </c>
      <c r="I4396" t="s">
        <v>27</v>
      </c>
      <c r="J4396" s="4">
        <v>10.48</v>
      </c>
      <c r="K4396">
        <v>12</v>
      </c>
      <c r="L4396">
        <v>10.48</v>
      </c>
      <c r="M4396">
        <v>125.76</v>
      </c>
      <c r="N4396" s="5">
        <v>6.3986974661646485</v>
      </c>
      <c r="O4396" t="s">
        <v>51</v>
      </c>
      <c r="P4396" t="s">
        <v>340</v>
      </c>
      <c r="Q4396" s="10" t="s">
        <v>1102</v>
      </c>
    </row>
    <row r="4397" spans="1:18" hidden="1" x14ac:dyDescent="0.25">
      <c r="A4397" s="9" t="s">
        <v>1153</v>
      </c>
      <c r="B4397" s="3" t="s">
        <v>1188</v>
      </c>
      <c r="C4397" s="10">
        <v>16</v>
      </c>
      <c r="D4397" s="10">
        <v>9</v>
      </c>
      <c r="E4397" s="10">
        <v>19</v>
      </c>
      <c r="F4397" t="s">
        <v>44</v>
      </c>
      <c r="G4397" t="s">
        <v>889</v>
      </c>
      <c r="H4397" t="s">
        <v>44</v>
      </c>
      <c r="I4397" t="s">
        <v>27</v>
      </c>
      <c r="J4397" s="4">
        <v>14.99</v>
      </c>
      <c r="K4397">
        <v>2</v>
      </c>
      <c r="L4397">
        <v>14.99</v>
      </c>
      <c r="M4397">
        <v>29.98</v>
      </c>
      <c r="N4397" s="5">
        <v>1.5253892337437671</v>
      </c>
      <c r="O4397" t="s">
        <v>51</v>
      </c>
      <c r="P4397" t="s">
        <v>340</v>
      </c>
      <c r="Q4397" s="10" t="s">
        <v>1102</v>
      </c>
    </row>
    <row r="4398" spans="1:18" hidden="1" x14ac:dyDescent="0.25">
      <c r="A4398" s="9" t="s">
        <v>1153</v>
      </c>
      <c r="B4398" s="3" t="s">
        <v>1188</v>
      </c>
      <c r="C4398" s="10">
        <v>16</v>
      </c>
      <c r="D4398" s="10">
        <v>9</v>
      </c>
      <c r="E4398" s="10">
        <v>19</v>
      </c>
      <c r="F4398" t="s">
        <v>48</v>
      </c>
      <c r="G4398" t="s">
        <v>889</v>
      </c>
      <c r="H4398" t="s">
        <v>49</v>
      </c>
      <c r="I4398" t="s">
        <v>50</v>
      </c>
      <c r="J4398" s="4">
        <v>41.29</v>
      </c>
      <c r="K4398">
        <v>1</v>
      </c>
      <c r="L4398">
        <v>41.29</v>
      </c>
      <c r="M4398">
        <v>41.29</v>
      </c>
      <c r="N4398" s="5">
        <v>2.1008446117838608</v>
      </c>
      <c r="O4398" t="s">
        <v>51</v>
      </c>
      <c r="P4398" t="s">
        <v>340</v>
      </c>
      <c r="Q4398" s="10" t="s">
        <v>1102</v>
      </c>
    </row>
    <row r="4399" spans="1:18" hidden="1" x14ac:dyDescent="0.25">
      <c r="A4399" s="9" t="s">
        <v>1153</v>
      </c>
      <c r="B4399" s="3" t="s">
        <v>1188</v>
      </c>
      <c r="C4399" s="10">
        <v>16</v>
      </c>
      <c r="D4399" s="10">
        <v>9</v>
      </c>
      <c r="E4399" s="10">
        <v>19</v>
      </c>
      <c r="F4399" t="s">
        <v>25</v>
      </c>
      <c r="G4399" t="s">
        <v>25</v>
      </c>
      <c r="H4399" t="s">
        <v>26</v>
      </c>
      <c r="I4399" t="s">
        <v>27</v>
      </c>
      <c r="J4399" s="4">
        <v>16.350000000000001</v>
      </c>
      <c r="K4399">
        <v>1</v>
      </c>
      <c r="L4399">
        <v>16.350000000000001</v>
      </c>
      <c r="M4399">
        <v>16.350000000000001</v>
      </c>
      <c r="N4399" s="5">
        <v>0.83189172687493651</v>
      </c>
      <c r="O4399" t="s">
        <v>51</v>
      </c>
      <c r="P4399" t="s">
        <v>340</v>
      </c>
      <c r="Q4399" s="10" t="s">
        <v>1102</v>
      </c>
    </row>
    <row r="4400" spans="1:18" hidden="1" x14ac:dyDescent="0.25">
      <c r="A4400" s="9" t="s">
        <v>1153</v>
      </c>
      <c r="B4400" s="3" t="s">
        <v>1188</v>
      </c>
      <c r="C4400" s="10">
        <v>16</v>
      </c>
      <c r="D4400" s="10">
        <v>9</v>
      </c>
      <c r="E4400" s="10">
        <v>19</v>
      </c>
      <c r="F4400" t="s">
        <v>1185</v>
      </c>
      <c r="G4400" t="s">
        <v>889</v>
      </c>
      <c r="H4400" t="s">
        <v>73</v>
      </c>
      <c r="I4400" t="s">
        <v>27</v>
      </c>
      <c r="J4400" s="4">
        <v>24.96</v>
      </c>
      <c r="K4400">
        <v>1</v>
      </c>
      <c r="L4400">
        <v>24.96</v>
      </c>
      <c r="M4400">
        <v>24.96</v>
      </c>
      <c r="N4400" s="5">
        <v>1.2699704894677928</v>
      </c>
      <c r="O4400" t="s">
        <v>51</v>
      </c>
      <c r="P4400" t="s">
        <v>340</v>
      </c>
      <c r="Q4400" s="10" t="s">
        <v>1102</v>
      </c>
    </row>
    <row r="4401" spans="1:18" hidden="1" x14ac:dyDescent="0.25">
      <c r="A4401" s="9" t="s">
        <v>1153</v>
      </c>
      <c r="B4401" s="3" t="s">
        <v>1188</v>
      </c>
      <c r="C4401" s="10">
        <v>16</v>
      </c>
      <c r="D4401" s="10">
        <v>9</v>
      </c>
      <c r="E4401" s="10">
        <v>19</v>
      </c>
      <c r="F4401" t="s">
        <v>61</v>
      </c>
      <c r="H4401" t="s">
        <v>62</v>
      </c>
      <c r="I4401" t="s">
        <v>27</v>
      </c>
      <c r="J4401" s="4">
        <v>10.79</v>
      </c>
      <c r="K4401">
        <v>1</v>
      </c>
      <c r="L4401">
        <v>10.79</v>
      </c>
      <c r="M4401">
        <v>10.79</v>
      </c>
      <c r="N4401" s="5">
        <v>0.54899765950951451</v>
      </c>
      <c r="O4401" t="s">
        <v>51</v>
      </c>
      <c r="P4401" t="s">
        <v>340</v>
      </c>
      <c r="Q4401" s="10" t="s">
        <v>1102</v>
      </c>
    </row>
    <row r="4402" spans="1:18" hidden="1" x14ac:dyDescent="0.25">
      <c r="A4402" s="9" t="s">
        <v>1153</v>
      </c>
      <c r="B4402" s="3" t="s">
        <v>1188</v>
      </c>
      <c r="C4402" s="10">
        <v>16</v>
      </c>
      <c r="D4402" s="10">
        <v>9</v>
      </c>
      <c r="E4402" s="10">
        <v>19</v>
      </c>
      <c r="F4402" t="s">
        <v>388</v>
      </c>
      <c r="H4402" t="s">
        <v>49</v>
      </c>
      <c r="I4402" t="s">
        <v>50</v>
      </c>
      <c r="J4402" s="4">
        <v>29.98</v>
      </c>
      <c r="K4402">
        <v>1</v>
      </c>
      <c r="L4402">
        <v>29.98</v>
      </c>
      <c r="M4402">
        <v>29.98</v>
      </c>
      <c r="N4402" s="5">
        <v>1.5253892337437671</v>
      </c>
      <c r="O4402" t="s">
        <v>51</v>
      </c>
      <c r="P4402" t="s">
        <v>340</v>
      </c>
      <c r="Q4402" s="10" t="s">
        <v>1102</v>
      </c>
    </row>
    <row r="4403" spans="1:18" hidden="1" x14ac:dyDescent="0.25">
      <c r="A4403" s="9" t="s">
        <v>1153</v>
      </c>
      <c r="B4403" s="3" t="s">
        <v>1188</v>
      </c>
      <c r="C4403" s="10">
        <v>16</v>
      </c>
      <c r="D4403" s="10">
        <v>9</v>
      </c>
      <c r="E4403" s="10">
        <v>19</v>
      </c>
      <c r="F4403" t="s">
        <v>166</v>
      </c>
      <c r="G4403" t="s">
        <v>77</v>
      </c>
      <c r="H4403" t="s">
        <v>26</v>
      </c>
      <c r="I4403" t="s">
        <v>27</v>
      </c>
      <c r="J4403" s="4">
        <v>18.899999999999999</v>
      </c>
      <c r="K4403">
        <v>1</v>
      </c>
      <c r="L4403">
        <v>18.899999999999999</v>
      </c>
      <c r="M4403">
        <v>18.899999999999999</v>
      </c>
      <c r="N4403" s="5">
        <v>0.96163630813066037</v>
      </c>
      <c r="O4403" t="s">
        <v>51</v>
      </c>
      <c r="P4403" t="s">
        <v>340</v>
      </c>
      <c r="Q4403" s="10" t="s">
        <v>1102</v>
      </c>
    </row>
    <row r="4404" spans="1:18" hidden="1" x14ac:dyDescent="0.25">
      <c r="A4404" s="9" t="s">
        <v>1153</v>
      </c>
      <c r="B4404" s="3" t="s">
        <v>1188</v>
      </c>
      <c r="C4404" s="10">
        <v>16</v>
      </c>
      <c r="D4404" s="10">
        <v>9</v>
      </c>
      <c r="E4404" s="10">
        <v>19</v>
      </c>
      <c r="F4404" t="s">
        <v>206</v>
      </c>
      <c r="H4404" t="s">
        <v>56</v>
      </c>
      <c r="I4404" t="s">
        <v>27</v>
      </c>
      <c r="J4404" s="4">
        <v>55</v>
      </c>
      <c r="K4404">
        <v>0.246</v>
      </c>
      <c r="L4404">
        <v>55</v>
      </c>
      <c r="M4404">
        <v>13.53</v>
      </c>
      <c r="N4404" s="5">
        <v>0.68840948407448865</v>
      </c>
      <c r="O4404" t="s">
        <v>51</v>
      </c>
      <c r="P4404" t="s">
        <v>340</v>
      </c>
      <c r="Q4404" s="10" t="s">
        <v>1102</v>
      </c>
    </row>
    <row r="4405" spans="1:18" hidden="1" x14ac:dyDescent="0.25">
      <c r="A4405" s="9" t="s">
        <v>1153</v>
      </c>
      <c r="B4405" s="3" t="s">
        <v>1188</v>
      </c>
      <c r="C4405" s="10">
        <v>16</v>
      </c>
      <c r="D4405" s="10">
        <v>9</v>
      </c>
      <c r="E4405" s="10">
        <v>19</v>
      </c>
      <c r="F4405" t="s">
        <v>202</v>
      </c>
      <c r="H4405" t="s">
        <v>56</v>
      </c>
      <c r="I4405" t="s">
        <v>27</v>
      </c>
      <c r="J4405" s="4">
        <v>119</v>
      </c>
      <c r="K4405">
        <v>0.27600000000000002</v>
      </c>
      <c r="L4405">
        <v>119</v>
      </c>
      <c r="M4405">
        <v>32.844000000000001</v>
      </c>
      <c r="N4405" s="5">
        <v>1.6711102065737256</v>
      </c>
      <c r="O4405" t="s">
        <v>51</v>
      </c>
      <c r="P4405" t="s">
        <v>340</v>
      </c>
      <c r="Q4405" s="10" t="s">
        <v>1102</v>
      </c>
    </row>
    <row r="4406" spans="1:18" hidden="1" x14ac:dyDescent="0.25">
      <c r="A4406" s="9" t="s">
        <v>1153</v>
      </c>
      <c r="B4406" s="3" t="s">
        <v>1188</v>
      </c>
      <c r="C4406" s="10">
        <v>16</v>
      </c>
      <c r="D4406" s="10">
        <v>9</v>
      </c>
      <c r="E4406" s="10">
        <v>19</v>
      </c>
      <c r="F4406" t="s">
        <v>55</v>
      </c>
      <c r="G4406" t="s">
        <v>889</v>
      </c>
      <c r="H4406" t="s">
        <v>56</v>
      </c>
      <c r="I4406" t="s">
        <v>27</v>
      </c>
      <c r="J4406" s="4">
        <v>15.49</v>
      </c>
      <c r="K4406">
        <v>1.1040000000000001</v>
      </c>
      <c r="L4406">
        <v>15.49</v>
      </c>
      <c r="M4406">
        <v>17.100960000000001</v>
      </c>
      <c r="N4406" s="5">
        <v>0.87010074285132799</v>
      </c>
      <c r="O4406" t="s">
        <v>51</v>
      </c>
      <c r="P4406" t="s">
        <v>340</v>
      </c>
      <c r="Q4406" s="10" t="s">
        <v>1102</v>
      </c>
    </row>
    <row r="4407" spans="1:18" hidden="1" x14ac:dyDescent="0.25">
      <c r="A4407" s="9" t="s">
        <v>1153</v>
      </c>
      <c r="B4407" s="3" t="s">
        <v>1188</v>
      </c>
      <c r="C4407" s="10">
        <v>16</v>
      </c>
      <c r="D4407" s="10">
        <v>9</v>
      </c>
      <c r="E4407" s="10">
        <v>19</v>
      </c>
      <c r="F4407" t="s">
        <v>73</v>
      </c>
      <c r="G4407" t="s">
        <v>889</v>
      </c>
      <c r="H4407" t="s">
        <v>73</v>
      </c>
      <c r="I4407" t="s">
        <v>27</v>
      </c>
      <c r="J4407" s="4">
        <v>25.32</v>
      </c>
      <c r="K4407">
        <v>1</v>
      </c>
      <c r="L4407">
        <v>25.32</v>
      </c>
      <c r="M4407">
        <v>25.32</v>
      </c>
      <c r="N4407" s="5">
        <v>1.2882873715274246</v>
      </c>
      <c r="O4407" t="s">
        <v>51</v>
      </c>
      <c r="P4407" t="s">
        <v>340</v>
      </c>
      <c r="Q4407" s="10" t="s">
        <v>1102</v>
      </c>
    </row>
    <row r="4408" spans="1:18" hidden="1" x14ac:dyDescent="0.25">
      <c r="A4408" s="9" t="s">
        <v>1153</v>
      </c>
      <c r="B4408" s="3" t="s">
        <v>1207</v>
      </c>
      <c r="C4408" s="10">
        <v>17</v>
      </c>
      <c r="D4408" s="10">
        <v>9</v>
      </c>
      <c r="E4408" s="10">
        <v>19</v>
      </c>
      <c r="F4408" t="s">
        <v>398</v>
      </c>
      <c r="G4408" t="s">
        <v>889</v>
      </c>
      <c r="H4408" t="s">
        <v>40</v>
      </c>
      <c r="I4408" t="s">
        <v>27</v>
      </c>
      <c r="J4408" s="4">
        <v>14.6</v>
      </c>
      <c r="K4408">
        <v>1</v>
      </c>
      <c r="L4408">
        <v>14.6</v>
      </c>
      <c r="M4408">
        <v>14.6</v>
      </c>
      <c r="N4408" s="5">
        <v>0.74285132797394926</v>
      </c>
      <c r="O4408" t="s">
        <v>100</v>
      </c>
      <c r="P4408" t="s">
        <v>340</v>
      </c>
      <c r="Q4408" s="10" t="s">
        <v>1102</v>
      </c>
    </row>
    <row r="4409" spans="1:18" hidden="1" x14ac:dyDescent="0.25">
      <c r="A4409" s="9" t="s">
        <v>1153</v>
      </c>
      <c r="B4409" s="3" t="s">
        <v>1212</v>
      </c>
      <c r="C4409" s="10">
        <v>18</v>
      </c>
      <c r="D4409" s="10">
        <v>9</v>
      </c>
      <c r="E4409" s="10">
        <v>19</v>
      </c>
      <c r="F4409" t="s">
        <v>1211</v>
      </c>
      <c r="G4409" t="s">
        <v>889</v>
      </c>
      <c r="H4409" t="s">
        <v>56</v>
      </c>
      <c r="I4409" t="s">
        <v>27</v>
      </c>
      <c r="J4409" s="4">
        <v>13.25</v>
      </c>
      <c r="K4409">
        <v>0.66800000000000004</v>
      </c>
      <c r="L4409">
        <v>13.25</v>
      </c>
      <c r="M4409">
        <v>8.8510000000000009</v>
      </c>
      <c r="N4409" s="5">
        <v>0.45034089752722095</v>
      </c>
      <c r="O4409" t="s">
        <v>1472</v>
      </c>
      <c r="P4409" t="s">
        <v>340</v>
      </c>
      <c r="Q4409" s="10" t="s">
        <v>1102</v>
      </c>
    </row>
    <row r="4410" spans="1:18" hidden="1" x14ac:dyDescent="0.25">
      <c r="A4410" s="9" t="s">
        <v>1153</v>
      </c>
      <c r="B4410" s="3" t="s">
        <v>1212</v>
      </c>
      <c r="C4410" s="10">
        <v>18</v>
      </c>
      <c r="D4410" s="10">
        <v>9</v>
      </c>
      <c r="E4410" s="10">
        <v>19</v>
      </c>
      <c r="F4410" t="s">
        <v>204</v>
      </c>
      <c r="G4410" t="s">
        <v>889</v>
      </c>
      <c r="H4410" t="s">
        <v>54</v>
      </c>
      <c r="I4410" t="s">
        <v>27</v>
      </c>
      <c r="J4410" s="4">
        <v>69.8</v>
      </c>
      <c r="K4410">
        <v>9.8000000000000004E-2</v>
      </c>
      <c r="L4410">
        <v>69.8</v>
      </c>
      <c r="M4410">
        <v>6.8403999999999998</v>
      </c>
      <c r="N4410" s="5">
        <v>0.3480411112241783</v>
      </c>
      <c r="O4410" t="s">
        <v>1472</v>
      </c>
      <c r="P4410" t="s">
        <v>340</v>
      </c>
      <c r="Q4410" s="10" t="s">
        <v>1102</v>
      </c>
    </row>
    <row r="4411" spans="1:18" hidden="1" x14ac:dyDescent="0.25">
      <c r="A4411" s="9" t="s">
        <v>1153</v>
      </c>
      <c r="B4411" s="3" t="s">
        <v>1212</v>
      </c>
      <c r="C4411" s="10">
        <v>18</v>
      </c>
      <c r="D4411" s="10">
        <v>9</v>
      </c>
      <c r="E4411" s="10">
        <v>19</v>
      </c>
      <c r="F4411" t="s">
        <v>1265</v>
      </c>
      <c r="G4411" t="s">
        <v>31</v>
      </c>
      <c r="H4411" t="s">
        <v>26</v>
      </c>
      <c r="I4411" t="s">
        <v>27</v>
      </c>
      <c r="J4411" s="4">
        <v>10.4</v>
      </c>
      <c r="K4411">
        <v>6</v>
      </c>
      <c r="L4411">
        <v>10.4</v>
      </c>
      <c r="M4411">
        <v>62.400000000000006</v>
      </c>
      <c r="N4411" s="5">
        <v>3.1749262236694822</v>
      </c>
      <c r="O4411" t="s">
        <v>1472</v>
      </c>
      <c r="P4411" t="s">
        <v>340</v>
      </c>
      <c r="Q4411" s="10" t="s">
        <v>1102</v>
      </c>
    </row>
    <row r="4412" spans="1:18" hidden="1" x14ac:dyDescent="0.25">
      <c r="A4412" s="9" t="s">
        <v>1153</v>
      </c>
      <c r="B4412" s="3" t="s">
        <v>1212</v>
      </c>
      <c r="C4412" s="10">
        <v>18</v>
      </c>
      <c r="D4412" s="10">
        <v>9</v>
      </c>
      <c r="E4412" s="10">
        <v>19</v>
      </c>
      <c r="F4412" t="s">
        <v>104</v>
      </c>
      <c r="G4412" t="s">
        <v>889</v>
      </c>
      <c r="H4412" t="s">
        <v>889</v>
      </c>
      <c r="I4412" t="s">
        <v>72</v>
      </c>
      <c r="J4412" s="4">
        <v>24.51</v>
      </c>
      <c r="K4412">
        <v>1</v>
      </c>
      <c r="L4412">
        <v>24.51</v>
      </c>
      <c r="M4412">
        <v>24.51</v>
      </c>
      <c r="N4412" s="5">
        <v>1.2470743868932535</v>
      </c>
      <c r="O4412" t="s">
        <v>233</v>
      </c>
      <c r="P4412" t="s">
        <v>340</v>
      </c>
      <c r="Q4412" s="10" t="s">
        <v>1102</v>
      </c>
      <c r="R4412" t="s">
        <v>1218</v>
      </c>
    </row>
    <row r="4413" spans="1:18" hidden="1" x14ac:dyDescent="0.25">
      <c r="A4413" s="9" t="s">
        <v>1153</v>
      </c>
      <c r="B4413" s="3" t="s">
        <v>1222</v>
      </c>
      <c r="C4413" s="10">
        <v>19</v>
      </c>
      <c r="D4413" s="10">
        <v>9</v>
      </c>
      <c r="E4413" s="10">
        <v>19</v>
      </c>
      <c r="F4413" t="s">
        <v>81</v>
      </c>
      <c r="I4413" t="s">
        <v>39</v>
      </c>
      <c r="J4413" s="4">
        <v>118</v>
      </c>
      <c r="K4413">
        <v>1</v>
      </c>
      <c r="L4413">
        <v>118</v>
      </c>
      <c r="M4413">
        <v>118</v>
      </c>
      <c r="N4413" s="5">
        <v>6.0038668973237002</v>
      </c>
      <c r="O4413" t="s">
        <v>39</v>
      </c>
      <c r="P4413" t="s">
        <v>340</v>
      </c>
      <c r="Q4413" s="10" t="s">
        <v>84</v>
      </c>
      <c r="R4413" t="s">
        <v>1219</v>
      </c>
    </row>
    <row r="4414" spans="1:18" hidden="1" x14ac:dyDescent="0.25">
      <c r="A4414" s="9" t="s">
        <v>1153</v>
      </c>
      <c r="B4414" s="3" t="s">
        <v>1222</v>
      </c>
      <c r="C4414" s="10">
        <v>19</v>
      </c>
      <c r="D4414" s="10">
        <v>9</v>
      </c>
      <c r="E4414" s="10">
        <v>19</v>
      </c>
      <c r="F4414" t="s">
        <v>1562</v>
      </c>
      <c r="G4414" t="s">
        <v>889</v>
      </c>
      <c r="H4414" t="s">
        <v>889</v>
      </c>
      <c r="I4414" t="s">
        <v>139</v>
      </c>
      <c r="J4414" s="4">
        <v>5</v>
      </c>
      <c r="K4414">
        <v>1</v>
      </c>
      <c r="L4414">
        <v>85.850000000000009</v>
      </c>
      <c r="M4414">
        <v>85.850000000000009</v>
      </c>
      <c r="N4414" s="5">
        <v>4.3512417638114549</v>
      </c>
      <c r="O4414" t="s">
        <v>39</v>
      </c>
      <c r="P4414" t="s">
        <v>340</v>
      </c>
      <c r="Q4414" s="10" t="s">
        <v>24</v>
      </c>
      <c r="R4414" t="s">
        <v>2275</v>
      </c>
    </row>
    <row r="4415" spans="1:18" hidden="1" x14ac:dyDescent="0.25">
      <c r="A4415" s="9" t="s">
        <v>1153</v>
      </c>
      <c r="B4415" s="3" t="s">
        <v>1222</v>
      </c>
      <c r="C4415" s="10">
        <v>19</v>
      </c>
      <c r="D4415" s="10">
        <v>9</v>
      </c>
      <c r="E4415" s="10">
        <v>19</v>
      </c>
      <c r="F4415" t="s">
        <v>1562</v>
      </c>
      <c r="G4415" t="s">
        <v>889</v>
      </c>
      <c r="H4415" t="s">
        <v>889</v>
      </c>
      <c r="I4415" t="s">
        <v>139</v>
      </c>
      <c r="J4415" s="4">
        <v>9</v>
      </c>
      <c r="K4415">
        <v>1</v>
      </c>
      <c r="L4415">
        <v>154.53000000000003</v>
      </c>
      <c r="M4415">
        <v>154.53000000000003</v>
      </c>
      <c r="N4415" s="5">
        <v>7.83223517486062</v>
      </c>
      <c r="O4415" t="s">
        <v>39</v>
      </c>
      <c r="P4415" t="s">
        <v>340</v>
      </c>
      <c r="Q4415" s="10" t="s">
        <v>24</v>
      </c>
      <c r="R4415" t="s">
        <v>2276</v>
      </c>
    </row>
    <row r="4416" spans="1:18" hidden="1" x14ac:dyDescent="0.25">
      <c r="A4416" s="9" t="s">
        <v>1153</v>
      </c>
      <c r="B4416" s="3" t="s">
        <v>1168</v>
      </c>
      <c r="C4416" s="10">
        <v>2</v>
      </c>
      <c r="D4416" s="10">
        <v>9</v>
      </c>
      <c r="E4416" s="10">
        <v>19</v>
      </c>
      <c r="F4416" t="s">
        <v>820</v>
      </c>
      <c r="G4416" t="s">
        <v>889</v>
      </c>
      <c r="H4416" t="s">
        <v>889</v>
      </c>
      <c r="I4416" t="s">
        <v>431</v>
      </c>
      <c r="J4416" s="4">
        <v>206.1</v>
      </c>
      <c r="K4416">
        <v>1</v>
      </c>
      <c r="L4416">
        <v>867.68099999999993</v>
      </c>
      <c r="M4416">
        <v>867.68099999999993</v>
      </c>
      <c r="N4416" s="5">
        <v>44.147807062175637</v>
      </c>
      <c r="O4416" t="s">
        <v>1170</v>
      </c>
      <c r="P4416" t="s">
        <v>148</v>
      </c>
      <c r="Q4416" s="10" t="s">
        <v>1102</v>
      </c>
    </row>
    <row r="4417" spans="1:18" hidden="1" x14ac:dyDescent="0.25">
      <c r="A4417" s="9" t="s">
        <v>1153</v>
      </c>
      <c r="B4417" s="3" t="s">
        <v>1213</v>
      </c>
      <c r="C4417" s="10">
        <v>20</v>
      </c>
      <c r="D4417" s="10">
        <v>9</v>
      </c>
      <c r="E4417" s="10">
        <v>19</v>
      </c>
      <c r="F4417" t="s">
        <v>1385</v>
      </c>
      <c r="G4417" t="s">
        <v>889</v>
      </c>
      <c r="H4417" t="s">
        <v>59</v>
      </c>
      <c r="I4417" t="s">
        <v>27</v>
      </c>
      <c r="J4417" s="4">
        <v>102.4</v>
      </c>
      <c r="K4417">
        <v>1</v>
      </c>
      <c r="L4417">
        <v>102.4</v>
      </c>
      <c r="M4417">
        <v>102.4</v>
      </c>
      <c r="N4417" s="5">
        <v>5.2101353414063301</v>
      </c>
      <c r="O4417" t="s">
        <v>1472</v>
      </c>
      <c r="P4417" t="s">
        <v>340</v>
      </c>
      <c r="Q4417" s="10" t="s">
        <v>1102</v>
      </c>
    </row>
    <row r="4418" spans="1:18" hidden="1" x14ac:dyDescent="0.25">
      <c r="A4418" s="9" t="s">
        <v>1153</v>
      </c>
      <c r="B4418" s="3" t="s">
        <v>1213</v>
      </c>
      <c r="C4418" s="10">
        <v>20</v>
      </c>
      <c r="D4418" s="10">
        <v>9</v>
      </c>
      <c r="E4418" s="10">
        <v>19</v>
      </c>
      <c r="F4418" t="s">
        <v>159</v>
      </c>
      <c r="G4418" t="s">
        <v>889</v>
      </c>
      <c r="H4418" t="s">
        <v>1748</v>
      </c>
      <c r="I4418" t="s">
        <v>72</v>
      </c>
      <c r="J4418" s="4">
        <v>82.9</v>
      </c>
      <c r="K4418">
        <v>2</v>
      </c>
      <c r="L4418">
        <v>82.9</v>
      </c>
      <c r="M4418">
        <v>165.8</v>
      </c>
      <c r="N4418" s="5">
        <v>8.435941793019234</v>
      </c>
      <c r="O4418" t="s">
        <v>243</v>
      </c>
      <c r="P4418" t="s">
        <v>340</v>
      </c>
      <c r="Q4418" s="10" t="s">
        <v>1102</v>
      </c>
      <c r="R4418" t="s">
        <v>1216</v>
      </c>
    </row>
    <row r="4419" spans="1:18" hidden="1" x14ac:dyDescent="0.25">
      <c r="A4419" s="9" t="s">
        <v>1153</v>
      </c>
      <c r="B4419" s="3" t="s">
        <v>1213</v>
      </c>
      <c r="C4419" s="10">
        <v>20</v>
      </c>
      <c r="D4419" s="10">
        <v>9</v>
      </c>
      <c r="E4419" s="10">
        <v>19</v>
      </c>
      <c r="F4419" t="s">
        <v>159</v>
      </c>
      <c r="G4419" t="s">
        <v>889</v>
      </c>
      <c r="H4419" t="s">
        <v>1748</v>
      </c>
      <c r="I4419" t="s">
        <v>72</v>
      </c>
      <c r="J4419" s="4">
        <v>130.85</v>
      </c>
      <c r="K4419">
        <v>1</v>
      </c>
      <c r="L4419">
        <v>130.85</v>
      </c>
      <c r="M4419">
        <v>130.85</v>
      </c>
      <c r="N4419" s="5">
        <v>6.6576778263966618</v>
      </c>
      <c r="O4419" t="s">
        <v>243</v>
      </c>
      <c r="P4419" t="s">
        <v>340</v>
      </c>
      <c r="Q4419" s="10" t="s">
        <v>1102</v>
      </c>
      <c r="R4419" t="s">
        <v>1217</v>
      </c>
    </row>
    <row r="4420" spans="1:18" hidden="1" x14ac:dyDescent="0.25">
      <c r="A4420" s="9" t="s">
        <v>1153</v>
      </c>
      <c r="B4420" s="3" t="s">
        <v>1213</v>
      </c>
      <c r="C4420" s="10">
        <v>20</v>
      </c>
      <c r="D4420" s="10">
        <v>9</v>
      </c>
      <c r="E4420" s="10">
        <v>19</v>
      </c>
      <c r="F4420" t="s">
        <v>166</v>
      </c>
      <c r="G4420" t="s">
        <v>77</v>
      </c>
      <c r="H4420" t="s">
        <v>26</v>
      </c>
      <c r="I4420" t="s">
        <v>27</v>
      </c>
      <c r="J4420" s="4">
        <v>20</v>
      </c>
      <c r="K4420">
        <v>1</v>
      </c>
      <c r="L4420">
        <v>20</v>
      </c>
      <c r="M4420">
        <v>20</v>
      </c>
      <c r="N4420" s="5">
        <v>1.0176045588684237</v>
      </c>
      <c r="O4420" t="s">
        <v>101</v>
      </c>
      <c r="P4420" t="s">
        <v>340</v>
      </c>
      <c r="Q4420" s="10" t="s">
        <v>1102</v>
      </c>
    </row>
    <row r="4421" spans="1:18" hidden="1" x14ac:dyDescent="0.25">
      <c r="A4421" s="9" t="s">
        <v>1153</v>
      </c>
      <c r="B4421" s="3" t="s">
        <v>1213</v>
      </c>
      <c r="C4421" s="10">
        <v>20</v>
      </c>
      <c r="D4421" s="10">
        <v>9</v>
      </c>
      <c r="E4421" s="10">
        <v>19</v>
      </c>
      <c r="F4421" t="s">
        <v>595</v>
      </c>
      <c r="H4421" t="s">
        <v>39</v>
      </c>
      <c r="I4421" t="s">
        <v>27</v>
      </c>
      <c r="J4421" s="4">
        <v>14.5</v>
      </c>
      <c r="K4421">
        <v>1</v>
      </c>
      <c r="L4421">
        <v>14.5</v>
      </c>
      <c r="M4421">
        <v>14.5</v>
      </c>
      <c r="N4421" s="5">
        <v>0.7377633051796072</v>
      </c>
      <c r="O4421" t="s">
        <v>101</v>
      </c>
      <c r="P4421" t="s">
        <v>340</v>
      </c>
      <c r="Q4421" s="10" t="s">
        <v>1102</v>
      </c>
    </row>
    <row r="4422" spans="1:18" hidden="1" x14ac:dyDescent="0.25">
      <c r="A4422" s="9" t="s">
        <v>1153</v>
      </c>
      <c r="B4422" s="3" t="s">
        <v>1213</v>
      </c>
      <c r="C4422" s="10">
        <v>20</v>
      </c>
      <c r="D4422" s="10">
        <v>9</v>
      </c>
      <c r="E4422" s="10">
        <v>19</v>
      </c>
      <c r="F4422" t="s">
        <v>71</v>
      </c>
      <c r="G4422" t="s">
        <v>889</v>
      </c>
      <c r="H4422" t="s">
        <v>1748</v>
      </c>
      <c r="I4422" t="s">
        <v>72</v>
      </c>
      <c r="J4422" s="4">
        <v>350</v>
      </c>
      <c r="K4422">
        <v>1</v>
      </c>
      <c r="L4422">
        <v>350</v>
      </c>
      <c r="M4422">
        <v>350</v>
      </c>
      <c r="N4422" s="5">
        <v>17.787839586028458</v>
      </c>
      <c r="O4422" t="s">
        <v>1744</v>
      </c>
      <c r="P4422" t="s">
        <v>340</v>
      </c>
      <c r="Q4422" s="10" t="s">
        <v>24</v>
      </c>
      <c r="R4422" t="s">
        <v>1745</v>
      </c>
    </row>
    <row r="4423" spans="1:18" hidden="1" x14ac:dyDescent="0.25">
      <c r="A4423" s="9" t="s">
        <v>1153</v>
      </c>
      <c r="B4423" s="3" t="s">
        <v>1221</v>
      </c>
      <c r="C4423" s="10">
        <v>21</v>
      </c>
      <c r="D4423" s="10">
        <v>9</v>
      </c>
      <c r="E4423" s="10">
        <v>19</v>
      </c>
      <c r="F4423" t="s">
        <v>102</v>
      </c>
      <c r="H4423" t="s">
        <v>102</v>
      </c>
      <c r="I4423" t="s">
        <v>27</v>
      </c>
      <c r="J4423" s="4">
        <v>41</v>
      </c>
      <c r="K4423">
        <v>1</v>
      </c>
      <c r="L4423">
        <v>41</v>
      </c>
      <c r="M4423">
        <v>41</v>
      </c>
      <c r="N4423" s="5">
        <v>2.0860893456802687</v>
      </c>
      <c r="O4423" t="s">
        <v>143</v>
      </c>
      <c r="P4423" t="s">
        <v>340</v>
      </c>
      <c r="Q4423" s="10" t="s">
        <v>1102</v>
      </c>
    </row>
    <row r="4424" spans="1:18" hidden="1" x14ac:dyDescent="0.25">
      <c r="A4424" s="9" t="s">
        <v>1153</v>
      </c>
      <c r="B4424" s="3" t="s">
        <v>1221</v>
      </c>
      <c r="C4424" s="10">
        <v>21</v>
      </c>
      <c r="D4424" s="10">
        <v>9</v>
      </c>
      <c r="E4424" s="10">
        <v>19</v>
      </c>
      <c r="F4424" t="s">
        <v>102</v>
      </c>
      <c r="H4424" t="s">
        <v>102</v>
      </c>
      <c r="I4424" t="s">
        <v>27</v>
      </c>
      <c r="J4424" s="4">
        <v>35</v>
      </c>
      <c r="K4424">
        <v>1</v>
      </c>
      <c r="L4424">
        <v>35</v>
      </c>
      <c r="M4424">
        <v>35</v>
      </c>
      <c r="N4424" s="5">
        <v>1.7808079780197414</v>
      </c>
      <c r="O4424" t="s">
        <v>143</v>
      </c>
      <c r="P4424" t="s">
        <v>340</v>
      </c>
      <c r="Q4424" s="10" t="s">
        <v>1102</v>
      </c>
    </row>
    <row r="4425" spans="1:18" hidden="1" x14ac:dyDescent="0.25">
      <c r="A4425" s="9" t="s">
        <v>1153</v>
      </c>
      <c r="B4425" s="3" t="s">
        <v>1221</v>
      </c>
      <c r="C4425" s="10">
        <v>21</v>
      </c>
      <c r="D4425" s="10">
        <v>9</v>
      </c>
      <c r="E4425" s="10">
        <v>19</v>
      </c>
      <c r="F4425" t="s">
        <v>71</v>
      </c>
      <c r="I4425" t="s">
        <v>72</v>
      </c>
      <c r="J4425" s="4">
        <v>50</v>
      </c>
      <c r="K4425">
        <v>1</v>
      </c>
      <c r="L4425">
        <v>50</v>
      </c>
      <c r="M4425">
        <v>50</v>
      </c>
      <c r="N4425" s="5">
        <v>2.5440113971710594</v>
      </c>
      <c r="O4425" t="s">
        <v>39</v>
      </c>
      <c r="P4425" t="s">
        <v>340</v>
      </c>
      <c r="Q4425" s="10" t="s">
        <v>1102</v>
      </c>
      <c r="R4425" t="s">
        <v>1496</v>
      </c>
    </row>
    <row r="4426" spans="1:18" hidden="1" x14ac:dyDescent="0.25">
      <c r="A4426" s="9" t="s">
        <v>1153</v>
      </c>
      <c r="B4426" s="3" t="s">
        <v>1221</v>
      </c>
      <c r="C4426" s="10">
        <v>21</v>
      </c>
      <c r="D4426" s="10">
        <v>9</v>
      </c>
      <c r="E4426" s="10">
        <v>19</v>
      </c>
      <c r="F4426" t="s">
        <v>2242</v>
      </c>
      <c r="G4426" t="s">
        <v>345</v>
      </c>
      <c r="H4426" t="s">
        <v>26</v>
      </c>
      <c r="I4426" t="s">
        <v>27</v>
      </c>
      <c r="J4426" s="4">
        <v>6.8</v>
      </c>
      <c r="K4426">
        <v>1</v>
      </c>
      <c r="L4426">
        <v>6.8</v>
      </c>
      <c r="M4426">
        <v>6.8</v>
      </c>
      <c r="N4426" s="5">
        <v>0.34598555001526404</v>
      </c>
      <c r="O4426" t="s">
        <v>101</v>
      </c>
      <c r="P4426" t="s">
        <v>340</v>
      </c>
      <c r="Q4426" s="10" t="s">
        <v>1102</v>
      </c>
    </row>
    <row r="4427" spans="1:18" hidden="1" x14ac:dyDescent="0.25">
      <c r="A4427" s="9" t="s">
        <v>1153</v>
      </c>
      <c r="B4427" s="3" t="s">
        <v>1221</v>
      </c>
      <c r="C4427" s="10">
        <v>21</v>
      </c>
      <c r="D4427" s="10">
        <v>9</v>
      </c>
      <c r="E4427" s="10">
        <v>19</v>
      </c>
      <c r="F4427" t="s">
        <v>224</v>
      </c>
      <c r="G4427" t="s">
        <v>224</v>
      </c>
      <c r="H4427" t="s">
        <v>131</v>
      </c>
      <c r="I4427" t="s">
        <v>27</v>
      </c>
      <c r="J4427" s="4">
        <v>12.5</v>
      </c>
      <c r="K4427">
        <v>2</v>
      </c>
      <c r="L4427">
        <v>12.5</v>
      </c>
      <c r="M4427">
        <v>25</v>
      </c>
      <c r="N4427" s="5">
        <v>1.2720056985855297</v>
      </c>
      <c r="O4427" t="s">
        <v>101</v>
      </c>
      <c r="P4427" t="s">
        <v>340</v>
      </c>
      <c r="Q4427" s="10" t="s">
        <v>1102</v>
      </c>
    </row>
    <row r="4428" spans="1:18" hidden="1" x14ac:dyDescent="0.25">
      <c r="A4428" s="9" t="s">
        <v>1153</v>
      </c>
      <c r="B4428" s="3" t="s">
        <v>1221</v>
      </c>
      <c r="C4428" s="10">
        <v>21</v>
      </c>
      <c r="D4428" s="10">
        <v>9</v>
      </c>
      <c r="E4428" s="10">
        <v>19</v>
      </c>
      <c r="F4428" t="s">
        <v>1220</v>
      </c>
      <c r="G4428" t="s">
        <v>889</v>
      </c>
      <c r="H4428" t="s">
        <v>65</v>
      </c>
      <c r="I4428" t="s">
        <v>27</v>
      </c>
      <c r="J4428" s="4">
        <v>10</v>
      </c>
      <c r="K4428">
        <v>2</v>
      </c>
      <c r="L4428">
        <v>10</v>
      </c>
      <c r="M4428">
        <v>20</v>
      </c>
      <c r="N4428" s="5">
        <v>1.0176045588684237</v>
      </c>
      <c r="O4428" t="s">
        <v>101</v>
      </c>
      <c r="P4428" t="s">
        <v>340</v>
      </c>
      <c r="Q4428" s="10" t="s">
        <v>1102</v>
      </c>
    </row>
    <row r="4429" spans="1:18" hidden="1" x14ac:dyDescent="0.25">
      <c r="A4429" s="9" t="s">
        <v>1153</v>
      </c>
      <c r="B4429" s="3" t="s">
        <v>1195</v>
      </c>
      <c r="C4429" s="10">
        <v>22</v>
      </c>
      <c r="D4429" s="10">
        <v>9</v>
      </c>
      <c r="E4429" s="10">
        <v>19</v>
      </c>
      <c r="F4429" t="s">
        <v>561</v>
      </c>
      <c r="G4429" t="s">
        <v>889</v>
      </c>
      <c r="H4429" t="s">
        <v>1599</v>
      </c>
      <c r="I4429" t="s">
        <v>22</v>
      </c>
      <c r="J4429" s="4">
        <v>50</v>
      </c>
      <c r="K4429">
        <v>1</v>
      </c>
      <c r="L4429">
        <v>50</v>
      </c>
      <c r="M4429">
        <v>50</v>
      </c>
      <c r="N4429" s="5">
        <v>2.5440113971710594</v>
      </c>
      <c r="O4429" t="s">
        <v>39</v>
      </c>
      <c r="P4429" t="s">
        <v>340</v>
      </c>
      <c r="Q4429" s="10" t="s">
        <v>1102</v>
      </c>
    </row>
    <row r="4430" spans="1:18" hidden="1" x14ac:dyDescent="0.25">
      <c r="A4430" s="9" t="s">
        <v>1153</v>
      </c>
      <c r="B4430" s="3" t="s">
        <v>1195</v>
      </c>
      <c r="C4430" s="10">
        <v>22</v>
      </c>
      <c r="D4430" s="10">
        <v>9</v>
      </c>
      <c r="E4430" s="10">
        <v>19</v>
      </c>
      <c r="F4430" t="s">
        <v>1553</v>
      </c>
      <c r="G4430" t="s">
        <v>889</v>
      </c>
      <c r="H4430" t="s">
        <v>49</v>
      </c>
      <c r="I4430" t="s">
        <v>50</v>
      </c>
      <c r="J4430" s="4">
        <v>25</v>
      </c>
      <c r="K4430">
        <v>1</v>
      </c>
      <c r="L4430">
        <v>25</v>
      </c>
      <c r="M4430">
        <v>25</v>
      </c>
      <c r="N4430" s="5">
        <v>1.2720056985855297</v>
      </c>
      <c r="O4430" t="s">
        <v>39</v>
      </c>
      <c r="P4430" t="s">
        <v>340</v>
      </c>
      <c r="Q4430" s="10" t="s">
        <v>1102</v>
      </c>
    </row>
    <row r="4431" spans="1:18" hidden="1" x14ac:dyDescent="0.25">
      <c r="A4431" s="9" t="s">
        <v>1153</v>
      </c>
      <c r="B4431" s="3" t="s">
        <v>1195</v>
      </c>
      <c r="C4431" s="10">
        <v>22</v>
      </c>
      <c r="D4431" s="10">
        <v>9</v>
      </c>
      <c r="E4431" s="10">
        <v>19</v>
      </c>
      <c r="F4431" t="s">
        <v>1078</v>
      </c>
      <c r="H4431" t="s">
        <v>65</v>
      </c>
      <c r="I4431" t="s">
        <v>27</v>
      </c>
      <c r="J4431" s="4">
        <v>25</v>
      </c>
      <c r="K4431">
        <v>1</v>
      </c>
      <c r="L4431" s="13">
        <v>25</v>
      </c>
      <c r="M4431">
        <v>25</v>
      </c>
      <c r="N4431" s="5">
        <v>1.2720056985855297</v>
      </c>
      <c r="O4431" t="s">
        <v>39</v>
      </c>
      <c r="P4431" t="s">
        <v>340</v>
      </c>
      <c r="Q4431" s="10" t="s">
        <v>1102</v>
      </c>
    </row>
    <row r="4432" spans="1:18" hidden="1" x14ac:dyDescent="0.25">
      <c r="A4432" s="9" t="s">
        <v>1153</v>
      </c>
      <c r="B4432" s="3" t="s">
        <v>1195</v>
      </c>
      <c r="C4432" s="10">
        <v>22</v>
      </c>
      <c r="D4432" s="10">
        <v>9</v>
      </c>
      <c r="E4432" s="10">
        <v>19</v>
      </c>
      <c r="F4432" t="s">
        <v>432</v>
      </c>
      <c r="G4432" t="s">
        <v>889</v>
      </c>
      <c r="H4432" t="s">
        <v>889</v>
      </c>
      <c r="I4432" t="s">
        <v>431</v>
      </c>
      <c r="J4432" s="4">
        <v>337</v>
      </c>
      <c r="K4432">
        <v>1</v>
      </c>
      <c r="L4432">
        <v>337</v>
      </c>
      <c r="M4432">
        <v>337</v>
      </c>
      <c r="N4432" s="5">
        <v>17.14663681693294</v>
      </c>
      <c r="O4432" t="s">
        <v>39</v>
      </c>
      <c r="P4432" t="s">
        <v>340</v>
      </c>
      <c r="Q4432" s="10" t="s">
        <v>1102</v>
      </c>
    </row>
    <row r="4433" spans="1:18" hidden="1" x14ac:dyDescent="0.25">
      <c r="A4433" s="9" t="s">
        <v>1153</v>
      </c>
      <c r="B4433" s="3" t="s">
        <v>1195</v>
      </c>
      <c r="C4433" s="10">
        <v>22</v>
      </c>
      <c r="D4433" s="10">
        <v>9</v>
      </c>
      <c r="E4433" s="10">
        <v>19</v>
      </c>
      <c r="F4433" t="s">
        <v>53</v>
      </c>
      <c r="H4433" t="s">
        <v>53</v>
      </c>
      <c r="I4433" t="s">
        <v>27</v>
      </c>
      <c r="J4433" s="4">
        <v>35.85</v>
      </c>
      <c r="K4433">
        <v>1</v>
      </c>
      <c r="L4433">
        <v>35.85</v>
      </c>
      <c r="M4433">
        <v>35.85</v>
      </c>
      <c r="N4433" s="5">
        <v>1.8240561717716497</v>
      </c>
      <c r="O4433" t="s">
        <v>46</v>
      </c>
      <c r="P4433" t="s">
        <v>340</v>
      </c>
      <c r="Q4433" s="10" t="s">
        <v>84</v>
      </c>
    </row>
    <row r="4434" spans="1:18" hidden="1" x14ac:dyDescent="0.25">
      <c r="A4434" s="9" t="s">
        <v>1153</v>
      </c>
      <c r="B4434" s="3" t="s">
        <v>1204</v>
      </c>
      <c r="C4434" s="10">
        <v>23</v>
      </c>
      <c r="D4434" s="10">
        <v>9</v>
      </c>
      <c r="E4434" s="10">
        <v>19</v>
      </c>
      <c r="F4434" t="s">
        <v>1144</v>
      </c>
      <c r="G4434" t="s">
        <v>31</v>
      </c>
      <c r="H4434" t="s">
        <v>26</v>
      </c>
      <c r="I4434" t="s">
        <v>27</v>
      </c>
      <c r="J4434" s="4">
        <v>13.2</v>
      </c>
      <c r="K4434">
        <v>1</v>
      </c>
      <c r="L4434">
        <v>13.2</v>
      </c>
      <c r="M4434">
        <v>13.2</v>
      </c>
      <c r="N4434" s="5">
        <v>0.67161900885315962</v>
      </c>
      <c r="O4434" t="s">
        <v>100</v>
      </c>
      <c r="P4434" t="s">
        <v>340</v>
      </c>
      <c r="Q4434" s="10" t="s">
        <v>1102</v>
      </c>
    </row>
    <row r="4435" spans="1:18" hidden="1" x14ac:dyDescent="0.25">
      <c r="A4435" s="9" t="s">
        <v>1153</v>
      </c>
      <c r="B4435" s="3" t="s">
        <v>1204</v>
      </c>
      <c r="C4435" s="10">
        <v>23</v>
      </c>
      <c r="D4435" s="10">
        <v>9</v>
      </c>
      <c r="E4435" s="10">
        <v>19</v>
      </c>
      <c r="F4435" t="s">
        <v>1358</v>
      </c>
      <c r="G4435" t="s">
        <v>155</v>
      </c>
      <c r="H4435" t="s">
        <v>131</v>
      </c>
      <c r="I4435" t="s">
        <v>27</v>
      </c>
      <c r="J4435" s="4">
        <v>75</v>
      </c>
      <c r="K4435">
        <v>2</v>
      </c>
      <c r="L4435">
        <v>75</v>
      </c>
      <c r="M4435">
        <v>150</v>
      </c>
      <c r="N4435" s="5">
        <v>7.6320341915131777</v>
      </c>
      <c r="O4435" t="s">
        <v>100</v>
      </c>
      <c r="P4435" t="s">
        <v>340</v>
      </c>
      <c r="Q4435" s="10" t="s">
        <v>1102</v>
      </c>
    </row>
    <row r="4436" spans="1:18" hidden="1" x14ac:dyDescent="0.25">
      <c r="A4436" s="9" t="s">
        <v>1153</v>
      </c>
      <c r="B4436" s="3" t="s">
        <v>1204</v>
      </c>
      <c r="C4436" s="10">
        <v>23</v>
      </c>
      <c r="D4436" s="10">
        <v>9</v>
      </c>
      <c r="E4436" s="10">
        <v>19</v>
      </c>
      <c r="F4436" t="s">
        <v>1466</v>
      </c>
      <c r="G4436" t="s">
        <v>31</v>
      </c>
      <c r="H4436" t="s">
        <v>26</v>
      </c>
      <c r="I4436" t="s">
        <v>27</v>
      </c>
      <c r="J4436" s="4">
        <v>36.6</v>
      </c>
      <c r="K4436">
        <v>1</v>
      </c>
      <c r="L4436">
        <v>36.6</v>
      </c>
      <c r="M4436">
        <v>36.6</v>
      </c>
      <c r="N4436" s="5">
        <v>1.8622163427292155</v>
      </c>
      <c r="O4436" t="s">
        <v>100</v>
      </c>
      <c r="P4436" t="s">
        <v>340</v>
      </c>
      <c r="Q4436" s="10" t="s">
        <v>1102</v>
      </c>
    </row>
    <row r="4437" spans="1:18" hidden="1" x14ac:dyDescent="0.25">
      <c r="A4437" s="9" t="s">
        <v>1153</v>
      </c>
      <c r="B4437" s="3" t="s">
        <v>1204</v>
      </c>
      <c r="C4437" s="10">
        <v>23</v>
      </c>
      <c r="D4437" s="10">
        <v>9</v>
      </c>
      <c r="E4437" s="10">
        <v>19</v>
      </c>
      <c r="F4437" t="s">
        <v>1202</v>
      </c>
      <c r="G4437" t="s">
        <v>77</v>
      </c>
      <c r="H4437" t="s">
        <v>26</v>
      </c>
      <c r="I4437" t="s">
        <v>27</v>
      </c>
      <c r="J4437" s="4">
        <v>60.6</v>
      </c>
      <c r="K4437">
        <v>1</v>
      </c>
      <c r="L4437">
        <v>60.6</v>
      </c>
      <c r="M4437">
        <v>60.6</v>
      </c>
      <c r="N4437" s="5">
        <v>3.083341813371324</v>
      </c>
      <c r="O4437" t="s">
        <v>100</v>
      </c>
      <c r="P4437" t="s">
        <v>340</v>
      </c>
      <c r="Q4437" s="10" t="s">
        <v>1102</v>
      </c>
    </row>
    <row r="4438" spans="1:18" hidden="1" x14ac:dyDescent="0.25">
      <c r="A4438" s="9" t="s">
        <v>1153</v>
      </c>
      <c r="B4438" s="3" t="s">
        <v>1204</v>
      </c>
      <c r="C4438" s="10">
        <v>23</v>
      </c>
      <c r="D4438" s="10">
        <v>9</v>
      </c>
      <c r="E4438" s="10">
        <v>19</v>
      </c>
      <c r="F4438" t="s">
        <v>98</v>
      </c>
      <c r="H4438" t="s">
        <v>26</v>
      </c>
      <c r="I4438" t="s">
        <v>27</v>
      </c>
      <c r="J4438" s="4">
        <v>30.75</v>
      </c>
      <c r="K4438">
        <v>1</v>
      </c>
      <c r="L4438">
        <v>30.75</v>
      </c>
      <c r="M4438">
        <v>30.75</v>
      </c>
      <c r="N4438" s="5">
        <v>1.5645670092602015</v>
      </c>
      <c r="O4438" t="s">
        <v>100</v>
      </c>
      <c r="P4438" t="s">
        <v>340</v>
      </c>
      <c r="Q4438" s="10" t="s">
        <v>1102</v>
      </c>
      <c r="R4438" t="s">
        <v>1203</v>
      </c>
    </row>
    <row r="4439" spans="1:18" hidden="1" x14ac:dyDescent="0.25">
      <c r="A4439" s="9" t="s">
        <v>1153</v>
      </c>
      <c r="B4439" s="3" t="s">
        <v>1204</v>
      </c>
      <c r="C4439" s="10">
        <v>23</v>
      </c>
      <c r="D4439" s="10">
        <v>9</v>
      </c>
      <c r="E4439" s="10">
        <v>19</v>
      </c>
      <c r="F4439" t="s">
        <v>1036</v>
      </c>
      <c r="G4439" t="s">
        <v>889</v>
      </c>
      <c r="H4439" t="s">
        <v>38</v>
      </c>
      <c r="I4439" t="s">
        <v>27</v>
      </c>
      <c r="J4439" s="4">
        <v>126</v>
      </c>
      <c r="K4439">
        <v>0.224</v>
      </c>
      <c r="L4439">
        <v>126</v>
      </c>
      <c r="M4439">
        <v>28.224</v>
      </c>
      <c r="N4439" s="5">
        <v>1.4360435534751197</v>
      </c>
      <c r="O4439" t="s">
        <v>100</v>
      </c>
      <c r="P4439" t="s">
        <v>340</v>
      </c>
      <c r="Q4439" s="10" t="s">
        <v>1102</v>
      </c>
    </row>
    <row r="4440" spans="1:18" hidden="1" x14ac:dyDescent="0.25">
      <c r="A4440" s="9" t="s">
        <v>1153</v>
      </c>
      <c r="B4440" s="3" t="s">
        <v>1204</v>
      </c>
      <c r="C4440" s="10">
        <v>23</v>
      </c>
      <c r="D4440" s="10">
        <v>9</v>
      </c>
      <c r="E4440" s="10">
        <v>19</v>
      </c>
      <c r="F4440" t="s">
        <v>974</v>
      </c>
      <c r="G4440" t="s">
        <v>25</v>
      </c>
      <c r="H4440" t="s">
        <v>26</v>
      </c>
      <c r="I4440" t="s">
        <v>27</v>
      </c>
      <c r="J4440" s="4">
        <v>211.6</v>
      </c>
      <c r="K4440">
        <v>0.372</v>
      </c>
      <c r="L4440">
        <v>211.6</v>
      </c>
      <c r="M4440">
        <v>78.715199999999996</v>
      </c>
      <c r="N4440" s="5">
        <v>4.0050473186119868</v>
      </c>
      <c r="O4440" t="s">
        <v>100</v>
      </c>
      <c r="P4440" t="s">
        <v>340</v>
      </c>
      <c r="Q4440" s="10" t="s">
        <v>1102</v>
      </c>
    </row>
    <row r="4441" spans="1:18" hidden="1" x14ac:dyDescent="0.25">
      <c r="A4441" s="9" t="s">
        <v>1153</v>
      </c>
      <c r="B4441" s="3" t="s">
        <v>1204</v>
      </c>
      <c r="C4441" s="10">
        <v>23</v>
      </c>
      <c r="D4441" s="10">
        <v>9</v>
      </c>
      <c r="E4441" s="10">
        <v>19</v>
      </c>
      <c r="F4441" t="s">
        <v>1113</v>
      </c>
      <c r="G4441" t="s">
        <v>889</v>
      </c>
      <c r="H4441" t="s">
        <v>35</v>
      </c>
      <c r="I4441" t="s">
        <v>27</v>
      </c>
      <c r="J4441" s="4">
        <v>318.60000000000002</v>
      </c>
      <c r="K4441">
        <v>0.13</v>
      </c>
      <c r="L4441">
        <v>318.60000000000002</v>
      </c>
      <c r="M4441">
        <v>41.418000000000006</v>
      </c>
      <c r="N4441" s="5">
        <v>2.1073572809606191</v>
      </c>
      <c r="O4441" t="s">
        <v>100</v>
      </c>
      <c r="P4441" t="s">
        <v>340</v>
      </c>
      <c r="Q4441" s="10" t="s">
        <v>1102</v>
      </c>
    </row>
    <row r="4442" spans="1:18" hidden="1" x14ac:dyDescent="0.25">
      <c r="A4442" s="9" t="s">
        <v>1153</v>
      </c>
      <c r="B4442" s="3" t="s">
        <v>1204</v>
      </c>
      <c r="C4442" s="10">
        <v>23</v>
      </c>
      <c r="D4442" s="10">
        <v>9</v>
      </c>
      <c r="E4442" s="10">
        <v>19</v>
      </c>
      <c r="F4442" t="s">
        <v>2041</v>
      </c>
      <c r="G4442" t="s">
        <v>889</v>
      </c>
      <c r="H4442" t="s">
        <v>35</v>
      </c>
      <c r="I4442" t="s">
        <v>27</v>
      </c>
      <c r="J4442" s="4">
        <v>145.6</v>
      </c>
      <c r="K4442">
        <v>0.16600000000000001</v>
      </c>
      <c r="L4442">
        <v>145.6</v>
      </c>
      <c r="M4442">
        <v>24.169599999999999</v>
      </c>
      <c r="N4442" s="5">
        <v>1.2297547573013126</v>
      </c>
      <c r="O4442" t="s">
        <v>100</v>
      </c>
      <c r="P4442" t="s">
        <v>340</v>
      </c>
      <c r="Q4442" s="10" t="s">
        <v>1102</v>
      </c>
    </row>
    <row r="4443" spans="1:18" hidden="1" x14ac:dyDescent="0.25">
      <c r="A4443" s="9" t="s">
        <v>1153</v>
      </c>
      <c r="B4443" s="3" t="s">
        <v>1204</v>
      </c>
      <c r="C4443" s="10">
        <v>23</v>
      </c>
      <c r="D4443" s="10">
        <v>9</v>
      </c>
      <c r="E4443" s="10">
        <v>19</v>
      </c>
      <c r="F4443" t="s">
        <v>115</v>
      </c>
      <c r="G4443" t="s">
        <v>364</v>
      </c>
      <c r="H4443" t="s">
        <v>63</v>
      </c>
      <c r="I4443" t="s">
        <v>27</v>
      </c>
      <c r="J4443" s="4">
        <v>148.6</v>
      </c>
      <c r="K4443">
        <v>5.8000000000000003E-2</v>
      </c>
      <c r="L4443">
        <v>148.6</v>
      </c>
      <c r="M4443">
        <v>8.6188000000000002</v>
      </c>
      <c r="N4443" s="5">
        <v>0.43852650859875852</v>
      </c>
      <c r="O4443" t="s">
        <v>100</v>
      </c>
      <c r="P4443" t="s">
        <v>340</v>
      </c>
      <c r="Q4443" s="10" t="s">
        <v>1102</v>
      </c>
    </row>
    <row r="4444" spans="1:18" hidden="1" x14ac:dyDescent="0.25">
      <c r="A4444" s="9" t="s">
        <v>1153</v>
      </c>
      <c r="B4444" s="3" t="s">
        <v>1204</v>
      </c>
      <c r="C4444" s="10">
        <v>23</v>
      </c>
      <c r="D4444" s="10">
        <v>9</v>
      </c>
      <c r="E4444" s="10">
        <v>19</v>
      </c>
      <c r="F4444" t="s">
        <v>398</v>
      </c>
      <c r="G4444" t="s">
        <v>889</v>
      </c>
      <c r="H4444" t="s">
        <v>40</v>
      </c>
      <c r="I4444" t="s">
        <v>27</v>
      </c>
      <c r="J4444" s="4">
        <v>14.6</v>
      </c>
      <c r="K4444">
        <v>1</v>
      </c>
      <c r="L4444">
        <v>14.6</v>
      </c>
      <c r="M4444">
        <v>14.6</v>
      </c>
      <c r="N4444" s="5">
        <v>0.74285132797394926</v>
      </c>
      <c r="O4444" t="s">
        <v>100</v>
      </c>
      <c r="P4444" t="s">
        <v>340</v>
      </c>
      <c r="Q4444" s="10" t="s">
        <v>1102</v>
      </c>
    </row>
    <row r="4445" spans="1:18" hidden="1" x14ac:dyDescent="0.25">
      <c r="A4445" s="9" t="s">
        <v>1153</v>
      </c>
      <c r="B4445" s="3" t="s">
        <v>1204</v>
      </c>
      <c r="C4445" s="10">
        <v>23</v>
      </c>
      <c r="D4445" s="10">
        <v>9</v>
      </c>
      <c r="E4445" s="10">
        <v>19</v>
      </c>
      <c r="F4445" t="s">
        <v>361</v>
      </c>
      <c r="G4445" t="s">
        <v>889</v>
      </c>
      <c r="H4445" t="s">
        <v>54</v>
      </c>
      <c r="I4445" t="s">
        <v>27</v>
      </c>
      <c r="J4445" s="4">
        <v>34.6</v>
      </c>
      <c r="K4445">
        <v>1</v>
      </c>
      <c r="L4445">
        <v>34.6</v>
      </c>
      <c r="M4445">
        <v>34.6</v>
      </c>
      <c r="N4445" s="5">
        <v>1.7604558868423732</v>
      </c>
      <c r="O4445" t="s">
        <v>100</v>
      </c>
      <c r="P4445" t="s">
        <v>340</v>
      </c>
      <c r="Q4445" s="10" t="s">
        <v>1102</v>
      </c>
    </row>
    <row r="4446" spans="1:18" hidden="1" x14ac:dyDescent="0.25">
      <c r="A4446" s="9" t="s">
        <v>1153</v>
      </c>
      <c r="B4446" s="3" t="s">
        <v>1204</v>
      </c>
      <c r="C4446" s="10">
        <v>23</v>
      </c>
      <c r="D4446" s="10">
        <v>9</v>
      </c>
      <c r="E4446" s="10">
        <v>19</v>
      </c>
      <c r="F4446" t="s">
        <v>1205</v>
      </c>
      <c r="G4446" t="s">
        <v>889</v>
      </c>
      <c r="H4446" t="s">
        <v>54</v>
      </c>
      <c r="I4446" t="s">
        <v>27</v>
      </c>
      <c r="J4446" s="4">
        <v>29.6</v>
      </c>
      <c r="K4446">
        <v>1</v>
      </c>
      <c r="L4446">
        <v>29.6</v>
      </c>
      <c r="M4446">
        <v>29.6</v>
      </c>
      <c r="N4446" s="5">
        <v>1.5060547471252672</v>
      </c>
      <c r="O4446" t="s">
        <v>100</v>
      </c>
      <c r="P4446" t="s">
        <v>340</v>
      </c>
      <c r="Q4446" s="10" t="s">
        <v>1102</v>
      </c>
    </row>
    <row r="4447" spans="1:18" hidden="1" x14ac:dyDescent="0.25">
      <c r="A4447" s="9" t="s">
        <v>1153</v>
      </c>
      <c r="B4447" s="3" t="s">
        <v>1204</v>
      </c>
      <c r="C4447" s="10">
        <v>23</v>
      </c>
      <c r="D4447" s="10">
        <v>9</v>
      </c>
      <c r="E4447" s="10">
        <v>19</v>
      </c>
      <c r="F4447" t="s">
        <v>369</v>
      </c>
      <c r="G4447" t="s">
        <v>210</v>
      </c>
      <c r="H4447" t="s">
        <v>131</v>
      </c>
      <c r="I4447" t="s">
        <v>27</v>
      </c>
      <c r="J4447" s="4">
        <v>17.600000000000001</v>
      </c>
      <c r="K4447">
        <v>8</v>
      </c>
      <c r="L4447">
        <v>17.600000000000001</v>
      </c>
      <c r="M4447">
        <v>140.80000000000001</v>
      </c>
      <c r="N4447" s="5">
        <v>7.163936094433704</v>
      </c>
      <c r="O4447" t="s">
        <v>100</v>
      </c>
      <c r="P4447" t="s">
        <v>340</v>
      </c>
      <c r="Q4447" s="10" t="s">
        <v>1102</v>
      </c>
    </row>
    <row r="4448" spans="1:18" hidden="1" x14ac:dyDescent="0.25">
      <c r="A4448" s="9" t="s">
        <v>1153</v>
      </c>
      <c r="B4448" s="3" t="s">
        <v>1204</v>
      </c>
      <c r="C4448" s="10">
        <v>23</v>
      </c>
      <c r="D4448" s="10">
        <v>9</v>
      </c>
      <c r="E4448" s="10">
        <v>19</v>
      </c>
      <c r="F4448" t="s">
        <v>369</v>
      </c>
      <c r="G4448" t="s">
        <v>210</v>
      </c>
      <c r="H4448" t="s">
        <v>131</v>
      </c>
      <c r="I4448" t="s">
        <v>27</v>
      </c>
      <c r="J4448" s="4">
        <v>64</v>
      </c>
      <c r="K4448">
        <v>1</v>
      </c>
      <c r="L4448">
        <v>64</v>
      </c>
      <c r="M4448">
        <v>64</v>
      </c>
      <c r="N4448" s="5">
        <v>3.2563345883789561</v>
      </c>
      <c r="O4448" t="s">
        <v>100</v>
      </c>
      <c r="P4448" t="s">
        <v>340</v>
      </c>
      <c r="Q4448" s="10" t="s">
        <v>1102</v>
      </c>
    </row>
    <row r="4449" spans="1:18" hidden="1" x14ac:dyDescent="0.25">
      <c r="A4449" s="9" t="s">
        <v>1153</v>
      </c>
      <c r="B4449" s="3" t="s">
        <v>1204</v>
      </c>
      <c r="C4449" s="10">
        <v>23</v>
      </c>
      <c r="D4449" s="10">
        <v>9</v>
      </c>
      <c r="E4449" s="10">
        <v>19</v>
      </c>
      <c r="F4449" t="s">
        <v>146</v>
      </c>
      <c r="H4449" t="s">
        <v>49</v>
      </c>
      <c r="I4449" t="s">
        <v>50</v>
      </c>
      <c r="J4449" s="4">
        <v>0.75</v>
      </c>
      <c r="K4449">
        <v>1</v>
      </c>
      <c r="L4449">
        <v>0.75</v>
      </c>
      <c r="M4449">
        <v>0.75</v>
      </c>
      <c r="N4449" s="5">
        <v>3.8160170957565888E-2</v>
      </c>
      <c r="O4449" t="s">
        <v>100</v>
      </c>
      <c r="P4449" t="s">
        <v>340</v>
      </c>
      <c r="Q4449" s="10" t="s">
        <v>1102</v>
      </c>
    </row>
    <row r="4450" spans="1:18" hidden="1" x14ac:dyDescent="0.25">
      <c r="A4450" s="9" t="s">
        <v>1153</v>
      </c>
      <c r="B4450" s="3" t="s">
        <v>1746</v>
      </c>
      <c r="C4450" s="10">
        <v>24</v>
      </c>
      <c r="D4450" s="10">
        <v>9</v>
      </c>
      <c r="E4450" s="10">
        <v>19</v>
      </c>
      <c r="F4450" t="s">
        <v>246</v>
      </c>
      <c r="G4450" t="s">
        <v>889</v>
      </c>
      <c r="H4450" t="s">
        <v>1748</v>
      </c>
      <c r="I4450" t="s">
        <v>72</v>
      </c>
      <c r="J4450" s="4">
        <v>70</v>
      </c>
      <c r="K4450">
        <v>1</v>
      </c>
      <c r="L4450">
        <v>70</v>
      </c>
      <c r="M4450">
        <v>70</v>
      </c>
      <c r="N4450" s="5">
        <v>3.5575679172056915</v>
      </c>
      <c r="O4450" t="s">
        <v>1743</v>
      </c>
      <c r="P4450" t="s">
        <v>340</v>
      </c>
      <c r="Q4450" s="10" t="s">
        <v>24</v>
      </c>
      <c r="R4450" t="s">
        <v>1749</v>
      </c>
    </row>
    <row r="4451" spans="1:18" hidden="1" x14ac:dyDescent="0.25">
      <c r="A4451" s="9" t="s">
        <v>1153</v>
      </c>
      <c r="B4451" s="3" t="s">
        <v>1210</v>
      </c>
      <c r="C4451" s="10">
        <v>25</v>
      </c>
      <c r="D4451" s="10">
        <v>9</v>
      </c>
      <c r="E4451" s="10">
        <v>19</v>
      </c>
      <c r="F4451" t="s">
        <v>1466</v>
      </c>
      <c r="G4451" t="s">
        <v>31</v>
      </c>
      <c r="H4451" t="s">
        <v>26</v>
      </c>
      <c r="I4451" t="s">
        <v>27</v>
      </c>
      <c r="J4451" s="4">
        <v>37.1</v>
      </c>
      <c r="K4451">
        <v>2</v>
      </c>
      <c r="L4451">
        <v>37.1</v>
      </c>
      <c r="M4451">
        <v>74.2</v>
      </c>
      <c r="N4451" s="5">
        <v>3.7753129134018524</v>
      </c>
      <c r="O4451" t="s">
        <v>1472</v>
      </c>
      <c r="P4451" t="s">
        <v>340</v>
      </c>
      <c r="Q4451" s="10" t="s">
        <v>1102</v>
      </c>
    </row>
    <row r="4452" spans="1:18" hidden="1" x14ac:dyDescent="0.25">
      <c r="A4452" s="9" t="s">
        <v>1153</v>
      </c>
      <c r="B4452" s="3" t="s">
        <v>1210</v>
      </c>
      <c r="C4452" s="10">
        <v>25</v>
      </c>
      <c r="D4452" s="10">
        <v>9</v>
      </c>
      <c r="E4452" s="10">
        <v>19</v>
      </c>
      <c r="F4452" t="s">
        <v>2242</v>
      </c>
      <c r="G4452" t="s">
        <v>345</v>
      </c>
      <c r="H4452" t="s">
        <v>26</v>
      </c>
      <c r="I4452" t="s">
        <v>27</v>
      </c>
      <c r="J4452" s="4">
        <v>6.35</v>
      </c>
      <c r="K4452">
        <v>1</v>
      </c>
      <c r="L4452">
        <v>6.35</v>
      </c>
      <c r="M4452">
        <v>6.35</v>
      </c>
      <c r="N4452" s="5">
        <v>0.32308944744072454</v>
      </c>
      <c r="O4452" t="s">
        <v>1472</v>
      </c>
      <c r="P4452" t="s">
        <v>340</v>
      </c>
      <c r="Q4452" s="10" t="s">
        <v>1102</v>
      </c>
    </row>
    <row r="4453" spans="1:18" hidden="1" x14ac:dyDescent="0.25">
      <c r="A4453" s="9" t="s">
        <v>1153</v>
      </c>
      <c r="B4453" s="3" t="s">
        <v>1210</v>
      </c>
      <c r="C4453" s="10">
        <v>25</v>
      </c>
      <c r="D4453" s="10">
        <v>9</v>
      </c>
      <c r="E4453" s="10">
        <v>19</v>
      </c>
      <c r="F4453" t="s">
        <v>1051</v>
      </c>
      <c r="G4453" t="s">
        <v>889</v>
      </c>
      <c r="H4453" t="s">
        <v>56</v>
      </c>
      <c r="I4453" t="s">
        <v>27</v>
      </c>
      <c r="J4453" s="4">
        <v>29.99</v>
      </c>
      <c r="K4453">
        <v>0.27800000000000002</v>
      </c>
      <c r="L4453">
        <v>29.99</v>
      </c>
      <c r="M4453">
        <v>8.3372200000000003</v>
      </c>
      <c r="N4453" s="5">
        <v>0.42419965401444998</v>
      </c>
      <c r="O4453" t="s">
        <v>1472</v>
      </c>
      <c r="P4453" t="s">
        <v>340</v>
      </c>
      <c r="Q4453" s="10" t="s">
        <v>1102</v>
      </c>
    </row>
    <row r="4454" spans="1:18" hidden="1" x14ac:dyDescent="0.25">
      <c r="A4454" s="9" t="s">
        <v>1153</v>
      </c>
      <c r="B4454" s="3" t="s">
        <v>1210</v>
      </c>
      <c r="C4454" s="10">
        <v>25</v>
      </c>
      <c r="D4454" s="10">
        <v>9</v>
      </c>
      <c r="E4454" s="10">
        <v>19</v>
      </c>
      <c r="F4454" t="s">
        <v>55</v>
      </c>
      <c r="G4454" t="s">
        <v>889</v>
      </c>
      <c r="H4454" t="s">
        <v>56</v>
      </c>
      <c r="I4454" t="s">
        <v>27</v>
      </c>
      <c r="J4454" s="4">
        <v>21.4</v>
      </c>
      <c r="K4454">
        <v>1.3540000000000001</v>
      </c>
      <c r="L4454">
        <v>21.4</v>
      </c>
      <c r="M4454">
        <v>28.9756</v>
      </c>
      <c r="N4454" s="5">
        <v>1.4742851327973949</v>
      </c>
      <c r="O4454" t="s">
        <v>1472</v>
      </c>
      <c r="P4454" t="s">
        <v>340</v>
      </c>
      <c r="Q4454" s="10" t="s">
        <v>1102</v>
      </c>
    </row>
    <row r="4455" spans="1:18" hidden="1" x14ac:dyDescent="0.25">
      <c r="A4455" s="9" t="s">
        <v>1153</v>
      </c>
      <c r="B4455" s="3" t="s">
        <v>1210</v>
      </c>
      <c r="C4455" s="10">
        <v>25</v>
      </c>
      <c r="D4455" s="10">
        <v>9</v>
      </c>
      <c r="E4455" s="10">
        <v>19</v>
      </c>
      <c r="F4455" t="s">
        <v>1209</v>
      </c>
      <c r="G4455" t="s">
        <v>889</v>
      </c>
      <c r="H4455" t="s">
        <v>56</v>
      </c>
      <c r="I4455" t="s">
        <v>27</v>
      </c>
      <c r="J4455" s="4">
        <v>26.45</v>
      </c>
      <c r="K4455">
        <v>0.45600000000000002</v>
      </c>
      <c r="L4455">
        <v>26.45</v>
      </c>
      <c r="M4455">
        <v>12.061199999999999</v>
      </c>
      <c r="N4455" s="5">
        <v>0.61367660527119161</v>
      </c>
      <c r="O4455" t="s">
        <v>1472</v>
      </c>
      <c r="P4455" t="s">
        <v>340</v>
      </c>
      <c r="Q4455" s="10" t="s">
        <v>1102</v>
      </c>
    </row>
    <row r="4456" spans="1:18" hidden="1" x14ac:dyDescent="0.25">
      <c r="A4456" s="9" t="s">
        <v>1153</v>
      </c>
      <c r="B4456" s="3" t="s">
        <v>1210</v>
      </c>
      <c r="C4456" s="10">
        <v>25</v>
      </c>
      <c r="D4456" s="10">
        <v>9</v>
      </c>
      <c r="E4456" s="10">
        <v>19</v>
      </c>
      <c r="F4456" t="s">
        <v>208</v>
      </c>
      <c r="G4456" t="s">
        <v>889</v>
      </c>
      <c r="H4456" t="s">
        <v>56</v>
      </c>
      <c r="I4456" t="s">
        <v>27</v>
      </c>
      <c r="J4456" s="4">
        <v>102.85</v>
      </c>
      <c r="K4456">
        <v>0.16400000000000001</v>
      </c>
      <c r="L4456">
        <v>102.85</v>
      </c>
      <c r="M4456">
        <v>16.8674</v>
      </c>
      <c r="N4456" s="5">
        <v>0.85821715681286248</v>
      </c>
      <c r="O4456" t="s">
        <v>1472</v>
      </c>
      <c r="P4456" t="s">
        <v>340</v>
      </c>
      <c r="Q4456" s="10" t="s">
        <v>1102</v>
      </c>
    </row>
    <row r="4457" spans="1:18" hidden="1" x14ac:dyDescent="0.25">
      <c r="A4457" s="9" t="s">
        <v>1153</v>
      </c>
      <c r="B4457" s="3" t="s">
        <v>1210</v>
      </c>
      <c r="C4457" s="10">
        <v>25</v>
      </c>
      <c r="D4457" s="10">
        <v>9</v>
      </c>
      <c r="E4457" s="10">
        <v>19</v>
      </c>
      <c r="F4457" t="s">
        <v>112</v>
      </c>
      <c r="H4457" t="s">
        <v>56</v>
      </c>
      <c r="I4457" t="s">
        <v>27</v>
      </c>
      <c r="J4457" s="4">
        <v>46.55</v>
      </c>
      <c r="K4457">
        <v>0.46800000000000003</v>
      </c>
      <c r="L4457">
        <v>46.55</v>
      </c>
      <c r="M4457">
        <v>21.785399999999999</v>
      </c>
      <c r="N4457" s="5">
        <v>1.1084461178386078</v>
      </c>
      <c r="O4457" t="s">
        <v>1472</v>
      </c>
      <c r="P4457" t="s">
        <v>340</v>
      </c>
      <c r="Q4457" s="10" t="s">
        <v>1102</v>
      </c>
    </row>
    <row r="4458" spans="1:18" hidden="1" x14ac:dyDescent="0.25">
      <c r="A4458" s="9" t="s">
        <v>1153</v>
      </c>
      <c r="B4458" s="3" t="s">
        <v>1210</v>
      </c>
      <c r="C4458" s="10">
        <v>25</v>
      </c>
      <c r="D4458" s="10">
        <v>9</v>
      </c>
      <c r="E4458" s="10">
        <v>19</v>
      </c>
      <c r="F4458" t="s">
        <v>1144</v>
      </c>
      <c r="G4458" t="s">
        <v>31</v>
      </c>
      <c r="H4458" t="s">
        <v>26</v>
      </c>
      <c r="I4458" t="s">
        <v>27</v>
      </c>
      <c r="J4458" s="4">
        <v>8.9499999999999993</v>
      </c>
      <c r="K4458">
        <v>1</v>
      </c>
      <c r="L4458">
        <v>8.9499999999999993</v>
      </c>
      <c r="M4458">
        <v>8.9499999999999993</v>
      </c>
      <c r="N4458" s="5">
        <v>0.4553780400936196</v>
      </c>
      <c r="O4458" t="s">
        <v>1472</v>
      </c>
      <c r="P4458" t="s">
        <v>340</v>
      </c>
      <c r="Q4458" s="10" t="s">
        <v>1102</v>
      </c>
    </row>
    <row r="4459" spans="1:18" hidden="1" x14ac:dyDescent="0.25">
      <c r="A4459" s="9" t="s">
        <v>1153</v>
      </c>
      <c r="B4459" s="3" t="s">
        <v>1199</v>
      </c>
      <c r="C4459" s="10">
        <v>26</v>
      </c>
      <c r="D4459" s="10">
        <v>9</v>
      </c>
      <c r="E4459" s="10">
        <v>19</v>
      </c>
      <c r="F4459" t="s">
        <v>1197</v>
      </c>
      <c r="G4459" t="s">
        <v>889</v>
      </c>
      <c r="H4459" t="s">
        <v>403</v>
      </c>
      <c r="I4459" t="s">
        <v>27</v>
      </c>
      <c r="J4459" s="4">
        <v>7</v>
      </c>
      <c r="K4459">
        <v>1</v>
      </c>
      <c r="L4459">
        <v>7</v>
      </c>
      <c r="M4459">
        <v>7</v>
      </c>
      <c r="N4459" s="5">
        <v>0.35616159560394833</v>
      </c>
      <c r="O4459" t="s">
        <v>39</v>
      </c>
      <c r="P4459" t="s">
        <v>340</v>
      </c>
      <c r="Q4459" s="10" t="s">
        <v>1102</v>
      </c>
    </row>
    <row r="4460" spans="1:18" hidden="1" x14ac:dyDescent="0.25">
      <c r="A4460" s="9" t="s">
        <v>1153</v>
      </c>
      <c r="B4460" s="3" t="s">
        <v>1199</v>
      </c>
      <c r="C4460" s="10">
        <v>26</v>
      </c>
      <c r="D4460" s="10">
        <v>9</v>
      </c>
      <c r="E4460" s="10">
        <v>19</v>
      </c>
      <c r="F4460" t="s">
        <v>174</v>
      </c>
      <c r="G4460" t="s">
        <v>889</v>
      </c>
      <c r="H4460" t="s">
        <v>54</v>
      </c>
      <c r="I4460" t="s">
        <v>27</v>
      </c>
      <c r="J4460" s="4">
        <v>10</v>
      </c>
      <c r="K4460">
        <v>1</v>
      </c>
      <c r="L4460">
        <v>10</v>
      </c>
      <c r="M4460">
        <v>10</v>
      </c>
      <c r="N4460" s="5">
        <v>0.50880227943421186</v>
      </c>
      <c r="O4460" t="s">
        <v>39</v>
      </c>
      <c r="P4460" t="s">
        <v>340</v>
      </c>
      <c r="Q4460" s="10" t="s">
        <v>1102</v>
      </c>
    </row>
    <row r="4461" spans="1:18" hidden="1" x14ac:dyDescent="0.25">
      <c r="A4461" s="9" t="s">
        <v>1153</v>
      </c>
      <c r="B4461" s="3" t="s">
        <v>1199</v>
      </c>
      <c r="C4461" s="10">
        <v>26</v>
      </c>
      <c r="D4461" s="10">
        <v>9</v>
      </c>
      <c r="E4461" s="10">
        <v>19</v>
      </c>
      <c r="F4461" t="s">
        <v>596</v>
      </c>
      <c r="G4461" t="s">
        <v>889</v>
      </c>
      <c r="H4461" t="s">
        <v>56</v>
      </c>
      <c r="I4461" t="s">
        <v>27</v>
      </c>
      <c r="J4461" s="4">
        <v>11</v>
      </c>
      <c r="K4461">
        <v>1</v>
      </c>
      <c r="L4461">
        <v>11</v>
      </c>
      <c r="M4461">
        <v>11</v>
      </c>
      <c r="N4461" s="5">
        <v>0.55968250737763303</v>
      </c>
      <c r="O4461" t="s">
        <v>39</v>
      </c>
      <c r="P4461" t="s">
        <v>340</v>
      </c>
      <c r="Q4461" s="10" t="s">
        <v>1102</v>
      </c>
    </row>
    <row r="4462" spans="1:18" hidden="1" x14ac:dyDescent="0.25">
      <c r="A4462" s="9" t="s">
        <v>1153</v>
      </c>
      <c r="B4462" s="3" t="s">
        <v>1199</v>
      </c>
      <c r="C4462" s="10">
        <v>26</v>
      </c>
      <c r="D4462" s="10">
        <v>9</v>
      </c>
      <c r="E4462" s="10">
        <v>19</v>
      </c>
      <c r="F4462" t="s">
        <v>1198</v>
      </c>
      <c r="G4462" t="s">
        <v>889</v>
      </c>
      <c r="H4462" t="s">
        <v>56</v>
      </c>
      <c r="I4462" t="s">
        <v>27</v>
      </c>
      <c r="J4462" s="4">
        <v>12</v>
      </c>
      <c r="K4462">
        <v>1</v>
      </c>
      <c r="L4462">
        <v>12</v>
      </c>
      <c r="M4462">
        <v>12</v>
      </c>
      <c r="N4462" s="5">
        <v>0.61056273532105421</v>
      </c>
      <c r="O4462" t="s">
        <v>39</v>
      </c>
      <c r="P4462" t="s">
        <v>340</v>
      </c>
      <c r="Q4462" s="10" t="s">
        <v>1102</v>
      </c>
    </row>
    <row r="4463" spans="1:18" hidden="1" x14ac:dyDescent="0.25">
      <c r="A4463" s="9" t="s">
        <v>1153</v>
      </c>
      <c r="B4463" s="3" t="s">
        <v>1199</v>
      </c>
      <c r="C4463" s="10">
        <v>26</v>
      </c>
      <c r="D4463" s="10">
        <v>9</v>
      </c>
      <c r="E4463" s="10">
        <v>19</v>
      </c>
      <c r="F4463" t="s">
        <v>1466</v>
      </c>
      <c r="G4463" t="s">
        <v>31</v>
      </c>
      <c r="H4463" t="s">
        <v>26</v>
      </c>
      <c r="I4463" t="s">
        <v>27</v>
      </c>
      <c r="J4463" s="4">
        <v>37.1</v>
      </c>
      <c r="K4463">
        <v>3</v>
      </c>
      <c r="L4463">
        <v>37.1</v>
      </c>
      <c r="M4463">
        <v>111.30000000000001</v>
      </c>
      <c r="N4463" s="5">
        <v>5.662969370102779</v>
      </c>
      <c r="O4463" t="s">
        <v>1472</v>
      </c>
      <c r="P4463" t="s">
        <v>340</v>
      </c>
      <c r="Q4463" s="10" t="s">
        <v>1102</v>
      </c>
    </row>
    <row r="4464" spans="1:18" hidden="1" x14ac:dyDescent="0.25">
      <c r="A4464" s="9" t="s">
        <v>1153</v>
      </c>
      <c r="B4464" s="3" t="s">
        <v>1199</v>
      </c>
      <c r="C4464" s="10">
        <v>26</v>
      </c>
      <c r="D4464" s="10">
        <v>9</v>
      </c>
      <c r="E4464" s="10">
        <v>19</v>
      </c>
      <c r="F4464" t="s">
        <v>1208</v>
      </c>
      <c r="G4464" t="s">
        <v>889</v>
      </c>
      <c r="H4464" t="s">
        <v>403</v>
      </c>
      <c r="I4464" t="s">
        <v>27</v>
      </c>
      <c r="J4464" s="4">
        <v>10.199999999999999</v>
      </c>
      <c r="K4464">
        <v>0.62</v>
      </c>
      <c r="L4464">
        <v>10.199999999999999</v>
      </c>
      <c r="M4464">
        <v>6.3239999999999998</v>
      </c>
      <c r="N4464" s="5">
        <v>0.32176656151419558</v>
      </c>
      <c r="O4464" t="s">
        <v>1472</v>
      </c>
      <c r="P4464" t="s">
        <v>340</v>
      </c>
      <c r="Q4464" s="10" t="s">
        <v>1102</v>
      </c>
    </row>
    <row r="4465" spans="1:18" hidden="1" x14ac:dyDescent="0.25">
      <c r="A4465" s="9" t="s">
        <v>1153</v>
      </c>
      <c r="B4465" s="3" t="s">
        <v>1199</v>
      </c>
      <c r="C4465" s="10">
        <v>26</v>
      </c>
      <c r="D4465" s="10">
        <v>9</v>
      </c>
      <c r="E4465" s="10">
        <v>19</v>
      </c>
      <c r="F4465" t="s">
        <v>2444</v>
      </c>
      <c r="G4465" t="s">
        <v>889</v>
      </c>
      <c r="H4465" t="s">
        <v>889</v>
      </c>
      <c r="I4465" t="s">
        <v>39</v>
      </c>
      <c r="J4465" s="4">
        <v>1</v>
      </c>
      <c r="K4465">
        <v>1</v>
      </c>
      <c r="L4465">
        <v>1</v>
      </c>
      <c r="M4465">
        <v>1</v>
      </c>
      <c r="N4465" s="5">
        <v>5.0880227943421188E-2</v>
      </c>
      <c r="O4465" t="s">
        <v>39</v>
      </c>
      <c r="P4465" t="s">
        <v>340</v>
      </c>
      <c r="Q4465" s="10" t="s">
        <v>1102</v>
      </c>
    </row>
    <row r="4466" spans="1:18" hidden="1" x14ac:dyDescent="0.25">
      <c r="A4466" s="9" t="s">
        <v>1153</v>
      </c>
      <c r="B4466" s="3" t="s">
        <v>1206</v>
      </c>
      <c r="C4466" s="10">
        <v>27</v>
      </c>
      <c r="D4466" s="10">
        <v>9</v>
      </c>
      <c r="E4466" s="10">
        <v>19</v>
      </c>
      <c r="F4466" t="s">
        <v>398</v>
      </c>
      <c r="G4466" t="s">
        <v>889</v>
      </c>
      <c r="H4466" t="s">
        <v>40</v>
      </c>
      <c r="I4466" t="s">
        <v>27</v>
      </c>
      <c r="J4466" s="4">
        <v>14.6</v>
      </c>
      <c r="K4466">
        <v>1</v>
      </c>
      <c r="L4466">
        <v>14.6</v>
      </c>
      <c r="M4466">
        <v>14.6</v>
      </c>
      <c r="N4466" s="5">
        <v>0.74285132797394926</v>
      </c>
      <c r="O4466" t="s">
        <v>100</v>
      </c>
      <c r="P4466" t="s">
        <v>340</v>
      </c>
      <c r="Q4466" s="10" t="s">
        <v>1102</v>
      </c>
    </row>
    <row r="4467" spans="1:18" hidden="1" x14ac:dyDescent="0.25">
      <c r="A4467" s="9" t="s">
        <v>1153</v>
      </c>
      <c r="B4467" s="3" t="s">
        <v>1206</v>
      </c>
      <c r="C4467" s="10">
        <v>27</v>
      </c>
      <c r="D4467" s="10">
        <v>9</v>
      </c>
      <c r="E4467" s="10">
        <v>19</v>
      </c>
      <c r="F4467" t="s">
        <v>155</v>
      </c>
      <c r="G4467" t="s">
        <v>155</v>
      </c>
      <c r="H4467" t="s">
        <v>131</v>
      </c>
      <c r="I4467" t="s">
        <v>27</v>
      </c>
      <c r="J4467" s="4">
        <v>33.75</v>
      </c>
      <c r="K4467">
        <v>1</v>
      </c>
      <c r="L4467">
        <v>33.75</v>
      </c>
      <c r="M4467">
        <v>33.75</v>
      </c>
      <c r="N4467" s="5">
        <v>1.7172076930904649</v>
      </c>
      <c r="O4467" t="s">
        <v>100</v>
      </c>
      <c r="P4467" t="s">
        <v>340</v>
      </c>
      <c r="Q4467" s="10" t="s">
        <v>1102</v>
      </c>
    </row>
    <row r="4468" spans="1:18" hidden="1" x14ac:dyDescent="0.25">
      <c r="A4468" s="9" t="s">
        <v>1153</v>
      </c>
      <c r="B4468" s="3" t="s">
        <v>1206</v>
      </c>
      <c r="C4468" s="10">
        <v>27</v>
      </c>
      <c r="D4468" s="10">
        <v>9</v>
      </c>
      <c r="E4468" s="10">
        <v>19</v>
      </c>
      <c r="F4468" t="s">
        <v>2041</v>
      </c>
      <c r="G4468" t="s">
        <v>889</v>
      </c>
      <c r="H4468" t="s">
        <v>35</v>
      </c>
      <c r="I4468" t="s">
        <v>27</v>
      </c>
      <c r="J4468" s="4">
        <v>145.6</v>
      </c>
      <c r="K4468">
        <v>0.15</v>
      </c>
      <c r="L4468">
        <v>145.6</v>
      </c>
      <c r="M4468">
        <v>21.84</v>
      </c>
      <c r="N4468" s="5">
        <v>1.1112241782843186</v>
      </c>
      <c r="O4468" t="s">
        <v>100</v>
      </c>
      <c r="P4468" t="s">
        <v>340</v>
      </c>
      <c r="Q4468" s="10" t="s">
        <v>1102</v>
      </c>
    </row>
    <row r="4469" spans="1:18" hidden="1" x14ac:dyDescent="0.25">
      <c r="A4469" s="9" t="s">
        <v>1153</v>
      </c>
      <c r="B4469" s="3" t="s">
        <v>1206</v>
      </c>
      <c r="C4469" s="10">
        <v>27</v>
      </c>
      <c r="D4469" s="10">
        <v>9</v>
      </c>
      <c r="E4469" s="10">
        <v>19</v>
      </c>
      <c r="F4469" t="s">
        <v>155</v>
      </c>
      <c r="G4469" t="s">
        <v>155</v>
      </c>
      <c r="H4469" t="s">
        <v>131</v>
      </c>
      <c r="I4469" t="s">
        <v>27</v>
      </c>
      <c r="J4469" s="4">
        <v>36.25</v>
      </c>
      <c r="K4469">
        <v>1</v>
      </c>
      <c r="L4469">
        <v>36.25</v>
      </c>
      <c r="M4469">
        <v>36.25</v>
      </c>
      <c r="N4469" s="5">
        <v>1.8444082629490179</v>
      </c>
      <c r="O4469" t="s">
        <v>100</v>
      </c>
      <c r="P4469" t="s">
        <v>340</v>
      </c>
      <c r="Q4469" s="10" t="s">
        <v>1102</v>
      </c>
    </row>
    <row r="4470" spans="1:18" hidden="1" x14ac:dyDescent="0.25">
      <c r="A4470" s="9" t="s">
        <v>1153</v>
      </c>
      <c r="B4470" s="3" t="s">
        <v>1206</v>
      </c>
      <c r="C4470" s="10">
        <v>27</v>
      </c>
      <c r="D4470" s="10">
        <v>9</v>
      </c>
      <c r="E4470" s="10">
        <v>19</v>
      </c>
      <c r="F4470" t="s">
        <v>155</v>
      </c>
      <c r="G4470" t="s">
        <v>155</v>
      </c>
      <c r="H4470" t="s">
        <v>131</v>
      </c>
      <c r="I4470" t="s">
        <v>27</v>
      </c>
      <c r="J4470" s="4">
        <v>45</v>
      </c>
      <c r="K4470">
        <v>1</v>
      </c>
      <c r="L4470">
        <v>45</v>
      </c>
      <c r="M4470">
        <v>45</v>
      </c>
      <c r="N4470" s="5">
        <v>2.2896102574539534</v>
      </c>
      <c r="O4470" t="s">
        <v>100</v>
      </c>
      <c r="P4470" t="s">
        <v>340</v>
      </c>
      <c r="Q4470" s="10" t="s">
        <v>1102</v>
      </c>
    </row>
    <row r="4471" spans="1:18" hidden="1" x14ac:dyDescent="0.25">
      <c r="A4471" s="9" t="s">
        <v>1153</v>
      </c>
      <c r="B4471" s="3" t="s">
        <v>1206</v>
      </c>
      <c r="C4471" s="10">
        <v>27</v>
      </c>
      <c r="D4471" s="10">
        <v>9</v>
      </c>
      <c r="E4471" s="10">
        <v>19</v>
      </c>
      <c r="F4471" t="s">
        <v>1466</v>
      </c>
      <c r="G4471" t="s">
        <v>31</v>
      </c>
      <c r="H4471" t="s">
        <v>26</v>
      </c>
      <c r="I4471" t="s">
        <v>27</v>
      </c>
      <c r="J4471" s="4">
        <v>33.450000000000003</v>
      </c>
      <c r="K4471">
        <v>1</v>
      </c>
      <c r="L4471">
        <v>33.450000000000003</v>
      </c>
      <c r="M4471">
        <v>33.450000000000003</v>
      </c>
      <c r="N4471" s="5">
        <v>1.7019436247074389</v>
      </c>
      <c r="O4471" t="s">
        <v>100</v>
      </c>
      <c r="P4471" t="s">
        <v>340</v>
      </c>
      <c r="Q4471" s="10" t="s">
        <v>1102</v>
      </c>
    </row>
    <row r="4472" spans="1:18" hidden="1" x14ac:dyDescent="0.25">
      <c r="A4472" s="9" t="s">
        <v>1153</v>
      </c>
      <c r="B4472" s="3" t="s">
        <v>1206</v>
      </c>
      <c r="C4472" s="10">
        <v>27</v>
      </c>
      <c r="D4472" s="10">
        <v>9</v>
      </c>
      <c r="E4472" s="10">
        <v>19</v>
      </c>
      <c r="F4472" t="s">
        <v>55</v>
      </c>
      <c r="G4472" t="s">
        <v>889</v>
      </c>
      <c r="H4472" t="s">
        <v>56</v>
      </c>
      <c r="I4472" t="s">
        <v>27</v>
      </c>
      <c r="J4472" s="4">
        <v>21.95</v>
      </c>
      <c r="K4472">
        <v>1.022</v>
      </c>
      <c r="L4472">
        <v>21.95</v>
      </c>
      <c r="M4472">
        <v>22.4329</v>
      </c>
      <c r="N4472" s="5">
        <v>1.1413910654319732</v>
      </c>
      <c r="O4472" t="s">
        <v>1472</v>
      </c>
      <c r="P4472" t="s">
        <v>340</v>
      </c>
      <c r="Q4472" s="10" t="s">
        <v>1102</v>
      </c>
    </row>
    <row r="4473" spans="1:18" hidden="1" x14ac:dyDescent="0.25">
      <c r="A4473" s="9" t="s">
        <v>1153</v>
      </c>
      <c r="B4473" s="3" t="s">
        <v>1206</v>
      </c>
      <c r="C4473" s="10">
        <v>27</v>
      </c>
      <c r="D4473" s="10">
        <v>9</v>
      </c>
      <c r="E4473" s="10">
        <v>19</v>
      </c>
      <c r="F4473" t="s">
        <v>202</v>
      </c>
      <c r="H4473" t="s">
        <v>54</v>
      </c>
      <c r="I4473" t="s">
        <v>27</v>
      </c>
      <c r="J4473" s="4">
        <v>139.55000000000001</v>
      </c>
      <c r="K4473">
        <v>0.32800000000000001</v>
      </c>
      <c r="L4473">
        <v>139.55000000000001</v>
      </c>
      <c r="M4473">
        <v>45.772400000000005</v>
      </c>
      <c r="N4473" s="5">
        <v>2.3289101455174523</v>
      </c>
      <c r="O4473" t="s">
        <v>1472</v>
      </c>
      <c r="P4473" t="s">
        <v>340</v>
      </c>
      <c r="Q4473" s="10" t="s">
        <v>1102</v>
      </c>
    </row>
    <row r="4474" spans="1:18" hidden="1" x14ac:dyDescent="0.25">
      <c r="A4474" s="9" t="s">
        <v>1153</v>
      </c>
      <c r="B4474" s="3" t="s">
        <v>1206</v>
      </c>
      <c r="C4474" s="10">
        <v>27</v>
      </c>
      <c r="D4474" s="10">
        <v>9</v>
      </c>
      <c r="E4474" s="10">
        <v>19</v>
      </c>
      <c r="F4474" t="s">
        <v>104</v>
      </c>
      <c r="G4474" t="s">
        <v>889</v>
      </c>
      <c r="H4474" t="s">
        <v>889</v>
      </c>
      <c r="I4474" t="s">
        <v>72</v>
      </c>
      <c r="J4474" s="4">
        <v>54.5</v>
      </c>
      <c r="K4474">
        <v>1</v>
      </c>
      <c r="L4474">
        <v>54.5</v>
      </c>
      <c r="M4474">
        <v>54.5</v>
      </c>
      <c r="N4474" s="5">
        <v>2.7729724229164545</v>
      </c>
      <c r="O4474" t="s">
        <v>233</v>
      </c>
      <c r="P4474" t="s">
        <v>340</v>
      </c>
      <c r="Q4474" s="10" t="s">
        <v>1102</v>
      </c>
      <c r="R4474" t="s">
        <v>1223</v>
      </c>
    </row>
    <row r="4475" spans="1:18" hidden="1" x14ac:dyDescent="0.25">
      <c r="A4475" s="9" t="s">
        <v>1153</v>
      </c>
      <c r="B4475" s="3" t="s">
        <v>1206</v>
      </c>
      <c r="C4475" s="10">
        <v>27</v>
      </c>
      <c r="D4475" s="10">
        <v>9</v>
      </c>
      <c r="E4475" s="10">
        <v>19</v>
      </c>
      <c r="F4475" t="s">
        <v>104</v>
      </c>
      <c r="G4475" t="s">
        <v>889</v>
      </c>
      <c r="H4475" t="s">
        <v>889</v>
      </c>
      <c r="I4475" t="s">
        <v>72</v>
      </c>
      <c r="J4475" s="4">
        <v>11.7</v>
      </c>
      <c r="K4475">
        <v>1</v>
      </c>
      <c r="L4475">
        <v>11.7</v>
      </c>
      <c r="M4475">
        <v>11.7</v>
      </c>
      <c r="N4475" s="5">
        <v>0.5952986669380278</v>
      </c>
      <c r="O4475" t="s">
        <v>233</v>
      </c>
      <c r="P4475" t="s">
        <v>340</v>
      </c>
      <c r="Q4475" s="10" t="s">
        <v>1102</v>
      </c>
      <c r="R4475" t="s">
        <v>1224</v>
      </c>
    </row>
    <row r="4476" spans="1:18" hidden="1" x14ac:dyDescent="0.25">
      <c r="A4476" s="9" t="s">
        <v>1153</v>
      </c>
      <c r="B4476" s="3" t="s">
        <v>1206</v>
      </c>
      <c r="C4476" s="10">
        <v>27</v>
      </c>
      <c r="D4476" s="10">
        <v>9</v>
      </c>
      <c r="E4476" s="10">
        <v>19</v>
      </c>
      <c r="F4476" t="s">
        <v>104</v>
      </c>
      <c r="G4476" t="s">
        <v>889</v>
      </c>
      <c r="H4476" t="s">
        <v>889</v>
      </c>
      <c r="I4476" t="s">
        <v>72</v>
      </c>
      <c r="J4476" s="4">
        <v>50.08</v>
      </c>
      <c r="K4476">
        <v>1</v>
      </c>
      <c r="L4476">
        <v>50.08</v>
      </c>
      <c r="M4476">
        <v>50.08</v>
      </c>
      <c r="N4476" s="5">
        <v>2.5480818154065328</v>
      </c>
      <c r="O4476" t="s">
        <v>233</v>
      </c>
      <c r="P4476" t="s">
        <v>340</v>
      </c>
      <c r="Q4476" s="10" t="s">
        <v>1102</v>
      </c>
      <c r="R4476" t="s">
        <v>1225</v>
      </c>
    </row>
    <row r="4477" spans="1:18" hidden="1" x14ac:dyDescent="0.25">
      <c r="A4477" s="9" t="s">
        <v>1153</v>
      </c>
      <c r="B4477" s="3" t="s">
        <v>1206</v>
      </c>
      <c r="C4477" s="10">
        <v>27</v>
      </c>
      <c r="D4477" s="10">
        <v>9</v>
      </c>
      <c r="E4477" s="10">
        <v>19</v>
      </c>
      <c r="F4477" t="s">
        <v>104</v>
      </c>
      <c r="G4477" t="s">
        <v>889</v>
      </c>
      <c r="H4477" t="s">
        <v>889</v>
      </c>
      <c r="I4477" t="s">
        <v>72</v>
      </c>
      <c r="J4477" s="4">
        <v>71.959999999999994</v>
      </c>
      <c r="K4477">
        <v>1</v>
      </c>
      <c r="L4477">
        <v>71.959999999999994</v>
      </c>
      <c r="M4477">
        <v>71.959999999999994</v>
      </c>
      <c r="N4477" s="5">
        <v>3.6613412028085883</v>
      </c>
      <c r="O4477" t="s">
        <v>233</v>
      </c>
      <c r="P4477" t="s">
        <v>340</v>
      </c>
      <c r="Q4477" s="10" t="s">
        <v>1102</v>
      </c>
      <c r="R4477" t="s">
        <v>1226</v>
      </c>
    </row>
    <row r="4478" spans="1:18" hidden="1" x14ac:dyDescent="0.25">
      <c r="A4478" s="9" t="s">
        <v>1153</v>
      </c>
      <c r="B4478" s="3" t="s">
        <v>1206</v>
      </c>
      <c r="C4478" s="10">
        <v>27</v>
      </c>
      <c r="D4478" s="10">
        <v>9</v>
      </c>
      <c r="E4478" s="10">
        <v>19</v>
      </c>
      <c r="F4478" t="s">
        <v>2242</v>
      </c>
      <c r="G4478" t="s">
        <v>345</v>
      </c>
      <c r="H4478" t="s">
        <v>26</v>
      </c>
      <c r="I4478" t="s">
        <v>27</v>
      </c>
      <c r="J4478" s="4">
        <v>6.8</v>
      </c>
      <c r="K4478">
        <v>1</v>
      </c>
      <c r="L4478">
        <v>6.8</v>
      </c>
      <c r="M4478">
        <v>6.8</v>
      </c>
      <c r="N4478" s="5">
        <v>0.34598555001526404</v>
      </c>
      <c r="O4478" t="s">
        <v>101</v>
      </c>
      <c r="P4478" t="s">
        <v>340</v>
      </c>
      <c r="Q4478" s="10" t="s">
        <v>1102</v>
      </c>
    </row>
    <row r="4479" spans="1:18" hidden="1" x14ac:dyDescent="0.25">
      <c r="A4479" s="9" t="s">
        <v>1153</v>
      </c>
      <c r="B4479" s="3" t="s">
        <v>1206</v>
      </c>
      <c r="C4479" s="10">
        <v>27</v>
      </c>
      <c r="D4479" s="10">
        <v>9</v>
      </c>
      <c r="E4479" s="10">
        <v>19</v>
      </c>
      <c r="F4479" t="s">
        <v>146</v>
      </c>
      <c r="G4479" t="s">
        <v>889</v>
      </c>
      <c r="H4479" t="s">
        <v>49</v>
      </c>
      <c r="I4479" t="s">
        <v>50</v>
      </c>
      <c r="J4479" s="4">
        <v>0.5</v>
      </c>
      <c r="K4479">
        <v>1</v>
      </c>
      <c r="L4479">
        <v>0.5</v>
      </c>
      <c r="M4479">
        <v>0.5</v>
      </c>
      <c r="N4479" s="5">
        <v>2.5411199408612084E-2</v>
      </c>
      <c r="O4479" t="s">
        <v>46</v>
      </c>
      <c r="P4479" t="s">
        <v>340</v>
      </c>
      <c r="Q4479" s="46" t="s">
        <v>24</v>
      </c>
    </row>
    <row r="4480" spans="1:18" hidden="1" x14ac:dyDescent="0.25">
      <c r="A4480" s="9" t="s">
        <v>1153</v>
      </c>
      <c r="B4480" s="3" t="s">
        <v>1201</v>
      </c>
      <c r="C4480" s="10">
        <v>28</v>
      </c>
      <c r="D4480" s="10">
        <v>9</v>
      </c>
      <c r="E4480" s="10">
        <v>19</v>
      </c>
      <c r="F4480" t="s">
        <v>203</v>
      </c>
      <c r="G4480" t="s">
        <v>889</v>
      </c>
      <c r="H4480" t="s">
        <v>54</v>
      </c>
      <c r="I4480" t="s">
        <v>27</v>
      </c>
      <c r="J4480" s="4">
        <v>20</v>
      </c>
      <c r="K4480">
        <v>1</v>
      </c>
      <c r="L4480">
        <v>20</v>
      </c>
      <c r="M4480">
        <v>20</v>
      </c>
      <c r="N4480" s="5">
        <v>1.0176045588684237</v>
      </c>
      <c r="O4480" t="s">
        <v>593</v>
      </c>
      <c r="P4480" t="s">
        <v>340</v>
      </c>
      <c r="Q4480" s="10" t="s">
        <v>1102</v>
      </c>
    </row>
    <row r="4481" spans="1:18" hidden="1" x14ac:dyDescent="0.25">
      <c r="A4481" s="9" t="s">
        <v>1153</v>
      </c>
      <c r="B4481" s="3" t="s">
        <v>1201</v>
      </c>
      <c r="C4481" s="10">
        <v>28</v>
      </c>
      <c r="D4481" s="10">
        <v>9</v>
      </c>
      <c r="E4481" s="10">
        <v>19</v>
      </c>
      <c r="F4481" t="s">
        <v>1200</v>
      </c>
      <c r="G4481" t="s">
        <v>889</v>
      </c>
      <c r="H4481" t="s">
        <v>403</v>
      </c>
      <c r="I4481" t="s">
        <v>27</v>
      </c>
      <c r="J4481" s="4">
        <v>2</v>
      </c>
      <c r="K4481">
        <v>1</v>
      </c>
      <c r="L4481">
        <v>2</v>
      </c>
      <c r="M4481">
        <v>2</v>
      </c>
      <c r="N4481" s="5">
        <v>0.10176045588684238</v>
      </c>
      <c r="O4481" t="s">
        <v>593</v>
      </c>
      <c r="P4481" t="s">
        <v>340</v>
      </c>
      <c r="Q4481" s="10" t="s">
        <v>1102</v>
      </c>
    </row>
    <row r="4482" spans="1:18" hidden="1" x14ac:dyDescent="0.25">
      <c r="A4482" s="9" t="s">
        <v>1153</v>
      </c>
      <c r="B4482" s="3" t="s">
        <v>1201</v>
      </c>
      <c r="C4482" s="10">
        <v>28</v>
      </c>
      <c r="D4482" s="10">
        <v>9</v>
      </c>
      <c r="E4482" s="10">
        <v>19</v>
      </c>
      <c r="F4482" t="s">
        <v>1078</v>
      </c>
      <c r="H4482" t="s">
        <v>65</v>
      </c>
      <c r="I4482" t="s">
        <v>27</v>
      </c>
      <c r="J4482" s="4">
        <v>35</v>
      </c>
      <c r="K4482">
        <v>1</v>
      </c>
      <c r="L4482" s="13">
        <v>35</v>
      </c>
      <c r="M4482">
        <v>35</v>
      </c>
      <c r="N4482" s="5">
        <v>1.7808079780197414</v>
      </c>
      <c r="O4482" t="s">
        <v>593</v>
      </c>
      <c r="P4482" t="s">
        <v>340</v>
      </c>
      <c r="Q4482" s="10" t="s">
        <v>1102</v>
      </c>
    </row>
    <row r="4483" spans="1:18" hidden="1" x14ac:dyDescent="0.25">
      <c r="A4483" s="9" t="s">
        <v>1153</v>
      </c>
      <c r="B4483" s="3" t="s">
        <v>1201</v>
      </c>
      <c r="C4483" s="10">
        <v>28</v>
      </c>
      <c r="D4483" s="10">
        <v>9</v>
      </c>
      <c r="E4483" s="10">
        <v>19</v>
      </c>
      <c r="F4483" t="s">
        <v>141</v>
      </c>
      <c r="G4483" t="s">
        <v>889</v>
      </c>
      <c r="H4483" t="s">
        <v>172</v>
      </c>
      <c r="I4483" t="s">
        <v>39</v>
      </c>
      <c r="J4483" s="4">
        <v>2</v>
      </c>
      <c r="K4483">
        <v>2</v>
      </c>
      <c r="L4483">
        <v>2</v>
      </c>
      <c r="M4483">
        <v>4</v>
      </c>
      <c r="N4483" s="5">
        <v>0.20352091177368475</v>
      </c>
      <c r="O4483" t="s">
        <v>593</v>
      </c>
      <c r="P4483" t="s">
        <v>340</v>
      </c>
      <c r="Q4483" s="10" t="s">
        <v>1102</v>
      </c>
    </row>
    <row r="4484" spans="1:18" hidden="1" x14ac:dyDescent="0.25">
      <c r="A4484" s="9" t="s">
        <v>1153</v>
      </c>
      <c r="B4484" s="3" t="s">
        <v>1201</v>
      </c>
      <c r="C4484" s="10">
        <v>28</v>
      </c>
      <c r="D4484" s="10">
        <v>9</v>
      </c>
      <c r="E4484" s="10">
        <v>19</v>
      </c>
      <c r="F4484" t="s">
        <v>1144</v>
      </c>
      <c r="G4484" t="s">
        <v>31</v>
      </c>
      <c r="H4484" t="s">
        <v>26</v>
      </c>
      <c r="I4484" t="s">
        <v>27</v>
      </c>
      <c r="J4484" s="4">
        <v>37.1</v>
      </c>
      <c r="K4484">
        <v>1</v>
      </c>
      <c r="L4484">
        <v>37.1</v>
      </c>
      <c r="M4484">
        <v>37.1</v>
      </c>
      <c r="N4484" s="5">
        <v>1.8876564567009262</v>
      </c>
      <c r="O4484" t="s">
        <v>1472</v>
      </c>
      <c r="P4484" t="s">
        <v>340</v>
      </c>
      <c r="Q4484" s="10" t="s">
        <v>1102</v>
      </c>
    </row>
    <row r="4485" spans="1:18" hidden="1" x14ac:dyDescent="0.25">
      <c r="A4485" s="9" t="s">
        <v>1153</v>
      </c>
      <c r="B4485" s="3" t="s">
        <v>1201</v>
      </c>
      <c r="C4485" s="10">
        <v>28</v>
      </c>
      <c r="D4485" s="10">
        <v>9</v>
      </c>
      <c r="E4485" s="10">
        <v>19</v>
      </c>
      <c r="F4485" t="s">
        <v>2242</v>
      </c>
      <c r="G4485" t="s">
        <v>345</v>
      </c>
      <c r="H4485" t="s">
        <v>26</v>
      </c>
      <c r="I4485" t="s">
        <v>27</v>
      </c>
      <c r="J4485" s="4">
        <v>6.35</v>
      </c>
      <c r="K4485">
        <v>2</v>
      </c>
      <c r="L4485">
        <v>6.35</v>
      </c>
      <c r="M4485">
        <v>12.7</v>
      </c>
      <c r="N4485" s="5">
        <v>0.64617889488144908</v>
      </c>
      <c r="O4485" t="s">
        <v>1472</v>
      </c>
      <c r="P4485" t="s">
        <v>340</v>
      </c>
      <c r="Q4485" s="10" t="s">
        <v>1102</v>
      </c>
    </row>
    <row r="4486" spans="1:18" hidden="1" x14ac:dyDescent="0.25">
      <c r="A4486" s="9" t="s">
        <v>1153</v>
      </c>
      <c r="B4486" s="3" t="s">
        <v>1201</v>
      </c>
      <c r="C4486" s="10">
        <v>28</v>
      </c>
      <c r="D4486" s="10">
        <v>9</v>
      </c>
      <c r="E4486" s="10">
        <v>19</v>
      </c>
      <c r="F4486" t="s">
        <v>55</v>
      </c>
      <c r="G4486" t="s">
        <v>889</v>
      </c>
      <c r="H4486" t="s">
        <v>56</v>
      </c>
      <c r="I4486" t="s">
        <v>27</v>
      </c>
      <c r="J4486" s="4">
        <v>23.85</v>
      </c>
      <c r="K4486">
        <v>0.96799999999999997</v>
      </c>
      <c r="L4486">
        <v>23.85</v>
      </c>
      <c r="M4486">
        <v>23.0868</v>
      </c>
      <c r="N4486" s="5">
        <v>1.1746616464841764</v>
      </c>
      <c r="O4486" t="s">
        <v>1472</v>
      </c>
      <c r="P4486" t="s">
        <v>340</v>
      </c>
      <c r="Q4486" s="10" t="s">
        <v>1102</v>
      </c>
    </row>
    <row r="4487" spans="1:18" hidden="1" x14ac:dyDescent="0.25">
      <c r="A4487" s="9" t="s">
        <v>1153</v>
      </c>
      <c r="B4487" s="3" t="s">
        <v>1201</v>
      </c>
      <c r="C4487" s="10">
        <v>28</v>
      </c>
      <c r="D4487" s="10">
        <v>9</v>
      </c>
      <c r="E4487" s="10">
        <v>19</v>
      </c>
      <c r="F4487" t="s">
        <v>1144</v>
      </c>
      <c r="G4487" t="s">
        <v>31</v>
      </c>
      <c r="H4487" t="s">
        <v>26</v>
      </c>
      <c r="I4487" t="s">
        <v>27</v>
      </c>
      <c r="J4487" s="4">
        <v>15.55</v>
      </c>
      <c r="K4487">
        <v>1</v>
      </c>
      <c r="L4487">
        <v>15.55</v>
      </c>
      <c r="M4487">
        <v>15.55</v>
      </c>
      <c r="N4487" s="5">
        <v>0.79118754452019946</v>
      </c>
      <c r="O4487" t="s">
        <v>1472</v>
      </c>
      <c r="P4487" t="s">
        <v>340</v>
      </c>
      <c r="Q4487" s="10" t="s">
        <v>1102</v>
      </c>
    </row>
    <row r="4488" spans="1:18" hidden="1" x14ac:dyDescent="0.25">
      <c r="A4488" s="9" t="s">
        <v>1153</v>
      </c>
      <c r="B4488" s="3" t="s">
        <v>1201</v>
      </c>
      <c r="C4488" s="10">
        <v>28</v>
      </c>
      <c r="D4488" s="10">
        <v>9</v>
      </c>
      <c r="E4488" s="10">
        <v>19</v>
      </c>
      <c r="F4488" t="s">
        <v>1144</v>
      </c>
      <c r="G4488" t="s">
        <v>31</v>
      </c>
      <c r="H4488" t="s">
        <v>26</v>
      </c>
      <c r="I4488" t="s">
        <v>27</v>
      </c>
      <c r="J4488" s="4">
        <v>35.15</v>
      </c>
      <c r="K4488">
        <v>1</v>
      </c>
      <c r="L4488">
        <v>35.15</v>
      </c>
      <c r="M4488">
        <v>35.15</v>
      </c>
      <c r="N4488" s="5">
        <v>1.7884400122112547</v>
      </c>
      <c r="O4488" t="s">
        <v>1472</v>
      </c>
      <c r="P4488" t="s">
        <v>340</v>
      </c>
      <c r="Q4488" s="10" t="s">
        <v>1102</v>
      </c>
    </row>
    <row r="4489" spans="1:18" hidden="1" x14ac:dyDescent="0.25">
      <c r="A4489" s="9" t="s">
        <v>1153</v>
      </c>
      <c r="B4489" s="3" t="s">
        <v>1201</v>
      </c>
      <c r="C4489" s="10">
        <v>28</v>
      </c>
      <c r="D4489" s="10">
        <v>9</v>
      </c>
      <c r="E4489" s="10">
        <v>19</v>
      </c>
      <c r="F4489" t="s">
        <v>104</v>
      </c>
      <c r="G4489" t="s">
        <v>889</v>
      </c>
      <c r="H4489" t="s">
        <v>1748</v>
      </c>
      <c r="I4489" t="s">
        <v>72</v>
      </c>
      <c r="J4489" s="4">
        <v>124.7</v>
      </c>
      <c r="K4489">
        <v>0.26700000000000002</v>
      </c>
      <c r="L4489">
        <v>124.7</v>
      </c>
      <c r="M4489">
        <v>33.294900000000005</v>
      </c>
      <c r="N4489" s="5">
        <v>1.6940521013534144</v>
      </c>
      <c r="O4489" t="s">
        <v>243</v>
      </c>
      <c r="P4489" t="s">
        <v>340</v>
      </c>
      <c r="Q4489" s="10" t="s">
        <v>1102</v>
      </c>
      <c r="R4489" t="s">
        <v>665</v>
      </c>
    </row>
    <row r="4490" spans="1:18" hidden="1" x14ac:dyDescent="0.25">
      <c r="A4490" s="9" t="s">
        <v>1153</v>
      </c>
      <c r="B4490" s="3" t="s">
        <v>1201</v>
      </c>
      <c r="C4490" s="10">
        <v>28</v>
      </c>
      <c r="D4490" s="10">
        <v>9</v>
      </c>
      <c r="E4490" s="10">
        <v>19</v>
      </c>
      <c r="F4490" t="s">
        <v>104</v>
      </c>
      <c r="G4490" t="s">
        <v>889</v>
      </c>
      <c r="H4490" t="s">
        <v>889</v>
      </c>
      <c r="I4490" t="s">
        <v>72</v>
      </c>
      <c r="J4490" s="4">
        <v>79.5</v>
      </c>
      <c r="K4490">
        <v>1</v>
      </c>
      <c r="L4490">
        <v>79.5</v>
      </c>
      <c r="M4490">
        <v>79.5</v>
      </c>
      <c r="N4490" s="5">
        <v>4.044978121501984</v>
      </c>
      <c r="O4490" t="s">
        <v>243</v>
      </c>
      <c r="P4490" t="s">
        <v>340</v>
      </c>
      <c r="Q4490" s="10" t="s">
        <v>1102</v>
      </c>
      <c r="R4490" t="s">
        <v>1227</v>
      </c>
    </row>
    <row r="4491" spans="1:18" hidden="1" x14ac:dyDescent="0.25">
      <c r="A4491" s="9" t="s">
        <v>1153</v>
      </c>
      <c r="B4491" s="3" t="s">
        <v>1201</v>
      </c>
      <c r="C4491" s="10">
        <v>28</v>
      </c>
      <c r="D4491" s="10">
        <v>9</v>
      </c>
      <c r="E4491" s="10">
        <v>19</v>
      </c>
      <c r="F4491" t="s">
        <v>104</v>
      </c>
      <c r="G4491" t="s">
        <v>889</v>
      </c>
      <c r="H4491" t="s">
        <v>1748</v>
      </c>
      <c r="I4491" t="s">
        <v>72</v>
      </c>
      <c r="J4491" s="4">
        <v>62.3</v>
      </c>
      <c r="K4491">
        <v>1</v>
      </c>
      <c r="L4491">
        <v>62.3</v>
      </c>
      <c r="M4491">
        <v>62.3</v>
      </c>
      <c r="N4491" s="5">
        <v>3.16983820087514</v>
      </c>
      <c r="O4491" t="s">
        <v>243</v>
      </c>
      <c r="P4491" t="s">
        <v>340</v>
      </c>
      <c r="Q4491" s="10" t="s">
        <v>1102</v>
      </c>
      <c r="R4491" t="s">
        <v>1228</v>
      </c>
    </row>
    <row r="4492" spans="1:18" hidden="1" x14ac:dyDescent="0.25">
      <c r="A4492" s="9" t="s">
        <v>1153</v>
      </c>
      <c r="B4492" s="3" t="s">
        <v>1201</v>
      </c>
      <c r="C4492" s="10">
        <v>28</v>
      </c>
      <c r="D4492" s="10">
        <v>9</v>
      </c>
      <c r="E4492" s="10">
        <v>19</v>
      </c>
      <c r="F4492" t="s">
        <v>102</v>
      </c>
      <c r="H4492" t="s">
        <v>102</v>
      </c>
      <c r="I4492" t="s">
        <v>27</v>
      </c>
      <c r="J4492" s="4">
        <v>28.5</v>
      </c>
      <c r="K4492">
        <v>1</v>
      </c>
      <c r="L4492">
        <v>28.5</v>
      </c>
      <c r="M4492">
        <v>28.5</v>
      </c>
      <c r="N4492" s="5">
        <v>1.4500864963875038</v>
      </c>
      <c r="O4492" t="s">
        <v>243</v>
      </c>
      <c r="P4492" t="s">
        <v>340</v>
      </c>
      <c r="Q4492" s="10" t="s">
        <v>1102</v>
      </c>
      <c r="R4492" t="s">
        <v>1229</v>
      </c>
    </row>
    <row r="4493" spans="1:18" hidden="1" x14ac:dyDescent="0.25">
      <c r="A4493" s="9" t="s">
        <v>1153</v>
      </c>
      <c r="B4493" s="3" t="s">
        <v>1201</v>
      </c>
      <c r="C4493" s="10">
        <v>28</v>
      </c>
      <c r="D4493" s="10">
        <v>9</v>
      </c>
      <c r="E4493" s="10">
        <v>19</v>
      </c>
      <c r="F4493" t="s">
        <v>39</v>
      </c>
      <c r="G4493" t="s">
        <v>889</v>
      </c>
      <c r="H4493" t="s">
        <v>1748</v>
      </c>
      <c r="I4493" t="s">
        <v>72</v>
      </c>
      <c r="J4493" s="4">
        <v>1.17</v>
      </c>
      <c r="K4493">
        <v>5</v>
      </c>
      <c r="L4493">
        <v>1.17</v>
      </c>
      <c r="M4493">
        <v>5.85</v>
      </c>
      <c r="N4493" s="5">
        <v>0.2976493334690139</v>
      </c>
      <c r="O4493" t="s">
        <v>233</v>
      </c>
      <c r="P4493" t="s">
        <v>340</v>
      </c>
      <c r="Q4493" s="10" t="s">
        <v>1102</v>
      </c>
      <c r="R4493" t="s">
        <v>1230</v>
      </c>
    </row>
    <row r="4494" spans="1:18" hidden="1" x14ac:dyDescent="0.25">
      <c r="A4494" s="9" t="s">
        <v>1153</v>
      </c>
      <c r="B4494" s="3" t="s">
        <v>1728</v>
      </c>
      <c r="C4494" s="10">
        <v>29</v>
      </c>
      <c r="D4494" s="10">
        <v>9</v>
      </c>
      <c r="E4494" s="10">
        <v>19</v>
      </c>
      <c r="F4494" t="s">
        <v>86</v>
      </c>
      <c r="G4494" t="s">
        <v>889</v>
      </c>
      <c r="H4494" t="s">
        <v>102</v>
      </c>
      <c r="I4494" t="s">
        <v>27</v>
      </c>
      <c r="J4494" s="4">
        <v>15</v>
      </c>
      <c r="K4494">
        <v>1</v>
      </c>
      <c r="L4494">
        <v>15</v>
      </c>
      <c r="M4494">
        <v>15</v>
      </c>
      <c r="N4494" s="5">
        <v>0.76233598225836252</v>
      </c>
      <c r="O4494" t="s">
        <v>39</v>
      </c>
      <c r="P4494" t="s">
        <v>340</v>
      </c>
      <c r="Q4494" s="10" t="s">
        <v>24</v>
      </c>
    </row>
    <row r="4495" spans="1:18" hidden="1" x14ac:dyDescent="0.25">
      <c r="A4495" s="9" t="s">
        <v>1153</v>
      </c>
      <c r="B4495" s="3" t="s">
        <v>1728</v>
      </c>
      <c r="C4495" s="10">
        <v>29</v>
      </c>
      <c r="D4495" s="10">
        <v>9</v>
      </c>
      <c r="E4495" s="10">
        <v>19</v>
      </c>
      <c r="F4495" t="s">
        <v>1343</v>
      </c>
      <c r="G4495" t="s">
        <v>889</v>
      </c>
      <c r="H4495" t="s">
        <v>102</v>
      </c>
      <c r="I4495" t="s">
        <v>27</v>
      </c>
      <c r="J4495" s="4">
        <v>25</v>
      </c>
      <c r="K4495">
        <v>1</v>
      </c>
      <c r="L4495">
        <v>25</v>
      </c>
      <c r="M4495">
        <v>25</v>
      </c>
      <c r="N4495" s="5">
        <v>1.2705599704306041</v>
      </c>
      <c r="O4495" t="s">
        <v>39</v>
      </c>
      <c r="P4495" t="s">
        <v>340</v>
      </c>
      <c r="Q4495" s="10" t="s">
        <v>24</v>
      </c>
    </row>
    <row r="4496" spans="1:18" hidden="1" x14ac:dyDescent="0.25">
      <c r="A4496" s="9" t="s">
        <v>1153</v>
      </c>
      <c r="B4496" s="3" t="s">
        <v>1728</v>
      </c>
      <c r="C4496" s="10">
        <v>29</v>
      </c>
      <c r="D4496" s="10">
        <v>9</v>
      </c>
      <c r="E4496" s="10">
        <v>19</v>
      </c>
      <c r="F4496" t="s">
        <v>78</v>
      </c>
      <c r="G4496" t="s">
        <v>889</v>
      </c>
      <c r="H4496" t="s">
        <v>78</v>
      </c>
      <c r="I4496" t="s">
        <v>79</v>
      </c>
      <c r="J4496" s="4">
        <v>18.55</v>
      </c>
      <c r="K4496">
        <v>44.21</v>
      </c>
      <c r="L4496">
        <v>18.55</v>
      </c>
      <c r="M4496">
        <v>820.09550000000002</v>
      </c>
      <c r="N4496" s="5">
        <v>41.679220569210862</v>
      </c>
      <c r="O4496" t="s">
        <v>80</v>
      </c>
      <c r="P4496" t="s">
        <v>340</v>
      </c>
      <c r="Q4496" s="10" t="s">
        <v>24</v>
      </c>
    </row>
    <row r="4497" spans="1:18" hidden="1" x14ac:dyDescent="0.25">
      <c r="A4497" s="9" t="s">
        <v>1153</v>
      </c>
      <c r="B4497" s="3" t="s">
        <v>1728</v>
      </c>
      <c r="C4497" s="10">
        <v>29</v>
      </c>
      <c r="D4497" s="10">
        <v>9</v>
      </c>
      <c r="E4497" s="10">
        <v>19</v>
      </c>
      <c r="F4497" t="s">
        <v>2042</v>
      </c>
      <c r="G4497" t="s">
        <v>33</v>
      </c>
      <c r="H4497" t="s">
        <v>35</v>
      </c>
      <c r="I4497" t="s">
        <v>27</v>
      </c>
      <c r="J4497" s="4">
        <v>162.6</v>
      </c>
      <c r="K4497">
        <v>0.156</v>
      </c>
      <c r="L4497">
        <v>162.6</v>
      </c>
      <c r="M4497">
        <v>25.365600000000001</v>
      </c>
      <c r="N4497" s="5">
        <v>1.2891406394381812</v>
      </c>
      <c r="O4497" t="s">
        <v>100</v>
      </c>
      <c r="P4497" t="s">
        <v>340</v>
      </c>
      <c r="Q4497" s="10" t="s">
        <v>24</v>
      </c>
    </row>
    <row r="4498" spans="1:18" hidden="1" x14ac:dyDescent="0.25">
      <c r="A4498" s="9" t="s">
        <v>1153</v>
      </c>
      <c r="B4498" s="3" t="s">
        <v>1728</v>
      </c>
      <c r="C4498" s="10">
        <v>29</v>
      </c>
      <c r="D4498" s="10">
        <v>9</v>
      </c>
      <c r="E4498" s="10">
        <v>19</v>
      </c>
      <c r="F4498" t="s">
        <v>2043</v>
      </c>
      <c r="G4498" t="s">
        <v>1740</v>
      </c>
      <c r="H4498" t="s">
        <v>35</v>
      </c>
      <c r="I4498" t="s">
        <v>27</v>
      </c>
      <c r="J4498" s="4">
        <v>155.6</v>
      </c>
      <c r="K4498">
        <v>0.14399999999999999</v>
      </c>
      <c r="L4498">
        <v>155.6</v>
      </c>
      <c r="M4498">
        <v>22.406399999999998</v>
      </c>
      <c r="N4498" s="5">
        <v>1.1387469968582515</v>
      </c>
      <c r="O4498" t="s">
        <v>100</v>
      </c>
      <c r="P4498" t="s">
        <v>340</v>
      </c>
      <c r="Q4498" s="10" t="s">
        <v>24</v>
      </c>
    </row>
    <row r="4499" spans="1:18" hidden="1" x14ac:dyDescent="0.25">
      <c r="A4499" s="9" t="s">
        <v>1153</v>
      </c>
      <c r="B4499" s="3" t="s">
        <v>1728</v>
      </c>
      <c r="C4499" s="10">
        <v>29</v>
      </c>
      <c r="D4499" s="10">
        <v>9</v>
      </c>
      <c r="E4499" s="10">
        <v>19</v>
      </c>
      <c r="F4499" t="s">
        <v>373</v>
      </c>
      <c r="G4499" t="s">
        <v>889</v>
      </c>
      <c r="H4499" t="s">
        <v>65</v>
      </c>
      <c r="I4499" t="s">
        <v>27</v>
      </c>
      <c r="J4499" s="4">
        <v>9</v>
      </c>
      <c r="K4499">
        <v>1</v>
      </c>
      <c r="L4499">
        <v>9</v>
      </c>
      <c r="M4499">
        <v>9</v>
      </c>
      <c r="N4499" s="5">
        <v>0.45740158935501751</v>
      </c>
      <c r="O4499" t="s">
        <v>100</v>
      </c>
      <c r="P4499" t="s">
        <v>340</v>
      </c>
      <c r="Q4499" s="10" t="s">
        <v>24</v>
      </c>
    </row>
    <row r="4500" spans="1:18" hidden="1" x14ac:dyDescent="0.25">
      <c r="A4500" s="9" t="s">
        <v>1153</v>
      </c>
      <c r="B4500" s="3" t="s">
        <v>1728</v>
      </c>
      <c r="C4500" s="10">
        <v>29</v>
      </c>
      <c r="D4500" s="10">
        <v>9</v>
      </c>
      <c r="E4500" s="10">
        <v>19</v>
      </c>
      <c r="F4500" t="s">
        <v>1741</v>
      </c>
      <c r="G4500" t="s">
        <v>465</v>
      </c>
      <c r="H4500" t="s">
        <v>35</v>
      </c>
      <c r="I4500" t="s">
        <v>27</v>
      </c>
      <c r="J4500" s="4">
        <v>86.6</v>
      </c>
      <c r="K4500">
        <v>1.0680000000000001</v>
      </c>
      <c r="L4500">
        <v>86.6</v>
      </c>
      <c r="M4500">
        <v>92.488799999999998</v>
      </c>
      <c r="N4500" s="5">
        <v>4.7005026797264824</v>
      </c>
      <c r="O4500" t="s">
        <v>100</v>
      </c>
      <c r="P4500" t="s">
        <v>340</v>
      </c>
      <c r="Q4500" s="10" t="s">
        <v>24</v>
      </c>
    </row>
    <row r="4501" spans="1:18" hidden="1" x14ac:dyDescent="0.25">
      <c r="A4501" s="9" t="s">
        <v>1153</v>
      </c>
      <c r="B4501" s="3" t="s">
        <v>1728</v>
      </c>
      <c r="C4501" s="10">
        <v>29</v>
      </c>
      <c r="D4501" s="10">
        <v>9</v>
      </c>
      <c r="E4501" s="10">
        <v>19</v>
      </c>
      <c r="F4501" t="s">
        <v>1185</v>
      </c>
      <c r="G4501" t="s">
        <v>889</v>
      </c>
      <c r="H4501" t="s">
        <v>73</v>
      </c>
      <c r="I4501" t="s">
        <v>27</v>
      </c>
      <c r="J4501" s="4">
        <v>29.6</v>
      </c>
      <c r="K4501">
        <v>1</v>
      </c>
      <c r="L4501">
        <v>29.6</v>
      </c>
      <c r="M4501">
        <v>29.6</v>
      </c>
      <c r="N4501" s="5">
        <v>1.5043430049898354</v>
      </c>
      <c r="O4501" t="s">
        <v>100</v>
      </c>
      <c r="P4501" t="s">
        <v>340</v>
      </c>
      <c r="Q4501" s="10" t="s">
        <v>24</v>
      </c>
    </row>
    <row r="4502" spans="1:18" hidden="1" x14ac:dyDescent="0.25">
      <c r="A4502" s="9" t="s">
        <v>1153</v>
      </c>
      <c r="B4502" s="3" t="s">
        <v>1728</v>
      </c>
      <c r="C4502" s="10">
        <v>29</v>
      </c>
      <c r="D4502" s="10">
        <v>9</v>
      </c>
      <c r="E4502" s="10">
        <v>19</v>
      </c>
      <c r="F4502" t="s">
        <v>1358</v>
      </c>
      <c r="G4502" t="s">
        <v>155</v>
      </c>
      <c r="H4502" t="s">
        <v>131</v>
      </c>
      <c r="I4502" t="s">
        <v>27</v>
      </c>
      <c r="J4502" s="4">
        <v>75</v>
      </c>
      <c r="K4502">
        <v>3</v>
      </c>
      <c r="L4502">
        <v>75</v>
      </c>
      <c r="M4502">
        <v>225</v>
      </c>
      <c r="N4502" s="5">
        <v>11.435039733875437</v>
      </c>
      <c r="O4502" t="s">
        <v>100</v>
      </c>
      <c r="P4502" t="s">
        <v>340</v>
      </c>
      <c r="Q4502" s="10" t="s">
        <v>24</v>
      </c>
    </row>
    <row r="4503" spans="1:18" hidden="1" x14ac:dyDescent="0.25">
      <c r="A4503" s="9" t="s">
        <v>1153</v>
      </c>
      <c r="B4503" s="3" t="s">
        <v>1728</v>
      </c>
      <c r="C4503" s="10">
        <v>29</v>
      </c>
      <c r="D4503" s="10">
        <v>9</v>
      </c>
      <c r="E4503" s="10">
        <v>19</v>
      </c>
      <c r="F4503" t="s">
        <v>1466</v>
      </c>
      <c r="G4503" t="s">
        <v>31</v>
      </c>
      <c r="H4503" t="s">
        <v>26</v>
      </c>
      <c r="I4503" t="s">
        <v>27</v>
      </c>
      <c r="J4503" s="4">
        <v>38.6</v>
      </c>
      <c r="K4503">
        <v>2</v>
      </c>
      <c r="L4503">
        <v>38.6</v>
      </c>
      <c r="M4503">
        <v>77.2</v>
      </c>
      <c r="N4503" s="5">
        <v>3.9234891886897056</v>
      </c>
      <c r="O4503" t="s">
        <v>100</v>
      </c>
      <c r="P4503" t="s">
        <v>340</v>
      </c>
      <c r="Q4503" s="10" t="s">
        <v>24</v>
      </c>
    </row>
    <row r="4504" spans="1:18" hidden="1" x14ac:dyDescent="0.25">
      <c r="A4504" s="9" t="s">
        <v>1153</v>
      </c>
      <c r="B4504" s="3" t="s">
        <v>1728</v>
      </c>
      <c r="C4504" s="10">
        <v>29</v>
      </c>
      <c r="D4504" s="10">
        <v>9</v>
      </c>
      <c r="E4504" s="10">
        <v>19</v>
      </c>
      <c r="F4504" t="s">
        <v>974</v>
      </c>
      <c r="G4504" t="s">
        <v>25</v>
      </c>
      <c r="H4504" t="s">
        <v>26</v>
      </c>
      <c r="I4504" t="s">
        <v>27</v>
      </c>
      <c r="J4504" s="4">
        <v>211.6</v>
      </c>
      <c r="K4504">
        <v>0.27600000000000002</v>
      </c>
      <c r="L4504">
        <v>211.6</v>
      </c>
      <c r="M4504">
        <v>58.401600000000002</v>
      </c>
      <c r="N4504" s="5">
        <v>2.968109406763999</v>
      </c>
      <c r="O4504" t="s">
        <v>100</v>
      </c>
      <c r="P4504" t="s">
        <v>340</v>
      </c>
      <c r="Q4504" s="10" t="s">
        <v>24</v>
      </c>
    </row>
    <row r="4505" spans="1:18" hidden="1" x14ac:dyDescent="0.25">
      <c r="A4505" s="9" t="s">
        <v>1153</v>
      </c>
      <c r="B4505" s="3" t="s">
        <v>1728</v>
      </c>
      <c r="C4505" s="10">
        <v>29</v>
      </c>
      <c r="D4505" s="10">
        <v>9</v>
      </c>
      <c r="E4505" s="10">
        <v>19</v>
      </c>
      <c r="F4505" t="s">
        <v>102</v>
      </c>
      <c r="G4505" t="s">
        <v>889</v>
      </c>
      <c r="H4505" t="s">
        <v>102</v>
      </c>
      <c r="I4505" t="s">
        <v>27</v>
      </c>
      <c r="J4505" s="4">
        <v>16.8</v>
      </c>
      <c r="K4505">
        <v>1</v>
      </c>
      <c r="L4505">
        <v>16.8</v>
      </c>
      <c r="M4505">
        <v>16.8</v>
      </c>
      <c r="N4505" s="5">
        <v>0.85381630012936605</v>
      </c>
      <c r="O4505" t="s">
        <v>100</v>
      </c>
      <c r="P4505" t="s">
        <v>340</v>
      </c>
      <c r="Q4505" s="10" t="s">
        <v>24</v>
      </c>
      <c r="R4505" t="s">
        <v>1742</v>
      </c>
    </row>
    <row r="4506" spans="1:18" hidden="1" x14ac:dyDescent="0.25">
      <c r="A4506" s="9" t="s">
        <v>1153</v>
      </c>
      <c r="B4506" s="3" t="s">
        <v>1728</v>
      </c>
      <c r="C4506" s="10">
        <v>29</v>
      </c>
      <c r="D4506" s="10">
        <v>9</v>
      </c>
      <c r="E4506" s="10">
        <v>19</v>
      </c>
      <c r="F4506" t="s">
        <v>44</v>
      </c>
      <c r="G4506" t="s">
        <v>889</v>
      </c>
      <c r="H4506" t="s">
        <v>44</v>
      </c>
      <c r="I4506" t="s">
        <v>27</v>
      </c>
      <c r="J4506" s="4">
        <v>31.6</v>
      </c>
      <c r="K4506">
        <v>1</v>
      </c>
      <c r="L4506">
        <v>31.6</v>
      </c>
      <c r="M4506">
        <v>31.6</v>
      </c>
      <c r="N4506" s="5">
        <v>1.6059878026242838</v>
      </c>
      <c r="O4506" t="s">
        <v>100</v>
      </c>
      <c r="P4506" t="s">
        <v>340</v>
      </c>
      <c r="Q4506" s="10" t="s">
        <v>24</v>
      </c>
    </row>
    <row r="4507" spans="1:18" hidden="1" x14ac:dyDescent="0.25">
      <c r="A4507" s="9" t="s">
        <v>1153</v>
      </c>
      <c r="B4507" s="3" t="s">
        <v>1728</v>
      </c>
      <c r="C4507" s="10">
        <v>29</v>
      </c>
      <c r="D4507" s="10">
        <v>9</v>
      </c>
      <c r="E4507" s="10">
        <v>19</v>
      </c>
      <c r="F4507" t="s">
        <v>595</v>
      </c>
      <c r="G4507" t="s">
        <v>889</v>
      </c>
      <c r="H4507" t="s">
        <v>54</v>
      </c>
      <c r="I4507" t="s">
        <v>27</v>
      </c>
      <c r="J4507" s="4">
        <v>15</v>
      </c>
      <c r="K4507">
        <v>1</v>
      </c>
      <c r="L4507">
        <v>15</v>
      </c>
      <c r="M4507">
        <v>15</v>
      </c>
      <c r="N4507" s="5">
        <v>0.76233598225836252</v>
      </c>
      <c r="O4507" t="s">
        <v>100</v>
      </c>
      <c r="P4507" t="s">
        <v>340</v>
      </c>
      <c r="Q4507" s="10" t="s">
        <v>24</v>
      </c>
    </row>
    <row r="4508" spans="1:18" hidden="1" x14ac:dyDescent="0.25">
      <c r="A4508" s="9" t="s">
        <v>1153</v>
      </c>
      <c r="B4508" s="3" t="s">
        <v>1728</v>
      </c>
      <c r="C4508" s="10">
        <v>29</v>
      </c>
      <c r="D4508" s="10">
        <v>9</v>
      </c>
      <c r="E4508" s="10">
        <v>19</v>
      </c>
      <c r="F4508" t="s">
        <v>1910</v>
      </c>
      <c r="G4508" t="s">
        <v>889</v>
      </c>
      <c r="H4508" t="s">
        <v>35</v>
      </c>
      <c r="I4508" t="s">
        <v>27</v>
      </c>
      <c r="J4508" s="4">
        <v>45</v>
      </c>
      <c r="K4508">
        <v>2</v>
      </c>
      <c r="L4508">
        <v>45</v>
      </c>
      <c r="M4508">
        <v>90</v>
      </c>
      <c r="N4508" s="5">
        <v>4.5740158935501745</v>
      </c>
      <c r="O4508" t="s">
        <v>100</v>
      </c>
      <c r="P4508" t="s">
        <v>340</v>
      </c>
      <c r="Q4508" s="10" t="s">
        <v>24</v>
      </c>
      <c r="R4508" t="s">
        <v>1911</v>
      </c>
    </row>
    <row r="4509" spans="1:18" hidden="1" x14ac:dyDescent="0.25">
      <c r="A4509" s="9" t="s">
        <v>1153</v>
      </c>
      <c r="B4509" s="3" t="s">
        <v>1169</v>
      </c>
      <c r="C4509" s="10">
        <v>3</v>
      </c>
      <c r="D4509" s="10">
        <v>9</v>
      </c>
      <c r="E4509" s="10">
        <v>19</v>
      </c>
      <c r="F4509" t="s">
        <v>104</v>
      </c>
      <c r="G4509" t="s">
        <v>889</v>
      </c>
      <c r="H4509" t="s">
        <v>1748</v>
      </c>
      <c r="I4509" t="s">
        <v>72</v>
      </c>
      <c r="J4509" s="4">
        <v>52</v>
      </c>
      <c r="K4509">
        <v>1</v>
      </c>
      <c r="L4509">
        <v>218.92</v>
      </c>
      <c r="M4509">
        <v>218.92</v>
      </c>
      <c r="N4509" s="5">
        <v>11.138699501373766</v>
      </c>
      <c r="O4509" t="s">
        <v>39</v>
      </c>
      <c r="P4509" t="s">
        <v>148</v>
      </c>
      <c r="Q4509" s="10" t="s">
        <v>1102</v>
      </c>
      <c r="R4509" t="s">
        <v>1733</v>
      </c>
    </row>
    <row r="4510" spans="1:18" hidden="1" x14ac:dyDescent="0.25">
      <c r="A4510" s="9" t="s">
        <v>647</v>
      </c>
      <c r="B4510" s="3" t="s">
        <v>1169</v>
      </c>
      <c r="C4510" s="10">
        <v>3</v>
      </c>
      <c r="D4510" s="10">
        <v>9</v>
      </c>
      <c r="E4510" s="10">
        <v>19</v>
      </c>
      <c r="F4510" t="s">
        <v>590</v>
      </c>
      <c r="G4510" t="s">
        <v>31</v>
      </c>
      <c r="H4510" t="s">
        <v>26</v>
      </c>
      <c r="I4510" t="s">
        <v>27</v>
      </c>
      <c r="J4510" s="4">
        <v>12.55</v>
      </c>
      <c r="K4510">
        <v>1</v>
      </c>
      <c r="L4510">
        <v>12.55</v>
      </c>
      <c r="M4510">
        <v>12.55</v>
      </c>
      <c r="N4510" s="5">
        <v>0.6378211051561633</v>
      </c>
      <c r="O4510" t="s">
        <v>1472</v>
      </c>
      <c r="P4510" t="s">
        <v>340</v>
      </c>
      <c r="Q4510" s="10" t="s">
        <v>24</v>
      </c>
    </row>
    <row r="4511" spans="1:18" hidden="1" x14ac:dyDescent="0.25">
      <c r="A4511" s="9" t="s">
        <v>647</v>
      </c>
      <c r="B4511" s="3" t="s">
        <v>1888</v>
      </c>
      <c r="C4511" s="10">
        <v>30</v>
      </c>
      <c r="D4511" s="10">
        <v>9</v>
      </c>
      <c r="E4511" s="10">
        <v>19</v>
      </c>
      <c r="F4511" t="s">
        <v>1875</v>
      </c>
      <c r="G4511" t="s">
        <v>889</v>
      </c>
      <c r="H4511" t="s">
        <v>39</v>
      </c>
      <c r="I4511" t="s">
        <v>27</v>
      </c>
      <c r="J4511" s="4">
        <v>5.75</v>
      </c>
      <c r="K4511">
        <v>1</v>
      </c>
      <c r="L4511">
        <v>5.75</v>
      </c>
      <c r="M4511">
        <v>5.75</v>
      </c>
      <c r="N4511" s="5">
        <v>0.29222879319903894</v>
      </c>
      <c r="O4511" t="s">
        <v>101</v>
      </c>
      <c r="P4511" t="s">
        <v>340</v>
      </c>
      <c r="Q4511" s="10" t="s">
        <v>24</v>
      </c>
    </row>
    <row r="4512" spans="1:18" hidden="1" x14ac:dyDescent="0.25">
      <c r="A4512" s="9" t="s">
        <v>647</v>
      </c>
      <c r="B4512" s="3" t="s">
        <v>1888</v>
      </c>
      <c r="C4512" s="10">
        <v>30</v>
      </c>
      <c r="D4512" s="10">
        <v>9</v>
      </c>
      <c r="E4512" s="10">
        <v>19</v>
      </c>
      <c r="F4512" t="s">
        <v>1876</v>
      </c>
      <c r="G4512" t="s">
        <v>889</v>
      </c>
      <c r="H4512" t="s">
        <v>39</v>
      </c>
      <c r="I4512" t="s">
        <v>27</v>
      </c>
      <c r="J4512" s="4">
        <v>11.9</v>
      </c>
      <c r="K4512">
        <v>1</v>
      </c>
      <c r="L4512">
        <v>11.9</v>
      </c>
      <c r="M4512">
        <v>11.9</v>
      </c>
      <c r="N4512" s="5">
        <v>0.60478654592496761</v>
      </c>
      <c r="O4512" t="s">
        <v>101</v>
      </c>
      <c r="P4512" t="s">
        <v>340</v>
      </c>
      <c r="Q4512" s="10" t="s">
        <v>24</v>
      </c>
    </row>
    <row r="4513" spans="1:18" hidden="1" x14ac:dyDescent="0.25">
      <c r="A4513" s="9" t="s">
        <v>1153</v>
      </c>
      <c r="B4513" s="3" t="s">
        <v>1173</v>
      </c>
      <c r="C4513" s="10">
        <v>5</v>
      </c>
      <c r="D4513" s="10">
        <v>9</v>
      </c>
      <c r="E4513" s="10">
        <v>19</v>
      </c>
      <c r="F4513" t="s">
        <v>974</v>
      </c>
      <c r="G4513" t="s">
        <v>25</v>
      </c>
      <c r="H4513" t="s">
        <v>26</v>
      </c>
      <c r="I4513" t="s">
        <v>27</v>
      </c>
      <c r="J4513" s="4">
        <v>211.6</v>
      </c>
      <c r="K4513">
        <v>0.35799999999999998</v>
      </c>
      <c r="L4513">
        <v>211.6</v>
      </c>
      <c r="M4513">
        <v>75.752799999999993</v>
      </c>
      <c r="N4513" s="5">
        <v>3.8543197313523962</v>
      </c>
      <c r="O4513" t="s">
        <v>100</v>
      </c>
      <c r="P4513" t="s">
        <v>340</v>
      </c>
      <c r="Q4513" s="10" t="s">
        <v>1102</v>
      </c>
    </row>
    <row r="4514" spans="1:18" hidden="1" x14ac:dyDescent="0.25">
      <c r="A4514" s="9" t="s">
        <v>1153</v>
      </c>
      <c r="B4514" s="3" t="s">
        <v>1173</v>
      </c>
      <c r="C4514" s="10">
        <v>5</v>
      </c>
      <c r="D4514" s="10">
        <v>9</v>
      </c>
      <c r="E4514" s="10">
        <v>19</v>
      </c>
      <c r="F4514" t="s">
        <v>77</v>
      </c>
      <c r="G4514" t="s">
        <v>77</v>
      </c>
      <c r="H4514" t="s">
        <v>26</v>
      </c>
      <c r="I4514" t="s">
        <v>27</v>
      </c>
      <c r="J4514" s="4">
        <v>20.65</v>
      </c>
      <c r="K4514">
        <v>1</v>
      </c>
      <c r="L4514">
        <v>20.65</v>
      </c>
      <c r="M4514">
        <v>20.65</v>
      </c>
      <c r="N4514" s="5">
        <v>1.0506767070316474</v>
      </c>
      <c r="O4514" t="s">
        <v>100</v>
      </c>
      <c r="P4514" t="s">
        <v>340</v>
      </c>
      <c r="Q4514" s="10" t="s">
        <v>1102</v>
      </c>
    </row>
    <row r="4515" spans="1:18" hidden="1" x14ac:dyDescent="0.25">
      <c r="A4515" s="9" t="s">
        <v>1153</v>
      </c>
      <c r="B4515" s="3" t="s">
        <v>1173</v>
      </c>
      <c r="C4515" s="10">
        <v>5</v>
      </c>
      <c r="D4515" s="10">
        <v>9</v>
      </c>
      <c r="E4515" s="10">
        <v>19</v>
      </c>
      <c r="F4515" t="s">
        <v>1036</v>
      </c>
      <c r="G4515" t="s">
        <v>889</v>
      </c>
      <c r="H4515" t="s">
        <v>38</v>
      </c>
      <c r="I4515" t="s">
        <v>27</v>
      </c>
      <c r="J4515" s="4">
        <v>126</v>
      </c>
      <c r="K4515">
        <v>0.20599999999999999</v>
      </c>
      <c r="L4515">
        <v>126</v>
      </c>
      <c r="M4515">
        <v>25.956</v>
      </c>
      <c r="N4515" s="5">
        <v>1.3206471964994404</v>
      </c>
      <c r="O4515" t="s">
        <v>100</v>
      </c>
      <c r="P4515" t="s">
        <v>340</v>
      </c>
      <c r="Q4515" s="10" t="s">
        <v>1102</v>
      </c>
    </row>
    <row r="4516" spans="1:18" hidden="1" x14ac:dyDescent="0.25">
      <c r="A4516" s="9" t="s">
        <v>1153</v>
      </c>
      <c r="B4516" s="3" t="s">
        <v>1173</v>
      </c>
      <c r="C4516" s="10">
        <v>5</v>
      </c>
      <c r="D4516" s="10">
        <v>9</v>
      </c>
      <c r="E4516" s="10">
        <v>19</v>
      </c>
      <c r="F4516" t="s">
        <v>1372</v>
      </c>
      <c r="G4516" t="s">
        <v>373</v>
      </c>
      <c r="H4516" t="s">
        <v>65</v>
      </c>
      <c r="I4516" t="s">
        <v>27</v>
      </c>
      <c r="J4516" s="4">
        <v>13</v>
      </c>
      <c r="K4516">
        <v>1</v>
      </c>
      <c r="L4516">
        <v>13</v>
      </c>
      <c r="M4516">
        <v>13</v>
      </c>
      <c r="N4516" s="5">
        <v>0.66144296326447538</v>
      </c>
      <c r="O4516" t="s">
        <v>100</v>
      </c>
      <c r="P4516" t="s">
        <v>340</v>
      </c>
      <c r="Q4516" s="10" t="s">
        <v>1102</v>
      </c>
    </row>
    <row r="4517" spans="1:18" hidden="1" x14ac:dyDescent="0.25">
      <c r="A4517" s="9" t="s">
        <v>1153</v>
      </c>
      <c r="B4517" s="3" t="s">
        <v>1173</v>
      </c>
      <c r="C4517" s="10">
        <v>5</v>
      </c>
      <c r="D4517" s="10">
        <v>9</v>
      </c>
      <c r="E4517" s="10">
        <v>19</v>
      </c>
      <c r="F4517" t="s">
        <v>1144</v>
      </c>
      <c r="G4517" t="s">
        <v>31</v>
      </c>
      <c r="H4517" t="s">
        <v>26</v>
      </c>
      <c r="I4517" t="s">
        <v>27</v>
      </c>
      <c r="J4517" s="4">
        <v>9.6</v>
      </c>
      <c r="K4517">
        <v>4</v>
      </c>
      <c r="L4517">
        <v>9.6</v>
      </c>
      <c r="M4517">
        <v>38.4</v>
      </c>
      <c r="N4517" s="5">
        <v>1.9538007530273735</v>
      </c>
      <c r="O4517" t="s">
        <v>100</v>
      </c>
      <c r="P4517" t="s">
        <v>340</v>
      </c>
      <c r="Q4517" s="10" t="s">
        <v>1102</v>
      </c>
    </row>
    <row r="4518" spans="1:18" hidden="1" x14ac:dyDescent="0.25">
      <c r="A4518" s="9" t="s">
        <v>1153</v>
      </c>
      <c r="B4518" s="3" t="s">
        <v>1173</v>
      </c>
      <c r="C4518" s="10">
        <v>5</v>
      </c>
      <c r="D4518" s="10">
        <v>9</v>
      </c>
      <c r="E4518" s="10">
        <v>19</v>
      </c>
      <c r="F4518" t="s">
        <v>1172</v>
      </c>
      <c r="G4518" t="s">
        <v>889</v>
      </c>
      <c r="H4518" t="s">
        <v>39</v>
      </c>
      <c r="I4518" t="s">
        <v>27</v>
      </c>
      <c r="J4518" s="4">
        <v>11.05</v>
      </c>
      <c r="K4518">
        <v>1</v>
      </c>
      <c r="L4518">
        <v>11.05</v>
      </c>
      <c r="M4518">
        <v>11.05</v>
      </c>
      <c r="N4518" s="5">
        <v>0.56222651877480412</v>
      </c>
      <c r="O4518" t="s">
        <v>100</v>
      </c>
      <c r="P4518" t="s">
        <v>340</v>
      </c>
      <c r="Q4518" s="10" t="s">
        <v>1102</v>
      </c>
    </row>
    <row r="4519" spans="1:18" hidden="1" x14ac:dyDescent="0.25">
      <c r="A4519" s="9" t="s">
        <v>1153</v>
      </c>
      <c r="B4519" s="3" t="s">
        <v>1154</v>
      </c>
      <c r="C4519" s="10">
        <v>6</v>
      </c>
      <c r="D4519" s="10">
        <v>9</v>
      </c>
      <c r="E4519" s="10">
        <v>19</v>
      </c>
      <c r="F4519" t="s">
        <v>94</v>
      </c>
      <c r="G4519" t="s">
        <v>889</v>
      </c>
      <c r="I4519" t="s">
        <v>87</v>
      </c>
      <c r="J4519" s="4">
        <v>90</v>
      </c>
      <c r="K4519">
        <v>1</v>
      </c>
      <c r="L4519">
        <v>90</v>
      </c>
      <c r="M4519">
        <v>90</v>
      </c>
      <c r="N4519" s="5">
        <v>4.5792205149079068</v>
      </c>
      <c r="O4519" t="s">
        <v>39</v>
      </c>
      <c r="P4519" t="s">
        <v>340</v>
      </c>
      <c r="Q4519" s="10" t="s">
        <v>1102</v>
      </c>
      <c r="R4519" t="s">
        <v>1552</v>
      </c>
    </row>
    <row r="4520" spans="1:18" hidden="1" x14ac:dyDescent="0.25">
      <c r="A4520" s="9" t="s">
        <v>1153</v>
      </c>
      <c r="B4520" s="3" t="s">
        <v>1154</v>
      </c>
      <c r="C4520" s="10">
        <v>6</v>
      </c>
      <c r="D4520" s="10">
        <v>9</v>
      </c>
      <c r="E4520" s="10">
        <v>19</v>
      </c>
      <c r="F4520" t="s">
        <v>141</v>
      </c>
      <c r="G4520" t="s">
        <v>889</v>
      </c>
      <c r="H4520" t="s">
        <v>172</v>
      </c>
      <c r="I4520" t="s">
        <v>39</v>
      </c>
      <c r="J4520" s="4">
        <v>2</v>
      </c>
      <c r="K4520">
        <v>1</v>
      </c>
      <c r="L4520">
        <v>2</v>
      </c>
      <c r="M4520">
        <v>2</v>
      </c>
      <c r="N4520" s="5">
        <v>0.10176045588684238</v>
      </c>
      <c r="O4520" t="s">
        <v>39</v>
      </c>
      <c r="P4520" t="s">
        <v>340</v>
      </c>
      <c r="Q4520" s="10" t="s">
        <v>1102</v>
      </c>
    </row>
    <row r="4521" spans="1:18" hidden="1" x14ac:dyDescent="0.25">
      <c r="A4521" s="9" t="s">
        <v>1153</v>
      </c>
      <c r="B4521" s="3" t="s">
        <v>1154</v>
      </c>
      <c r="C4521" s="10">
        <v>6</v>
      </c>
      <c r="D4521" s="10">
        <v>9</v>
      </c>
      <c r="E4521" s="10">
        <v>19</v>
      </c>
      <c r="F4521" t="s">
        <v>432</v>
      </c>
      <c r="G4521" t="s">
        <v>889</v>
      </c>
      <c r="H4521" t="s">
        <v>889</v>
      </c>
      <c r="I4521" t="s">
        <v>431</v>
      </c>
      <c r="J4521" s="4">
        <v>48</v>
      </c>
      <c r="K4521">
        <v>2</v>
      </c>
      <c r="L4521">
        <v>48</v>
      </c>
      <c r="M4521">
        <v>96</v>
      </c>
      <c r="N4521" s="5">
        <v>4.8845018825684337</v>
      </c>
      <c r="O4521" s="5" t="s">
        <v>1167</v>
      </c>
      <c r="P4521" t="s">
        <v>340</v>
      </c>
      <c r="Q4521" s="10" t="s">
        <v>1102</v>
      </c>
      <c r="R4521" s="10"/>
    </row>
    <row r="4522" spans="1:18" hidden="1" x14ac:dyDescent="0.25">
      <c r="A4522" s="9" t="s">
        <v>1153</v>
      </c>
      <c r="B4522" s="3" t="s">
        <v>1154</v>
      </c>
      <c r="C4522" s="10">
        <v>6</v>
      </c>
      <c r="D4522" s="10">
        <v>9</v>
      </c>
      <c r="E4522" s="10">
        <v>19</v>
      </c>
      <c r="F4522" s="10" t="s">
        <v>174</v>
      </c>
      <c r="G4522" t="s">
        <v>889</v>
      </c>
      <c r="H4522" t="s">
        <v>54</v>
      </c>
      <c r="I4522" t="s">
        <v>27</v>
      </c>
      <c r="J4522" s="4">
        <v>9.5</v>
      </c>
      <c r="K4522">
        <v>0.77400000000000002</v>
      </c>
      <c r="L4522">
        <v>9.5</v>
      </c>
      <c r="M4522">
        <v>7.3529999999999998</v>
      </c>
      <c r="N4522" s="5">
        <v>0.37412231606797597</v>
      </c>
      <c r="O4522" s="5" t="s">
        <v>101</v>
      </c>
      <c r="P4522" t="s">
        <v>340</v>
      </c>
      <c r="Q4522" s="10" t="s">
        <v>1102</v>
      </c>
      <c r="R4522" s="10"/>
    </row>
    <row r="4523" spans="1:18" hidden="1" x14ac:dyDescent="0.25">
      <c r="A4523" s="9" t="s">
        <v>1153</v>
      </c>
      <c r="B4523" s="3" t="s">
        <v>1154</v>
      </c>
      <c r="C4523" s="10">
        <v>6</v>
      </c>
      <c r="D4523" s="10">
        <v>9</v>
      </c>
      <c r="E4523" s="10">
        <v>19</v>
      </c>
      <c r="F4523" t="s">
        <v>1174</v>
      </c>
      <c r="G4523" t="s">
        <v>889</v>
      </c>
      <c r="H4523" t="s">
        <v>54</v>
      </c>
      <c r="I4523" t="s">
        <v>27</v>
      </c>
      <c r="J4523" s="4">
        <v>52.6</v>
      </c>
      <c r="K4523">
        <v>0.66600000000000004</v>
      </c>
      <c r="L4523">
        <v>52.6</v>
      </c>
      <c r="M4523">
        <v>35.031600000000005</v>
      </c>
      <c r="N4523" s="5">
        <v>1.7824157932227538</v>
      </c>
      <c r="O4523" t="s">
        <v>100</v>
      </c>
      <c r="P4523" t="s">
        <v>340</v>
      </c>
      <c r="Q4523" s="10" t="s">
        <v>1102</v>
      </c>
    </row>
    <row r="4524" spans="1:18" hidden="1" x14ac:dyDescent="0.25">
      <c r="A4524" s="9" t="s">
        <v>1153</v>
      </c>
      <c r="B4524" s="3" t="s">
        <v>1154</v>
      </c>
      <c r="C4524" s="10">
        <v>6</v>
      </c>
      <c r="D4524" s="10">
        <v>9</v>
      </c>
      <c r="E4524" s="10">
        <v>19</v>
      </c>
      <c r="F4524" t="s">
        <v>77</v>
      </c>
      <c r="G4524" t="s">
        <v>77</v>
      </c>
      <c r="H4524" t="s">
        <v>26</v>
      </c>
      <c r="I4524" t="s">
        <v>27</v>
      </c>
      <c r="J4524" s="4">
        <v>20.65</v>
      </c>
      <c r="K4524">
        <v>1</v>
      </c>
      <c r="L4524">
        <v>20.65</v>
      </c>
      <c r="M4524">
        <v>20.65</v>
      </c>
      <c r="N4524" s="5">
        <v>1.0506767070316474</v>
      </c>
      <c r="O4524" t="s">
        <v>100</v>
      </c>
      <c r="P4524" t="s">
        <v>340</v>
      </c>
      <c r="Q4524" s="10" t="s">
        <v>1102</v>
      </c>
    </row>
    <row r="4525" spans="1:18" hidden="1" x14ac:dyDescent="0.25">
      <c r="A4525" s="9" t="s">
        <v>1153</v>
      </c>
      <c r="B4525" s="3" t="s">
        <v>1154</v>
      </c>
      <c r="C4525" s="10">
        <v>6</v>
      </c>
      <c r="D4525" s="10">
        <v>9</v>
      </c>
      <c r="E4525" s="10">
        <v>19</v>
      </c>
      <c r="F4525" t="s">
        <v>108</v>
      </c>
      <c r="G4525" t="s">
        <v>889</v>
      </c>
      <c r="H4525" t="s">
        <v>54</v>
      </c>
      <c r="I4525" t="s">
        <v>27</v>
      </c>
      <c r="J4525" s="4">
        <v>20.6</v>
      </c>
      <c r="K4525">
        <v>0.71199999999999997</v>
      </c>
      <c r="L4525">
        <v>20.6</v>
      </c>
      <c r="M4525">
        <v>14.667200000000001</v>
      </c>
      <c r="N4525" s="5">
        <v>0.74627047929174728</v>
      </c>
      <c r="O4525" t="s">
        <v>100</v>
      </c>
      <c r="P4525" t="s">
        <v>340</v>
      </c>
      <c r="Q4525" s="10" t="s">
        <v>1102</v>
      </c>
    </row>
    <row r="4526" spans="1:18" hidden="1" x14ac:dyDescent="0.25">
      <c r="A4526" s="9" t="s">
        <v>1153</v>
      </c>
      <c r="B4526" s="3" t="s">
        <v>1154</v>
      </c>
      <c r="C4526" s="10">
        <v>6</v>
      </c>
      <c r="D4526" s="10">
        <v>9</v>
      </c>
      <c r="E4526" s="10">
        <v>19</v>
      </c>
      <c r="F4526" t="s">
        <v>1338</v>
      </c>
      <c r="G4526" t="s">
        <v>889</v>
      </c>
      <c r="H4526" t="s">
        <v>44</v>
      </c>
      <c r="I4526" t="s">
        <v>27</v>
      </c>
      <c r="J4526" s="4">
        <v>46.6</v>
      </c>
      <c r="K4526">
        <v>2</v>
      </c>
      <c r="L4526">
        <v>46.6</v>
      </c>
      <c r="M4526">
        <v>93.2</v>
      </c>
      <c r="N4526" s="5">
        <v>4.7420372443268546</v>
      </c>
      <c r="O4526" t="s">
        <v>100</v>
      </c>
      <c r="P4526" t="s">
        <v>340</v>
      </c>
      <c r="Q4526" s="10" t="s">
        <v>1102</v>
      </c>
    </row>
    <row r="4527" spans="1:18" hidden="1" x14ac:dyDescent="0.25">
      <c r="A4527" s="9" t="s">
        <v>1153</v>
      </c>
      <c r="B4527" s="3" t="s">
        <v>1154</v>
      </c>
      <c r="C4527" s="10">
        <v>6</v>
      </c>
      <c r="D4527" s="10">
        <v>9</v>
      </c>
      <c r="E4527" s="10">
        <v>19</v>
      </c>
      <c r="F4527" t="s">
        <v>109</v>
      </c>
      <c r="G4527" t="s">
        <v>889</v>
      </c>
      <c r="H4527" t="s">
        <v>54</v>
      </c>
      <c r="I4527" t="s">
        <v>27</v>
      </c>
      <c r="J4527" s="4">
        <v>24.6</v>
      </c>
      <c r="K4527">
        <v>0.9</v>
      </c>
      <c r="L4527">
        <v>24.6</v>
      </c>
      <c r="M4527">
        <v>22.14</v>
      </c>
      <c r="N4527" s="5">
        <v>1.1264882466673451</v>
      </c>
      <c r="O4527" t="s">
        <v>100</v>
      </c>
      <c r="P4527" t="s">
        <v>340</v>
      </c>
      <c r="Q4527" s="10" t="s">
        <v>1102</v>
      </c>
    </row>
    <row r="4528" spans="1:18" hidden="1" x14ac:dyDescent="0.25">
      <c r="A4528" s="9" t="s">
        <v>1153</v>
      </c>
      <c r="B4528" s="3" t="s">
        <v>1154</v>
      </c>
      <c r="C4528" s="10">
        <v>6</v>
      </c>
      <c r="D4528" s="10">
        <v>9</v>
      </c>
      <c r="E4528" s="10">
        <v>19</v>
      </c>
      <c r="F4528" t="s">
        <v>53</v>
      </c>
      <c r="G4528" t="s">
        <v>889</v>
      </c>
      <c r="H4528" t="s">
        <v>53</v>
      </c>
      <c r="I4528" t="s">
        <v>27</v>
      </c>
      <c r="J4528" s="4">
        <v>7.1</v>
      </c>
      <c r="K4528">
        <v>1</v>
      </c>
      <c r="L4528">
        <v>7.1</v>
      </c>
      <c r="M4528">
        <v>7.1</v>
      </c>
      <c r="N4528" s="5">
        <v>0.3612496183982904</v>
      </c>
      <c r="O4528" t="s">
        <v>181</v>
      </c>
      <c r="P4528" t="s">
        <v>340</v>
      </c>
      <c r="Q4528" s="10" t="s">
        <v>1102</v>
      </c>
    </row>
    <row r="4529" spans="1:18" hidden="1" x14ac:dyDescent="0.25">
      <c r="A4529" s="9" t="s">
        <v>1153</v>
      </c>
      <c r="B4529" s="3" t="s">
        <v>1155</v>
      </c>
      <c r="C4529" s="10">
        <v>7</v>
      </c>
      <c r="D4529" s="10">
        <v>9</v>
      </c>
      <c r="E4529" s="10">
        <v>19</v>
      </c>
      <c r="F4529" t="s">
        <v>184</v>
      </c>
      <c r="G4529" t="s">
        <v>304</v>
      </c>
      <c r="H4529" t="s">
        <v>184</v>
      </c>
      <c r="I4529" t="s">
        <v>79</v>
      </c>
      <c r="J4529" s="4">
        <v>30</v>
      </c>
      <c r="K4529">
        <v>1</v>
      </c>
      <c r="L4529">
        <v>30</v>
      </c>
      <c r="M4529">
        <v>30</v>
      </c>
      <c r="N4529" s="5">
        <v>1.5264068383026357</v>
      </c>
      <c r="O4529" t="s">
        <v>39</v>
      </c>
      <c r="P4529" t="s">
        <v>340</v>
      </c>
      <c r="Q4529" s="10" t="s">
        <v>1102</v>
      </c>
    </row>
    <row r="4530" spans="1:18" hidden="1" x14ac:dyDescent="0.25">
      <c r="A4530" s="9" t="s">
        <v>1153</v>
      </c>
      <c r="B4530" s="3" t="s">
        <v>1155</v>
      </c>
      <c r="C4530" s="10">
        <v>7</v>
      </c>
      <c r="D4530" s="10">
        <v>9</v>
      </c>
      <c r="E4530" s="10">
        <v>19</v>
      </c>
      <c r="F4530" t="s">
        <v>593</v>
      </c>
      <c r="G4530" t="s">
        <v>889</v>
      </c>
      <c r="H4530" t="s">
        <v>39</v>
      </c>
      <c r="I4530" t="s">
        <v>27</v>
      </c>
      <c r="J4530" s="4">
        <v>200</v>
      </c>
      <c r="K4530">
        <v>1</v>
      </c>
      <c r="L4530">
        <v>200</v>
      </c>
      <c r="M4530">
        <v>200</v>
      </c>
      <c r="N4530" s="5">
        <v>10.176045588684238</v>
      </c>
      <c r="O4530" t="s">
        <v>593</v>
      </c>
      <c r="P4530" t="s">
        <v>340</v>
      </c>
      <c r="Q4530" s="10" t="s">
        <v>1102</v>
      </c>
    </row>
    <row r="4531" spans="1:18" hidden="1" x14ac:dyDescent="0.25">
      <c r="A4531" s="9" t="s">
        <v>1153</v>
      </c>
      <c r="B4531" s="3" t="s">
        <v>1155</v>
      </c>
      <c r="C4531" s="10">
        <v>7</v>
      </c>
      <c r="D4531" s="10">
        <v>9</v>
      </c>
      <c r="E4531" s="10">
        <v>19</v>
      </c>
      <c r="F4531" t="s">
        <v>81</v>
      </c>
      <c r="G4531" t="s">
        <v>889</v>
      </c>
      <c r="H4531" t="s">
        <v>889</v>
      </c>
      <c r="I4531" t="s">
        <v>39</v>
      </c>
      <c r="J4531" s="4">
        <v>144.85</v>
      </c>
      <c r="K4531">
        <v>1</v>
      </c>
      <c r="L4531">
        <v>144.85</v>
      </c>
      <c r="M4531">
        <v>144.85</v>
      </c>
      <c r="N4531" s="5">
        <v>7.3700010176045589</v>
      </c>
      <c r="O4531" t="s">
        <v>1181</v>
      </c>
      <c r="P4531" t="s">
        <v>340</v>
      </c>
      <c r="Q4531" s="10" t="s">
        <v>84</v>
      </c>
      <c r="R4531" t="s">
        <v>1182</v>
      </c>
    </row>
    <row r="4532" spans="1:18" hidden="1" x14ac:dyDescent="0.25">
      <c r="A4532" s="9" t="s">
        <v>1153</v>
      </c>
      <c r="B4532" s="3" t="s">
        <v>1155</v>
      </c>
      <c r="C4532" s="10">
        <v>7</v>
      </c>
      <c r="D4532" s="10">
        <v>9</v>
      </c>
      <c r="E4532" s="10">
        <v>19</v>
      </c>
      <c r="F4532" t="s">
        <v>81</v>
      </c>
      <c r="G4532" t="s">
        <v>889</v>
      </c>
      <c r="H4532" t="s">
        <v>889</v>
      </c>
      <c r="I4532" t="s">
        <v>39</v>
      </c>
      <c r="J4532" s="4">
        <v>99.95</v>
      </c>
      <c r="K4532">
        <v>1</v>
      </c>
      <c r="L4532">
        <v>99.95</v>
      </c>
      <c r="M4532">
        <v>99.95</v>
      </c>
      <c r="N4532" s="5">
        <v>5.0854787829449482</v>
      </c>
      <c r="O4532" t="s">
        <v>1181</v>
      </c>
      <c r="P4532" t="s">
        <v>340</v>
      </c>
      <c r="Q4532" s="10" t="s">
        <v>84</v>
      </c>
      <c r="R4532" t="s">
        <v>1183</v>
      </c>
    </row>
    <row r="4533" spans="1:18" hidden="1" x14ac:dyDescent="0.25">
      <c r="A4533" s="9" t="s">
        <v>1153</v>
      </c>
      <c r="B4533" s="3" t="s">
        <v>1155</v>
      </c>
      <c r="C4533" s="10">
        <v>7</v>
      </c>
      <c r="D4533" s="10">
        <v>9</v>
      </c>
      <c r="E4533" s="10">
        <v>19</v>
      </c>
      <c r="F4533" t="s">
        <v>2139</v>
      </c>
      <c r="G4533" t="s">
        <v>889</v>
      </c>
      <c r="H4533" t="s">
        <v>2093</v>
      </c>
      <c r="I4533" t="s">
        <v>431</v>
      </c>
      <c r="J4533" s="4">
        <v>115</v>
      </c>
      <c r="K4533">
        <v>1</v>
      </c>
      <c r="L4533">
        <v>115</v>
      </c>
      <c r="M4533">
        <v>115</v>
      </c>
      <c r="N4533" s="5">
        <v>5.8512262134934367</v>
      </c>
      <c r="O4533" t="s">
        <v>376</v>
      </c>
      <c r="P4533" t="s">
        <v>340</v>
      </c>
      <c r="Q4533" s="10" t="s">
        <v>2093</v>
      </c>
      <c r="R4533" t="s">
        <v>1180</v>
      </c>
    </row>
    <row r="4534" spans="1:18" hidden="1" x14ac:dyDescent="0.25">
      <c r="A4534" s="9" t="s">
        <v>1153</v>
      </c>
      <c r="B4534" s="3" t="s">
        <v>1155</v>
      </c>
      <c r="C4534" s="10">
        <v>7</v>
      </c>
      <c r="D4534" s="10">
        <v>9</v>
      </c>
      <c r="E4534" s="10">
        <v>19</v>
      </c>
      <c r="F4534" t="s">
        <v>1185</v>
      </c>
      <c r="G4534" t="s">
        <v>889</v>
      </c>
      <c r="H4534" t="s">
        <v>73</v>
      </c>
      <c r="I4534" t="s">
        <v>27</v>
      </c>
      <c r="J4534" s="4">
        <v>23.5</v>
      </c>
      <c r="K4534">
        <v>1</v>
      </c>
      <c r="L4534">
        <v>23.5</v>
      </c>
      <c r="M4534">
        <v>23.5</v>
      </c>
      <c r="N4534" s="5">
        <v>1.195685356670398</v>
      </c>
      <c r="O4534" t="s">
        <v>181</v>
      </c>
      <c r="P4534" t="s">
        <v>340</v>
      </c>
      <c r="Q4534" s="10" t="s">
        <v>1102</v>
      </c>
    </row>
    <row r="4535" spans="1:18" hidden="1" x14ac:dyDescent="0.25">
      <c r="A4535" s="9" t="s">
        <v>1153</v>
      </c>
      <c r="B4535" s="3" t="s">
        <v>1155</v>
      </c>
      <c r="C4535" s="10">
        <v>7</v>
      </c>
      <c r="D4535" s="10">
        <v>9</v>
      </c>
      <c r="E4535" s="10">
        <v>19</v>
      </c>
      <c r="F4535" t="s">
        <v>146</v>
      </c>
      <c r="H4535" t="s">
        <v>49</v>
      </c>
      <c r="I4535" t="s">
        <v>50</v>
      </c>
      <c r="J4535" s="4">
        <v>0.35</v>
      </c>
      <c r="K4535">
        <v>1</v>
      </c>
      <c r="L4535">
        <v>0.35</v>
      </c>
      <c r="M4535">
        <v>0.35</v>
      </c>
      <c r="N4535" s="5">
        <v>1.7808079780197415E-2</v>
      </c>
      <c r="O4535" t="s">
        <v>181</v>
      </c>
      <c r="P4535" t="s">
        <v>340</v>
      </c>
      <c r="Q4535" s="10" t="s">
        <v>1102</v>
      </c>
    </row>
    <row r="4536" spans="1:18" hidden="1" x14ac:dyDescent="0.25">
      <c r="A4536" s="9" t="s">
        <v>1153</v>
      </c>
      <c r="B4536" s="3" t="s">
        <v>1155</v>
      </c>
      <c r="C4536" s="10">
        <v>7</v>
      </c>
      <c r="D4536" s="10">
        <v>9</v>
      </c>
      <c r="E4536" s="10">
        <v>19</v>
      </c>
      <c r="F4536" t="s">
        <v>55</v>
      </c>
      <c r="G4536" t="s">
        <v>889</v>
      </c>
      <c r="H4536" t="s">
        <v>56</v>
      </c>
      <c r="I4536" t="s">
        <v>27</v>
      </c>
      <c r="J4536" s="4">
        <v>20</v>
      </c>
      <c r="K4536">
        <v>1.1359999999999999</v>
      </c>
      <c r="L4536">
        <v>20</v>
      </c>
      <c r="M4536">
        <v>22.72</v>
      </c>
      <c r="N4536" s="5">
        <v>1.1559987788745294</v>
      </c>
      <c r="O4536" t="s">
        <v>181</v>
      </c>
      <c r="P4536" t="s">
        <v>340</v>
      </c>
      <c r="Q4536" s="10" t="s">
        <v>1102</v>
      </c>
    </row>
    <row r="4537" spans="1:18" hidden="1" x14ac:dyDescent="0.25">
      <c r="A4537" s="9" t="s">
        <v>1153</v>
      </c>
      <c r="B4537" s="3" t="s">
        <v>1155</v>
      </c>
      <c r="C4537" s="10">
        <v>7</v>
      </c>
      <c r="D4537" s="10">
        <v>9</v>
      </c>
      <c r="E4537" s="10">
        <v>19</v>
      </c>
      <c r="F4537" t="s">
        <v>1186</v>
      </c>
      <c r="G4537" t="s">
        <v>889</v>
      </c>
      <c r="H4537" t="s">
        <v>62</v>
      </c>
      <c r="I4537" t="s">
        <v>27</v>
      </c>
      <c r="J4537" s="4">
        <v>20.7</v>
      </c>
      <c r="K4537">
        <v>1</v>
      </c>
      <c r="L4537">
        <v>20.7</v>
      </c>
      <c r="M4537">
        <v>20.7</v>
      </c>
      <c r="N4537" s="5">
        <v>1.0532207184288185</v>
      </c>
      <c r="O4537" t="s">
        <v>181</v>
      </c>
      <c r="P4537" t="s">
        <v>340</v>
      </c>
      <c r="Q4537" s="10" t="s">
        <v>1102</v>
      </c>
    </row>
    <row r="4538" spans="1:18" hidden="1" x14ac:dyDescent="0.25">
      <c r="A4538" s="9" t="s">
        <v>1153</v>
      </c>
      <c r="B4538" s="3" t="s">
        <v>1155</v>
      </c>
      <c r="C4538" s="10">
        <v>7</v>
      </c>
      <c r="D4538" s="10">
        <v>9</v>
      </c>
      <c r="E4538" s="10">
        <v>19</v>
      </c>
      <c r="F4538" t="s">
        <v>1198</v>
      </c>
      <c r="H4538" t="s">
        <v>56</v>
      </c>
      <c r="I4538" t="s">
        <v>27</v>
      </c>
      <c r="J4538" s="4">
        <v>35.9</v>
      </c>
      <c r="K4538">
        <v>0.54800000000000004</v>
      </c>
      <c r="L4538">
        <v>35.9</v>
      </c>
      <c r="M4538">
        <v>19.673200000000001</v>
      </c>
      <c r="N4538" s="5">
        <v>1.0009769003765137</v>
      </c>
      <c r="O4538" t="s">
        <v>181</v>
      </c>
      <c r="P4538" t="s">
        <v>340</v>
      </c>
      <c r="Q4538" s="10" t="s">
        <v>1102</v>
      </c>
    </row>
    <row r="4539" spans="1:18" hidden="1" x14ac:dyDescent="0.25">
      <c r="A4539" s="9" t="s">
        <v>1153</v>
      </c>
      <c r="B4539" s="3" t="s">
        <v>1155</v>
      </c>
      <c r="C4539" s="10">
        <v>7</v>
      </c>
      <c r="D4539" s="10">
        <v>9</v>
      </c>
      <c r="E4539" s="10">
        <v>19</v>
      </c>
      <c r="F4539" t="s">
        <v>112</v>
      </c>
      <c r="G4539" t="s">
        <v>889</v>
      </c>
      <c r="H4539" t="s">
        <v>56</v>
      </c>
      <c r="I4539" t="s">
        <v>27</v>
      </c>
      <c r="J4539" s="4">
        <v>34.200000000000003</v>
      </c>
      <c r="K4539">
        <v>1.05</v>
      </c>
      <c r="L4539">
        <v>34.200000000000003</v>
      </c>
      <c r="M4539">
        <v>35.910000000000004</v>
      </c>
      <c r="N4539" s="5">
        <v>1.827108985448255</v>
      </c>
      <c r="O4539" t="s">
        <v>181</v>
      </c>
      <c r="P4539" t="s">
        <v>340</v>
      </c>
      <c r="Q4539" s="10" t="s">
        <v>1102</v>
      </c>
    </row>
    <row r="4540" spans="1:18" hidden="1" x14ac:dyDescent="0.25">
      <c r="A4540" s="9" t="s">
        <v>1153</v>
      </c>
      <c r="B4540" s="3" t="s">
        <v>1155</v>
      </c>
      <c r="C4540" s="10">
        <v>7</v>
      </c>
      <c r="D4540" s="10">
        <v>9</v>
      </c>
      <c r="E4540" s="10">
        <v>19</v>
      </c>
      <c r="F4540" t="s">
        <v>208</v>
      </c>
      <c r="G4540" t="s">
        <v>889</v>
      </c>
      <c r="H4540" t="s">
        <v>56</v>
      </c>
      <c r="I4540" t="s">
        <v>27</v>
      </c>
      <c r="J4540" s="4">
        <v>79.8</v>
      </c>
      <c r="K4540">
        <v>0.26800000000000002</v>
      </c>
      <c r="L4540">
        <v>79.8</v>
      </c>
      <c r="M4540">
        <v>21.386400000000002</v>
      </c>
      <c r="N4540" s="5">
        <v>1.0881449068891829</v>
      </c>
      <c r="O4540" t="s">
        <v>181</v>
      </c>
      <c r="P4540" t="s">
        <v>340</v>
      </c>
      <c r="Q4540" s="10" t="s">
        <v>1102</v>
      </c>
    </row>
    <row r="4541" spans="1:18" hidden="1" x14ac:dyDescent="0.25">
      <c r="A4541" s="9" t="s">
        <v>1153</v>
      </c>
      <c r="B4541" s="3" t="s">
        <v>1156</v>
      </c>
      <c r="C4541" s="10">
        <v>8</v>
      </c>
      <c r="D4541" s="10">
        <v>9</v>
      </c>
      <c r="E4541" s="10">
        <v>19</v>
      </c>
      <c r="F4541" t="s">
        <v>94</v>
      </c>
      <c r="G4541" t="s">
        <v>889</v>
      </c>
      <c r="H4541" t="s">
        <v>889</v>
      </c>
      <c r="I4541" t="s">
        <v>87</v>
      </c>
      <c r="J4541" s="4">
        <v>250</v>
      </c>
      <c r="K4541">
        <v>2</v>
      </c>
      <c r="L4541">
        <v>250</v>
      </c>
      <c r="M4541">
        <v>500</v>
      </c>
      <c r="N4541" s="5">
        <v>25.440113971710595</v>
      </c>
      <c r="O4541" t="s">
        <v>39</v>
      </c>
      <c r="P4541" t="s">
        <v>340</v>
      </c>
      <c r="Q4541" s="10" t="s">
        <v>1102</v>
      </c>
      <c r="R4541" t="s">
        <v>1157</v>
      </c>
    </row>
    <row r="4542" spans="1:18" hidden="1" x14ac:dyDescent="0.25">
      <c r="A4542" s="9" t="s">
        <v>647</v>
      </c>
      <c r="B4542" s="3" t="s">
        <v>1156</v>
      </c>
      <c r="C4542" s="10">
        <v>8</v>
      </c>
      <c r="D4542" s="10">
        <v>9</v>
      </c>
      <c r="E4542" s="10">
        <v>19</v>
      </c>
      <c r="F4542" t="s">
        <v>575</v>
      </c>
      <c r="G4542" t="s">
        <v>31</v>
      </c>
      <c r="H4542" t="s">
        <v>26</v>
      </c>
      <c r="I4542" t="s">
        <v>27</v>
      </c>
      <c r="J4542" s="4">
        <v>14.4</v>
      </c>
      <c r="K4542">
        <v>1</v>
      </c>
      <c r="L4542">
        <v>14.4</v>
      </c>
      <c r="M4542">
        <v>14.4</v>
      </c>
      <c r="N4542" s="5">
        <v>0.73184254296802798</v>
      </c>
      <c r="O4542" t="s">
        <v>1472</v>
      </c>
      <c r="P4542" t="s">
        <v>340</v>
      </c>
      <c r="Q4542" s="10" t="s">
        <v>24</v>
      </c>
    </row>
    <row r="4543" spans="1:18" hidden="1" x14ac:dyDescent="0.25">
      <c r="A4543" s="9" t="s">
        <v>647</v>
      </c>
      <c r="B4543" s="3" t="s">
        <v>1156</v>
      </c>
      <c r="C4543" s="10">
        <v>8</v>
      </c>
      <c r="D4543" s="10">
        <v>9</v>
      </c>
      <c r="E4543" s="10">
        <v>19</v>
      </c>
      <c r="F4543" t="s">
        <v>60</v>
      </c>
      <c r="G4543" t="s">
        <v>31</v>
      </c>
      <c r="H4543" t="s">
        <v>26</v>
      </c>
      <c r="I4543" t="s">
        <v>27</v>
      </c>
      <c r="J4543" s="4">
        <v>7.45</v>
      </c>
      <c r="K4543">
        <v>1</v>
      </c>
      <c r="L4543">
        <v>7.45</v>
      </c>
      <c r="M4543">
        <v>7.45</v>
      </c>
      <c r="N4543" s="5">
        <v>0.37862687118832006</v>
      </c>
      <c r="O4543" t="s">
        <v>1472</v>
      </c>
      <c r="P4543" t="s">
        <v>340</v>
      </c>
      <c r="Q4543" s="10" t="s">
        <v>24</v>
      </c>
    </row>
    <row r="4544" spans="1:18" hidden="1" x14ac:dyDescent="0.25">
      <c r="A4544" s="9" t="s">
        <v>647</v>
      </c>
      <c r="B4544" s="3" t="s">
        <v>1156</v>
      </c>
      <c r="C4544" s="10">
        <v>8</v>
      </c>
      <c r="D4544" s="10">
        <v>9</v>
      </c>
      <c r="E4544" s="10">
        <v>19</v>
      </c>
      <c r="F4544" t="s">
        <v>55</v>
      </c>
      <c r="G4544" t="s">
        <v>889</v>
      </c>
      <c r="H4544" t="s">
        <v>56</v>
      </c>
      <c r="I4544" t="s">
        <v>27</v>
      </c>
      <c r="J4544" s="4">
        <v>20.5</v>
      </c>
      <c r="K4544">
        <v>0.99</v>
      </c>
      <c r="L4544">
        <v>20.5</v>
      </c>
      <c r="M4544">
        <v>20.294999999999998</v>
      </c>
      <c r="N4544" s="5">
        <v>1.0314405839955643</v>
      </c>
      <c r="O4544" t="s">
        <v>1472</v>
      </c>
      <c r="P4544" t="s">
        <v>340</v>
      </c>
      <c r="Q4544" s="10" t="s">
        <v>24</v>
      </c>
    </row>
    <row r="4545" spans="1:18" hidden="1" x14ac:dyDescent="0.25">
      <c r="A4545" s="9" t="s">
        <v>1153</v>
      </c>
      <c r="B4545" s="3" t="s">
        <v>1159</v>
      </c>
      <c r="C4545" s="10">
        <v>9</v>
      </c>
      <c r="D4545" s="10">
        <v>9</v>
      </c>
      <c r="E4545" s="10">
        <v>19</v>
      </c>
      <c r="F4545" t="s">
        <v>1158</v>
      </c>
      <c r="I4545" t="s">
        <v>72</v>
      </c>
      <c r="J4545" s="4">
        <v>500</v>
      </c>
      <c r="K4545">
        <v>5</v>
      </c>
      <c r="L4545">
        <v>500</v>
      </c>
      <c r="M4545">
        <v>2500</v>
      </c>
      <c r="N4545" s="5">
        <v>127.20056985855297</v>
      </c>
      <c r="O4545" t="s">
        <v>39</v>
      </c>
      <c r="P4545" t="s">
        <v>340</v>
      </c>
      <c r="Q4545" s="10" t="s">
        <v>1102</v>
      </c>
    </row>
    <row r="4546" spans="1:18" hidden="1" x14ac:dyDescent="0.25">
      <c r="A4546" s="9" t="s">
        <v>1153</v>
      </c>
      <c r="B4546" s="3" t="s">
        <v>1159</v>
      </c>
      <c r="C4546" s="10">
        <v>9</v>
      </c>
      <c r="D4546" s="10">
        <v>9</v>
      </c>
      <c r="E4546" s="10">
        <v>19</v>
      </c>
      <c r="F4546" t="s">
        <v>1747</v>
      </c>
      <c r="H4546" t="s">
        <v>1748</v>
      </c>
      <c r="I4546" t="s">
        <v>72</v>
      </c>
      <c r="J4546" s="4">
        <v>650</v>
      </c>
      <c r="K4546">
        <v>1</v>
      </c>
      <c r="L4546">
        <v>650</v>
      </c>
      <c r="M4546">
        <v>650</v>
      </c>
      <c r="N4546" s="5">
        <v>33.072148163223773</v>
      </c>
      <c r="O4546" t="s">
        <v>1448</v>
      </c>
      <c r="P4546" t="s">
        <v>340</v>
      </c>
      <c r="Q4546" s="10" t="s">
        <v>1102</v>
      </c>
      <c r="R4546" t="s">
        <v>1494</v>
      </c>
    </row>
    <row r="4547" spans="1:18" hidden="1" x14ac:dyDescent="0.25">
      <c r="A4547" s="9" t="s">
        <v>1153</v>
      </c>
      <c r="B4547" s="3" t="s">
        <v>1159</v>
      </c>
      <c r="C4547" s="10">
        <v>9</v>
      </c>
      <c r="D4547" s="10">
        <v>9</v>
      </c>
      <c r="E4547" s="10">
        <v>19</v>
      </c>
      <c r="F4547" s="10" t="s">
        <v>39</v>
      </c>
      <c r="G4547" t="s">
        <v>889</v>
      </c>
      <c r="H4547" t="s">
        <v>1748</v>
      </c>
      <c r="I4547" t="s">
        <v>72</v>
      </c>
      <c r="J4547" s="4">
        <v>3.65</v>
      </c>
      <c r="K4547">
        <v>3</v>
      </c>
      <c r="L4547">
        <v>3.65</v>
      </c>
      <c r="M4547">
        <v>10.95</v>
      </c>
      <c r="N4547" s="5">
        <v>0.55713849598046195</v>
      </c>
      <c r="O4547" s="5" t="s">
        <v>39</v>
      </c>
      <c r="P4547" t="s">
        <v>340</v>
      </c>
      <c r="Q4547" s="10" t="s">
        <v>1102</v>
      </c>
      <c r="R4547" t="s">
        <v>1428</v>
      </c>
    </row>
    <row r="4548" spans="1:18" hidden="1" x14ac:dyDescent="0.25">
      <c r="A4548" s="9" t="s">
        <v>2172</v>
      </c>
      <c r="B4548" s="3" t="s">
        <v>2245</v>
      </c>
      <c r="C4548" s="10">
        <v>10</v>
      </c>
      <c r="D4548" s="10">
        <v>1</v>
      </c>
      <c r="E4548" s="10">
        <v>20</v>
      </c>
      <c r="F4548" t="s">
        <v>1721</v>
      </c>
      <c r="G4548" t="s">
        <v>889</v>
      </c>
      <c r="H4548" t="s">
        <v>39</v>
      </c>
      <c r="I4548" t="s">
        <v>27</v>
      </c>
      <c r="J4548" s="4">
        <v>61.98</v>
      </c>
      <c r="K4548">
        <v>0.4</v>
      </c>
      <c r="L4548">
        <v>61.98</v>
      </c>
      <c r="M4548">
        <v>24.792000000000002</v>
      </c>
      <c r="N4548" s="5">
        <v>1.2565636087176888</v>
      </c>
      <c r="O4548" t="s">
        <v>181</v>
      </c>
      <c r="P4548" t="s">
        <v>340</v>
      </c>
      <c r="Q4548" s="10" t="s">
        <v>24</v>
      </c>
      <c r="R4548">
        <v>0</v>
      </c>
    </row>
    <row r="4549" spans="1:18" hidden="1" x14ac:dyDescent="0.25">
      <c r="A4549" s="9" t="s">
        <v>2172</v>
      </c>
      <c r="B4549" s="3" t="s">
        <v>2245</v>
      </c>
      <c r="C4549" s="10">
        <v>10</v>
      </c>
      <c r="D4549" s="10">
        <v>1</v>
      </c>
      <c r="E4549" s="10">
        <v>20</v>
      </c>
      <c r="F4549" t="s">
        <v>2241</v>
      </c>
      <c r="G4549" t="s">
        <v>889</v>
      </c>
      <c r="H4549" t="s">
        <v>40</v>
      </c>
      <c r="I4549" t="s">
        <v>27</v>
      </c>
      <c r="J4549" s="4">
        <v>18.329999999999998</v>
      </c>
      <c r="K4549">
        <v>1</v>
      </c>
      <c r="L4549">
        <v>18.329999999999998</v>
      </c>
      <c r="M4549">
        <v>18.329999999999998</v>
      </c>
      <c r="N4549" s="5">
        <v>0.92904206791687771</v>
      </c>
      <c r="O4549" t="s">
        <v>181</v>
      </c>
      <c r="P4549" t="s">
        <v>340</v>
      </c>
      <c r="Q4549" s="10" t="s">
        <v>24</v>
      </c>
      <c r="R4549">
        <v>0</v>
      </c>
    </row>
    <row r="4550" spans="1:18" hidden="1" x14ac:dyDescent="0.25">
      <c r="A4550" s="9" t="s">
        <v>2172</v>
      </c>
      <c r="B4550" s="3" t="s">
        <v>2245</v>
      </c>
      <c r="C4550" s="10">
        <v>10</v>
      </c>
      <c r="D4550" s="10">
        <v>1</v>
      </c>
      <c r="E4550" s="10">
        <v>20</v>
      </c>
      <c r="F4550" t="s">
        <v>146</v>
      </c>
      <c r="G4550" t="s">
        <v>889</v>
      </c>
      <c r="H4550" t="s">
        <v>49</v>
      </c>
      <c r="I4550" t="s">
        <v>50</v>
      </c>
      <c r="J4550" s="4">
        <v>1</v>
      </c>
      <c r="K4550">
        <v>1</v>
      </c>
      <c r="L4550">
        <v>1</v>
      </c>
      <c r="M4550">
        <v>1</v>
      </c>
      <c r="N4550" s="5">
        <v>5.0684237202230108E-2</v>
      </c>
      <c r="O4550" t="s">
        <v>181</v>
      </c>
      <c r="P4550" t="s">
        <v>340</v>
      </c>
      <c r="Q4550" s="10" t="s">
        <v>24</v>
      </c>
      <c r="R4550">
        <v>0</v>
      </c>
    </row>
    <row r="4551" spans="1:18" hidden="1" x14ac:dyDescent="0.25">
      <c r="A4551" s="9" t="s">
        <v>2172</v>
      </c>
      <c r="B4551" s="3" t="s">
        <v>2245</v>
      </c>
      <c r="C4551" s="10">
        <v>10</v>
      </c>
      <c r="D4551" s="10">
        <v>1</v>
      </c>
      <c r="E4551" s="10">
        <v>20</v>
      </c>
      <c r="F4551" t="s">
        <v>1257</v>
      </c>
      <c r="H4551" t="s">
        <v>26</v>
      </c>
      <c r="I4551" t="s">
        <v>27</v>
      </c>
      <c r="J4551" s="4">
        <v>68.31</v>
      </c>
      <c r="K4551">
        <v>1</v>
      </c>
      <c r="L4551">
        <v>68.31</v>
      </c>
      <c r="M4551">
        <v>68.31</v>
      </c>
      <c r="N4551" s="5">
        <v>3.4622402432843384</v>
      </c>
      <c r="O4551" t="s">
        <v>181</v>
      </c>
      <c r="P4551" t="s">
        <v>340</v>
      </c>
      <c r="Q4551" s="10" t="s">
        <v>24</v>
      </c>
      <c r="R4551">
        <v>0</v>
      </c>
    </row>
    <row r="4552" spans="1:18" hidden="1" x14ac:dyDescent="0.25">
      <c r="A4552" s="9" t="s">
        <v>2172</v>
      </c>
      <c r="B4552" s="3" t="s">
        <v>2245</v>
      </c>
      <c r="C4552" s="10">
        <v>10</v>
      </c>
      <c r="D4552" s="10">
        <v>1</v>
      </c>
      <c r="E4552" s="10">
        <v>20</v>
      </c>
      <c r="F4552" t="s">
        <v>2242</v>
      </c>
      <c r="G4552" t="s">
        <v>889</v>
      </c>
      <c r="H4552" t="s">
        <v>26</v>
      </c>
      <c r="I4552" t="s">
        <v>27</v>
      </c>
      <c r="J4552" s="4">
        <v>6.75</v>
      </c>
      <c r="K4552">
        <v>1</v>
      </c>
      <c r="L4552">
        <v>6.75</v>
      </c>
      <c r="M4552">
        <v>6.75</v>
      </c>
      <c r="N4552" s="5">
        <v>0.34211860111505321</v>
      </c>
      <c r="O4552" t="s">
        <v>1472</v>
      </c>
      <c r="P4552" t="s">
        <v>340</v>
      </c>
      <c r="Q4552" s="10" t="s">
        <v>24</v>
      </c>
      <c r="R4552">
        <v>0</v>
      </c>
    </row>
    <row r="4553" spans="1:18" hidden="1" x14ac:dyDescent="0.25">
      <c r="A4553" s="9" t="s">
        <v>2172</v>
      </c>
      <c r="B4553" s="3" t="s">
        <v>2245</v>
      </c>
      <c r="C4553" s="10">
        <v>10</v>
      </c>
      <c r="D4553" s="10">
        <v>1</v>
      </c>
      <c r="E4553" s="10">
        <v>20</v>
      </c>
      <c r="F4553" t="s">
        <v>771</v>
      </c>
      <c r="G4553" t="s">
        <v>31</v>
      </c>
      <c r="H4553" t="s">
        <v>26</v>
      </c>
      <c r="I4553" t="s">
        <v>27</v>
      </c>
      <c r="J4553" s="4">
        <v>17.149999999999999</v>
      </c>
      <c r="K4553">
        <v>1</v>
      </c>
      <c r="L4553">
        <v>17.149999999999999</v>
      </c>
      <c r="M4553">
        <v>17.149999999999999</v>
      </c>
      <c r="N4553" s="5">
        <v>0.86923466801824623</v>
      </c>
      <c r="O4553" t="s">
        <v>1472</v>
      </c>
      <c r="P4553" t="s">
        <v>340</v>
      </c>
      <c r="Q4553" s="10" t="s">
        <v>24</v>
      </c>
      <c r="R4553" t="s">
        <v>2243</v>
      </c>
    </row>
    <row r="4554" spans="1:18" hidden="1" x14ac:dyDescent="0.25">
      <c r="A4554" s="9" t="s">
        <v>2172</v>
      </c>
      <c r="B4554" s="3" t="s">
        <v>2245</v>
      </c>
      <c r="C4554" s="10">
        <v>10</v>
      </c>
      <c r="D4554" s="10">
        <v>1</v>
      </c>
      <c r="E4554" s="10">
        <v>20</v>
      </c>
      <c r="F4554" t="s">
        <v>910</v>
      </c>
      <c r="G4554" t="s">
        <v>889</v>
      </c>
      <c r="H4554" t="s">
        <v>131</v>
      </c>
      <c r="I4554" t="s">
        <v>27</v>
      </c>
      <c r="J4554" s="4">
        <v>85</v>
      </c>
      <c r="K4554">
        <v>1</v>
      </c>
      <c r="L4554">
        <v>85</v>
      </c>
      <c r="M4554">
        <v>85</v>
      </c>
      <c r="N4554" s="5">
        <v>4.3081601621895587</v>
      </c>
      <c r="O4554" t="s">
        <v>1472</v>
      </c>
      <c r="P4554" t="s">
        <v>340</v>
      </c>
      <c r="Q4554" s="10" t="s">
        <v>24</v>
      </c>
      <c r="R4554">
        <v>0</v>
      </c>
    </row>
    <row r="4555" spans="1:18" hidden="1" x14ac:dyDescent="0.25">
      <c r="A4555" s="9" t="s">
        <v>2172</v>
      </c>
      <c r="B4555" s="3" t="s">
        <v>2245</v>
      </c>
      <c r="C4555" s="10">
        <v>10</v>
      </c>
      <c r="D4555" s="10">
        <v>1</v>
      </c>
      <c r="E4555" s="10">
        <v>20</v>
      </c>
      <c r="F4555" t="s">
        <v>708</v>
      </c>
      <c r="G4555" t="s">
        <v>708</v>
      </c>
      <c r="H4555" t="s">
        <v>131</v>
      </c>
      <c r="I4555" t="s">
        <v>27</v>
      </c>
      <c r="J4555" s="4">
        <v>35</v>
      </c>
      <c r="K4555">
        <v>1</v>
      </c>
      <c r="L4555">
        <v>35</v>
      </c>
      <c r="M4555">
        <v>35</v>
      </c>
      <c r="N4555" s="5">
        <v>1.7739483020780538</v>
      </c>
      <c r="O4555" t="s">
        <v>1472</v>
      </c>
      <c r="P4555" t="s">
        <v>340</v>
      </c>
      <c r="Q4555" s="10" t="s">
        <v>24</v>
      </c>
      <c r="R4555">
        <v>0</v>
      </c>
    </row>
    <row r="4556" spans="1:18" hidden="1" x14ac:dyDescent="0.25">
      <c r="A4556" s="9" t="s">
        <v>2172</v>
      </c>
      <c r="B4556" s="3" t="s">
        <v>2245</v>
      </c>
      <c r="C4556" s="10">
        <v>10</v>
      </c>
      <c r="D4556" s="10">
        <v>1</v>
      </c>
      <c r="E4556" s="10">
        <v>20</v>
      </c>
      <c r="F4556" t="s">
        <v>426</v>
      </c>
      <c r="G4556" t="s">
        <v>889</v>
      </c>
      <c r="H4556" t="s">
        <v>54</v>
      </c>
      <c r="I4556" t="s">
        <v>27</v>
      </c>
      <c r="J4556" s="4">
        <v>16</v>
      </c>
      <c r="K4556">
        <v>1</v>
      </c>
      <c r="L4556">
        <v>16</v>
      </c>
      <c r="M4556">
        <v>16</v>
      </c>
      <c r="N4556" s="5">
        <v>0.81094779523568172</v>
      </c>
      <c r="O4556" t="s">
        <v>593</v>
      </c>
      <c r="P4556" t="s">
        <v>340</v>
      </c>
      <c r="Q4556" s="10" t="s">
        <v>24</v>
      </c>
    </row>
    <row r="4557" spans="1:18" hidden="1" x14ac:dyDescent="0.25">
      <c r="A4557" s="9" t="s">
        <v>2172</v>
      </c>
      <c r="B4557" s="3" t="s">
        <v>2245</v>
      </c>
      <c r="C4557" s="10">
        <v>10</v>
      </c>
      <c r="D4557" s="10">
        <v>1</v>
      </c>
      <c r="E4557" s="10">
        <v>20</v>
      </c>
      <c r="F4557" t="s">
        <v>744</v>
      </c>
      <c r="G4557" t="s">
        <v>889</v>
      </c>
      <c r="H4557" t="s">
        <v>54</v>
      </c>
      <c r="I4557" t="s">
        <v>27</v>
      </c>
      <c r="J4557" s="4">
        <v>7</v>
      </c>
      <c r="K4557">
        <v>1</v>
      </c>
      <c r="L4557">
        <v>7</v>
      </c>
      <c r="M4557">
        <v>7</v>
      </c>
      <c r="N4557" s="5">
        <v>0.35478966041561072</v>
      </c>
      <c r="O4557" t="s">
        <v>593</v>
      </c>
      <c r="P4557" t="s">
        <v>340</v>
      </c>
      <c r="Q4557" s="10" t="s">
        <v>24</v>
      </c>
    </row>
    <row r="4558" spans="1:18" hidden="1" x14ac:dyDescent="0.25">
      <c r="A4558" s="9" t="s">
        <v>2172</v>
      </c>
      <c r="B4558" s="3" t="s">
        <v>2245</v>
      </c>
      <c r="C4558" s="10">
        <v>10</v>
      </c>
      <c r="D4558" s="10">
        <v>1</v>
      </c>
      <c r="E4558" s="10">
        <v>20</v>
      </c>
      <c r="F4558" t="s">
        <v>177</v>
      </c>
      <c r="G4558" t="s">
        <v>889</v>
      </c>
      <c r="H4558" t="s">
        <v>56</v>
      </c>
      <c r="I4558" t="s">
        <v>27</v>
      </c>
      <c r="J4558" s="4">
        <v>8</v>
      </c>
      <c r="K4558">
        <v>3.4</v>
      </c>
      <c r="L4558">
        <v>8</v>
      </c>
      <c r="M4558">
        <v>27.2</v>
      </c>
      <c r="N4558" s="5">
        <v>1.3786112519006588</v>
      </c>
      <c r="O4558" t="s">
        <v>593</v>
      </c>
      <c r="P4558" t="s">
        <v>340</v>
      </c>
      <c r="Q4558" s="10" t="s">
        <v>24</v>
      </c>
    </row>
    <row r="4559" spans="1:18" hidden="1" x14ac:dyDescent="0.25">
      <c r="A4559" s="9" t="s">
        <v>2172</v>
      </c>
      <c r="B4559" s="3" t="s">
        <v>2245</v>
      </c>
      <c r="C4559" s="10">
        <v>10</v>
      </c>
      <c r="D4559" s="10">
        <v>1</v>
      </c>
      <c r="E4559" s="10">
        <v>20</v>
      </c>
      <c r="F4559" t="s">
        <v>174</v>
      </c>
      <c r="G4559" t="s">
        <v>889</v>
      </c>
      <c r="H4559" t="s">
        <v>54</v>
      </c>
      <c r="I4559" t="s">
        <v>27</v>
      </c>
      <c r="J4559" s="4">
        <v>10</v>
      </c>
      <c r="K4559">
        <v>1</v>
      </c>
      <c r="L4559">
        <v>10</v>
      </c>
      <c r="M4559">
        <v>10</v>
      </c>
      <c r="N4559" s="5">
        <v>0.50684237202230109</v>
      </c>
      <c r="O4559" t="s">
        <v>593</v>
      </c>
      <c r="P4559" t="s">
        <v>340</v>
      </c>
      <c r="Q4559" s="10" t="s">
        <v>24</v>
      </c>
    </row>
    <row r="4560" spans="1:18" hidden="1" x14ac:dyDescent="0.25">
      <c r="A4560" s="9" t="s">
        <v>2172</v>
      </c>
      <c r="B4560" s="3" t="s">
        <v>2245</v>
      </c>
      <c r="C4560" s="10">
        <v>10</v>
      </c>
      <c r="D4560" s="10">
        <v>1</v>
      </c>
      <c r="E4560" s="10">
        <v>20</v>
      </c>
      <c r="F4560" t="s">
        <v>203</v>
      </c>
      <c r="G4560" t="s">
        <v>889</v>
      </c>
      <c r="H4560" t="s">
        <v>54</v>
      </c>
      <c r="I4560" t="s">
        <v>27</v>
      </c>
      <c r="J4560" s="4">
        <v>81</v>
      </c>
      <c r="K4560">
        <v>1</v>
      </c>
      <c r="L4560">
        <v>81</v>
      </c>
      <c r="M4560">
        <v>81</v>
      </c>
      <c r="N4560" s="5">
        <v>4.1054232133806385</v>
      </c>
      <c r="O4560" t="s">
        <v>593</v>
      </c>
      <c r="P4560" t="s">
        <v>340</v>
      </c>
      <c r="Q4560" s="10" t="s">
        <v>24</v>
      </c>
    </row>
    <row r="4561" spans="1:18" hidden="1" x14ac:dyDescent="0.25">
      <c r="A4561" s="9" t="s">
        <v>2172</v>
      </c>
      <c r="B4561" s="3" t="s">
        <v>2236</v>
      </c>
      <c r="C4561" s="10">
        <v>11</v>
      </c>
      <c r="D4561" s="10">
        <v>1</v>
      </c>
      <c r="E4561" s="10">
        <v>20</v>
      </c>
      <c r="F4561" t="s">
        <v>676</v>
      </c>
      <c r="G4561" t="s">
        <v>39</v>
      </c>
      <c r="H4561" t="s">
        <v>131</v>
      </c>
      <c r="I4561" t="s">
        <v>27</v>
      </c>
      <c r="J4561" s="4">
        <v>5.15</v>
      </c>
      <c r="K4561">
        <v>1</v>
      </c>
      <c r="L4561">
        <v>5.15</v>
      </c>
      <c r="M4561">
        <v>5.15</v>
      </c>
      <c r="N4561" s="5">
        <v>0.26102382159148507</v>
      </c>
      <c r="O4561" t="s">
        <v>51</v>
      </c>
      <c r="P4561" t="s">
        <v>340</v>
      </c>
      <c r="Q4561" s="10" t="s">
        <v>24</v>
      </c>
    </row>
    <row r="4562" spans="1:18" hidden="1" x14ac:dyDescent="0.25">
      <c r="A4562" s="9" t="s">
        <v>2172</v>
      </c>
      <c r="B4562" s="3" t="s">
        <v>2236</v>
      </c>
      <c r="C4562" s="10">
        <v>11</v>
      </c>
      <c r="D4562" s="10">
        <v>1</v>
      </c>
      <c r="E4562" s="10">
        <v>20</v>
      </c>
      <c r="F4562" t="s">
        <v>676</v>
      </c>
      <c r="G4562" t="s">
        <v>39</v>
      </c>
      <c r="H4562" t="s">
        <v>131</v>
      </c>
      <c r="I4562" t="s">
        <v>27</v>
      </c>
      <c r="J4562" s="4">
        <v>5.59</v>
      </c>
      <c r="K4562">
        <v>1</v>
      </c>
      <c r="L4562">
        <v>5.59</v>
      </c>
      <c r="M4562">
        <v>5.59</v>
      </c>
      <c r="N4562" s="5">
        <v>0.28332488596046629</v>
      </c>
      <c r="O4562" t="s">
        <v>51</v>
      </c>
      <c r="P4562" t="s">
        <v>340</v>
      </c>
      <c r="Q4562" s="10" t="s">
        <v>24</v>
      </c>
    </row>
    <row r="4563" spans="1:18" hidden="1" x14ac:dyDescent="0.25">
      <c r="A4563" s="9" t="s">
        <v>2172</v>
      </c>
      <c r="B4563" s="3" t="s">
        <v>2236</v>
      </c>
      <c r="C4563" s="10">
        <v>11</v>
      </c>
      <c r="D4563" s="10">
        <v>1</v>
      </c>
      <c r="E4563" s="10">
        <v>20</v>
      </c>
      <c r="F4563" t="s">
        <v>945</v>
      </c>
      <c r="G4563" t="s">
        <v>889</v>
      </c>
      <c r="H4563" t="s">
        <v>54</v>
      </c>
      <c r="I4563" t="s">
        <v>27</v>
      </c>
      <c r="J4563" s="4">
        <v>42.99</v>
      </c>
      <c r="K4563">
        <v>0.23599999999999999</v>
      </c>
      <c r="L4563">
        <v>42.99</v>
      </c>
      <c r="M4563">
        <v>10.14564</v>
      </c>
      <c r="N4563" s="5">
        <v>0.51422402432843384</v>
      </c>
      <c r="O4563" t="s">
        <v>51</v>
      </c>
      <c r="P4563" t="s">
        <v>340</v>
      </c>
      <c r="Q4563" s="10" t="s">
        <v>24</v>
      </c>
    </row>
    <row r="4564" spans="1:18" hidden="1" x14ac:dyDescent="0.25">
      <c r="A4564" s="9" t="s">
        <v>2172</v>
      </c>
      <c r="B4564" s="3" t="s">
        <v>2236</v>
      </c>
      <c r="C4564" s="10">
        <v>11</v>
      </c>
      <c r="D4564" s="10">
        <v>1</v>
      </c>
      <c r="E4564" s="10">
        <v>20</v>
      </c>
      <c r="F4564" t="s">
        <v>770</v>
      </c>
      <c r="G4564" t="s">
        <v>31</v>
      </c>
      <c r="H4564" t="s">
        <v>26</v>
      </c>
      <c r="I4564" t="s">
        <v>27</v>
      </c>
      <c r="J4564" s="4">
        <v>7.69</v>
      </c>
      <c r="K4564">
        <v>1</v>
      </c>
      <c r="L4564">
        <v>7.69</v>
      </c>
      <c r="M4564">
        <v>7.69</v>
      </c>
      <c r="N4564" s="5">
        <v>0.38976178408514955</v>
      </c>
      <c r="O4564" t="s">
        <v>51</v>
      </c>
      <c r="P4564" t="s">
        <v>340</v>
      </c>
      <c r="Q4564" s="10" t="s">
        <v>24</v>
      </c>
    </row>
    <row r="4565" spans="1:18" hidden="1" x14ac:dyDescent="0.25">
      <c r="A4565" s="9" t="s">
        <v>2172</v>
      </c>
      <c r="B4565" s="3" t="s">
        <v>2236</v>
      </c>
      <c r="C4565" s="10">
        <v>11</v>
      </c>
      <c r="D4565" s="10">
        <v>1</v>
      </c>
      <c r="E4565" s="10">
        <v>20</v>
      </c>
      <c r="F4565" t="s">
        <v>475</v>
      </c>
      <c r="G4565" t="s">
        <v>889</v>
      </c>
      <c r="H4565" t="s">
        <v>62</v>
      </c>
      <c r="I4565" t="s">
        <v>27</v>
      </c>
      <c r="J4565" s="4">
        <v>25.9</v>
      </c>
      <c r="K4565">
        <v>2</v>
      </c>
      <c r="L4565">
        <v>25.9</v>
      </c>
      <c r="M4565">
        <v>51.8</v>
      </c>
      <c r="N4565" s="5">
        <v>2.6254434870755192</v>
      </c>
      <c r="O4565" t="s">
        <v>51</v>
      </c>
      <c r="P4565" t="s">
        <v>340</v>
      </c>
      <c r="Q4565" s="10" t="s">
        <v>24</v>
      </c>
    </row>
    <row r="4566" spans="1:18" hidden="1" x14ac:dyDescent="0.25">
      <c r="A4566" s="9" t="s">
        <v>2172</v>
      </c>
      <c r="B4566" s="3" t="s">
        <v>2236</v>
      </c>
      <c r="C4566" s="10">
        <v>11</v>
      </c>
      <c r="D4566" s="10">
        <v>1</v>
      </c>
      <c r="E4566" s="10">
        <v>20</v>
      </c>
      <c r="F4566" t="s">
        <v>110</v>
      </c>
      <c r="G4566" t="s">
        <v>889</v>
      </c>
      <c r="H4566" t="s">
        <v>56</v>
      </c>
      <c r="I4566" t="s">
        <v>27</v>
      </c>
      <c r="J4566" s="4">
        <v>29.89</v>
      </c>
      <c r="K4566">
        <v>0.39400000000000002</v>
      </c>
      <c r="L4566">
        <v>29.89</v>
      </c>
      <c r="M4566">
        <v>11.776660000000001</v>
      </c>
      <c r="N4566" s="5">
        <v>0.59689102889001522</v>
      </c>
      <c r="O4566" t="s">
        <v>51</v>
      </c>
      <c r="P4566" t="s">
        <v>340</v>
      </c>
      <c r="Q4566" s="10" t="s">
        <v>24</v>
      </c>
    </row>
    <row r="4567" spans="1:18" hidden="1" x14ac:dyDescent="0.25">
      <c r="A4567" s="9" t="s">
        <v>2172</v>
      </c>
      <c r="B4567" s="3" t="s">
        <v>2236</v>
      </c>
      <c r="C4567" s="10">
        <v>11</v>
      </c>
      <c r="D4567" s="10">
        <v>1</v>
      </c>
      <c r="E4567" s="10">
        <v>20</v>
      </c>
      <c r="F4567" t="s">
        <v>106</v>
      </c>
      <c r="G4567" t="s">
        <v>889</v>
      </c>
      <c r="H4567" t="s">
        <v>56</v>
      </c>
      <c r="I4567" t="s">
        <v>27</v>
      </c>
      <c r="J4567" s="4">
        <v>26.9</v>
      </c>
      <c r="K4567">
        <v>1.788</v>
      </c>
      <c r="L4567">
        <v>26.9</v>
      </c>
      <c r="M4567">
        <v>48.097200000000001</v>
      </c>
      <c r="N4567" s="5">
        <v>2.437769893563102</v>
      </c>
      <c r="O4567" t="s">
        <v>51</v>
      </c>
      <c r="P4567" t="s">
        <v>340</v>
      </c>
      <c r="Q4567" s="10" t="s">
        <v>24</v>
      </c>
    </row>
    <row r="4568" spans="1:18" hidden="1" x14ac:dyDescent="0.25">
      <c r="A4568" s="9" t="s">
        <v>2172</v>
      </c>
      <c r="B4568" s="3" t="s">
        <v>2236</v>
      </c>
      <c r="C4568" s="10">
        <v>11</v>
      </c>
      <c r="D4568" s="10">
        <v>1</v>
      </c>
      <c r="E4568" s="10">
        <v>20</v>
      </c>
      <c r="F4568" t="s">
        <v>2339</v>
      </c>
      <c r="G4568" t="s">
        <v>889</v>
      </c>
      <c r="H4568" t="s">
        <v>65</v>
      </c>
      <c r="I4568" t="s">
        <v>27</v>
      </c>
      <c r="J4568" s="4">
        <v>28.9</v>
      </c>
      <c r="K4568">
        <v>2</v>
      </c>
      <c r="L4568">
        <v>28.9</v>
      </c>
      <c r="M4568">
        <v>57.8</v>
      </c>
      <c r="N4568" s="5">
        <v>2.9295489102888999</v>
      </c>
      <c r="O4568" t="s">
        <v>51</v>
      </c>
      <c r="P4568" t="s">
        <v>340</v>
      </c>
      <c r="Q4568" s="10" t="s">
        <v>24</v>
      </c>
    </row>
    <row r="4569" spans="1:18" hidden="1" x14ac:dyDescent="0.25">
      <c r="A4569" s="9" t="s">
        <v>2172</v>
      </c>
      <c r="B4569" s="3" t="s">
        <v>2236</v>
      </c>
      <c r="C4569" s="10">
        <v>11</v>
      </c>
      <c r="D4569" s="10">
        <v>1</v>
      </c>
      <c r="E4569" s="10">
        <v>20</v>
      </c>
      <c r="F4569" t="s">
        <v>208</v>
      </c>
      <c r="G4569" t="s">
        <v>889</v>
      </c>
      <c r="H4569" t="s">
        <v>56</v>
      </c>
      <c r="I4569" t="s">
        <v>27</v>
      </c>
      <c r="J4569" s="4">
        <v>125</v>
      </c>
      <c r="K4569">
        <v>0.14199999999999999</v>
      </c>
      <c r="L4569">
        <v>125</v>
      </c>
      <c r="M4569">
        <v>17.75</v>
      </c>
      <c r="N4569" s="5">
        <v>0.89964521033958433</v>
      </c>
      <c r="O4569" t="s">
        <v>51</v>
      </c>
      <c r="P4569" t="s">
        <v>340</v>
      </c>
      <c r="Q4569" s="10" t="s">
        <v>24</v>
      </c>
    </row>
    <row r="4570" spans="1:18" hidden="1" x14ac:dyDescent="0.25">
      <c r="A4570" s="9" t="s">
        <v>2172</v>
      </c>
      <c r="B4570" s="3" t="s">
        <v>2236</v>
      </c>
      <c r="C4570" s="10">
        <v>11</v>
      </c>
      <c r="D4570" s="10">
        <v>1</v>
      </c>
      <c r="E4570" s="10">
        <v>20</v>
      </c>
      <c r="F4570" t="s">
        <v>2124</v>
      </c>
      <c r="G4570" t="s">
        <v>155</v>
      </c>
      <c r="H4570" t="s">
        <v>131</v>
      </c>
      <c r="I4570" t="s">
        <v>27</v>
      </c>
      <c r="J4570" s="4">
        <v>24.59</v>
      </c>
      <c r="K4570">
        <v>2</v>
      </c>
      <c r="L4570">
        <v>24.59</v>
      </c>
      <c r="M4570">
        <v>49.18</v>
      </c>
      <c r="N4570" s="5">
        <v>2.4926507856056768</v>
      </c>
      <c r="O4570" t="s">
        <v>51</v>
      </c>
      <c r="P4570" t="s">
        <v>340</v>
      </c>
      <c r="Q4570" s="10" t="s">
        <v>24</v>
      </c>
    </row>
    <row r="4571" spans="1:18" hidden="1" x14ac:dyDescent="0.25">
      <c r="A4571" s="9" t="s">
        <v>2172</v>
      </c>
      <c r="B4571" s="3" t="s">
        <v>2236</v>
      </c>
      <c r="C4571" s="10">
        <v>11</v>
      </c>
      <c r="D4571" s="10">
        <v>1</v>
      </c>
      <c r="E4571" s="10">
        <v>20</v>
      </c>
      <c r="F4571" t="s">
        <v>701</v>
      </c>
      <c r="G4571" t="s">
        <v>889</v>
      </c>
      <c r="H4571" t="s">
        <v>49</v>
      </c>
      <c r="I4571" t="s">
        <v>50</v>
      </c>
      <c r="J4571" s="4">
        <v>48.9</v>
      </c>
      <c r="K4571">
        <v>1</v>
      </c>
      <c r="L4571">
        <v>48.9</v>
      </c>
      <c r="M4571">
        <v>48.9</v>
      </c>
      <c r="N4571" s="5">
        <v>2.4784591991890519</v>
      </c>
      <c r="O4571" t="s">
        <v>51</v>
      </c>
      <c r="P4571" t="s">
        <v>340</v>
      </c>
      <c r="Q4571" s="10" t="s">
        <v>24</v>
      </c>
    </row>
    <row r="4572" spans="1:18" hidden="1" x14ac:dyDescent="0.25">
      <c r="A4572" s="9" t="s">
        <v>2172</v>
      </c>
      <c r="B4572" s="3" t="s">
        <v>2236</v>
      </c>
      <c r="C4572" s="10">
        <v>11</v>
      </c>
      <c r="D4572" s="10">
        <v>1</v>
      </c>
      <c r="E4572" s="10">
        <v>20</v>
      </c>
      <c r="F4572" t="s">
        <v>55</v>
      </c>
      <c r="G4572" t="s">
        <v>889</v>
      </c>
      <c r="H4572" t="s">
        <v>56</v>
      </c>
      <c r="I4572" t="s">
        <v>27</v>
      </c>
      <c r="J4572" s="4">
        <v>24.1</v>
      </c>
      <c r="K4572">
        <v>0.308</v>
      </c>
      <c r="L4572">
        <v>24.1</v>
      </c>
      <c r="M4572">
        <v>7.4228000000000005</v>
      </c>
      <c r="N4572" s="5">
        <v>0.37621895590471366</v>
      </c>
      <c r="O4572" t="s">
        <v>51</v>
      </c>
      <c r="P4572" t="s">
        <v>340</v>
      </c>
      <c r="Q4572" s="10" t="s">
        <v>24</v>
      </c>
      <c r="R4572" t="s">
        <v>2237</v>
      </c>
    </row>
    <row r="4573" spans="1:18" hidden="1" x14ac:dyDescent="0.25">
      <c r="A4573" s="9" t="s">
        <v>2172</v>
      </c>
      <c r="B4573" s="3" t="s">
        <v>2236</v>
      </c>
      <c r="C4573" s="10">
        <v>11</v>
      </c>
      <c r="D4573" s="10">
        <v>1</v>
      </c>
      <c r="E4573" s="10">
        <v>20</v>
      </c>
      <c r="F4573" t="s">
        <v>839</v>
      </c>
      <c r="G4573" t="s">
        <v>889</v>
      </c>
      <c r="H4573" t="s">
        <v>56</v>
      </c>
      <c r="I4573" t="s">
        <v>27</v>
      </c>
      <c r="J4573" s="4">
        <v>24.9</v>
      </c>
      <c r="K4573">
        <v>1.69</v>
      </c>
      <c r="L4573">
        <v>24.9</v>
      </c>
      <c r="M4573">
        <v>42.080999999999996</v>
      </c>
      <c r="N4573" s="5">
        <v>2.1328433857070448</v>
      </c>
      <c r="O4573" t="s">
        <v>51</v>
      </c>
      <c r="P4573" t="s">
        <v>340</v>
      </c>
      <c r="Q4573" s="10" t="s">
        <v>24</v>
      </c>
    </row>
    <row r="4574" spans="1:18" hidden="1" x14ac:dyDescent="0.25">
      <c r="A4574" s="9" t="s">
        <v>2172</v>
      </c>
      <c r="B4574" s="3" t="s">
        <v>2236</v>
      </c>
      <c r="C4574" s="10">
        <v>11</v>
      </c>
      <c r="D4574" s="10">
        <v>1</v>
      </c>
      <c r="E4574" s="10">
        <v>20</v>
      </c>
      <c r="F4574" t="s">
        <v>1996</v>
      </c>
      <c r="G4574" t="s">
        <v>889</v>
      </c>
      <c r="H4574" t="s">
        <v>69</v>
      </c>
      <c r="I4574" t="s">
        <v>27</v>
      </c>
      <c r="J4574" s="4">
        <v>375</v>
      </c>
      <c r="K4574">
        <v>0.51</v>
      </c>
      <c r="L4574">
        <v>375</v>
      </c>
      <c r="M4574">
        <v>191.25</v>
      </c>
      <c r="N4574" s="5">
        <v>9.693360364926507</v>
      </c>
      <c r="O4574" t="s">
        <v>51</v>
      </c>
      <c r="P4574" t="s">
        <v>340</v>
      </c>
      <c r="Q4574" s="10" t="s">
        <v>24</v>
      </c>
    </row>
    <row r="4575" spans="1:18" hidden="1" x14ac:dyDescent="0.25">
      <c r="A4575" s="9" t="s">
        <v>2172</v>
      </c>
      <c r="B4575" s="3" t="s">
        <v>2236</v>
      </c>
      <c r="C4575" s="10">
        <v>11</v>
      </c>
      <c r="D4575" s="10">
        <v>1</v>
      </c>
      <c r="E4575" s="10">
        <v>20</v>
      </c>
      <c r="F4575" t="s">
        <v>1381</v>
      </c>
      <c r="G4575" t="s">
        <v>889</v>
      </c>
      <c r="H4575" t="s">
        <v>53</v>
      </c>
      <c r="I4575" t="s">
        <v>27</v>
      </c>
      <c r="J4575" s="4">
        <v>18.899999999999999</v>
      </c>
      <c r="K4575">
        <v>12</v>
      </c>
      <c r="L4575">
        <v>18.899999999999999</v>
      </c>
      <c r="M4575">
        <v>226.79999999999998</v>
      </c>
      <c r="N4575" s="5">
        <v>11.495184997465786</v>
      </c>
      <c r="O4575" t="s">
        <v>51</v>
      </c>
      <c r="P4575" t="s">
        <v>340</v>
      </c>
      <c r="Q4575" s="10" t="s">
        <v>24</v>
      </c>
    </row>
    <row r="4576" spans="1:18" hidden="1" x14ac:dyDescent="0.25">
      <c r="A4576" s="9" t="s">
        <v>2172</v>
      </c>
      <c r="B4576" s="3" t="s">
        <v>2236</v>
      </c>
      <c r="C4576" s="10">
        <v>11</v>
      </c>
      <c r="D4576" s="10">
        <v>1</v>
      </c>
      <c r="E4576" s="10">
        <v>20</v>
      </c>
      <c r="F4576" t="s">
        <v>1214</v>
      </c>
      <c r="G4576" t="s">
        <v>889</v>
      </c>
      <c r="H4576" t="s">
        <v>53</v>
      </c>
      <c r="I4576" t="s">
        <v>27</v>
      </c>
      <c r="J4576" s="4">
        <v>8.49</v>
      </c>
      <c r="K4576">
        <v>6</v>
      </c>
      <c r="L4576">
        <v>8.49</v>
      </c>
      <c r="M4576">
        <v>50.94</v>
      </c>
      <c r="N4576" s="5">
        <v>2.5818550430816014</v>
      </c>
      <c r="O4576" t="s">
        <v>51</v>
      </c>
      <c r="P4576" t="s">
        <v>340</v>
      </c>
      <c r="Q4576" s="10" t="s">
        <v>24</v>
      </c>
    </row>
    <row r="4577" spans="1:17" hidden="1" x14ac:dyDescent="0.25">
      <c r="A4577" s="9" t="s">
        <v>2172</v>
      </c>
      <c r="B4577" s="3" t="s">
        <v>2236</v>
      </c>
      <c r="C4577" s="10">
        <v>11</v>
      </c>
      <c r="D4577" s="10">
        <v>1</v>
      </c>
      <c r="E4577" s="10">
        <v>20</v>
      </c>
      <c r="F4577" t="s">
        <v>1383</v>
      </c>
      <c r="G4577" t="s">
        <v>889</v>
      </c>
      <c r="H4577" t="s">
        <v>53</v>
      </c>
      <c r="I4577" t="s">
        <v>27</v>
      </c>
      <c r="J4577" s="4">
        <v>18.989999999999998</v>
      </c>
      <c r="K4577">
        <v>12</v>
      </c>
      <c r="L4577">
        <v>18.989999999999998</v>
      </c>
      <c r="M4577">
        <v>227.88</v>
      </c>
      <c r="N4577" s="5">
        <v>11.549923973644196</v>
      </c>
      <c r="O4577" t="s">
        <v>51</v>
      </c>
      <c r="P4577" t="s">
        <v>340</v>
      </c>
      <c r="Q4577" s="10" t="s">
        <v>24</v>
      </c>
    </row>
    <row r="4578" spans="1:17" hidden="1" x14ac:dyDescent="0.25">
      <c r="A4578" s="9" t="s">
        <v>2172</v>
      </c>
      <c r="B4578" s="3" t="s">
        <v>2236</v>
      </c>
      <c r="C4578" s="10">
        <v>11</v>
      </c>
      <c r="D4578" s="10">
        <v>1</v>
      </c>
      <c r="E4578" s="10">
        <v>20</v>
      </c>
      <c r="F4578" t="s">
        <v>2238</v>
      </c>
      <c r="G4578" t="s">
        <v>889</v>
      </c>
      <c r="H4578" t="s">
        <v>53</v>
      </c>
      <c r="I4578" t="s">
        <v>27</v>
      </c>
      <c r="J4578" s="4">
        <v>10.75</v>
      </c>
      <c r="K4578">
        <v>6</v>
      </c>
      <c r="L4578">
        <v>10.75</v>
      </c>
      <c r="M4578">
        <v>64.5</v>
      </c>
      <c r="N4578" s="5">
        <v>3.2691332995438418</v>
      </c>
      <c r="O4578" t="s">
        <v>51</v>
      </c>
      <c r="P4578" t="s">
        <v>340</v>
      </c>
      <c r="Q4578" s="10" t="s">
        <v>24</v>
      </c>
    </row>
    <row r="4579" spans="1:17" hidden="1" x14ac:dyDescent="0.25">
      <c r="A4579" s="9" t="s">
        <v>2172</v>
      </c>
      <c r="B4579" s="3" t="s">
        <v>2236</v>
      </c>
      <c r="C4579" s="10">
        <v>11</v>
      </c>
      <c r="D4579" s="10">
        <v>1</v>
      </c>
      <c r="E4579" s="10">
        <v>20</v>
      </c>
      <c r="F4579" t="s">
        <v>1466</v>
      </c>
      <c r="G4579" t="s">
        <v>31</v>
      </c>
      <c r="H4579" t="s">
        <v>26</v>
      </c>
      <c r="I4579" t="s">
        <v>27</v>
      </c>
      <c r="J4579" s="4">
        <v>32.9</v>
      </c>
      <c r="K4579">
        <v>1</v>
      </c>
      <c r="L4579">
        <v>32.9</v>
      </c>
      <c r="M4579">
        <v>32.9</v>
      </c>
      <c r="N4579" s="5">
        <v>1.6675114039533705</v>
      </c>
      <c r="O4579" t="s">
        <v>51</v>
      </c>
      <c r="P4579" t="s">
        <v>340</v>
      </c>
      <c r="Q4579" s="10" t="s">
        <v>24</v>
      </c>
    </row>
    <row r="4580" spans="1:17" hidden="1" x14ac:dyDescent="0.25">
      <c r="A4580" s="9" t="s">
        <v>2172</v>
      </c>
      <c r="B4580" s="3" t="s">
        <v>2236</v>
      </c>
      <c r="C4580" s="10">
        <v>11</v>
      </c>
      <c r="D4580" s="10">
        <v>1</v>
      </c>
      <c r="E4580" s="10">
        <v>20</v>
      </c>
      <c r="F4580" t="s">
        <v>2233</v>
      </c>
      <c r="G4580" t="s">
        <v>77</v>
      </c>
      <c r="H4580" t="s">
        <v>26</v>
      </c>
      <c r="I4580" t="s">
        <v>27</v>
      </c>
      <c r="J4580" s="4">
        <v>37.450000000000003</v>
      </c>
      <c r="K4580">
        <v>1</v>
      </c>
      <c r="L4580">
        <v>37.450000000000003</v>
      </c>
      <c r="M4580">
        <v>37.450000000000003</v>
      </c>
      <c r="N4580" s="5">
        <v>1.8981246832235177</v>
      </c>
      <c r="O4580" t="s">
        <v>51</v>
      </c>
      <c r="P4580" t="s">
        <v>340</v>
      </c>
      <c r="Q4580" s="10" t="s">
        <v>24</v>
      </c>
    </row>
    <row r="4581" spans="1:17" hidden="1" x14ac:dyDescent="0.25">
      <c r="A4581" s="9" t="s">
        <v>2172</v>
      </c>
      <c r="B4581" s="3" t="s">
        <v>2236</v>
      </c>
      <c r="C4581" s="10">
        <v>11</v>
      </c>
      <c r="D4581" s="10">
        <v>1</v>
      </c>
      <c r="E4581" s="10">
        <v>20</v>
      </c>
      <c r="F4581" t="s">
        <v>55</v>
      </c>
      <c r="G4581" t="s">
        <v>889</v>
      </c>
      <c r="H4581" t="s">
        <v>56</v>
      </c>
      <c r="I4581" t="s">
        <v>27</v>
      </c>
      <c r="J4581" s="4">
        <v>24.1</v>
      </c>
      <c r="K4581">
        <v>0.754</v>
      </c>
      <c r="L4581">
        <v>24.1</v>
      </c>
      <c r="M4581">
        <v>18.171400000000002</v>
      </c>
      <c r="N4581" s="5">
        <v>0.92100354789660421</v>
      </c>
      <c r="O4581" t="s">
        <v>51</v>
      </c>
      <c r="P4581" t="s">
        <v>340</v>
      </c>
      <c r="Q4581" s="10" t="s">
        <v>24</v>
      </c>
    </row>
    <row r="4582" spans="1:17" hidden="1" x14ac:dyDescent="0.25">
      <c r="A4582" s="9" t="s">
        <v>2172</v>
      </c>
      <c r="B4582" s="3" t="s">
        <v>2236</v>
      </c>
      <c r="C4582" s="10">
        <v>11</v>
      </c>
      <c r="D4582" s="10">
        <v>1</v>
      </c>
      <c r="E4582" s="10">
        <v>20</v>
      </c>
      <c r="F4582" t="s">
        <v>2234</v>
      </c>
      <c r="G4582" t="s">
        <v>889</v>
      </c>
      <c r="H4582" t="s">
        <v>54</v>
      </c>
      <c r="I4582" t="s">
        <v>27</v>
      </c>
      <c r="J4582" s="4">
        <v>65.900000000000006</v>
      </c>
      <c r="K4582">
        <v>7.0000000000000007E-2</v>
      </c>
      <c r="L4582">
        <v>65.900000000000006</v>
      </c>
      <c r="M4582">
        <v>4.6130000000000004</v>
      </c>
      <c r="N4582" s="5">
        <v>0.2338063862138875</v>
      </c>
      <c r="O4582" t="s">
        <v>51</v>
      </c>
      <c r="P4582" t="s">
        <v>340</v>
      </c>
      <c r="Q4582" s="10" t="s">
        <v>24</v>
      </c>
    </row>
    <row r="4583" spans="1:17" hidden="1" x14ac:dyDescent="0.25">
      <c r="A4583" s="9" t="s">
        <v>2172</v>
      </c>
      <c r="B4583" s="3" t="s">
        <v>2236</v>
      </c>
      <c r="C4583" s="10">
        <v>11</v>
      </c>
      <c r="D4583" s="10">
        <v>1</v>
      </c>
      <c r="E4583" s="10">
        <v>20</v>
      </c>
      <c r="F4583" t="s">
        <v>776</v>
      </c>
      <c r="G4583" t="s">
        <v>889</v>
      </c>
      <c r="H4583" t="s">
        <v>56</v>
      </c>
      <c r="I4583" t="s">
        <v>27</v>
      </c>
      <c r="J4583" s="4">
        <v>25.9</v>
      </c>
      <c r="K4583">
        <v>0.40200000000000002</v>
      </c>
      <c r="L4583">
        <v>25.9</v>
      </c>
      <c r="M4583">
        <v>10.411799999999999</v>
      </c>
      <c r="N4583" s="5">
        <v>0.52771414090217938</v>
      </c>
      <c r="O4583" t="s">
        <v>51</v>
      </c>
      <c r="P4583" t="s">
        <v>340</v>
      </c>
      <c r="Q4583" s="10" t="s">
        <v>24</v>
      </c>
    </row>
    <row r="4584" spans="1:17" hidden="1" x14ac:dyDescent="0.25">
      <c r="A4584" s="9" t="s">
        <v>2172</v>
      </c>
      <c r="B4584" s="3" t="s">
        <v>2236</v>
      </c>
      <c r="C4584" s="10">
        <v>11</v>
      </c>
      <c r="D4584" s="10">
        <v>1</v>
      </c>
      <c r="E4584" s="10">
        <v>20</v>
      </c>
      <c r="F4584" t="s">
        <v>2235</v>
      </c>
      <c r="G4584" t="s">
        <v>889</v>
      </c>
      <c r="H4584" t="s">
        <v>56</v>
      </c>
      <c r="I4584" t="s">
        <v>27</v>
      </c>
      <c r="J4584" s="4">
        <v>94.9</v>
      </c>
      <c r="K4584">
        <v>1</v>
      </c>
      <c r="L4584">
        <v>94.9</v>
      </c>
      <c r="M4584">
        <v>94.9</v>
      </c>
      <c r="N4584" s="5">
        <v>4.8099341104916373</v>
      </c>
      <c r="O4584" t="s">
        <v>51</v>
      </c>
      <c r="P4584" t="s">
        <v>340</v>
      </c>
      <c r="Q4584" s="10" t="s">
        <v>24</v>
      </c>
    </row>
    <row r="4585" spans="1:17" hidden="1" x14ac:dyDescent="0.25">
      <c r="A4585" s="9" t="s">
        <v>2172</v>
      </c>
      <c r="B4585" s="3" t="s">
        <v>2236</v>
      </c>
      <c r="C4585" s="10">
        <v>11</v>
      </c>
      <c r="D4585" s="10">
        <v>1</v>
      </c>
      <c r="E4585" s="10">
        <v>20</v>
      </c>
      <c r="F4585" t="s">
        <v>441</v>
      </c>
      <c r="G4585" t="s">
        <v>889</v>
      </c>
      <c r="H4585" t="s">
        <v>364</v>
      </c>
      <c r="I4585" t="s">
        <v>27</v>
      </c>
      <c r="J4585" s="4">
        <v>1.99</v>
      </c>
      <c r="K4585">
        <v>4</v>
      </c>
      <c r="L4585">
        <v>1.99</v>
      </c>
      <c r="M4585">
        <v>7.96</v>
      </c>
      <c r="N4585" s="5">
        <v>0.40344652812975162</v>
      </c>
      <c r="O4585" t="s">
        <v>51</v>
      </c>
      <c r="P4585" t="s">
        <v>340</v>
      </c>
      <c r="Q4585" s="10" t="s">
        <v>24</v>
      </c>
    </row>
    <row r="4586" spans="1:17" hidden="1" x14ac:dyDescent="0.25">
      <c r="A4586" s="9" t="s">
        <v>2172</v>
      </c>
      <c r="B4586" s="3" t="s">
        <v>2236</v>
      </c>
      <c r="C4586" s="10">
        <v>11</v>
      </c>
      <c r="D4586" s="10">
        <v>1</v>
      </c>
      <c r="E4586" s="10">
        <v>20</v>
      </c>
      <c r="F4586" t="s">
        <v>44</v>
      </c>
      <c r="G4586" t="s">
        <v>889</v>
      </c>
      <c r="H4586" t="s">
        <v>44</v>
      </c>
      <c r="I4586" t="s">
        <v>27</v>
      </c>
      <c r="J4586" s="4">
        <v>25.79</v>
      </c>
      <c r="K4586">
        <v>2</v>
      </c>
      <c r="L4586">
        <v>25.79</v>
      </c>
      <c r="M4586">
        <v>51.58</v>
      </c>
      <c r="N4586" s="5">
        <v>2.6142929548910288</v>
      </c>
      <c r="O4586" t="s">
        <v>51</v>
      </c>
      <c r="P4586" t="s">
        <v>340</v>
      </c>
      <c r="Q4586" s="10" t="s">
        <v>24</v>
      </c>
    </row>
    <row r="4587" spans="1:17" hidden="1" x14ac:dyDescent="0.25">
      <c r="A4587" s="9" t="s">
        <v>2172</v>
      </c>
      <c r="B4587" s="3" t="s">
        <v>2236</v>
      </c>
      <c r="C4587" s="10">
        <v>11</v>
      </c>
      <c r="D4587" s="10">
        <v>1</v>
      </c>
      <c r="E4587" s="10">
        <v>20</v>
      </c>
      <c r="F4587" t="s">
        <v>1386</v>
      </c>
      <c r="G4587" t="s">
        <v>889</v>
      </c>
      <c r="H4587" t="s">
        <v>59</v>
      </c>
      <c r="I4587" t="s">
        <v>27</v>
      </c>
      <c r="J4587" s="4">
        <v>83.9</v>
      </c>
      <c r="K4587">
        <v>1</v>
      </c>
      <c r="L4587">
        <v>83.9</v>
      </c>
      <c r="M4587">
        <v>83.9</v>
      </c>
      <c r="N4587" s="5">
        <v>4.2524075012671059</v>
      </c>
      <c r="O4587" t="s">
        <v>51</v>
      </c>
      <c r="P4587" t="s">
        <v>340</v>
      </c>
      <c r="Q4587" s="10" t="s">
        <v>24</v>
      </c>
    </row>
    <row r="4588" spans="1:17" hidden="1" x14ac:dyDescent="0.25">
      <c r="A4588" s="9" t="s">
        <v>2172</v>
      </c>
      <c r="B4588" s="3" t="s">
        <v>2236</v>
      </c>
      <c r="C4588" s="10">
        <v>11</v>
      </c>
      <c r="D4588" s="10">
        <v>1</v>
      </c>
      <c r="E4588" s="10">
        <v>20</v>
      </c>
      <c r="F4588" t="s">
        <v>1387</v>
      </c>
      <c r="G4588" t="s">
        <v>889</v>
      </c>
      <c r="H4588" t="s">
        <v>59</v>
      </c>
      <c r="I4588" t="s">
        <v>27</v>
      </c>
      <c r="J4588" s="4">
        <v>239</v>
      </c>
      <c r="K4588">
        <v>1</v>
      </c>
      <c r="L4588">
        <v>239</v>
      </c>
      <c r="M4588">
        <v>239</v>
      </c>
      <c r="N4588" s="5">
        <v>12.113532691332995</v>
      </c>
      <c r="O4588" t="s">
        <v>51</v>
      </c>
      <c r="P4588" t="s">
        <v>340</v>
      </c>
      <c r="Q4588" s="10" t="s">
        <v>24</v>
      </c>
    </row>
    <row r="4589" spans="1:17" hidden="1" x14ac:dyDescent="0.25">
      <c r="A4589" s="9" t="s">
        <v>2172</v>
      </c>
      <c r="B4589" s="3" t="s">
        <v>2236</v>
      </c>
      <c r="C4589" s="10">
        <v>11</v>
      </c>
      <c r="D4589" s="10">
        <v>1</v>
      </c>
      <c r="E4589" s="10">
        <v>20</v>
      </c>
      <c r="F4589" t="s">
        <v>1466</v>
      </c>
      <c r="G4589" t="s">
        <v>31</v>
      </c>
      <c r="H4589" t="s">
        <v>26</v>
      </c>
      <c r="I4589" t="s">
        <v>27</v>
      </c>
      <c r="J4589" s="4">
        <v>34.5</v>
      </c>
      <c r="K4589">
        <v>2</v>
      </c>
      <c r="L4589">
        <v>34.5</v>
      </c>
      <c r="M4589">
        <v>69</v>
      </c>
      <c r="N4589" s="5">
        <v>3.4972123669538773</v>
      </c>
      <c r="O4589" t="s">
        <v>51</v>
      </c>
      <c r="P4589" t="s">
        <v>340</v>
      </c>
      <c r="Q4589" s="10" t="s">
        <v>24</v>
      </c>
    </row>
    <row r="4590" spans="1:17" hidden="1" x14ac:dyDescent="0.25">
      <c r="A4590" s="9" t="s">
        <v>2172</v>
      </c>
      <c r="B4590" s="3" t="s">
        <v>2236</v>
      </c>
      <c r="C4590" s="10">
        <v>11</v>
      </c>
      <c r="D4590" s="10">
        <v>1</v>
      </c>
      <c r="E4590" s="10">
        <v>20</v>
      </c>
      <c r="F4590" t="s">
        <v>44</v>
      </c>
      <c r="G4590" t="s">
        <v>889</v>
      </c>
      <c r="H4590" t="s">
        <v>44</v>
      </c>
      <c r="I4590" t="s">
        <v>27</v>
      </c>
      <c r="J4590" s="4">
        <v>24.79</v>
      </c>
      <c r="K4590">
        <v>2</v>
      </c>
      <c r="L4590">
        <v>24.79</v>
      </c>
      <c r="M4590">
        <v>49.58</v>
      </c>
      <c r="N4590" s="5">
        <v>2.5129244804865687</v>
      </c>
      <c r="O4590" t="s">
        <v>51</v>
      </c>
      <c r="P4590" t="s">
        <v>340</v>
      </c>
      <c r="Q4590" s="10" t="s">
        <v>24</v>
      </c>
    </row>
    <row r="4591" spans="1:17" hidden="1" x14ac:dyDescent="0.25">
      <c r="A4591" s="9" t="s">
        <v>2172</v>
      </c>
      <c r="B4591" s="3" t="s">
        <v>2236</v>
      </c>
      <c r="C4591" s="10">
        <v>11</v>
      </c>
      <c r="D4591" s="10">
        <v>1</v>
      </c>
      <c r="E4591" s="10">
        <v>20</v>
      </c>
      <c r="F4591" t="s">
        <v>386</v>
      </c>
      <c r="G4591" t="s">
        <v>889</v>
      </c>
      <c r="H4591" t="s">
        <v>53</v>
      </c>
      <c r="I4591" t="s">
        <v>27</v>
      </c>
      <c r="J4591" s="4">
        <v>12.9</v>
      </c>
      <c r="K4591">
        <v>1</v>
      </c>
      <c r="L4591">
        <v>12.9</v>
      </c>
      <c r="M4591">
        <v>12.9</v>
      </c>
      <c r="N4591" s="5">
        <v>0.65382665990876843</v>
      </c>
      <c r="O4591" t="s">
        <v>2239</v>
      </c>
      <c r="P4591" t="s">
        <v>340</v>
      </c>
      <c r="Q4591" s="10" t="s">
        <v>24</v>
      </c>
    </row>
    <row r="4592" spans="1:17" hidden="1" x14ac:dyDescent="0.25">
      <c r="A4592" s="9" t="s">
        <v>2172</v>
      </c>
      <c r="B4592" s="3" t="s">
        <v>2236</v>
      </c>
      <c r="C4592" s="10">
        <v>11</v>
      </c>
      <c r="D4592" s="10">
        <v>1</v>
      </c>
      <c r="E4592" s="10">
        <v>20</v>
      </c>
      <c r="F4592" t="s">
        <v>141</v>
      </c>
      <c r="G4592" t="s">
        <v>889</v>
      </c>
      <c r="H4592" t="s">
        <v>172</v>
      </c>
      <c r="I4592" t="s">
        <v>39</v>
      </c>
      <c r="J4592" s="4">
        <v>3</v>
      </c>
      <c r="K4592">
        <v>1</v>
      </c>
      <c r="L4592">
        <v>3</v>
      </c>
      <c r="M4592">
        <v>3</v>
      </c>
      <c r="N4592" s="5">
        <v>0.15205271160669032</v>
      </c>
      <c r="O4592" t="s">
        <v>39</v>
      </c>
      <c r="P4592" t="s">
        <v>340</v>
      </c>
      <c r="Q4592" s="10" t="s">
        <v>24</v>
      </c>
    </row>
    <row r="4593" spans="1:18" hidden="1" x14ac:dyDescent="0.25">
      <c r="A4593" s="9" t="s">
        <v>2172</v>
      </c>
      <c r="B4593" s="3" t="s">
        <v>2236</v>
      </c>
      <c r="C4593" s="10">
        <v>11</v>
      </c>
      <c r="D4593" s="10">
        <v>1</v>
      </c>
      <c r="E4593" s="10">
        <v>20</v>
      </c>
      <c r="F4593" t="s">
        <v>2240</v>
      </c>
      <c r="G4593" t="s">
        <v>889</v>
      </c>
      <c r="H4593" t="s">
        <v>2093</v>
      </c>
      <c r="I4593" t="s">
        <v>72</v>
      </c>
      <c r="J4593" s="4">
        <v>599</v>
      </c>
      <c r="K4593">
        <v>1</v>
      </c>
      <c r="L4593">
        <v>599</v>
      </c>
      <c r="M4593">
        <v>599</v>
      </c>
      <c r="N4593" s="5">
        <v>30.359858084135833</v>
      </c>
      <c r="O4593" t="s">
        <v>2215</v>
      </c>
      <c r="P4593" t="s">
        <v>340</v>
      </c>
      <c r="Q4593" s="10" t="s">
        <v>24</v>
      </c>
    </row>
    <row r="4594" spans="1:18" hidden="1" x14ac:dyDescent="0.25">
      <c r="A4594" s="9" t="s">
        <v>2172</v>
      </c>
      <c r="B4594" s="3" t="s">
        <v>2236</v>
      </c>
      <c r="C4594" s="10">
        <v>11</v>
      </c>
      <c r="D4594" s="10">
        <v>1</v>
      </c>
      <c r="E4594" s="10">
        <v>20</v>
      </c>
      <c r="F4594" t="s">
        <v>2244</v>
      </c>
      <c r="G4594" t="s">
        <v>889</v>
      </c>
      <c r="H4594" t="s">
        <v>63</v>
      </c>
      <c r="I4594" t="s">
        <v>50</v>
      </c>
      <c r="J4594" s="4">
        <v>180</v>
      </c>
      <c r="K4594">
        <v>1</v>
      </c>
      <c r="L4594">
        <v>180</v>
      </c>
      <c r="M4594">
        <v>180</v>
      </c>
      <c r="N4594" s="5">
        <v>9.123162696401419</v>
      </c>
      <c r="O4594" t="s">
        <v>39</v>
      </c>
      <c r="P4594" t="s">
        <v>340</v>
      </c>
      <c r="Q4594" s="10" t="s">
        <v>24</v>
      </c>
      <c r="R4594" s="40" t="s">
        <v>2261</v>
      </c>
    </row>
    <row r="4595" spans="1:18" hidden="1" x14ac:dyDescent="0.25">
      <c r="A4595" s="9" t="s">
        <v>2172</v>
      </c>
      <c r="B4595" s="3" t="s">
        <v>2260</v>
      </c>
      <c r="C4595" s="10">
        <v>13</v>
      </c>
      <c r="D4595" s="10">
        <v>1</v>
      </c>
      <c r="E4595" s="10">
        <v>20</v>
      </c>
      <c r="F4595" t="s">
        <v>805</v>
      </c>
      <c r="G4595" t="s">
        <v>889</v>
      </c>
      <c r="H4595" t="s">
        <v>364</v>
      </c>
      <c r="I4595" t="s">
        <v>27</v>
      </c>
      <c r="J4595" s="4">
        <v>8</v>
      </c>
      <c r="K4595">
        <v>3</v>
      </c>
      <c r="L4595">
        <v>8</v>
      </c>
      <c r="M4595">
        <v>24</v>
      </c>
      <c r="N4595" s="5">
        <v>1.2164216928535225</v>
      </c>
      <c r="O4595" t="s">
        <v>181</v>
      </c>
      <c r="P4595" t="s">
        <v>340</v>
      </c>
      <c r="Q4595" s="10" t="s">
        <v>24</v>
      </c>
    </row>
    <row r="4596" spans="1:18" hidden="1" x14ac:dyDescent="0.25">
      <c r="A4596" s="9" t="s">
        <v>2172</v>
      </c>
      <c r="B4596" s="3" t="s">
        <v>2260</v>
      </c>
      <c r="C4596" s="10">
        <v>13</v>
      </c>
      <c r="D4596" s="10">
        <v>1</v>
      </c>
      <c r="E4596" s="10">
        <v>20</v>
      </c>
      <c r="F4596" t="s">
        <v>862</v>
      </c>
      <c r="G4596" t="s">
        <v>889</v>
      </c>
      <c r="H4596" t="s">
        <v>63</v>
      </c>
      <c r="I4596" t="s">
        <v>27</v>
      </c>
      <c r="J4596" s="4">
        <v>38.1</v>
      </c>
      <c r="K4596">
        <v>1</v>
      </c>
      <c r="L4596">
        <v>38.1</v>
      </c>
      <c r="M4596">
        <v>38.1</v>
      </c>
      <c r="N4596" s="5">
        <v>1.9310694374049671</v>
      </c>
      <c r="O4596" t="s">
        <v>181</v>
      </c>
      <c r="P4596" t="s">
        <v>340</v>
      </c>
      <c r="Q4596" s="10" t="s">
        <v>24</v>
      </c>
    </row>
    <row r="4597" spans="1:18" hidden="1" x14ac:dyDescent="0.25">
      <c r="A4597" s="9" t="s">
        <v>2172</v>
      </c>
      <c r="B4597" s="3" t="s">
        <v>2260</v>
      </c>
      <c r="C4597" s="10">
        <v>13</v>
      </c>
      <c r="D4597" s="10">
        <v>1</v>
      </c>
      <c r="E4597" s="10">
        <v>20</v>
      </c>
      <c r="F4597" t="s">
        <v>770</v>
      </c>
      <c r="G4597" t="s">
        <v>31</v>
      </c>
      <c r="H4597" t="s">
        <v>26</v>
      </c>
      <c r="I4597" t="s">
        <v>27</v>
      </c>
      <c r="J4597" s="4">
        <v>7.7</v>
      </c>
      <c r="K4597">
        <v>1</v>
      </c>
      <c r="L4597">
        <v>7.7</v>
      </c>
      <c r="M4597">
        <v>7.7</v>
      </c>
      <c r="N4597" s="5">
        <v>0.39026862645717181</v>
      </c>
      <c r="O4597" t="s">
        <v>181</v>
      </c>
      <c r="P4597" t="s">
        <v>340</v>
      </c>
      <c r="Q4597" s="10" t="s">
        <v>24</v>
      </c>
    </row>
    <row r="4598" spans="1:18" hidden="1" x14ac:dyDescent="0.25">
      <c r="A4598" s="9" t="s">
        <v>2172</v>
      </c>
      <c r="B4598" s="3" t="s">
        <v>2260</v>
      </c>
      <c r="C4598" s="10">
        <v>13</v>
      </c>
      <c r="D4598" s="10">
        <v>1</v>
      </c>
      <c r="E4598" s="10">
        <v>20</v>
      </c>
      <c r="F4598" t="s">
        <v>204</v>
      </c>
      <c r="G4598" t="s">
        <v>889</v>
      </c>
      <c r="H4598" t="s">
        <v>54</v>
      </c>
      <c r="I4598" t="s">
        <v>27</v>
      </c>
      <c r="J4598" s="4">
        <v>69</v>
      </c>
      <c r="K4598">
        <v>0.128</v>
      </c>
      <c r="L4598">
        <v>69</v>
      </c>
      <c r="M4598">
        <v>8.8320000000000007</v>
      </c>
      <c r="N4598" s="5">
        <v>0.44764318297009631</v>
      </c>
      <c r="O4598" t="s">
        <v>181</v>
      </c>
      <c r="P4598" t="s">
        <v>340</v>
      </c>
      <c r="Q4598" s="10" t="s">
        <v>24</v>
      </c>
    </row>
    <row r="4599" spans="1:18" hidden="1" x14ac:dyDescent="0.25">
      <c r="A4599" s="9" t="s">
        <v>2172</v>
      </c>
      <c r="B4599" s="3" t="s">
        <v>2260</v>
      </c>
      <c r="C4599" s="10">
        <v>13</v>
      </c>
      <c r="D4599" s="10">
        <v>1</v>
      </c>
      <c r="E4599" s="10">
        <v>20</v>
      </c>
      <c r="F4599" t="s">
        <v>202</v>
      </c>
      <c r="G4599" t="s">
        <v>889</v>
      </c>
      <c r="H4599" t="s">
        <v>54</v>
      </c>
      <c r="I4599" t="s">
        <v>27</v>
      </c>
      <c r="J4599" s="4">
        <v>90.9</v>
      </c>
      <c r="K4599">
        <v>0.33</v>
      </c>
      <c r="L4599">
        <v>90.9</v>
      </c>
      <c r="M4599">
        <v>29.997000000000003</v>
      </c>
      <c r="N4599" s="5">
        <v>1.5203750633552966</v>
      </c>
      <c r="O4599" t="s">
        <v>181</v>
      </c>
      <c r="P4599" t="s">
        <v>340</v>
      </c>
      <c r="Q4599" s="10" t="s">
        <v>24</v>
      </c>
    </row>
    <row r="4600" spans="1:18" hidden="1" x14ac:dyDescent="0.25">
      <c r="A4600" s="9" t="s">
        <v>2172</v>
      </c>
      <c r="B4600" s="3" t="s">
        <v>2260</v>
      </c>
      <c r="C4600" s="10">
        <v>13</v>
      </c>
      <c r="D4600" s="10">
        <v>1</v>
      </c>
      <c r="E4600" s="10">
        <v>20</v>
      </c>
      <c r="F4600" t="s">
        <v>1378</v>
      </c>
      <c r="G4600" t="s">
        <v>889</v>
      </c>
      <c r="H4600" t="s">
        <v>40</v>
      </c>
      <c r="I4600" t="s">
        <v>27</v>
      </c>
      <c r="J4600" s="4">
        <v>18.7</v>
      </c>
      <c r="K4600">
        <v>1</v>
      </c>
      <c r="L4600">
        <v>18.7</v>
      </c>
      <c r="M4600">
        <v>18.7</v>
      </c>
      <c r="N4600" s="5">
        <v>0.94779523568170299</v>
      </c>
      <c r="O4600" t="s">
        <v>181</v>
      </c>
      <c r="P4600" t="s">
        <v>340</v>
      </c>
      <c r="Q4600" s="10" t="s">
        <v>24</v>
      </c>
    </row>
    <row r="4601" spans="1:18" hidden="1" x14ac:dyDescent="0.25">
      <c r="A4601" s="9" t="s">
        <v>2172</v>
      </c>
      <c r="B4601" s="3" t="s">
        <v>2260</v>
      </c>
      <c r="C4601" s="10">
        <v>13</v>
      </c>
      <c r="D4601" s="10">
        <v>1</v>
      </c>
      <c r="E4601" s="10">
        <v>20</v>
      </c>
      <c r="F4601" t="s">
        <v>1379</v>
      </c>
      <c r="G4601" t="s">
        <v>31</v>
      </c>
      <c r="H4601" t="s">
        <v>26</v>
      </c>
      <c r="I4601" t="s">
        <v>27</v>
      </c>
      <c r="J4601" s="4">
        <v>7.8</v>
      </c>
      <c r="K4601">
        <v>1</v>
      </c>
      <c r="L4601">
        <v>7.8</v>
      </c>
      <c r="M4601">
        <v>7.8</v>
      </c>
      <c r="N4601" s="5">
        <v>0.39533705017739479</v>
      </c>
      <c r="O4601" t="s">
        <v>181</v>
      </c>
      <c r="P4601" t="s">
        <v>340</v>
      </c>
      <c r="Q4601" s="10" t="s">
        <v>24</v>
      </c>
    </row>
    <row r="4602" spans="1:18" hidden="1" x14ac:dyDescent="0.25">
      <c r="A4602" s="9" t="s">
        <v>2172</v>
      </c>
      <c r="B4602" s="3" t="s">
        <v>2260</v>
      </c>
      <c r="C4602" s="10">
        <v>13</v>
      </c>
      <c r="D4602" s="10">
        <v>1</v>
      </c>
      <c r="E4602" s="10">
        <v>20</v>
      </c>
      <c r="F4602" t="s">
        <v>1902</v>
      </c>
      <c r="G4602" t="s">
        <v>889</v>
      </c>
      <c r="H4602" t="s">
        <v>49</v>
      </c>
      <c r="I4602" t="s">
        <v>50</v>
      </c>
      <c r="J4602" s="4">
        <v>1.65</v>
      </c>
      <c r="K4602">
        <v>1</v>
      </c>
      <c r="L4602">
        <v>1.65</v>
      </c>
      <c r="M4602">
        <v>1.65</v>
      </c>
      <c r="N4602" s="5">
        <v>8.3628991383679671E-2</v>
      </c>
      <c r="O4602" t="s">
        <v>181</v>
      </c>
      <c r="P4602" t="s">
        <v>340</v>
      </c>
      <c r="Q4602" s="10" t="s">
        <v>24</v>
      </c>
    </row>
    <row r="4603" spans="1:18" hidden="1" x14ac:dyDescent="0.25">
      <c r="A4603" s="9" t="s">
        <v>2172</v>
      </c>
      <c r="B4603" s="3" t="s">
        <v>2259</v>
      </c>
      <c r="C4603" s="10">
        <v>14</v>
      </c>
      <c r="D4603" s="10">
        <v>1</v>
      </c>
      <c r="E4603" s="10">
        <v>20</v>
      </c>
      <c r="F4603" t="s">
        <v>2444</v>
      </c>
      <c r="G4603" t="s">
        <v>889</v>
      </c>
      <c r="H4603" t="s">
        <v>889</v>
      </c>
      <c r="I4603" t="s">
        <v>39</v>
      </c>
      <c r="J4603" s="4">
        <v>2</v>
      </c>
      <c r="K4603">
        <v>1</v>
      </c>
      <c r="L4603">
        <v>2</v>
      </c>
      <c r="M4603">
        <v>2</v>
      </c>
      <c r="N4603" s="5">
        <v>0.10136847440446022</v>
      </c>
      <c r="O4603" t="s">
        <v>39</v>
      </c>
      <c r="P4603" t="s">
        <v>340</v>
      </c>
      <c r="Q4603" s="10" t="s">
        <v>24</v>
      </c>
    </row>
    <row r="4604" spans="1:18" hidden="1" x14ac:dyDescent="0.25">
      <c r="A4604" s="9" t="s">
        <v>2172</v>
      </c>
      <c r="B4604" s="3" t="s">
        <v>2259</v>
      </c>
      <c r="C4604" s="10">
        <v>14</v>
      </c>
      <c r="D4604" s="10">
        <v>1</v>
      </c>
      <c r="E4604" s="10">
        <v>20</v>
      </c>
      <c r="F4604" t="s">
        <v>212</v>
      </c>
      <c r="G4604" t="s">
        <v>889</v>
      </c>
      <c r="H4604" t="s">
        <v>54</v>
      </c>
      <c r="I4604" t="s">
        <v>27</v>
      </c>
      <c r="J4604" s="4">
        <v>30</v>
      </c>
      <c r="K4604">
        <v>1</v>
      </c>
      <c r="L4604">
        <v>30</v>
      </c>
      <c r="M4604">
        <v>30</v>
      </c>
      <c r="N4604" s="5">
        <v>1.5205271160669032</v>
      </c>
      <c r="O4604" t="s">
        <v>2256</v>
      </c>
      <c r="P4604" t="s">
        <v>340</v>
      </c>
      <c r="Q4604" s="10" t="s">
        <v>24</v>
      </c>
    </row>
    <row r="4605" spans="1:18" hidden="1" x14ac:dyDescent="0.25">
      <c r="A4605" s="9" t="s">
        <v>2172</v>
      </c>
      <c r="B4605" s="3" t="s">
        <v>2259</v>
      </c>
      <c r="C4605" s="10">
        <v>14</v>
      </c>
      <c r="D4605" s="10">
        <v>1</v>
      </c>
      <c r="E4605" s="10">
        <v>20</v>
      </c>
      <c r="F4605" t="s">
        <v>44</v>
      </c>
      <c r="G4605" t="s">
        <v>889</v>
      </c>
      <c r="H4605" t="s">
        <v>44</v>
      </c>
      <c r="I4605" t="s">
        <v>27</v>
      </c>
      <c r="J4605" s="4">
        <v>15</v>
      </c>
      <c r="K4605">
        <v>1</v>
      </c>
      <c r="L4605">
        <v>15</v>
      </c>
      <c r="M4605">
        <v>15</v>
      </c>
      <c r="N4605" s="5">
        <v>0.76026355803345158</v>
      </c>
      <c r="O4605" t="s">
        <v>39</v>
      </c>
      <c r="P4605" t="s">
        <v>340</v>
      </c>
      <c r="Q4605" s="10" t="s">
        <v>24</v>
      </c>
    </row>
    <row r="4606" spans="1:18" hidden="1" x14ac:dyDescent="0.25">
      <c r="A4606" s="9" t="s">
        <v>2172</v>
      </c>
      <c r="B4606" s="3" t="s">
        <v>2259</v>
      </c>
      <c r="C4606" s="10">
        <v>14</v>
      </c>
      <c r="D4606" s="10">
        <v>1</v>
      </c>
      <c r="E4606" s="10">
        <v>20</v>
      </c>
      <c r="F4606" t="s">
        <v>2253</v>
      </c>
      <c r="G4606" t="s">
        <v>889</v>
      </c>
      <c r="H4606" t="s">
        <v>889</v>
      </c>
      <c r="I4606" t="s">
        <v>39</v>
      </c>
      <c r="J4606" s="4">
        <v>30</v>
      </c>
      <c r="K4606">
        <v>1</v>
      </c>
      <c r="L4606">
        <v>30</v>
      </c>
      <c r="M4606">
        <v>30</v>
      </c>
      <c r="N4606" s="5">
        <v>1.5205271160669032</v>
      </c>
      <c r="O4606" t="s">
        <v>39</v>
      </c>
      <c r="P4606" t="s">
        <v>340</v>
      </c>
      <c r="Q4606" s="10" t="s">
        <v>24</v>
      </c>
    </row>
    <row r="4607" spans="1:18" hidden="1" x14ac:dyDescent="0.25">
      <c r="A4607" s="9" t="s">
        <v>2172</v>
      </c>
      <c r="B4607" s="3" t="s">
        <v>2259</v>
      </c>
      <c r="C4607" s="10">
        <v>14</v>
      </c>
      <c r="D4607" s="10">
        <v>1</v>
      </c>
      <c r="E4607" s="10">
        <v>20</v>
      </c>
      <c r="F4607" t="s">
        <v>141</v>
      </c>
      <c r="G4607" t="s">
        <v>889</v>
      </c>
      <c r="H4607" t="s">
        <v>172</v>
      </c>
      <c r="I4607" t="s">
        <v>39</v>
      </c>
      <c r="J4607" s="4">
        <v>2</v>
      </c>
      <c r="K4607">
        <v>3</v>
      </c>
      <c r="L4607">
        <v>2</v>
      </c>
      <c r="M4607">
        <v>6</v>
      </c>
      <c r="N4607" s="5">
        <v>0.30410542321338063</v>
      </c>
      <c r="O4607" t="s">
        <v>39</v>
      </c>
      <c r="P4607" t="s">
        <v>340</v>
      </c>
      <c r="Q4607" s="10" t="s">
        <v>24</v>
      </c>
    </row>
    <row r="4608" spans="1:18" hidden="1" x14ac:dyDescent="0.25">
      <c r="A4608" s="9" t="s">
        <v>2172</v>
      </c>
      <c r="B4608" s="3" t="s">
        <v>2259</v>
      </c>
      <c r="C4608" s="10">
        <v>14</v>
      </c>
      <c r="D4608" s="10">
        <v>1</v>
      </c>
      <c r="E4608" s="10">
        <v>20</v>
      </c>
      <c r="F4608" t="s">
        <v>141</v>
      </c>
      <c r="G4608" t="s">
        <v>889</v>
      </c>
      <c r="H4608" t="s">
        <v>172</v>
      </c>
      <c r="I4608" t="s">
        <v>39</v>
      </c>
      <c r="J4608" s="4">
        <v>3</v>
      </c>
      <c r="K4608">
        <v>1</v>
      </c>
      <c r="L4608">
        <v>3</v>
      </c>
      <c r="M4608">
        <v>3</v>
      </c>
      <c r="N4608" s="5">
        <v>0.15205271160669032</v>
      </c>
      <c r="O4608" t="s">
        <v>39</v>
      </c>
      <c r="P4608" t="s">
        <v>340</v>
      </c>
      <c r="Q4608" s="10" t="s">
        <v>24</v>
      </c>
    </row>
    <row r="4609" spans="1:17" hidden="1" x14ac:dyDescent="0.25">
      <c r="A4609" s="9" t="s">
        <v>2172</v>
      </c>
      <c r="B4609" s="3" t="s">
        <v>2259</v>
      </c>
      <c r="C4609" s="10">
        <v>14</v>
      </c>
      <c r="D4609" s="10">
        <v>1</v>
      </c>
      <c r="E4609" s="10">
        <v>20</v>
      </c>
      <c r="F4609" t="s">
        <v>2254</v>
      </c>
      <c r="G4609" t="s">
        <v>889</v>
      </c>
      <c r="H4609" t="s">
        <v>63</v>
      </c>
      <c r="I4609" t="s">
        <v>50</v>
      </c>
      <c r="J4609" s="4">
        <v>29</v>
      </c>
      <c r="K4609">
        <v>1</v>
      </c>
      <c r="L4609">
        <v>29</v>
      </c>
      <c r="M4609">
        <v>29</v>
      </c>
      <c r="N4609" s="5">
        <v>1.4698428788646731</v>
      </c>
      <c r="O4609" t="s">
        <v>2255</v>
      </c>
      <c r="P4609" t="s">
        <v>340</v>
      </c>
      <c r="Q4609" s="10" t="s">
        <v>24</v>
      </c>
    </row>
    <row r="4610" spans="1:17" hidden="1" x14ac:dyDescent="0.25">
      <c r="A4610" s="9" t="s">
        <v>2172</v>
      </c>
      <c r="B4610" s="3" t="s">
        <v>2259</v>
      </c>
      <c r="C4610" s="10">
        <v>14</v>
      </c>
      <c r="D4610" s="10">
        <v>1</v>
      </c>
      <c r="E4610" s="10">
        <v>20</v>
      </c>
      <c r="F4610" t="s">
        <v>2257</v>
      </c>
      <c r="G4610" t="s">
        <v>889</v>
      </c>
      <c r="H4610" t="s">
        <v>2093</v>
      </c>
      <c r="I4610" t="s">
        <v>72</v>
      </c>
      <c r="J4610" s="4">
        <v>21.11</v>
      </c>
      <c r="K4610">
        <v>2</v>
      </c>
      <c r="L4610">
        <v>21.11</v>
      </c>
      <c r="M4610">
        <v>42.22</v>
      </c>
      <c r="N4610" s="5">
        <v>2.1398884946781549</v>
      </c>
      <c r="O4610" t="s">
        <v>233</v>
      </c>
      <c r="P4610" t="s">
        <v>340</v>
      </c>
      <c r="Q4610" s="10" t="s">
        <v>24</v>
      </c>
    </row>
    <row r="4611" spans="1:17" hidden="1" x14ac:dyDescent="0.25">
      <c r="A4611" s="9" t="s">
        <v>2172</v>
      </c>
      <c r="B4611" s="3" t="s">
        <v>2259</v>
      </c>
      <c r="C4611" s="10">
        <v>14</v>
      </c>
      <c r="D4611" s="10">
        <v>1</v>
      </c>
      <c r="E4611" s="10">
        <v>20</v>
      </c>
      <c r="F4611" t="s">
        <v>676</v>
      </c>
      <c r="G4611" t="s">
        <v>39</v>
      </c>
      <c r="H4611" t="s">
        <v>131</v>
      </c>
      <c r="I4611" t="s">
        <v>27</v>
      </c>
      <c r="J4611" s="4">
        <v>5.15</v>
      </c>
      <c r="K4611">
        <v>1</v>
      </c>
      <c r="L4611">
        <v>5.15</v>
      </c>
      <c r="M4611">
        <v>5.15</v>
      </c>
      <c r="N4611" s="5">
        <v>0.26102382159148507</v>
      </c>
      <c r="O4611" t="s">
        <v>457</v>
      </c>
      <c r="P4611" t="s">
        <v>340</v>
      </c>
      <c r="Q4611" s="10" t="s">
        <v>24</v>
      </c>
    </row>
    <row r="4612" spans="1:17" hidden="1" x14ac:dyDescent="0.25">
      <c r="A4612" s="9" t="s">
        <v>2172</v>
      </c>
      <c r="B4612" s="3" t="s">
        <v>2259</v>
      </c>
      <c r="C4612" s="10">
        <v>14</v>
      </c>
      <c r="D4612" s="10">
        <v>1</v>
      </c>
      <c r="E4612" s="10">
        <v>20</v>
      </c>
      <c r="F4612" t="s">
        <v>2105</v>
      </c>
      <c r="G4612" t="s">
        <v>345</v>
      </c>
      <c r="H4612" t="s">
        <v>26</v>
      </c>
      <c r="I4612" t="s">
        <v>27</v>
      </c>
      <c r="J4612" s="4">
        <v>9.9499999999999993</v>
      </c>
      <c r="K4612">
        <v>1</v>
      </c>
      <c r="L4612">
        <v>9.9499999999999993</v>
      </c>
      <c r="M4612">
        <v>9.9499999999999993</v>
      </c>
      <c r="N4612" s="5">
        <v>0.50430816016218949</v>
      </c>
      <c r="O4612" t="s">
        <v>1472</v>
      </c>
      <c r="P4612" t="s">
        <v>340</v>
      </c>
      <c r="Q4612" s="10" t="s">
        <v>24</v>
      </c>
    </row>
    <row r="4613" spans="1:17" hidden="1" x14ac:dyDescent="0.25">
      <c r="A4613" s="9" t="s">
        <v>2172</v>
      </c>
      <c r="B4613" s="3" t="s">
        <v>2259</v>
      </c>
      <c r="C4613" s="10">
        <v>14</v>
      </c>
      <c r="D4613" s="10">
        <v>1</v>
      </c>
      <c r="E4613" s="10">
        <v>20</v>
      </c>
      <c r="F4613" t="s">
        <v>206</v>
      </c>
      <c r="G4613" t="s">
        <v>889</v>
      </c>
      <c r="H4613" t="s">
        <v>56</v>
      </c>
      <c r="I4613" t="s">
        <v>27</v>
      </c>
      <c r="J4613" s="4">
        <v>6.59</v>
      </c>
      <c r="K4613">
        <v>1</v>
      </c>
      <c r="L4613">
        <v>6.59</v>
      </c>
      <c r="M4613">
        <v>6.59</v>
      </c>
      <c r="N4613" s="5">
        <v>0.33400912316269638</v>
      </c>
      <c r="O4613" t="s">
        <v>1472</v>
      </c>
      <c r="P4613" t="s">
        <v>340</v>
      </c>
      <c r="Q4613" s="10" t="s">
        <v>24</v>
      </c>
    </row>
    <row r="4614" spans="1:17" hidden="1" x14ac:dyDescent="0.25">
      <c r="A4614" s="9" t="s">
        <v>2172</v>
      </c>
      <c r="B4614" s="3" t="s">
        <v>2259</v>
      </c>
      <c r="C4614" s="10">
        <v>14</v>
      </c>
      <c r="D4614" s="10">
        <v>1</v>
      </c>
      <c r="E4614" s="10">
        <v>20</v>
      </c>
      <c r="F4614" t="s">
        <v>2258</v>
      </c>
      <c r="G4614" t="s">
        <v>889</v>
      </c>
      <c r="H4614" t="s">
        <v>63</v>
      </c>
      <c r="I4614" t="s">
        <v>27</v>
      </c>
      <c r="J4614" s="4">
        <v>55</v>
      </c>
      <c r="K4614">
        <v>1</v>
      </c>
      <c r="L4614">
        <v>55</v>
      </c>
      <c r="M4614">
        <v>55</v>
      </c>
      <c r="N4614" s="5">
        <v>2.7876330461226559</v>
      </c>
      <c r="O4614" t="s">
        <v>1472</v>
      </c>
      <c r="P4614" t="s">
        <v>340</v>
      </c>
      <c r="Q4614" s="10" t="s">
        <v>24</v>
      </c>
    </row>
    <row r="4615" spans="1:17" hidden="1" x14ac:dyDescent="0.25">
      <c r="A4615" s="9" t="s">
        <v>2172</v>
      </c>
      <c r="B4615" s="3" t="s">
        <v>2274</v>
      </c>
      <c r="C4615" s="10">
        <v>15</v>
      </c>
      <c r="D4615" s="10">
        <v>1</v>
      </c>
      <c r="E4615" s="10">
        <v>20</v>
      </c>
      <c r="F4615" t="s">
        <v>464</v>
      </c>
      <c r="G4615" t="s">
        <v>465</v>
      </c>
      <c r="H4615" t="s">
        <v>35</v>
      </c>
      <c r="I4615" t="s">
        <v>27</v>
      </c>
      <c r="J4615" s="4">
        <v>116.7</v>
      </c>
      <c r="K4615">
        <v>0.93400000000000005</v>
      </c>
      <c r="L4615">
        <v>116.7</v>
      </c>
      <c r="M4615">
        <v>108.99780000000001</v>
      </c>
      <c r="N4615" s="5">
        <v>5.5244703497212369</v>
      </c>
      <c r="O4615" t="s">
        <v>100</v>
      </c>
      <c r="P4615" t="s">
        <v>340</v>
      </c>
      <c r="Q4615" s="10" t="s">
        <v>24</v>
      </c>
    </row>
    <row r="4616" spans="1:17" hidden="1" x14ac:dyDescent="0.25">
      <c r="A4616" s="9" t="s">
        <v>2172</v>
      </c>
      <c r="B4616" s="3" t="s">
        <v>2274</v>
      </c>
      <c r="C4616" s="10">
        <v>15</v>
      </c>
      <c r="D4616" s="10">
        <v>1</v>
      </c>
      <c r="E4616" s="10">
        <v>20</v>
      </c>
      <c r="F4616" t="s">
        <v>1357</v>
      </c>
      <c r="G4616" t="s">
        <v>889</v>
      </c>
      <c r="H4616" t="s">
        <v>35</v>
      </c>
      <c r="I4616" t="s">
        <v>27</v>
      </c>
      <c r="J4616" s="4">
        <v>182.6</v>
      </c>
      <c r="K4616">
        <v>0.248</v>
      </c>
      <c r="L4616">
        <v>182.6</v>
      </c>
      <c r="M4616">
        <v>45.284799999999997</v>
      </c>
      <c r="N4616" s="5">
        <v>2.2952255448555499</v>
      </c>
      <c r="O4616" t="s">
        <v>100</v>
      </c>
      <c r="P4616" t="s">
        <v>340</v>
      </c>
      <c r="Q4616" s="10" t="s">
        <v>24</v>
      </c>
    </row>
    <row r="4617" spans="1:17" hidden="1" x14ac:dyDescent="0.25">
      <c r="A4617" s="9" t="s">
        <v>2172</v>
      </c>
      <c r="B4617" s="3" t="s">
        <v>2274</v>
      </c>
      <c r="C4617" s="10">
        <v>15</v>
      </c>
      <c r="D4617" s="10">
        <v>1</v>
      </c>
      <c r="E4617" s="10">
        <v>20</v>
      </c>
      <c r="F4617" t="s">
        <v>1466</v>
      </c>
      <c r="G4617" t="s">
        <v>31</v>
      </c>
      <c r="H4617" t="s">
        <v>26</v>
      </c>
      <c r="I4617" t="s">
        <v>27</v>
      </c>
      <c r="J4617" s="4">
        <v>38.6</v>
      </c>
      <c r="K4617">
        <v>1</v>
      </c>
      <c r="L4617">
        <v>38.6</v>
      </c>
      <c r="M4617">
        <v>38.6</v>
      </c>
      <c r="N4617" s="5">
        <v>1.9564115560060822</v>
      </c>
      <c r="O4617" t="s">
        <v>100</v>
      </c>
      <c r="P4617" t="s">
        <v>340</v>
      </c>
      <c r="Q4617" s="10" t="s">
        <v>24</v>
      </c>
    </row>
    <row r="4618" spans="1:17" hidden="1" x14ac:dyDescent="0.25">
      <c r="A4618" s="9" t="s">
        <v>2172</v>
      </c>
      <c r="B4618" s="3" t="s">
        <v>2274</v>
      </c>
      <c r="C4618" s="10">
        <v>15</v>
      </c>
      <c r="D4618" s="10">
        <v>1</v>
      </c>
      <c r="E4618" s="10">
        <v>20</v>
      </c>
      <c r="F4618" t="s">
        <v>475</v>
      </c>
      <c r="G4618" t="s">
        <v>889</v>
      </c>
      <c r="H4618" t="s">
        <v>62</v>
      </c>
      <c r="I4618" t="s">
        <v>27</v>
      </c>
      <c r="J4618" s="4">
        <v>53.6</v>
      </c>
      <c r="K4618">
        <v>1</v>
      </c>
      <c r="L4618">
        <v>53.6</v>
      </c>
      <c r="M4618">
        <v>53.6</v>
      </c>
      <c r="N4618" s="5">
        <v>2.7166751140395338</v>
      </c>
      <c r="O4618" t="s">
        <v>100</v>
      </c>
      <c r="P4618" t="s">
        <v>340</v>
      </c>
      <c r="Q4618" s="10" t="s">
        <v>24</v>
      </c>
    </row>
    <row r="4619" spans="1:17" hidden="1" x14ac:dyDescent="0.25">
      <c r="A4619" s="9" t="s">
        <v>2172</v>
      </c>
      <c r="B4619" s="3" t="s">
        <v>2274</v>
      </c>
      <c r="C4619" s="10">
        <v>15</v>
      </c>
      <c r="D4619" s="10">
        <v>1</v>
      </c>
      <c r="E4619" s="10">
        <v>20</v>
      </c>
      <c r="F4619" t="s">
        <v>2271</v>
      </c>
      <c r="G4619" t="s">
        <v>889</v>
      </c>
      <c r="H4619" t="s">
        <v>131</v>
      </c>
      <c r="I4619" t="s">
        <v>27</v>
      </c>
      <c r="J4619" s="4">
        <v>16.600000000000001</v>
      </c>
      <c r="K4619">
        <v>4</v>
      </c>
      <c r="L4619">
        <v>16.600000000000001</v>
      </c>
      <c r="M4619">
        <v>66.400000000000006</v>
      </c>
      <c r="N4619" s="5">
        <v>3.3654333502280793</v>
      </c>
      <c r="O4619" t="s">
        <v>100</v>
      </c>
      <c r="P4619" t="s">
        <v>340</v>
      </c>
      <c r="Q4619" s="10" t="s">
        <v>24</v>
      </c>
    </row>
    <row r="4620" spans="1:17" hidden="1" x14ac:dyDescent="0.25">
      <c r="A4620" s="9" t="s">
        <v>2172</v>
      </c>
      <c r="B4620" s="3" t="s">
        <v>2274</v>
      </c>
      <c r="C4620" s="10">
        <v>15</v>
      </c>
      <c r="D4620" s="10">
        <v>1</v>
      </c>
      <c r="E4620" s="10">
        <v>20</v>
      </c>
      <c r="F4620" t="s">
        <v>1036</v>
      </c>
      <c r="G4620" t="s">
        <v>889</v>
      </c>
      <c r="H4620" t="s">
        <v>38</v>
      </c>
      <c r="I4620" t="s">
        <v>27</v>
      </c>
      <c r="J4620" s="4">
        <v>126</v>
      </c>
      <c r="K4620">
        <v>0.26800000000000002</v>
      </c>
      <c r="L4620">
        <v>126</v>
      </c>
      <c r="M4620">
        <v>33.768000000000001</v>
      </c>
      <c r="N4620" s="5">
        <v>1.7115053218449063</v>
      </c>
      <c r="O4620" t="s">
        <v>100</v>
      </c>
      <c r="P4620" t="s">
        <v>340</v>
      </c>
      <c r="Q4620" s="10" t="s">
        <v>24</v>
      </c>
    </row>
    <row r="4621" spans="1:17" hidden="1" x14ac:dyDescent="0.25">
      <c r="A4621" s="9" t="s">
        <v>2172</v>
      </c>
      <c r="B4621" s="3" t="s">
        <v>2274</v>
      </c>
      <c r="C4621" s="10">
        <v>15</v>
      </c>
      <c r="D4621" s="10">
        <v>1</v>
      </c>
      <c r="E4621" s="10">
        <v>20</v>
      </c>
      <c r="F4621" t="s">
        <v>398</v>
      </c>
      <c r="G4621" t="s">
        <v>889</v>
      </c>
      <c r="H4621" t="s">
        <v>40</v>
      </c>
      <c r="I4621" t="s">
        <v>27</v>
      </c>
      <c r="J4621" s="4">
        <v>14.6</v>
      </c>
      <c r="K4621">
        <v>1</v>
      </c>
      <c r="L4621">
        <v>14.6</v>
      </c>
      <c r="M4621">
        <v>14.6</v>
      </c>
      <c r="N4621" s="5">
        <v>0.73998986315255955</v>
      </c>
      <c r="O4621" t="s">
        <v>100</v>
      </c>
      <c r="P4621" t="s">
        <v>340</v>
      </c>
      <c r="Q4621" s="10" t="s">
        <v>24</v>
      </c>
    </row>
    <row r="4622" spans="1:17" hidden="1" x14ac:dyDescent="0.25">
      <c r="A4622" s="9" t="s">
        <v>2172</v>
      </c>
      <c r="B4622" s="3" t="s">
        <v>2274</v>
      </c>
      <c r="C4622" s="10">
        <v>15</v>
      </c>
      <c r="D4622" s="10">
        <v>1</v>
      </c>
      <c r="E4622" s="10">
        <v>20</v>
      </c>
      <c r="F4622" t="s">
        <v>2272</v>
      </c>
      <c r="G4622" t="s">
        <v>889</v>
      </c>
      <c r="H4622" t="s">
        <v>39</v>
      </c>
      <c r="I4622" t="s">
        <v>27</v>
      </c>
      <c r="J4622" s="4">
        <v>66.63</v>
      </c>
      <c r="K4622">
        <v>0.4</v>
      </c>
      <c r="L4622">
        <v>66.63</v>
      </c>
      <c r="M4622">
        <v>26.652000000000001</v>
      </c>
      <c r="N4622" s="5">
        <v>1.3508362899138369</v>
      </c>
      <c r="O4622" t="s">
        <v>100</v>
      </c>
      <c r="P4622" t="s">
        <v>340</v>
      </c>
      <c r="Q4622" s="10" t="s">
        <v>24</v>
      </c>
    </row>
    <row r="4623" spans="1:17" hidden="1" x14ac:dyDescent="0.25">
      <c r="A4623" s="9" t="s">
        <v>2172</v>
      </c>
      <c r="B4623" s="3" t="s">
        <v>2274</v>
      </c>
      <c r="C4623" s="10">
        <v>15</v>
      </c>
      <c r="D4623" s="10">
        <v>1</v>
      </c>
      <c r="E4623" s="10">
        <v>20</v>
      </c>
      <c r="F4623" t="s">
        <v>2273</v>
      </c>
      <c r="G4623" t="s">
        <v>889</v>
      </c>
      <c r="H4623" t="s">
        <v>26</v>
      </c>
      <c r="I4623" t="s">
        <v>27</v>
      </c>
      <c r="J4623" s="4">
        <v>210</v>
      </c>
      <c r="K4623">
        <v>0.34200000000000003</v>
      </c>
      <c r="L4623">
        <v>210</v>
      </c>
      <c r="M4623">
        <v>71.820000000000007</v>
      </c>
      <c r="N4623" s="5">
        <v>3.6401419158641666</v>
      </c>
      <c r="O4623" t="s">
        <v>100</v>
      </c>
      <c r="P4623" t="s">
        <v>340</v>
      </c>
      <c r="Q4623" s="10" t="s">
        <v>24</v>
      </c>
    </row>
    <row r="4624" spans="1:17" hidden="1" x14ac:dyDescent="0.25">
      <c r="A4624" s="9" t="s">
        <v>2172</v>
      </c>
      <c r="B4624" s="3" t="s">
        <v>2270</v>
      </c>
      <c r="C4624" s="10">
        <v>16</v>
      </c>
      <c r="D4624" s="10">
        <v>1</v>
      </c>
      <c r="E4624" s="10">
        <v>20</v>
      </c>
      <c r="F4624" t="s">
        <v>141</v>
      </c>
      <c r="G4624" t="s">
        <v>889</v>
      </c>
      <c r="H4624" t="s">
        <v>172</v>
      </c>
      <c r="I4624" t="s">
        <v>39</v>
      </c>
      <c r="J4624" s="4">
        <v>2</v>
      </c>
      <c r="K4624">
        <v>2</v>
      </c>
      <c r="L4624">
        <v>2</v>
      </c>
      <c r="M4624">
        <v>4</v>
      </c>
      <c r="N4624" s="5">
        <v>0.20273694880892043</v>
      </c>
      <c r="O4624" t="s">
        <v>2266</v>
      </c>
      <c r="P4624" t="s">
        <v>340</v>
      </c>
      <c r="Q4624" s="10" t="s">
        <v>24</v>
      </c>
    </row>
    <row r="4625" spans="1:18" hidden="1" x14ac:dyDescent="0.25">
      <c r="A4625" s="9" t="s">
        <v>2172</v>
      </c>
      <c r="B4625" s="3" t="s">
        <v>2270</v>
      </c>
      <c r="C4625" s="10">
        <v>16</v>
      </c>
      <c r="D4625" s="10">
        <v>1</v>
      </c>
      <c r="E4625" s="10">
        <v>20</v>
      </c>
      <c r="F4625" t="s">
        <v>1376</v>
      </c>
      <c r="G4625" t="s">
        <v>889</v>
      </c>
      <c r="H4625" t="s">
        <v>131</v>
      </c>
      <c r="I4625" t="s">
        <v>27</v>
      </c>
      <c r="J4625" s="4">
        <v>274.35000000000002</v>
      </c>
      <c r="K4625">
        <v>0.19600000000000001</v>
      </c>
      <c r="L4625">
        <v>274.35000000000002</v>
      </c>
      <c r="M4625">
        <v>53.772600000000004</v>
      </c>
      <c r="N4625" s="5">
        <v>2.7254232133806386</v>
      </c>
      <c r="O4625" t="s">
        <v>88</v>
      </c>
      <c r="P4625" t="s">
        <v>340</v>
      </c>
      <c r="Q4625" s="10" t="s">
        <v>24</v>
      </c>
    </row>
    <row r="4626" spans="1:18" hidden="1" x14ac:dyDescent="0.25">
      <c r="A4626" s="9" t="s">
        <v>2172</v>
      </c>
      <c r="B4626" s="3" t="s">
        <v>2270</v>
      </c>
      <c r="C4626" s="10">
        <v>16</v>
      </c>
      <c r="D4626" s="10">
        <v>1</v>
      </c>
      <c r="E4626" s="10">
        <v>20</v>
      </c>
      <c r="F4626" t="s">
        <v>802</v>
      </c>
      <c r="G4626" t="s">
        <v>708</v>
      </c>
      <c r="H4626" t="s">
        <v>1612</v>
      </c>
      <c r="I4626" t="s">
        <v>27</v>
      </c>
      <c r="J4626" s="4">
        <v>129.05000000000001</v>
      </c>
      <c r="K4626">
        <v>0.15</v>
      </c>
      <c r="L4626">
        <v>129.05000000000001</v>
      </c>
      <c r="M4626">
        <v>19.357500000000002</v>
      </c>
      <c r="N4626" s="5">
        <v>0.98112012164216933</v>
      </c>
      <c r="O4626" t="s">
        <v>88</v>
      </c>
      <c r="P4626" t="s">
        <v>340</v>
      </c>
      <c r="Q4626" s="10" t="s">
        <v>24</v>
      </c>
    </row>
    <row r="4627" spans="1:18" hidden="1" x14ac:dyDescent="0.25">
      <c r="A4627" s="9" t="s">
        <v>2172</v>
      </c>
      <c r="B4627" s="3" t="s">
        <v>2270</v>
      </c>
      <c r="C4627" s="10">
        <v>16</v>
      </c>
      <c r="D4627" s="10">
        <v>1</v>
      </c>
      <c r="E4627" s="10">
        <v>20</v>
      </c>
      <c r="F4627" t="s">
        <v>1624</v>
      </c>
      <c r="G4627" t="s">
        <v>889</v>
      </c>
      <c r="H4627" t="s">
        <v>131</v>
      </c>
      <c r="I4627" t="s">
        <v>27</v>
      </c>
      <c r="J4627" s="4">
        <v>508</v>
      </c>
      <c r="K4627">
        <v>0.04</v>
      </c>
      <c r="L4627">
        <v>508</v>
      </c>
      <c r="M4627">
        <v>20.32</v>
      </c>
      <c r="N4627" s="5">
        <v>1.0299036999493159</v>
      </c>
      <c r="O4627" t="s">
        <v>88</v>
      </c>
      <c r="P4627" t="s">
        <v>340</v>
      </c>
      <c r="Q4627" s="10" t="s">
        <v>24</v>
      </c>
    </row>
    <row r="4628" spans="1:18" hidden="1" x14ac:dyDescent="0.25">
      <c r="A4628" s="9" t="s">
        <v>2172</v>
      </c>
      <c r="B4628" s="3" t="s">
        <v>2270</v>
      </c>
      <c r="C4628" s="10">
        <v>16</v>
      </c>
      <c r="D4628" s="10">
        <v>1</v>
      </c>
      <c r="E4628" s="10">
        <v>20</v>
      </c>
      <c r="F4628" t="s">
        <v>146</v>
      </c>
      <c r="G4628" t="s">
        <v>889</v>
      </c>
      <c r="H4628" t="s">
        <v>49</v>
      </c>
      <c r="I4628" t="s">
        <v>50</v>
      </c>
      <c r="J4628" s="4">
        <v>1.5</v>
      </c>
      <c r="K4628">
        <v>1</v>
      </c>
      <c r="L4628">
        <v>1.5</v>
      </c>
      <c r="M4628">
        <v>1.5</v>
      </c>
      <c r="N4628" s="5">
        <v>7.6026355803345158E-2</v>
      </c>
      <c r="O4628" t="s">
        <v>88</v>
      </c>
      <c r="P4628" t="s">
        <v>340</v>
      </c>
      <c r="Q4628" s="10" t="s">
        <v>24</v>
      </c>
    </row>
    <row r="4629" spans="1:18" hidden="1" x14ac:dyDescent="0.25">
      <c r="A4629" s="9" t="s">
        <v>2172</v>
      </c>
      <c r="B4629" s="3" t="s">
        <v>2270</v>
      </c>
      <c r="C4629" s="10">
        <v>16</v>
      </c>
      <c r="D4629" s="10">
        <v>1</v>
      </c>
      <c r="E4629" s="10">
        <v>20</v>
      </c>
      <c r="F4629" t="s">
        <v>53</v>
      </c>
      <c r="G4629" t="s">
        <v>889</v>
      </c>
      <c r="H4629" t="s">
        <v>53</v>
      </c>
      <c r="I4629" t="s">
        <v>27</v>
      </c>
      <c r="J4629" s="4">
        <v>18</v>
      </c>
      <c r="K4629">
        <v>1</v>
      </c>
      <c r="L4629">
        <v>18</v>
      </c>
      <c r="M4629">
        <v>18</v>
      </c>
      <c r="N4629" s="5">
        <v>0.9123162696401419</v>
      </c>
      <c r="O4629" t="s">
        <v>23</v>
      </c>
      <c r="P4629" t="s">
        <v>340</v>
      </c>
      <c r="Q4629" s="10" t="s">
        <v>24</v>
      </c>
    </row>
    <row r="4630" spans="1:18" hidden="1" x14ac:dyDescent="0.25">
      <c r="A4630" s="9" t="s">
        <v>2172</v>
      </c>
      <c r="B4630" s="3" t="s">
        <v>2270</v>
      </c>
      <c r="C4630" s="10">
        <v>16</v>
      </c>
      <c r="D4630" s="10">
        <v>1</v>
      </c>
      <c r="E4630" s="10">
        <v>20</v>
      </c>
      <c r="F4630" t="s">
        <v>770</v>
      </c>
      <c r="G4630" t="s">
        <v>31</v>
      </c>
      <c r="H4630" t="s">
        <v>26</v>
      </c>
      <c r="I4630" t="s">
        <v>27</v>
      </c>
      <c r="J4630" s="4">
        <v>8.1999999999999993</v>
      </c>
      <c r="K4630">
        <v>2</v>
      </c>
      <c r="L4630">
        <v>8.1999999999999993</v>
      </c>
      <c r="M4630">
        <v>16.399999999999999</v>
      </c>
      <c r="N4630" s="5">
        <v>0.83122149011657365</v>
      </c>
      <c r="O4630" t="s">
        <v>101</v>
      </c>
      <c r="P4630" t="s">
        <v>340</v>
      </c>
      <c r="Q4630" s="10" t="s">
        <v>24</v>
      </c>
    </row>
    <row r="4631" spans="1:18" hidden="1" x14ac:dyDescent="0.25">
      <c r="A4631" s="9" t="s">
        <v>2172</v>
      </c>
      <c r="B4631" s="3" t="s">
        <v>2269</v>
      </c>
      <c r="C4631" s="10">
        <v>18</v>
      </c>
      <c r="D4631" s="10">
        <v>1</v>
      </c>
      <c r="E4631" s="10">
        <v>20</v>
      </c>
      <c r="F4631" t="s">
        <v>81</v>
      </c>
      <c r="G4631" t="s">
        <v>889</v>
      </c>
      <c r="H4631" t="s">
        <v>889</v>
      </c>
      <c r="I4631" t="s">
        <v>39</v>
      </c>
      <c r="J4631" s="4">
        <v>164</v>
      </c>
      <c r="K4631">
        <v>1</v>
      </c>
      <c r="L4631">
        <v>164</v>
      </c>
      <c r="M4631">
        <v>164</v>
      </c>
      <c r="N4631" s="5">
        <v>8.3122149011657367</v>
      </c>
      <c r="O4631" t="s">
        <v>2266</v>
      </c>
      <c r="P4631" t="s">
        <v>340</v>
      </c>
      <c r="Q4631" s="10" t="s">
        <v>24</v>
      </c>
      <c r="R4631" t="s">
        <v>2264</v>
      </c>
    </row>
    <row r="4632" spans="1:18" hidden="1" x14ac:dyDescent="0.25">
      <c r="A4632" s="9" t="s">
        <v>2172</v>
      </c>
      <c r="B4632" s="3" t="s">
        <v>2269</v>
      </c>
      <c r="C4632" s="10">
        <v>18</v>
      </c>
      <c r="D4632" s="10">
        <v>1</v>
      </c>
      <c r="E4632" s="10">
        <v>20</v>
      </c>
      <c r="F4632" t="s">
        <v>81</v>
      </c>
      <c r="G4632" t="s">
        <v>889</v>
      </c>
      <c r="H4632" t="s">
        <v>889</v>
      </c>
      <c r="I4632" t="s">
        <v>39</v>
      </c>
      <c r="J4632" s="4">
        <v>500</v>
      </c>
      <c r="K4632">
        <v>1</v>
      </c>
      <c r="L4632">
        <v>500</v>
      </c>
      <c r="M4632">
        <v>500</v>
      </c>
      <c r="N4632" s="5">
        <v>25.342118601115054</v>
      </c>
      <c r="O4632" t="s">
        <v>39</v>
      </c>
      <c r="P4632" t="s">
        <v>340</v>
      </c>
      <c r="Q4632" s="10" t="s">
        <v>24</v>
      </c>
      <c r="R4632" t="s">
        <v>2265</v>
      </c>
    </row>
    <row r="4633" spans="1:18" hidden="1" x14ac:dyDescent="0.25">
      <c r="A4633" s="9" t="s">
        <v>2172</v>
      </c>
      <c r="B4633" s="3" t="s">
        <v>2269</v>
      </c>
      <c r="C4633" s="10">
        <v>18</v>
      </c>
      <c r="D4633" s="10">
        <v>1</v>
      </c>
      <c r="E4633" s="10">
        <v>20</v>
      </c>
      <c r="F4633" t="s">
        <v>146</v>
      </c>
      <c r="G4633" t="s">
        <v>889</v>
      </c>
      <c r="H4633" t="s">
        <v>49</v>
      </c>
      <c r="I4633" t="s">
        <v>50</v>
      </c>
      <c r="J4633" s="4">
        <v>0.5</v>
      </c>
      <c r="K4633">
        <v>1</v>
      </c>
      <c r="L4633">
        <v>0.5</v>
      </c>
      <c r="M4633">
        <v>0.5</v>
      </c>
      <c r="N4633" s="5">
        <v>2.5342118601115054E-2</v>
      </c>
      <c r="O4633" t="s">
        <v>101</v>
      </c>
      <c r="P4633" t="s">
        <v>340</v>
      </c>
      <c r="Q4633" s="10" t="s">
        <v>24</v>
      </c>
    </row>
    <row r="4634" spans="1:18" hidden="1" x14ac:dyDescent="0.25">
      <c r="A4634" s="9" t="s">
        <v>2172</v>
      </c>
      <c r="B4634" s="3" t="s">
        <v>2269</v>
      </c>
      <c r="C4634" s="10">
        <v>18</v>
      </c>
      <c r="D4634" s="10">
        <v>1</v>
      </c>
      <c r="E4634" s="10">
        <v>20</v>
      </c>
      <c r="F4634" t="s">
        <v>2242</v>
      </c>
      <c r="G4634" t="s">
        <v>889</v>
      </c>
      <c r="H4634" t="s">
        <v>26</v>
      </c>
      <c r="I4634" t="s">
        <v>27</v>
      </c>
      <c r="J4634" s="4">
        <v>6.8</v>
      </c>
      <c r="K4634">
        <v>1</v>
      </c>
      <c r="L4634">
        <v>6.8</v>
      </c>
      <c r="M4634">
        <v>6.8</v>
      </c>
      <c r="N4634" s="5">
        <v>0.3446528129751647</v>
      </c>
      <c r="O4634" t="s">
        <v>101</v>
      </c>
      <c r="P4634" t="s">
        <v>340</v>
      </c>
      <c r="Q4634" s="10" t="s">
        <v>24</v>
      </c>
    </row>
    <row r="4635" spans="1:18" hidden="1" x14ac:dyDescent="0.25">
      <c r="A4635" s="9" t="s">
        <v>2172</v>
      </c>
      <c r="B4635" s="3" t="s">
        <v>2269</v>
      </c>
      <c r="C4635" s="10">
        <v>18</v>
      </c>
      <c r="D4635" s="10">
        <v>1</v>
      </c>
      <c r="E4635" s="10">
        <v>20</v>
      </c>
      <c r="F4635" t="s">
        <v>770</v>
      </c>
      <c r="G4635" t="s">
        <v>31</v>
      </c>
      <c r="H4635" t="s">
        <v>26</v>
      </c>
      <c r="I4635" t="s">
        <v>27</v>
      </c>
      <c r="J4635" s="4">
        <v>8.1999999999999993</v>
      </c>
      <c r="K4635">
        <v>1</v>
      </c>
      <c r="L4635">
        <v>8.1999999999999993</v>
      </c>
      <c r="M4635">
        <v>8.1999999999999993</v>
      </c>
      <c r="N4635" s="5">
        <v>0.41561074505828682</v>
      </c>
      <c r="O4635" t="s">
        <v>101</v>
      </c>
      <c r="P4635" t="s">
        <v>340</v>
      </c>
      <c r="Q4635" s="10" t="s">
        <v>24</v>
      </c>
    </row>
    <row r="4636" spans="1:18" hidden="1" x14ac:dyDescent="0.25">
      <c r="A4636" s="9" t="s">
        <v>2172</v>
      </c>
      <c r="B4636" s="3" t="s">
        <v>2269</v>
      </c>
      <c r="C4636" s="10">
        <v>18</v>
      </c>
      <c r="D4636" s="10">
        <v>1</v>
      </c>
      <c r="E4636" s="10">
        <v>20</v>
      </c>
      <c r="F4636" t="s">
        <v>981</v>
      </c>
      <c r="G4636" t="s">
        <v>31</v>
      </c>
      <c r="H4636" t="s">
        <v>26</v>
      </c>
      <c r="I4636" t="s">
        <v>27</v>
      </c>
      <c r="J4636" s="4">
        <v>10.25</v>
      </c>
      <c r="K4636">
        <v>1</v>
      </c>
      <c r="L4636">
        <v>10.25</v>
      </c>
      <c r="M4636">
        <v>10.25</v>
      </c>
      <c r="N4636" s="5">
        <v>0.51951343132285854</v>
      </c>
      <c r="O4636" t="s">
        <v>101</v>
      </c>
      <c r="P4636" t="s">
        <v>340</v>
      </c>
      <c r="Q4636" s="10" t="s">
        <v>24</v>
      </c>
    </row>
    <row r="4637" spans="1:18" hidden="1" x14ac:dyDescent="0.25">
      <c r="A4637" s="9" t="s">
        <v>2172</v>
      </c>
      <c r="B4637" s="3" t="s">
        <v>2269</v>
      </c>
      <c r="C4637" s="10">
        <v>18</v>
      </c>
      <c r="D4637" s="10">
        <v>1</v>
      </c>
      <c r="E4637" s="10">
        <v>20</v>
      </c>
      <c r="F4637" t="s">
        <v>2267</v>
      </c>
      <c r="G4637" t="s">
        <v>889</v>
      </c>
      <c r="H4637" t="s">
        <v>63</v>
      </c>
      <c r="I4637" t="s">
        <v>50</v>
      </c>
      <c r="J4637" s="4">
        <v>1699</v>
      </c>
      <c r="K4637">
        <v>1</v>
      </c>
      <c r="L4637">
        <v>1699</v>
      </c>
      <c r="M4637">
        <v>1699</v>
      </c>
      <c r="N4637" s="5">
        <v>86.112519006588954</v>
      </c>
      <c r="O4637" t="s">
        <v>2268</v>
      </c>
      <c r="P4637" t="s">
        <v>340</v>
      </c>
      <c r="Q4637" s="10" t="s">
        <v>24</v>
      </c>
    </row>
    <row r="4638" spans="1:18" hidden="1" x14ac:dyDescent="0.25">
      <c r="A4638" s="9" t="s">
        <v>2172</v>
      </c>
      <c r="B4638" s="3" t="s">
        <v>2269</v>
      </c>
      <c r="C4638" s="10">
        <v>18</v>
      </c>
      <c r="D4638" s="10">
        <v>1</v>
      </c>
      <c r="E4638" s="10">
        <v>20</v>
      </c>
      <c r="F4638" t="s">
        <v>184</v>
      </c>
      <c r="G4638" t="s">
        <v>304</v>
      </c>
      <c r="H4638" t="s">
        <v>184</v>
      </c>
      <c r="I4638" t="s">
        <v>79</v>
      </c>
      <c r="J4638" s="4">
        <v>40</v>
      </c>
      <c r="K4638">
        <v>1</v>
      </c>
      <c r="L4638">
        <v>40</v>
      </c>
      <c r="M4638">
        <v>40</v>
      </c>
      <c r="N4638" s="5">
        <v>2.0273694880892044</v>
      </c>
      <c r="O4638" t="s">
        <v>39</v>
      </c>
      <c r="P4638" t="s">
        <v>340</v>
      </c>
      <c r="Q4638" s="10" t="s">
        <v>24</v>
      </c>
      <c r="R4638" t="s">
        <v>1708</v>
      </c>
    </row>
    <row r="4639" spans="1:18" hidden="1" x14ac:dyDescent="0.25">
      <c r="A4639" s="9" t="s">
        <v>2172</v>
      </c>
      <c r="B4639" s="3" t="s">
        <v>2277</v>
      </c>
      <c r="C4639" s="10">
        <v>19</v>
      </c>
      <c r="D4639" s="10">
        <v>1</v>
      </c>
      <c r="E4639" s="10">
        <v>20</v>
      </c>
      <c r="F4639" t="s">
        <v>1265</v>
      </c>
      <c r="G4639" t="s">
        <v>31</v>
      </c>
      <c r="H4639" t="s">
        <v>26</v>
      </c>
      <c r="I4639" t="s">
        <v>27</v>
      </c>
      <c r="J4639" s="4">
        <v>8.92</v>
      </c>
      <c r="K4639">
        <v>4</v>
      </c>
      <c r="L4639">
        <v>8.92</v>
      </c>
      <c r="M4639">
        <v>35.68</v>
      </c>
      <c r="N4639" s="5">
        <v>1.8084135833755701</v>
      </c>
      <c r="O4639" t="s">
        <v>181</v>
      </c>
      <c r="P4639" t="s">
        <v>340</v>
      </c>
      <c r="Q4639" s="10" t="s">
        <v>24</v>
      </c>
    </row>
    <row r="4640" spans="1:18" hidden="1" x14ac:dyDescent="0.25">
      <c r="A4640" s="9" t="s">
        <v>2172</v>
      </c>
      <c r="B4640" s="3" t="s">
        <v>2277</v>
      </c>
      <c r="C4640" s="10">
        <v>19</v>
      </c>
      <c r="D4640" s="10">
        <v>1</v>
      </c>
      <c r="E4640" s="10">
        <v>20</v>
      </c>
      <c r="F4640" t="s">
        <v>55</v>
      </c>
      <c r="G4640" t="s">
        <v>889</v>
      </c>
      <c r="H4640" t="s">
        <v>56</v>
      </c>
      <c r="I4640" t="s">
        <v>27</v>
      </c>
      <c r="J4640" s="4">
        <v>24</v>
      </c>
      <c r="K4640">
        <v>1.18</v>
      </c>
      <c r="L4640">
        <v>24</v>
      </c>
      <c r="M4640">
        <v>28.32</v>
      </c>
      <c r="N4640" s="5">
        <v>1.4353775975671565</v>
      </c>
      <c r="O4640" t="s">
        <v>181</v>
      </c>
      <c r="P4640" t="s">
        <v>340</v>
      </c>
      <c r="Q4640" s="10" t="s">
        <v>24</v>
      </c>
    </row>
    <row r="4641" spans="1:18" hidden="1" x14ac:dyDescent="0.25">
      <c r="A4641" s="9" t="s">
        <v>2172</v>
      </c>
      <c r="B4641" s="3" t="s">
        <v>2277</v>
      </c>
      <c r="C4641" s="10">
        <v>19</v>
      </c>
      <c r="D4641" s="10">
        <v>1</v>
      </c>
      <c r="E4641" s="10">
        <v>20</v>
      </c>
      <c r="F4641" t="s">
        <v>202</v>
      </c>
      <c r="G4641" t="s">
        <v>889</v>
      </c>
      <c r="H4641" t="s">
        <v>54</v>
      </c>
      <c r="I4641" t="s">
        <v>27</v>
      </c>
      <c r="J4641" s="4">
        <v>90.9</v>
      </c>
      <c r="K4641">
        <v>0.32</v>
      </c>
      <c r="L4641">
        <v>90.9</v>
      </c>
      <c r="M4641">
        <v>29.088000000000001</v>
      </c>
      <c r="N4641" s="5">
        <v>1.4743030917384694</v>
      </c>
      <c r="O4641" t="s">
        <v>181</v>
      </c>
      <c r="P4641" t="s">
        <v>340</v>
      </c>
      <c r="Q4641" s="10" t="s">
        <v>24</v>
      </c>
    </row>
    <row r="4642" spans="1:18" hidden="1" x14ac:dyDescent="0.25">
      <c r="A4642" s="9" t="s">
        <v>2172</v>
      </c>
      <c r="B4642" s="3" t="s">
        <v>2277</v>
      </c>
      <c r="C4642" s="10">
        <v>19</v>
      </c>
      <c r="D4642" s="10">
        <v>1</v>
      </c>
      <c r="E4642" s="10">
        <v>20</v>
      </c>
      <c r="F4642" t="s">
        <v>1466</v>
      </c>
      <c r="G4642" t="s">
        <v>31</v>
      </c>
      <c r="H4642" t="s">
        <v>26</v>
      </c>
      <c r="I4642" t="s">
        <v>27</v>
      </c>
      <c r="J4642" s="4">
        <v>33.909999999999997</v>
      </c>
      <c r="K4642">
        <v>3</v>
      </c>
      <c r="L4642">
        <v>33.909999999999997</v>
      </c>
      <c r="M4642">
        <v>101.72999999999999</v>
      </c>
      <c r="N4642" s="5">
        <v>5.1561074505828683</v>
      </c>
      <c r="O4642" t="s">
        <v>181</v>
      </c>
      <c r="P4642" t="s">
        <v>340</v>
      </c>
      <c r="Q4642" s="10" t="s">
        <v>24</v>
      </c>
    </row>
    <row r="4643" spans="1:18" hidden="1" x14ac:dyDescent="0.25">
      <c r="A4643" s="9" t="s">
        <v>2172</v>
      </c>
      <c r="B4643" s="3" t="s">
        <v>2277</v>
      </c>
      <c r="C4643" s="10">
        <v>19</v>
      </c>
      <c r="D4643" s="10">
        <v>1</v>
      </c>
      <c r="E4643" s="10">
        <v>20</v>
      </c>
      <c r="F4643" t="s">
        <v>174</v>
      </c>
      <c r="G4643" t="s">
        <v>889</v>
      </c>
      <c r="H4643" t="s">
        <v>54</v>
      </c>
      <c r="I4643" t="s">
        <v>27</v>
      </c>
      <c r="J4643" s="4">
        <v>9.6999999999999993</v>
      </c>
      <c r="K4643">
        <v>1</v>
      </c>
      <c r="L4643">
        <v>9.6999999999999993</v>
      </c>
      <c r="M4643">
        <v>9.6999999999999993</v>
      </c>
      <c r="N4643" s="5">
        <v>0.49163710086163198</v>
      </c>
      <c r="O4643" t="s">
        <v>181</v>
      </c>
      <c r="P4643" t="s">
        <v>340</v>
      </c>
      <c r="Q4643" s="10" t="s">
        <v>24</v>
      </c>
    </row>
    <row r="4644" spans="1:18" hidden="1" x14ac:dyDescent="0.25">
      <c r="A4644" s="9" t="s">
        <v>2172</v>
      </c>
      <c r="B4644" s="3" t="s">
        <v>2277</v>
      </c>
      <c r="C4644" s="10">
        <v>19</v>
      </c>
      <c r="D4644" s="10">
        <v>1</v>
      </c>
      <c r="E4644" s="10">
        <v>20</v>
      </c>
      <c r="F4644" t="s">
        <v>119</v>
      </c>
      <c r="G4644" t="s">
        <v>889</v>
      </c>
      <c r="H4644" t="s">
        <v>56</v>
      </c>
      <c r="I4644" t="s">
        <v>27</v>
      </c>
      <c r="J4644" s="4">
        <v>17.8</v>
      </c>
      <c r="K4644">
        <v>0.70199999999999996</v>
      </c>
      <c r="L4644">
        <v>17.8</v>
      </c>
      <c r="M4644">
        <v>12.4956</v>
      </c>
      <c r="N4644" s="5">
        <v>0.63332995438418649</v>
      </c>
      <c r="O4644" t="s">
        <v>181</v>
      </c>
      <c r="P4644" t="s">
        <v>340</v>
      </c>
      <c r="Q4644" s="10" t="s">
        <v>24</v>
      </c>
    </row>
    <row r="4645" spans="1:18" hidden="1" x14ac:dyDescent="0.25">
      <c r="A4645" s="9" t="s">
        <v>2172</v>
      </c>
      <c r="B4645" s="3" t="s">
        <v>2277</v>
      </c>
      <c r="C4645" s="10">
        <v>19</v>
      </c>
      <c r="D4645" s="10">
        <v>1</v>
      </c>
      <c r="E4645" s="10">
        <v>20</v>
      </c>
      <c r="F4645" t="s">
        <v>840</v>
      </c>
      <c r="G4645" t="s">
        <v>840</v>
      </c>
      <c r="H4645" t="s">
        <v>56</v>
      </c>
      <c r="I4645" t="s">
        <v>27</v>
      </c>
      <c r="J4645" s="4">
        <v>25.3</v>
      </c>
      <c r="K4645">
        <v>0.28599999999999998</v>
      </c>
      <c r="L4645">
        <v>25.3</v>
      </c>
      <c r="M4645">
        <v>7.2357999999999993</v>
      </c>
      <c r="N4645" s="5">
        <v>0.36674100354789657</v>
      </c>
      <c r="O4645" t="s">
        <v>181</v>
      </c>
      <c r="P4645" t="s">
        <v>340</v>
      </c>
      <c r="Q4645" s="10" t="s">
        <v>24</v>
      </c>
    </row>
    <row r="4646" spans="1:18" hidden="1" x14ac:dyDescent="0.25">
      <c r="A4646" s="9" t="s">
        <v>2172</v>
      </c>
      <c r="B4646" s="3" t="s">
        <v>2277</v>
      </c>
      <c r="C4646" s="10">
        <v>19</v>
      </c>
      <c r="D4646" s="10">
        <v>1</v>
      </c>
      <c r="E4646" s="10">
        <v>20</v>
      </c>
      <c r="F4646" t="s">
        <v>40</v>
      </c>
      <c r="G4646" t="s">
        <v>889</v>
      </c>
      <c r="H4646" t="s">
        <v>40</v>
      </c>
      <c r="I4646" t="s">
        <v>27</v>
      </c>
      <c r="J4646" s="4">
        <v>15.19</v>
      </c>
      <c r="K4646">
        <v>1</v>
      </c>
      <c r="L4646">
        <v>15.19</v>
      </c>
      <c r="M4646">
        <v>15.19</v>
      </c>
      <c r="N4646" s="5">
        <v>0.76989356310187529</v>
      </c>
      <c r="O4646" t="s">
        <v>181</v>
      </c>
      <c r="P4646" t="s">
        <v>340</v>
      </c>
      <c r="Q4646" s="10" t="s">
        <v>24</v>
      </c>
    </row>
    <row r="4647" spans="1:18" hidden="1" x14ac:dyDescent="0.25">
      <c r="A4647" s="9" t="s">
        <v>2172</v>
      </c>
      <c r="B4647" s="3" t="s">
        <v>2203</v>
      </c>
      <c r="C4647" s="10">
        <v>2</v>
      </c>
      <c r="D4647" s="10">
        <v>1</v>
      </c>
      <c r="E4647" s="10">
        <v>20</v>
      </c>
      <c r="F4647" t="s">
        <v>99</v>
      </c>
      <c r="G4647" t="s">
        <v>889</v>
      </c>
      <c r="H4647" t="s">
        <v>40</v>
      </c>
      <c r="I4647" t="s">
        <v>27</v>
      </c>
      <c r="J4647" s="4">
        <v>10</v>
      </c>
      <c r="K4647">
        <v>1</v>
      </c>
      <c r="L4647">
        <v>10</v>
      </c>
      <c r="M4647">
        <v>10</v>
      </c>
      <c r="N4647" s="5">
        <v>0.50684237202230109</v>
      </c>
      <c r="O4647" t="s">
        <v>100</v>
      </c>
      <c r="P4647" t="s">
        <v>340</v>
      </c>
      <c r="Q4647" s="10" t="s">
        <v>24</v>
      </c>
      <c r="R4647" t="s">
        <v>2202</v>
      </c>
    </row>
    <row r="4648" spans="1:18" hidden="1" x14ac:dyDescent="0.25">
      <c r="A4648" s="9" t="s">
        <v>2172</v>
      </c>
      <c r="B4648" s="3" t="s">
        <v>2203</v>
      </c>
      <c r="C4648" s="10">
        <v>2</v>
      </c>
      <c r="D4648" s="10">
        <v>1</v>
      </c>
      <c r="E4648" s="10">
        <v>20</v>
      </c>
      <c r="F4648" t="s">
        <v>1258</v>
      </c>
      <c r="G4648" t="s">
        <v>889</v>
      </c>
      <c r="H4648" t="s">
        <v>26</v>
      </c>
      <c r="I4648" t="s">
        <v>27</v>
      </c>
      <c r="J4648" s="4">
        <v>49.6</v>
      </c>
      <c r="K4648">
        <v>1</v>
      </c>
      <c r="L4648">
        <v>49.6</v>
      </c>
      <c r="M4648">
        <v>49.6</v>
      </c>
      <c r="N4648" s="5">
        <v>2.5139381652306132</v>
      </c>
      <c r="O4648" t="s">
        <v>100</v>
      </c>
      <c r="P4648" t="s">
        <v>340</v>
      </c>
      <c r="Q4648" s="10" t="s">
        <v>24</v>
      </c>
      <c r="R4648" t="s">
        <v>2202</v>
      </c>
    </row>
    <row r="4649" spans="1:18" hidden="1" x14ac:dyDescent="0.25">
      <c r="A4649" s="9" t="s">
        <v>2172</v>
      </c>
      <c r="B4649" s="3" t="s">
        <v>2203</v>
      </c>
      <c r="C4649" s="10">
        <v>2</v>
      </c>
      <c r="D4649" s="10">
        <v>1</v>
      </c>
      <c r="E4649" s="10">
        <v>20</v>
      </c>
      <c r="F4649" t="s">
        <v>39</v>
      </c>
      <c r="G4649" t="s">
        <v>889</v>
      </c>
      <c r="H4649" t="s">
        <v>1748</v>
      </c>
      <c r="I4649" t="s">
        <v>72</v>
      </c>
      <c r="J4649" s="4">
        <v>3.62</v>
      </c>
      <c r="K4649">
        <v>2</v>
      </c>
      <c r="L4649">
        <v>3.62</v>
      </c>
      <c r="M4649">
        <v>7.24</v>
      </c>
      <c r="N4649" s="5">
        <v>0.36695387734414597</v>
      </c>
      <c r="O4649" t="s">
        <v>1659</v>
      </c>
      <c r="P4649" t="s">
        <v>340</v>
      </c>
      <c r="Q4649" s="10" t="s">
        <v>24</v>
      </c>
      <c r="R4649" t="s">
        <v>1428</v>
      </c>
    </row>
    <row r="4650" spans="1:18" hidden="1" x14ac:dyDescent="0.25">
      <c r="A4650" s="9" t="s">
        <v>2172</v>
      </c>
      <c r="B4650" s="3" t="s">
        <v>2303</v>
      </c>
      <c r="C4650" s="10">
        <v>21</v>
      </c>
      <c r="D4650" s="10">
        <v>1</v>
      </c>
      <c r="E4650" s="10">
        <v>20</v>
      </c>
      <c r="F4650" t="s">
        <v>398</v>
      </c>
      <c r="G4650" t="s">
        <v>889</v>
      </c>
      <c r="H4650" t="s">
        <v>40</v>
      </c>
      <c r="I4650" t="s">
        <v>27</v>
      </c>
      <c r="J4650" s="4">
        <v>14.6</v>
      </c>
      <c r="K4650">
        <v>1</v>
      </c>
      <c r="L4650">
        <v>14.6</v>
      </c>
      <c r="M4650">
        <v>14.6</v>
      </c>
      <c r="N4650" s="5">
        <v>0.73998986315255955</v>
      </c>
      <c r="O4650" t="s">
        <v>100</v>
      </c>
      <c r="P4650" t="s">
        <v>340</v>
      </c>
      <c r="Q4650" s="10" t="s">
        <v>24</v>
      </c>
      <c r="R4650">
        <v>0</v>
      </c>
    </row>
    <row r="4651" spans="1:18" hidden="1" x14ac:dyDescent="0.25">
      <c r="A4651" s="9" t="s">
        <v>2172</v>
      </c>
      <c r="B4651" s="3" t="s">
        <v>2303</v>
      </c>
      <c r="C4651" s="10">
        <v>21</v>
      </c>
      <c r="D4651" s="10">
        <v>1</v>
      </c>
      <c r="E4651" s="10">
        <v>20</v>
      </c>
      <c r="F4651" t="s">
        <v>2271</v>
      </c>
      <c r="G4651" t="s">
        <v>889</v>
      </c>
      <c r="H4651" t="s">
        <v>131</v>
      </c>
      <c r="I4651" t="s">
        <v>27</v>
      </c>
      <c r="J4651" s="4">
        <v>16.600000000000001</v>
      </c>
      <c r="K4651">
        <v>2</v>
      </c>
      <c r="L4651">
        <v>16.600000000000001</v>
      </c>
      <c r="M4651">
        <v>33.200000000000003</v>
      </c>
      <c r="N4651" s="5">
        <v>1.6827166751140397</v>
      </c>
      <c r="O4651" t="s">
        <v>100</v>
      </c>
      <c r="P4651" t="s">
        <v>340</v>
      </c>
      <c r="Q4651" s="10" t="s">
        <v>24</v>
      </c>
      <c r="R4651">
        <v>0</v>
      </c>
    </row>
    <row r="4652" spans="1:18" hidden="1" x14ac:dyDescent="0.25">
      <c r="A4652" s="9" t="s">
        <v>2172</v>
      </c>
      <c r="B4652" s="3" t="s">
        <v>2303</v>
      </c>
      <c r="C4652" s="10">
        <v>21</v>
      </c>
      <c r="D4652" s="10">
        <v>1</v>
      </c>
      <c r="E4652" s="10">
        <v>20</v>
      </c>
      <c r="F4652" t="s">
        <v>974</v>
      </c>
      <c r="G4652" t="s">
        <v>25</v>
      </c>
      <c r="H4652" t="s">
        <v>26</v>
      </c>
      <c r="I4652" t="s">
        <v>27</v>
      </c>
      <c r="J4652" s="4">
        <v>211.6</v>
      </c>
      <c r="K4652">
        <v>0.36799999999999999</v>
      </c>
      <c r="L4652">
        <v>211.6</v>
      </c>
      <c r="M4652">
        <v>77.868799999999993</v>
      </c>
      <c r="N4652" s="5">
        <v>3.9467207298530154</v>
      </c>
      <c r="O4652" t="s">
        <v>100</v>
      </c>
      <c r="P4652" t="s">
        <v>340</v>
      </c>
      <c r="Q4652" s="10" t="s">
        <v>24</v>
      </c>
      <c r="R4652">
        <v>0</v>
      </c>
    </row>
    <row r="4653" spans="1:18" hidden="1" x14ac:dyDescent="0.25">
      <c r="A4653" s="9" t="s">
        <v>2172</v>
      </c>
      <c r="B4653" s="3" t="s">
        <v>2303</v>
      </c>
      <c r="C4653" s="10">
        <v>21</v>
      </c>
      <c r="D4653" s="10">
        <v>1</v>
      </c>
      <c r="E4653" s="10">
        <v>20</v>
      </c>
      <c r="F4653" t="s">
        <v>2082</v>
      </c>
      <c r="G4653" t="s">
        <v>155</v>
      </c>
      <c r="H4653" t="s">
        <v>131</v>
      </c>
      <c r="I4653" t="s">
        <v>27</v>
      </c>
      <c r="J4653" s="4">
        <v>67.599999999999994</v>
      </c>
      <c r="K4653">
        <v>1</v>
      </c>
      <c r="L4653">
        <v>67.599999999999994</v>
      </c>
      <c r="M4653">
        <v>67.599999999999994</v>
      </c>
      <c r="N4653" s="5">
        <v>3.4262544348707547</v>
      </c>
      <c r="O4653" t="s">
        <v>100</v>
      </c>
      <c r="P4653" t="s">
        <v>340</v>
      </c>
      <c r="Q4653" s="10" t="s">
        <v>24</v>
      </c>
      <c r="R4653">
        <v>0</v>
      </c>
    </row>
    <row r="4654" spans="1:18" hidden="1" x14ac:dyDescent="0.25">
      <c r="A4654" s="9" t="s">
        <v>2172</v>
      </c>
      <c r="B4654" s="3" t="s">
        <v>2303</v>
      </c>
      <c r="C4654" s="10">
        <v>21</v>
      </c>
      <c r="D4654" s="10">
        <v>1</v>
      </c>
      <c r="E4654" s="10">
        <v>20</v>
      </c>
      <c r="F4654" t="s">
        <v>1036</v>
      </c>
      <c r="G4654" t="s">
        <v>889</v>
      </c>
      <c r="H4654" t="s">
        <v>38</v>
      </c>
      <c r="I4654" t="s">
        <v>27</v>
      </c>
      <c r="J4654" s="4">
        <v>126</v>
      </c>
      <c r="K4654">
        <v>0.28000000000000003</v>
      </c>
      <c r="L4654">
        <v>126</v>
      </c>
      <c r="M4654">
        <v>35.28</v>
      </c>
      <c r="N4654" s="5">
        <v>1.7881398884946782</v>
      </c>
      <c r="O4654" t="s">
        <v>100</v>
      </c>
      <c r="P4654" t="s">
        <v>340</v>
      </c>
      <c r="Q4654" s="10" t="s">
        <v>24</v>
      </c>
      <c r="R4654">
        <v>0</v>
      </c>
    </row>
    <row r="4655" spans="1:18" hidden="1" x14ac:dyDescent="0.25">
      <c r="A4655" s="9" t="s">
        <v>2172</v>
      </c>
      <c r="B4655" s="3" t="s">
        <v>2303</v>
      </c>
      <c r="C4655" s="10">
        <v>21</v>
      </c>
      <c r="D4655" s="10">
        <v>1</v>
      </c>
      <c r="E4655" s="10">
        <v>20</v>
      </c>
      <c r="F4655" t="s">
        <v>188</v>
      </c>
      <c r="G4655" t="s">
        <v>77</v>
      </c>
      <c r="H4655" t="s">
        <v>26</v>
      </c>
      <c r="I4655" t="s">
        <v>27</v>
      </c>
      <c r="J4655" s="4">
        <v>42.6</v>
      </c>
      <c r="K4655">
        <v>1</v>
      </c>
      <c r="L4655">
        <v>42.6</v>
      </c>
      <c r="M4655">
        <v>42.6</v>
      </c>
      <c r="N4655" s="5">
        <v>2.1591485048150028</v>
      </c>
      <c r="O4655" t="s">
        <v>100</v>
      </c>
      <c r="P4655" t="s">
        <v>340</v>
      </c>
      <c r="Q4655" s="10" t="s">
        <v>24</v>
      </c>
      <c r="R4655">
        <v>0</v>
      </c>
    </row>
    <row r="4656" spans="1:18" hidden="1" x14ac:dyDescent="0.25">
      <c r="A4656" s="9" t="s">
        <v>2172</v>
      </c>
      <c r="B4656" s="3" t="s">
        <v>2303</v>
      </c>
      <c r="C4656" s="10">
        <v>21</v>
      </c>
      <c r="D4656" s="10">
        <v>1</v>
      </c>
      <c r="E4656" s="10">
        <v>20</v>
      </c>
      <c r="F4656" t="s">
        <v>294</v>
      </c>
      <c r="G4656" t="s">
        <v>155</v>
      </c>
      <c r="H4656" t="s">
        <v>131</v>
      </c>
      <c r="I4656" t="s">
        <v>27</v>
      </c>
      <c r="J4656" s="4">
        <v>16.600000000000001</v>
      </c>
      <c r="K4656">
        <v>2</v>
      </c>
      <c r="L4656">
        <v>16.600000000000001</v>
      </c>
      <c r="M4656">
        <v>33.200000000000003</v>
      </c>
      <c r="N4656" s="5">
        <v>1.6827166751140397</v>
      </c>
      <c r="O4656" t="s">
        <v>100</v>
      </c>
      <c r="P4656" t="s">
        <v>340</v>
      </c>
      <c r="Q4656" s="10" t="s">
        <v>24</v>
      </c>
      <c r="R4656">
        <v>0</v>
      </c>
    </row>
    <row r="4657" spans="1:18" hidden="1" x14ac:dyDescent="0.25">
      <c r="A4657" s="9" t="s">
        <v>2172</v>
      </c>
      <c r="B4657" s="3" t="s">
        <v>2303</v>
      </c>
      <c r="C4657" s="10">
        <v>21</v>
      </c>
      <c r="D4657" s="10">
        <v>1</v>
      </c>
      <c r="E4657" s="10">
        <v>20</v>
      </c>
      <c r="F4657" t="s">
        <v>522</v>
      </c>
      <c r="G4657" t="s">
        <v>889</v>
      </c>
      <c r="H4657" t="s">
        <v>65</v>
      </c>
      <c r="I4657" t="s">
        <v>27</v>
      </c>
      <c r="J4657" s="4">
        <v>15.75</v>
      </c>
      <c r="K4657">
        <v>1</v>
      </c>
      <c r="L4657">
        <v>15.75</v>
      </c>
      <c r="M4657">
        <v>15.75</v>
      </c>
      <c r="N4657" s="5">
        <v>0.79827673593512416</v>
      </c>
      <c r="O4657" t="s">
        <v>100</v>
      </c>
      <c r="P4657" t="s">
        <v>340</v>
      </c>
      <c r="Q4657" s="10" t="s">
        <v>24</v>
      </c>
      <c r="R4657">
        <v>0</v>
      </c>
    </row>
    <row r="4658" spans="1:18" hidden="1" x14ac:dyDescent="0.25">
      <c r="A4658" s="9" t="s">
        <v>2172</v>
      </c>
      <c r="B4658" s="3" t="s">
        <v>2303</v>
      </c>
      <c r="C4658" s="10">
        <v>21</v>
      </c>
      <c r="D4658" s="10">
        <v>1</v>
      </c>
      <c r="E4658" s="10">
        <v>20</v>
      </c>
      <c r="F4658" t="s">
        <v>1721</v>
      </c>
      <c r="G4658" t="s">
        <v>889</v>
      </c>
      <c r="H4658" t="s">
        <v>39</v>
      </c>
      <c r="I4658" t="s">
        <v>27</v>
      </c>
      <c r="J4658" s="4">
        <v>66.63</v>
      </c>
      <c r="K4658">
        <v>0.4</v>
      </c>
      <c r="L4658">
        <v>66.63</v>
      </c>
      <c r="M4658">
        <v>26.652000000000001</v>
      </c>
      <c r="N4658" s="5">
        <v>1.3508362899138369</v>
      </c>
      <c r="O4658" t="s">
        <v>100</v>
      </c>
      <c r="P4658" t="s">
        <v>340</v>
      </c>
      <c r="Q4658" s="10" t="s">
        <v>24</v>
      </c>
      <c r="R4658">
        <v>0</v>
      </c>
    </row>
    <row r="4659" spans="1:18" hidden="1" x14ac:dyDescent="0.25">
      <c r="A4659" s="9" t="s">
        <v>2172</v>
      </c>
      <c r="B4659" s="3" t="s">
        <v>2303</v>
      </c>
      <c r="C4659" s="10">
        <v>21</v>
      </c>
      <c r="D4659" s="10">
        <v>1</v>
      </c>
      <c r="E4659" s="10">
        <v>20</v>
      </c>
      <c r="F4659" t="s">
        <v>910</v>
      </c>
      <c r="G4659" t="s">
        <v>889</v>
      </c>
      <c r="H4659" t="s">
        <v>131</v>
      </c>
      <c r="I4659" t="s">
        <v>27</v>
      </c>
      <c r="J4659">
        <v>85</v>
      </c>
      <c r="K4659" s="10">
        <v>1</v>
      </c>
      <c r="L4659">
        <v>85</v>
      </c>
      <c r="M4659">
        <v>85</v>
      </c>
      <c r="N4659" s="5">
        <v>4.3456032719836406</v>
      </c>
      <c r="O4659" t="s">
        <v>1472</v>
      </c>
      <c r="P4659" t="s">
        <v>340</v>
      </c>
      <c r="Q4659" s="10" t="s">
        <v>24</v>
      </c>
      <c r="R4659">
        <v>0</v>
      </c>
    </row>
    <row r="4660" spans="1:18" hidden="1" x14ac:dyDescent="0.25">
      <c r="A4660" s="9" t="s">
        <v>2172</v>
      </c>
      <c r="B4660" s="3" t="s">
        <v>2303</v>
      </c>
      <c r="C4660" s="10">
        <v>21</v>
      </c>
      <c r="D4660" s="10">
        <v>1</v>
      </c>
      <c r="E4660" s="10">
        <v>20</v>
      </c>
      <c r="F4660" t="s">
        <v>708</v>
      </c>
      <c r="G4660" t="s">
        <v>708</v>
      </c>
      <c r="H4660" t="s">
        <v>131</v>
      </c>
      <c r="I4660" t="s">
        <v>27</v>
      </c>
      <c r="J4660">
        <v>35</v>
      </c>
      <c r="K4660" s="10">
        <v>1</v>
      </c>
      <c r="L4660">
        <v>35</v>
      </c>
      <c r="M4660">
        <v>35</v>
      </c>
      <c r="N4660" s="5">
        <v>1.7893660531697342</v>
      </c>
      <c r="O4660" t="s">
        <v>1472</v>
      </c>
      <c r="P4660" t="s">
        <v>340</v>
      </c>
      <c r="Q4660" s="10" t="s">
        <v>24</v>
      </c>
      <c r="R4660">
        <v>0</v>
      </c>
    </row>
    <row r="4661" spans="1:18" hidden="1" x14ac:dyDescent="0.25">
      <c r="A4661" s="9" t="s">
        <v>2172</v>
      </c>
      <c r="B4661" s="3" t="s">
        <v>2303</v>
      </c>
      <c r="C4661" s="10">
        <v>21</v>
      </c>
      <c r="D4661" s="10">
        <v>1</v>
      </c>
      <c r="E4661" s="10">
        <v>20</v>
      </c>
      <c r="F4661" t="s">
        <v>923</v>
      </c>
      <c r="G4661" t="s">
        <v>708</v>
      </c>
      <c r="H4661" t="s">
        <v>131</v>
      </c>
      <c r="I4661" t="s">
        <v>27</v>
      </c>
      <c r="J4661">
        <v>30.99</v>
      </c>
      <c r="K4661" s="10">
        <v>1</v>
      </c>
      <c r="L4661">
        <v>30.99</v>
      </c>
      <c r="M4661">
        <v>30.99</v>
      </c>
      <c r="N4661" s="5">
        <v>1.584355828220859</v>
      </c>
      <c r="O4661" t="s">
        <v>1472</v>
      </c>
      <c r="P4661" t="s">
        <v>340</v>
      </c>
      <c r="Q4661" s="10" t="s">
        <v>24</v>
      </c>
      <c r="R4661">
        <v>0</v>
      </c>
    </row>
    <row r="4662" spans="1:18" hidden="1" x14ac:dyDescent="0.25">
      <c r="A4662" s="9" t="s">
        <v>2172</v>
      </c>
      <c r="B4662" s="3" t="s">
        <v>2303</v>
      </c>
      <c r="C4662" s="10">
        <v>21</v>
      </c>
      <c r="D4662" s="10">
        <v>1</v>
      </c>
      <c r="E4662" s="10">
        <v>20</v>
      </c>
      <c r="F4662" t="s">
        <v>98</v>
      </c>
      <c r="G4662" t="s">
        <v>889</v>
      </c>
      <c r="H4662" t="s">
        <v>26</v>
      </c>
      <c r="I4662" t="s">
        <v>27</v>
      </c>
      <c r="J4662">
        <v>29.7</v>
      </c>
      <c r="K4662" s="10">
        <v>1</v>
      </c>
      <c r="L4662">
        <v>29.7</v>
      </c>
      <c r="M4662">
        <v>29.7</v>
      </c>
      <c r="N4662" s="5">
        <v>1.5184049079754602</v>
      </c>
      <c r="O4662" t="s">
        <v>1472</v>
      </c>
      <c r="P4662" t="s">
        <v>340</v>
      </c>
      <c r="Q4662" s="10" t="s">
        <v>24</v>
      </c>
      <c r="R4662" t="s">
        <v>2387</v>
      </c>
    </row>
    <row r="4663" spans="1:18" hidden="1" x14ac:dyDescent="0.25">
      <c r="A4663" s="9" t="s">
        <v>2172</v>
      </c>
      <c r="B4663" s="3" t="s">
        <v>2303</v>
      </c>
      <c r="C4663" s="10">
        <v>21</v>
      </c>
      <c r="D4663" s="10">
        <v>1</v>
      </c>
      <c r="E4663" s="10">
        <v>20</v>
      </c>
      <c r="F4663" t="s">
        <v>475</v>
      </c>
      <c r="G4663" t="s">
        <v>889</v>
      </c>
      <c r="H4663" t="s">
        <v>62</v>
      </c>
      <c r="I4663" t="s">
        <v>27</v>
      </c>
      <c r="J4663">
        <v>18.95</v>
      </c>
      <c r="K4663" s="10">
        <v>2</v>
      </c>
      <c r="L4663">
        <v>18.95</v>
      </c>
      <c r="M4663">
        <v>37.9</v>
      </c>
      <c r="N4663" s="5">
        <v>1.9376278118609407</v>
      </c>
      <c r="O4663" t="s">
        <v>1472</v>
      </c>
      <c r="P4663" t="s">
        <v>340</v>
      </c>
      <c r="Q4663" s="10" t="s">
        <v>24</v>
      </c>
      <c r="R4663">
        <v>0</v>
      </c>
    </row>
    <row r="4664" spans="1:18" hidden="1" x14ac:dyDescent="0.25">
      <c r="A4664" s="9" t="s">
        <v>2172</v>
      </c>
      <c r="B4664" s="3" t="s">
        <v>2303</v>
      </c>
      <c r="C4664" s="10">
        <v>21</v>
      </c>
      <c r="D4664" s="10">
        <v>1</v>
      </c>
      <c r="E4664" s="10">
        <v>20</v>
      </c>
      <c r="F4664" t="s">
        <v>2415</v>
      </c>
      <c r="G4664" t="s">
        <v>889</v>
      </c>
      <c r="H4664" t="s">
        <v>63</v>
      </c>
      <c r="I4664" t="s">
        <v>50</v>
      </c>
      <c r="J4664">
        <v>575</v>
      </c>
      <c r="K4664" s="10">
        <v>1</v>
      </c>
      <c r="L4664">
        <v>575</v>
      </c>
      <c r="M4664">
        <v>575</v>
      </c>
      <c r="N4664" s="5">
        <v>29.396728016359919</v>
      </c>
      <c r="O4664" t="s">
        <v>688</v>
      </c>
      <c r="P4664" t="s">
        <v>340</v>
      </c>
      <c r="Q4664" s="10" t="s">
        <v>24</v>
      </c>
    </row>
    <row r="4665" spans="1:18" hidden="1" x14ac:dyDescent="0.25">
      <c r="A4665" s="9" t="s">
        <v>2172</v>
      </c>
      <c r="B4665" s="3" t="s">
        <v>2303</v>
      </c>
      <c r="C4665" s="10">
        <v>21</v>
      </c>
      <c r="D4665" s="10">
        <v>1</v>
      </c>
      <c r="E4665" s="10">
        <v>20</v>
      </c>
      <c r="F4665" t="s">
        <v>2416</v>
      </c>
      <c r="G4665" t="s">
        <v>889</v>
      </c>
      <c r="H4665" t="s">
        <v>63</v>
      </c>
      <c r="I4665" t="s">
        <v>50</v>
      </c>
      <c r="J4665">
        <v>40</v>
      </c>
      <c r="K4665" s="10">
        <v>1</v>
      </c>
      <c r="L4665">
        <v>40</v>
      </c>
      <c r="M4665">
        <v>40</v>
      </c>
      <c r="N4665" s="5">
        <v>2.0449897750511248</v>
      </c>
      <c r="O4665" t="s">
        <v>688</v>
      </c>
      <c r="P4665" t="s">
        <v>340</v>
      </c>
      <c r="Q4665" s="10" t="s">
        <v>24</v>
      </c>
    </row>
    <row r="4666" spans="1:18" hidden="1" x14ac:dyDescent="0.25">
      <c r="A4666" s="9" t="s">
        <v>2172</v>
      </c>
      <c r="B4666" s="3" t="s">
        <v>2390</v>
      </c>
      <c r="C4666" s="10">
        <v>22</v>
      </c>
      <c r="D4666" s="10">
        <v>1</v>
      </c>
      <c r="E4666" s="10">
        <v>20</v>
      </c>
      <c r="F4666" t="s">
        <v>44</v>
      </c>
      <c r="G4666" t="s">
        <v>889</v>
      </c>
      <c r="H4666" t="s">
        <v>44</v>
      </c>
      <c r="I4666" t="s">
        <v>27</v>
      </c>
      <c r="J4666">
        <v>34.200000000000003</v>
      </c>
      <c r="K4666" s="10">
        <v>1</v>
      </c>
      <c r="L4666">
        <v>34.200000000000003</v>
      </c>
      <c r="M4666">
        <v>34.200000000000003</v>
      </c>
      <c r="N4666" s="5">
        <v>1.748466257668712</v>
      </c>
      <c r="O4666" t="s">
        <v>1472</v>
      </c>
      <c r="P4666" t="s">
        <v>340</v>
      </c>
      <c r="Q4666" s="10" t="s">
        <v>24</v>
      </c>
      <c r="R4666">
        <v>0</v>
      </c>
    </row>
    <row r="4667" spans="1:18" hidden="1" x14ac:dyDescent="0.25">
      <c r="A4667" s="9" t="s">
        <v>2172</v>
      </c>
      <c r="B4667" s="3" t="s">
        <v>2390</v>
      </c>
      <c r="C4667" s="10">
        <v>22</v>
      </c>
      <c r="D4667" s="10">
        <v>1</v>
      </c>
      <c r="E4667" s="10">
        <v>20</v>
      </c>
      <c r="F4667" t="s">
        <v>44</v>
      </c>
      <c r="G4667" t="s">
        <v>889</v>
      </c>
      <c r="H4667" t="s">
        <v>44</v>
      </c>
      <c r="I4667" t="s">
        <v>27</v>
      </c>
      <c r="J4667">
        <v>33.799999999999997</v>
      </c>
      <c r="K4667" s="10">
        <v>1</v>
      </c>
      <c r="L4667">
        <v>33.799999999999997</v>
      </c>
      <c r="M4667">
        <v>33.799999999999997</v>
      </c>
      <c r="N4667" s="5">
        <v>1.7280163599182004</v>
      </c>
      <c r="O4667" t="s">
        <v>1472</v>
      </c>
      <c r="P4667" t="s">
        <v>340</v>
      </c>
      <c r="Q4667" s="10" t="s">
        <v>24</v>
      </c>
      <c r="R4667">
        <v>0</v>
      </c>
    </row>
    <row r="4668" spans="1:18" hidden="1" x14ac:dyDescent="0.25">
      <c r="A4668" s="9" t="s">
        <v>2172</v>
      </c>
      <c r="B4668" s="3" t="s">
        <v>2390</v>
      </c>
      <c r="C4668" s="10">
        <v>22</v>
      </c>
      <c r="D4668" s="10">
        <v>1</v>
      </c>
      <c r="E4668" s="10">
        <v>20</v>
      </c>
      <c r="F4668" t="s">
        <v>86</v>
      </c>
      <c r="G4668" t="s">
        <v>889</v>
      </c>
      <c r="H4668" t="s">
        <v>102</v>
      </c>
      <c r="I4668" t="s">
        <v>27</v>
      </c>
      <c r="J4668">
        <v>20</v>
      </c>
      <c r="K4668" s="10">
        <v>1</v>
      </c>
      <c r="L4668">
        <v>20</v>
      </c>
      <c r="M4668">
        <v>20</v>
      </c>
      <c r="N4668" s="5">
        <v>1.0224948875255624</v>
      </c>
      <c r="O4668" t="s">
        <v>1055</v>
      </c>
      <c r="P4668" t="s">
        <v>340</v>
      </c>
      <c r="Q4668" s="10" t="s">
        <v>24</v>
      </c>
    </row>
    <row r="4669" spans="1:18" hidden="1" x14ac:dyDescent="0.25">
      <c r="A4669" s="9" t="s">
        <v>2172</v>
      </c>
      <c r="B4669" s="3" t="s">
        <v>2390</v>
      </c>
      <c r="C4669" s="10">
        <v>22</v>
      </c>
      <c r="D4669" s="10">
        <v>1</v>
      </c>
      <c r="E4669" s="10">
        <v>20</v>
      </c>
      <c r="F4669" t="s">
        <v>86</v>
      </c>
      <c r="G4669" t="s">
        <v>889</v>
      </c>
      <c r="H4669" t="s">
        <v>102</v>
      </c>
      <c r="I4669" t="s">
        <v>27</v>
      </c>
      <c r="J4669">
        <v>20</v>
      </c>
      <c r="K4669" s="10">
        <v>1</v>
      </c>
      <c r="L4669">
        <v>20</v>
      </c>
      <c r="M4669">
        <v>20</v>
      </c>
      <c r="N4669" s="5">
        <v>1.0224948875255624</v>
      </c>
      <c r="O4669" t="s">
        <v>1679</v>
      </c>
      <c r="P4669" t="s">
        <v>340</v>
      </c>
      <c r="Q4669" s="10" t="s">
        <v>24</v>
      </c>
    </row>
    <row r="4670" spans="1:18" hidden="1" x14ac:dyDescent="0.25">
      <c r="A4670" s="9" t="s">
        <v>2172</v>
      </c>
      <c r="B4670" s="3" t="s">
        <v>2390</v>
      </c>
      <c r="C4670" s="10">
        <v>22</v>
      </c>
      <c r="D4670" s="10">
        <v>1</v>
      </c>
      <c r="E4670" s="10">
        <v>20</v>
      </c>
      <c r="F4670" t="s">
        <v>86</v>
      </c>
      <c r="G4670" t="s">
        <v>889</v>
      </c>
      <c r="H4670" t="s">
        <v>102</v>
      </c>
      <c r="I4670" t="s">
        <v>27</v>
      </c>
      <c r="J4670">
        <v>20</v>
      </c>
      <c r="K4670" s="10">
        <v>1</v>
      </c>
      <c r="L4670">
        <v>20</v>
      </c>
      <c r="M4670">
        <v>20</v>
      </c>
      <c r="N4670" s="5">
        <v>1.0224948875255624</v>
      </c>
      <c r="O4670" t="s">
        <v>1055</v>
      </c>
      <c r="P4670" t="s">
        <v>340</v>
      </c>
      <c r="Q4670" s="10" t="s">
        <v>24</v>
      </c>
    </row>
    <row r="4671" spans="1:18" hidden="1" x14ac:dyDescent="0.25">
      <c r="A4671" s="9" t="s">
        <v>2172</v>
      </c>
      <c r="B4671" s="3" t="s">
        <v>2390</v>
      </c>
      <c r="C4671" s="10">
        <v>22</v>
      </c>
      <c r="D4671" s="10">
        <v>1</v>
      </c>
      <c r="E4671" s="10">
        <v>20</v>
      </c>
      <c r="F4671" t="s">
        <v>86</v>
      </c>
      <c r="G4671" t="s">
        <v>889</v>
      </c>
      <c r="H4671" t="s">
        <v>102</v>
      </c>
      <c r="I4671" t="s">
        <v>27</v>
      </c>
      <c r="J4671">
        <v>20</v>
      </c>
      <c r="K4671" s="10">
        <v>1</v>
      </c>
      <c r="L4671">
        <v>20</v>
      </c>
      <c r="M4671">
        <v>20</v>
      </c>
      <c r="N4671" s="5">
        <v>1.0224948875255624</v>
      </c>
      <c r="O4671" t="s">
        <v>1679</v>
      </c>
      <c r="P4671" t="s">
        <v>340</v>
      </c>
      <c r="Q4671" s="10" t="s">
        <v>24</v>
      </c>
    </row>
    <row r="4672" spans="1:18" hidden="1" x14ac:dyDescent="0.25">
      <c r="A4672" s="9" t="s">
        <v>2172</v>
      </c>
      <c r="B4672" s="3" t="s">
        <v>2431</v>
      </c>
      <c r="C4672" s="10">
        <v>23</v>
      </c>
      <c r="D4672" s="10">
        <v>1</v>
      </c>
      <c r="E4672" s="10">
        <v>20</v>
      </c>
      <c r="F4672" t="s">
        <v>1385</v>
      </c>
      <c r="G4672" t="s">
        <v>889</v>
      </c>
      <c r="H4672" t="s">
        <v>59</v>
      </c>
      <c r="I4672" t="s">
        <v>27</v>
      </c>
      <c r="J4672">
        <v>98.5</v>
      </c>
      <c r="K4672" s="10">
        <v>1</v>
      </c>
      <c r="L4672">
        <v>98.5</v>
      </c>
      <c r="M4672">
        <v>98.5</v>
      </c>
      <c r="N4672" s="5">
        <v>5.0357873210633954</v>
      </c>
      <c r="O4672" t="s">
        <v>39</v>
      </c>
      <c r="P4672" t="s">
        <v>340</v>
      </c>
      <c r="Q4672" s="10" t="s">
        <v>24</v>
      </c>
      <c r="R4672" t="s">
        <v>2428</v>
      </c>
    </row>
    <row r="4673" spans="1:18" hidden="1" x14ac:dyDescent="0.25">
      <c r="A4673" s="9" t="s">
        <v>2172</v>
      </c>
      <c r="B4673" s="3" t="s">
        <v>2431</v>
      </c>
      <c r="C4673" s="10">
        <v>23</v>
      </c>
      <c r="D4673" s="10">
        <v>1</v>
      </c>
      <c r="E4673" s="10">
        <v>20</v>
      </c>
      <c r="F4673" t="s">
        <v>1385</v>
      </c>
      <c r="G4673" t="s">
        <v>889</v>
      </c>
      <c r="H4673" t="s">
        <v>59</v>
      </c>
      <c r="I4673" t="s">
        <v>27</v>
      </c>
      <c r="J4673">
        <v>98.5</v>
      </c>
      <c r="K4673" s="10">
        <v>1</v>
      </c>
      <c r="L4673">
        <v>98.5</v>
      </c>
      <c r="M4673">
        <v>98.5</v>
      </c>
      <c r="N4673" s="5">
        <v>5.0357873210633954</v>
      </c>
      <c r="O4673" t="s">
        <v>39</v>
      </c>
      <c r="P4673" t="s">
        <v>340</v>
      </c>
      <c r="Q4673" s="10" t="s">
        <v>24</v>
      </c>
      <c r="R4673" t="s">
        <v>2428</v>
      </c>
    </row>
    <row r="4674" spans="1:18" hidden="1" x14ac:dyDescent="0.25">
      <c r="A4674" s="9" t="s">
        <v>2172</v>
      </c>
      <c r="B4674" s="3" t="s">
        <v>2402</v>
      </c>
      <c r="C4674" s="10">
        <v>24</v>
      </c>
      <c r="D4674" s="10">
        <v>1</v>
      </c>
      <c r="E4674" s="10">
        <v>20</v>
      </c>
      <c r="F4674" t="s">
        <v>39</v>
      </c>
      <c r="G4674" t="s">
        <v>889</v>
      </c>
      <c r="H4674" t="s">
        <v>2400</v>
      </c>
      <c r="I4674" t="s">
        <v>72</v>
      </c>
      <c r="J4674">
        <v>192</v>
      </c>
      <c r="K4674" s="10">
        <v>1</v>
      </c>
      <c r="L4674">
        <v>192</v>
      </c>
      <c r="M4674">
        <v>192</v>
      </c>
      <c r="N4674" s="5">
        <v>9.8159509202453989</v>
      </c>
      <c r="O4674" t="s">
        <v>233</v>
      </c>
      <c r="P4674" t="s">
        <v>340</v>
      </c>
      <c r="Q4674" s="10" t="s">
        <v>24</v>
      </c>
      <c r="R4674" t="s">
        <v>2419</v>
      </c>
    </row>
    <row r="4675" spans="1:18" hidden="1" x14ac:dyDescent="0.25">
      <c r="A4675" s="9" t="s">
        <v>2172</v>
      </c>
      <c r="B4675" s="3" t="s">
        <v>2402</v>
      </c>
      <c r="C4675" s="10">
        <v>24</v>
      </c>
      <c r="D4675" s="10">
        <v>1</v>
      </c>
      <c r="E4675" s="10">
        <v>20</v>
      </c>
      <c r="F4675" t="s">
        <v>104</v>
      </c>
      <c r="G4675" t="s">
        <v>889</v>
      </c>
      <c r="H4675" t="s">
        <v>2400</v>
      </c>
      <c r="I4675" t="s">
        <v>72</v>
      </c>
      <c r="J4675">
        <v>76</v>
      </c>
      <c r="K4675" s="10">
        <v>1</v>
      </c>
      <c r="L4675">
        <v>76</v>
      </c>
      <c r="M4675">
        <v>76</v>
      </c>
      <c r="N4675" s="5">
        <v>3.8854805725971371</v>
      </c>
      <c r="O4675" t="s">
        <v>233</v>
      </c>
      <c r="P4675" t="s">
        <v>340</v>
      </c>
      <c r="Q4675" s="10" t="s">
        <v>24</v>
      </c>
      <c r="R4675" t="s">
        <v>2393</v>
      </c>
    </row>
    <row r="4676" spans="1:18" hidden="1" x14ac:dyDescent="0.25">
      <c r="A4676" s="9" t="s">
        <v>2172</v>
      </c>
      <c r="B4676" s="3" t="s">
        <v>2402</v>
      </c>
      <c r="C4676" s="10">
        <v>24</v>
      </c>
      <c r="D4676" s="10">
        <v>1</v>
      </c>
      <c r="E4676" s="10">
        <v>20</v>
      </c>
      <c r="F4676" t="s">
        <v>104</v>
      </c>
      <c r="G4676" t="s">
        <v>889</v>
      </c>
      <c r="H4676" t="s">
        <v>2400</v>
      </c>
      <c r="I4676" t="s">
        <v>72</v>
      </c>
      <c r="J4676">
        <v>40.090000000000003</v>
      </c>
      <c r="K4676" s="10">
        <v>1</v>
      </c>
      <c r="L4676">
        <v>40.090000000000003</v>
      </c>
      <c r="M4676">
        <v>40.090000000000003</v>
      </c>
      <c r="N4676" s="5">
        <v>2.0495910020449899</v>
      </c>
      <c r="O4676" t="s">
        <v>233</v>
      </c>
      <c r="P4676" t="s">
        <v>340</v>
      </c>
      <c r="Q4676" s="10" t="s">
        <v>24</v>
      </c>
      <c r="R4676" t="s">
        <v>2394</v>
      </c>
    </row>
    <row r="4677" spans="1:18" hidden="1" x14ac:dyDescent="0.25">
      <c r="A4677" s="9" t="s">
        <v>2172</v>
      </c>
      <c r="B4677" s="3" t="s">
        <v>2402</v>
      </c>
      <c r="C4677" s="10">
        <v>24</v>
      </c>
      <c r="D4677" s="10">
        <v>1</v>
      </c>
      <c r="E4677" s="10">
        <v>20</v>
      </c>
      <c r="F4677" t="s">
        <v>104</v>
      </c>
      <c r="G4677" t="s">
        <v>889</v>
      </c>
      <c r="H4677" t="s">
        <v>2400</v>
      </c>
      <c r="I4677" t="s">
        <v>72</v>
      </c>
      <c r="J4677">
        <v>14.17</v>
      </c>
      <c r="K4677" s="10">
        <v>1</v>
      </c>
      <c r="L4677">
        <v>14.17</v>
      </c>
      <c r="M4677">
        <v>14.17</v>
      </c>
      <c r="N4677" s="5">
        <v>0.72443762781186094</v>
      </c>
      <c r="O4677" t="s">
        <v>233</v>
      </c>
      <c r="P4677" t="s">
        <v>340</v>
      </c>
      <c r="Q4677" s="10" t="s">
        <v>24</v>
      </c>
      <c r="R4677" t="s">
        <v>2395</v>
      </c>
    </row>
    <row r="4678" spans="1:18" hidden="1" x14ac:dyDescent="0.25">
      <c r="A4678" s="9" t="s">
        <v>2172</v>
      </c>
      <c r="B4678" s="3" t="s">
        <v>2402</v>
      </c>
      <c r="C4678" s="10">
        <v>24</v>
      </c>
      <c r="D4678" s="10">
        <v>1</v>
      </c>
      <c r="E4678" s="10">
        <v>20</v>
      </c>
      <c r="F4678" t="s">
        <v>104</v>
      </c>
      <c r="G4678" t="s">
        <v>889</v>
      </c>
      <c r="H4678" t="s">
        <v>2400</v>
      </c>
      <c r="I4678" t="s">
        <v>72</v>
      </c>
      <c r="J4678">
        <v>115.35</v>
      </c>
      <c r="K4678" s="10">
        <v>1</v>
      </c>
      <c r="L4678">
        <v>115.35</v>
      </c>
      <c r="M4678">
        <v>115.35</v>
      </c>
      <c r="N4678" s="5">
        <v>5.897239263803681</v>
      </c>
      <c r="O4678" t="s">
        <v>233</v>
      </c>
      <c r="P4678" t="s">
        <v>340</v>
      </c>
      <c r="Q4678" s="10" t="s">
        <v>24</v>
      </c>
      <c r="R4678" t="s">
        <v>2396</v>
      </c>
    </row>
    <row r="4679" spans="1:18" hidden="1" x14ac:dyDescent="0.25">
      <c r="A4679" s="9" t="s">
        <v>2172</v>
      </c>
      <c r="B4679" s="3" t="s">
        <v>2402</v>
      </c>
      <c r="C4679" s="10">
        <v>24</v>
      </c>
      <c r="D4679" s="10">
        <v>1</v>
      </c>
      <c r="E4679" s="10">
        <v>20</v>
      </c>
      <c r="F4679" t="s">
        <v>2397</v>
      </c>
      <c r="G4679" t="s">
        <v>889</v>
      </c>
      <c r="H4679" t="s">
        <v>2093</v>
      </c>
      <c r="I4679" t="s">
        <v>72</v>
      </c>
      <c r="J4679">
        <v>284.99</v>
      </c>
      <c r="K4679" s="10">
        <v>1</v>
      </c>
      <c r="L4679">
        <v>284.99</v>
      </c>
      <c r="M4679">
        <v>284.99</v>
      </c>
      <c r="N4679" s="5">
        <v>14.570040899795503</v>
      </c>
      <c r="O4679" t="s">
        <v>233</v>
      </c>
      <c r="P4679" t="s">
        <v>340</v>
      </c>
      <c r="Q4679" s="10" t="s">
        <v>24</v>
      </c>
      <c r="R4679">
        <v>0</v>
      </c>
    </row>
    <row r="4680" spans="1:18" hidden="1" x14ac:dyDescent="0.25">
      <c r="A4680" s="9" t="s">
        <v>2172</v>
      </c>
      <c r="B4680" s="3" t="s">
        <v>2402</v>
      </c>
      <c r="C4680" s="10">
        <v>24</v>
      </c>
      <c r="D4680" s="10">
        <v>1</v>
      </c>
      <c r="E4680" s="10">
        <v>20</v>
      </c>
      <c r="F4680" t="s">
        <v>2398</v>
      </c>
      <c r="G4680" t="s">
        <v>889</v>
      </c>
      <c r="H4680" t="s">
        <v>2093</v>
      </c>
      <c r="I4680" t="s">
        <v>72</v>
      </c>
      <c r="J4680">
        <v>528.6</v>
      </c>
      <c r="K4680" s="10">
        <v>1</v>
      </c>
      <c r="L4680">
        <v>528.6</v>
      </c>
      <c r="M4680">
        <v>528.6</v>
      </c>
      <c r="N4680" s="5">
        <v>27.024539877300615</v>
      </c>
      <c r="O4680" t="s">
        <v>233</v>
      </c>
      <c r="P4680" t="s">
        <v>340</v>
      </c>
      <c r="Q4680" s="10" t="s">
        <v>24</v>
      </c>
      <c r="R4680">
        <v>0</v>
      </c>
    </row>
    <row r="4681" spans="1:18" hidden="1" x14ac:dyDescent="0.25">
      <c r="A4681" s="9" t="s">
        <v>2172</v>
      </c>
      <c r="B4681" s="3" t="s">
        <v>2402</v>
      </c>
      <c r="C4681" s="10">
        <v>24</v>
      </c>
      <c r="D4681" s="10">
        <v>1</v>
      </c>
      <c r="E4681" s="10">
        <v>20</v>
      </c>
      <c r="F4681" t="s">
        <v>2399</v>
      </c>
      <c r="G4681" t="s">
        <v>889</v>
      </c>
      <c r="H4681" t="s">
        <v>2093</v>
      </c>
      <c r="I4681" t="s">
        <v>72</v>
      </c>
      <c r="J4681">
        <v>26.9</v>
      </c>
      <c r="K4681" s="10">
        <v>1</v>
      </c>
      <c r="L4681">
        <v>26.9</v>
      </c>
      <c r="M4681">
        <v>26.9</v>
      </c>
      <c r="N4681" s="5">
        <v>1.3752556237218814</v>
      </c>
      <c r="O4681" t="s">
        <v>233</v>
      </c>
      <c r="P4681" t="s">
        <v>340</v>
      </c>
      <c r="Q4681" s="10" t="s">
        <v>24</v>
      </c>
      <c r="R4681">
        <v>0</v>
      </c>
    </row>
    <row r="4682" spans="1:18" hidden="1" x14ac:dyDescent="0.25">
      <c r="A4682" s="9" t="s">
        <v>2172</v>
      </c>
      <c r="B4682" s="3" t="s">
        <v>2402</v>
      </c>
      <c r="C4682" s="10">
        <v>24</v>
      </c>
      <c r="D4682" s="10">
        <v>1</v>
      </c>
      <c r="E4682" s="10">
        <v>20</v>
      </c>
      <c r="F4682" t="s">
        <v>39</v>
      </c>
      <c r="G4682" t="s">
        <v>889</v>
      </c>
      <c r="H4682" t="s">
        <v>2093</v>
      </c>
      <c r="I4682" t="s">
        <v>72</v>
      </c>
      <c r="J4682">
        <v>214.65</v>
      </c>
      <c r="K4682" s="10">
        <v>1</v>
      </c>
      <c r="L4682">
        <v>214.65</v>
      </c>
      <c r="M4682">
        <v>214.65</v>
      </c>
      <c r="N4682" s="5">
        <v>10.973926380368098</v>
      </c>
      <c r="O4682" t="s">
        <v>233</v>
      </c>
      <c r="P4682" t="s">
        <v>340</v>
      </c>
      <c r="Q4682" s="10" t="s">
        <v>24</v>
      </c>
      <c r="R4682" t="s">
        <v>2429</v>
      </c>
    </row>
    <row r="4683" spans="1:18" hidden="1" x14ac:dyDescent="0.25">
      <c r="A4683" s="9" t="s">
        <v>2172</v>
      </c>
      <c r="B4683" s="3" t="s">
        <v>2402</v>
      </c>
      <c r="C4683" s="10">
        <v>24</v>
      </c>
      <c r="D4683" s="10">
        <v>1</v>
      </c>
      <c r="E4683" s="10">
        <v>20</v>
      </c>
      <c r="F4683" t="s">
        <v>39</v>
      </c>
      <c r="G4683" t="s">
        <v>889</v>
      </c>
      <c r="H4683" t="s">
        <v>2093</v>
      </c>
      <c r="I4683" t="s">
        <v>72</v>
      </c>
      <c r="J4683">
        <v>214.65</v>
      </c>
      <c r="K4683" s="10">
        <v>1</v>
      </c>
      <c r="L4683">
        <v>214.65</v>
      </c>
      <c r="M4683">
        <v>214.65</v>
      </c>
      <c r="N4683" s="5">
        <v>10.973926380368098</v>
      </c>
      <c r="O4683" t="s">
        <v>233</v>
      </c>
      <c r="P4683" t="s">
        <v>340</v>
      </c>
      <c r="Q4683" s="10" t="s">
        <v>24</v>
      </c>
      <c r="R4683" t="s">
        <v>2429</v>
      </c>
    </row>
    <row r="4684" spans="1:18" hidden="1" x14ac:dyDescent="0.25">
      <c r="A4684" s="9" t="s">
        <v>2172</v>
      </c>
      <c r="B4684" s="3" t="s">
        <v>2379</v>
      </c>
      <c r="C4684" s="10">
        <v>26</v>
      </c>
      <c r="D4684" s="10">
        <v>1</v>
      </c>
      <c r="E4684" s="10">
        <v>20</v>
      </c>
      <c r="F4684" t="s">
        <v>1466</v>
      </c>
      <c r="G4684" t="s">
        <v>31</v>
      </c>
      <c r="H4684" t="s">
        <v>26</v>
      </c>
      <c r="I4684" t="s">
        <v>27</v>
      </c>
      <c r="J4684">
        <v>33.909999999999997</v>
      </c>
      <c r="K4684" s="10">
        <v>2</v>
      </c>
      <c r="L4684">
        <v>33.909999999999997</v>
      </c>
      <c r="M4684">
        <v>67.819999999999993</v>
      </c>
      <c r="N4684" s="5">
        <v>3.4672801635991819</v>
      </c>
      <c r="O4684" t="s">
        <v>90</v>
      </c>
      <c r="P4684" t="s">
        <v>340</v>
      </c>
      <c r="Q4684" s="10" t="s">
        <v>24</v>
      </c>
    </row>
    <row r="4685" spans="1:18" hidden="1" x14ac:dyDescent="0.25">
      <c r="A4685" s="9" t="s">
        <v>2172</v>
      </c>
      <c r="B4685" s="3" t="s">
        <v>2379</v>
      </c>
      <c r="C4685" s="10">
        <v>26</v>
      </c>
      <c r="D4685" s="10">
        <v>1</v>
      </c>
      <c r="E4685" s="10">
        <v>20</v>
      </c>
      <c r="F4685" t="s">
        <v>47</v>
      </c>
      <c r="G4685" t="s">
        <v>31</v>
      </c>
      <c r="H4685" t="s">
        <v>26</v>
      </c>
      <c r="I4685" t="s">
        <v>27</v>
      </c>
      <c r="J4685">
        <v>6.47</v>
      </c>
      <c r="K4685" s="10">
        <v>1</v>
      </c>
      <c r="L4685">
        <v>6.47</v>
      </c>
      <c r="M4685">
        <v>6.47</v>
      </c>
      <c r="N4685" s="5">
        <v>0.33077709611451944</v>
      </c>
      <c r="O4685" t="s">
        <v>90</v>
      </c>
      <c r="P4685" t="s">
        <v>340</v>
      </c>
      <c r="Q4685" s="10" t="s">
        <v>24</v>
      </c>
    </row>
    <row r="4686" spans="1:18" hidden="1" x14ac:dyDescent="0.25">
      <c r="A4686" s="9" t="s">
        <v>2172</v>
      </c>
      <c r="B4686" s="3" t="s">
        <v>2379</v>
      </c>
      <c r="C4686" s="10">
        <v>26</v>
      </c>
      <c r="D4686" s="10">
        <v>1</v>
      </c>
      <c r="E4686" s="10">
        <v>20</v>
      </c>
      <c r="F4686" t="s">
        <v>60</v>
      </c>
      <c r="G4686" t="s">
        <v>31</v>
      </c>
      <c r="H4686" t="s">
        <v>26</v>
      </c>
      <c r="I4686" t="s">
        <v>27</v>
      </c>
      <c r="J4686">
        <v>7.25</v>
      </c>
      <c r="K4686" s="10">
        <v>1</v>
      </c>
      <c r="L4686">
        <v>7.25</v>
      </c>
      <c r="M4686">
        <v>7.25</v>
      </c>
      <c r="N4686" s="5">
        <v>0.37065439672801637</v>
      </c>
      <c r="O4686" t="s">
        <v>90</v>
      </c>
      <c r="P4686" t="s">
        <v>340</v>
      </c>
      <c r="Q4686" s="10" t="s">
        <v>24</v>
      </c>
    </row>
    <row r="4687" spans="1:18" hidden="1" x14ac:dyDescent="0.25">
      <c r="A4687" s="9" t="s">
        <v>2172</v>
      </c>
      <c r="B4687" s="3" t="s">
        <v>2379</v>
      </c>
      <c r="C4687" s="10">
        <v>26</v>
      </c>
      <c r="D4687" s="10">
        <v>1</v>
      </c>
      <c r="E4687" s="10">
        <v>20</v>
      </c>
      <c r="F4687" t="s">
        <v>2363</v>
      </c>
      <c r="G4687" t="s">
        <v>889</v>
      </c>
      <c r="H4687" t="s">
        <v>65</v>
      </c>
      <c r="I4687" t="s">
        <v>27</v>
      </c>
      <c r="J4687">
        <v>13.43</v>
      </c>
      <c r="K4687" s="10">
        <v>1</v>
      </c>
      <c r="L4687">
        <v>13.43</v>
      </c>
      <c r="M4687">
        <v>13.43</v>
      </c>
      <c r="N4687" s="5">
        <v>0.6866053169734152</v>
      </c>
      <c r="O4687" t="s">
        <v>90</v>
      </c>
      <c r="P4687" t="s">
        <v>340</v>
      </c>
      <c r="Q4687" s="10" t="s">
        <v>24</v>
      </c>
    </row>
    <row r="4688" spans="1:18" hidden="1" x14ac:dyDescent="0.25">
      <c r="A4688" s="9" t="s">
        <v>2172</v>
      </c>
      <c r="B4688" s="3" t="s">
        <v>2379</v>
      </c>
      <c r="C4688" s="10">
        <v>26</v>
      </c>
      <c r="D4688" s="10">
        <v>1</v>
      </c>
      <c r="E4688" s="10">
        <v>20</v>
      </c>
      <c r="F4688" t="s">
        <v>2339</v>
      </c>
      <c r="G4688" t="s">
        <v>889</v>
      </c>
      <c r="H4688" t="s">
        <v>65</v>
      </c>
      <c r="I4688" t="s">
        <v>27</v>
      </c>
      <c r="J4688">
        <v>37.24</v>
      </c>
      <c r="K4688" s="10">
        <v>1</v>
      </c>
      <c r="L4688">
        <v>37.24</v>
      </c>
      <c r="M4688">
        <v>37.24</v>
      </c>
      <c r="N4688" s="5">
        <v>1.9038854805725973</v>
      </c>
      <c r="O4688" t="s">
        <v>90</v>
      </c>
      <c r="P4688" t="s">
        <v>340</v>
      </c>
      <c r="Q4688" s="10" t="s">
        <v>24</v>
      </c>
    </row>
    <row r="4689" spans="1:18" hidden="1" x14ac:dyDescent="0.25">
      <c r="A4689" s="9" t="s">
        <v>2172</v>
      </c>
      <c r="B4689" s="3" t="s">
        <v>2379</v>
      </c>
      <c r="C4689" s="10">
        <v>26</v>
      </c>
      <c r="D4689" s="10">
        <v>1</v>
      </c>
      <c r="E4689" s="10">
        <v>20</v>
      </c>
      <c r="F4689" t="s">
        <v>2377</v>
      </c>
      <c r="G4689" t="s">
        <v>889</v>
      </c>
      <c r="H4689" t="s">
        <v>26</v>
      </c>
      <c r="I4689" t="s">
        <v>27</v>
      </c>
      <c r="J4689">
        <v>6.47</v>
      </c>
      <c r="K4689" s="10">
        <v>2</v>
      </c>
      <c r="L4689">
        <v>6.47</v>
      </c>
      <c r="M4689">
        <v>12.94</v>
      </c>
      <c r="N4689" s="5">
        <v>0.66155419222903888</v>
      </c>
      <c r="O4689" t="s">
        <v>90</v>
      </c>
      <c r="P4689" t="s">
        <v>340</v>
      </c>
      <c r="Q4689" s="10" t="s">
        <v>24</v>
      </c>
    </row>
    <row r="4690" spans="1:18" hidden="1" x14ac:dyDescent="0.25">
      <c r="A4690" s="9" t="s">
        <v>2172</v>
      </c>
      <c r="B4690" s="3" t="s">
        <v>2379</v>
      </c>
      <c r="C4690" s="10">
        <v>26</v>
      </c>
      <c r="D4690" s="10">
        <v>1</v>
      </c>
      <c r="E4690" s="10">
        <v>20</v>
      </c>
      <c r="F4690" t="s">
        <v>73</v>
      </c>
      <c r="G4690" t="s">
        <v>889</v>
      </c>
      <c r="H4690" t="s">
        <v>73</v>
      </c>
      <c r="I4690" t="s">
        <v>27</v>
      </c>
      <c r="J4690">
        <v>28.52</v>
      </c>
      <c r="K4690" s="10">
        <v>1</v>
      </c>
      <c r="L4690">
        <v>28.52</v>
      </c>
      <c r="M4690">
        <v>28.52</v>
      </c>
      <c r="N4690" s="5">
        <v>1.4580777096114521</v>
      </c>
      <c r="O4690" t="s">
        <v>90</v>
      </c>
      <c r="P4690" t="s">
        <v>340</v>
      </c>
      <c r="Q4690" s="10" t="s">
        <v>24</v>
      </c>
    </row>
    <row r="4691" spans="1:18" hidden="1" x14ac:dyDescent="0.25">
      <c r="A4691" s="9" t="s">
        <v>2172</v>
      </c>
      <c r="B4691" s="3" t="s">
        <v>2379</v>
      </c>
      <c r="C4691" s="10">
        <v>26</v>
      </c>
      <c r="D4691" s="10">
        <v>1</v>
      </c>
      <c r="E4691" s="10">
        <v>20</v>
      </c>
      <c r="F4691" t="s">
        <v>202</v>
      </c>
      <c r="G4691" t="s">
        <v>889</v>
      </c>
      <c r="H4691" t="s">
        <v>54</v>
      </c>
      <c r="I4691" t="s">
        <v>27</v>
      </c>
      <c r="J4691">
        <v>99.9</v>
      </c>
      <c r="K4691" s="10">
        <v>0.216</v>
      </c>
      <c r="L4691">
        <v>99.9</v>
      </c>
      <c r="M4691">
        <v>21.578400000000002</v>
      </c>
      <c r="N4691" s="5">
        <v>1.1031901840490799</v>
      </c>
      <c r="O4691" t="s">
        <v>90</v>
      </c>
      <c r="P4691" t="s">
        <v>340</v>
      </c>
      <c r="Q4691" s="10" t="s">
        <v>24</v>
      </c>
    </row>
    <row r="4692" spans="1:18" hidden="1" x14ac:dyDescent="0.25">
      <c r="A4692" s="9" t="s">
        <v>2172</v>
      </c>
      <c r="B4692" s="3" t="s">
        <v>2379</v>
      </c>
      <c r="C4692" s="10">
        <v>26</v>
      </c>
      <c r="D4692" s="10">
        <v>1</v>
      </c>
      <c r="E4692" s="10">
        <v>20</v>
      </c>
      <c r="F4692" t="s">
        <v>2378</v>
      </c>
      <c r="G4692" t="s">
        <v>889</v>
      </c>
      <c r="H4692" t="s">
        <v>40</v>
      </c>
      <c r="I4692" t="s">
        <v>27</v>
      </c>
      <c r="J4692">
        <v>4.21</v>
      </c>
      <c r="K4692" s="10">
        <v>1</v>
      </c>
      <c r="L4692">
        <v>4.21</v>
      </c>
      <c r="M4692">
        <v>4.21</v>
      </c>
      <c r="N4692" s="5">
        <v>0.2152351738241309</v>
      </c>
      <c r="O4692" t="s">
        <v>90</v>
      </c>
      <c r="P4692" t="s">
        <v>340</v>
      </c>
      <c r="Q4692" s="10" t="s">
        <v>24</v>
      </c>
    </row>
    <row r="4693" spans="1:18" hidden="1" x14ac:dyDescent="0.25">
      <c r="A4693" s="9" t="s">
        <v>2172</v>
      </c>
      <c r="B4693" s="3" t="s">
        <v>2379</v>
      </c>
      <c r="C4693" s="10">
        <v>26</v>
      </c>
      <c r="D4693" s="10">
        <v>1</v>
      </c>
      <c r="E4693" s="10">
        <v>20</v>
      </c>
      <c r="F4693" t="s">
        <v>200</v>
      </c>
      <c r="G4693" t="s">
        <v>77</v>
      </c>
      <c r="H4693" t="s">
        <v>26</v>
      </c>
      <c r="I4693" t="s">
        <v>27</v>
      </c>
      <c r="J4693">
        <v>14.6</v>
      </c>
      <c r="K4693" s="10">
        <v>1</v>
      </c>
      <c r="L4693">
        <v>14.6</v>
      </c>
      <c r="M4693">
        <v>14.6</v>
      </c>
      <c r="N4693" s="5">
        <v>0.74642126789366059</v>
      </c>
      <c r="O4693" t="s">
        <v>101</v>
      </c>
      <c r="P4693" t="s">
        <v>340</v>
      </c>
      <c r="Q4693" s="10" t="s">
        <v>24</v>
      </c>
    </row>
    <row r="4694" spans="1:18" hidden="1" x14ac:dyDescent="0.25">
      <c r="A4694" s="9" t="s">
        <v>2172</v>
      </c>
      <c r="B4694" s="3" t="s">
        <v>2379</v>
      </c>
      <c r="C4694" s="10">
        <v>26</v>
      </c>
      <c r="D4694" s="10">
        <v>1</v>
      </c>
      <c r="E4694" s="10">
        <v>20</v>
      </c>
      <c r="F4694" t="s">
        <v>981</v>
      </c>
      <c r="G4694" t="s">
        <v>31</v>
      </c>
      <c r="H4694" t="s">
        <v>26</v>
      </c>
      <c r="I4694" t="s">
        <v>27</v>
      </c>
      <c r="J4694">
        <v>10.25</v>
      </c>
      <c r="K4694" s="10">
        <v>1</v>
      </c>
      <c r="L4694">
        <v>10.25</v>
      </c>
      <c r="M4694">
        <v>10.25</v>
      </c>
      <c r="N4694" s="5">
        <v>0.52402862985685073</v>
      </c>
      <c r="O4694" t="s">
        <v>101</v>
      </c>
      <c r="P4694" t="s">
        <v>340</v>
      </c>
      <c r="Q4694" s="10" t="s">
        <v>24</v>
      </c>
    </row>
    <row r="4695" spans="1:18" hidden="1" x14ac:dyDescent="0.25">
      <c r="A4695" s="9" t="s">
        <v>2172</v>
      </c>
      <c r="B4695" s="3" t="s">
        <v>2379</v>
      </c>
      <c r="C4695" s="10">
        <v>26</v>
      </c>
      <c r="D4695" s="10">
        <v>1</v>
      </c>
      <c r="E4695" s="10">
        <v>20</v>
      </c>
      <c r="F4695" t="s">
        <v>39</v>
      </c>
      <c r="G4695" t="s">
        <v>889</v>
      </c>
      <c r="H4695" t="s">
        <v>2093</v>
      </c>
      <c r="I4695" t="s">
        <v>72</v>
      </c>
      <c r="J4695">
        <v>88</v>
      </c>
      <c r="K4695" s="10">
        <v>1</v>
      </c>
      <c r="L4695">
        <v>88</v>
      </c>
      <c r="M4695">
        <v>88</v>
      </c>
      <c r="N4695" s="5">
        <v>4.4989775051124745</v>
      </c>
      <c r="O4695" t="s">
        <v>2420</v>
      </c>
      <c r="P4695" t="s">
        <v>340</v>
      </c>
      <c r="Q4695" s="10" t="s">
        <v>24</v>
      </c>
      <c r="R4695" t="s">
        <v>2422</v>
      </c>
    </row>
    <row r="4696" spans="1:18" hidden="1" x14ac:dyDescent="0.25">
      <c r="A4696" s="9" t="s">
        <v>2172</v>
      </c>
      <c r="B4696" s="3" t="s">
        <v>2379</v>
      </c>
      <c r="C4696" s="10">
        <v>26</v>
      </c>
      <c r="D4696" s="10">
        <v>1</v>
      </c>
      <c r="E4696" s="10">
        <v>20</v>
      </c>
      <c r="F4696" t="s">
        <v>39</v>
      </c>
      <c r="G4696" t="s">
        <v>889</v>
      </c>
      <c r="H4696" t="s">
        <v>2400</v>
      </c>
      <c r="I4696" t="s">
        <v>72</v>
      </c>
      <c r="J4696">
        <v>57</v>
      </c>
      <c r="K4696" s="10">
        <v>1</v>
      </c>
      <c r="L4696">
        <v>57</v>
      </c>
      <c r="M4696">
        <v>57</v>
      </c>
      <c r="N4696" s="5">
        <v>2.9141104294478528</v>
      </c>
      <c r="O4696" t="s">
        <v>2420</v>
      </c>
      <c r="P4696" t="s">
        <v>340</v>
      </c>
      <c r="Q4696" s="10" t="s">
        <v>24</v>
      </c>
      <c r="R4696" t="s">
        <v>2423</v>
      </c>
    </row>
    <row r="4697" spans="1:18" hidden="1" x14ac:dyDescent="0.25">
      <c r="A4697" s="9" t="s">
        <v>2172</v>
      </c>
      <c r="B4697" s="3" t="s">
        <v>2379</v>
      </c>
      <c r="C4697" s="10">
        <v>26</v>
      </c>
      <c r="D4697" s="10">
        <v>1</v>
      </c>
      <c r="E4697" s="10">
        <v>20</v>
      </c>
      <c r="F4697" t="s">
        <v>39</v>
      </c>
      <c r="G4697" t="s">
        <v>889</v>
      </c>
      <c r="H4697" t="s">
        <v>2093</v>
      </c>
      <c r="I4697" t="s">
        <v>72</v>
      </c>
      <c r="J4697">
        <v>46.14</v>
      </c>
      <c r="K4697" s="10">
        <v>1</v>
      </c>
      <c r="L4697">
        <v>46.14</v>
      </c>
      <c r="M4697">
        <v>46.14</v>
      </c>
      <c r="N4697" s="5">
        <v>2.3588957055214728</v>
      </c>
      <c r="O4697" t="s">
        <v>629</v>
      </c>
      <c r="P4697" t="s">
        <v>340</v>
      </c>
      <c r="Q4697" s="10" t="s">
        <v>24</v>
      </c>
      <c r="R4697" t="s">
        <v>2421</v>
      </c>
    </row>
    <row r="4698" spans="1:18" hidden="1" x14ac:dyDescent="0.25">
      <c r="A4698" s="9" t="s">
        <v>2172</v>
      </c>
      <c r="B4698" s="3" t="s">
        <v>2379</v>
      </c>
      <c r="C4698" s="10">
        <v>26</v>
      </c>
      <c r="D4698" s="10">
        <v>1</v>
      </c>
      <c r="E4698" s="10">
        <v>20</v>
      </c>
      <c r="F4698" t="s">
        <v>1846</v>
      </c>
      <c r="G4698" t="s">
        <v>889</v>
      </c>
      <c r="H4698" t="s">
        <v>102</v>
      </c>
      <c r="I4698" t="s">
        <v>27</v>
      </c>
      <c r="J4698">
        <v>21.94</v>
      </c>
      <c r="K4698" s="10">
        <v>1</v>
      </c>
      <c r="L4698">
        <v>21.94</v>
      </c>
      <c r="M4698">
        <v>21.94</v>
      </c>
      <c r="N4698" s="5">
        <v>1.121676891615542</v>
      </c>
      <c r="O4698" t="s">
        <v>629</v>
      </c>
      <c r="P4698" t="s">
        <v>340</v>
      </c>
      <c r="Q4698" s="10" t="s">
        <v>24</v>
      </c>
      <c r="R4698" t="s">
        <v>1742</v>
      </c>
    </row>
    <row r="4699" spans="1:18" hidden="1" x14ac:dyDescent="0.25">
      <c r="A4699" s="9" t="s">
        <v>2172</v>
      </c>
      <c r="B4699" s="3" t="s">
        <v>2379</v>
      </c>
      <c r="C4699" s="10">
        <v>26</v>
      </c>
      <c r="D4699" s="10">
        <v>1</v>
      </c>
      <c r="E4699" s="10">
        <v>20</v>
      </c>
      <c r="F4699" t="s">
        <v>2107</v>
      </c>
      <c r="G4699" t="s">
        <v>889</v>
      </c>
      <c r="H4699" t="s">
        <v>2093</v>
      </c>
      <c r="I4699" t="s">
        <v>72</v>
      </c>
      <c r="J4699">
        <v>1.45</v>
      </c>
      <c r="K4699" s="10">
        <v>5</v>
      </c>
      <c r="L4699">
        <v>1.45</v>
      </c>
      <c r="M4699">
        <v>7.25</v>
      </c>
      <c r="N4699" s="5">
        <v>0.37065439672801637</v>
      </c>
      <c r="O4699" t="s">
        <v>629</v>
      </c>
      <c r="P4699" t="s">
        <v>340</v>
      </c>
      <c r="Q4699" s="10" t="s">
        <v>24</v>
      </c>
      <c r="R4699" t="s">
        <v>2424</v>
      </c>
    </row>
    <row r="4700" spans="1:18" hidden="1" x14ac:dyDescent="0.25">
      <c r="A4700" s="9" t="s">
        <v>2172</v>
      </c>
      <c r="B4700" s="3" t="s">
        <v>2379</v>
      </c>
      <c r="C4700" s="10">
        <v>26</v>
      </c>
      <c r="D4700" s="10">
        <v>1</v>
      </c>
      <c r="E4700" s="10">
        <v>20</v>
      </c>
      <c r="F4700" t="s">
        <v>39</v>
      </c>
      <c r="G4700" t="s">
        <v>889</v>
      </c>
      <c r="H4700" t="s">
        <v>2093</v>
      </c>
      <c r="I4700" t="s">
        <v>72</v>
      </c>
      <c r="J4700">
        <v>88</v>
      </c>
      <c r="K4700" s="10">
        <v>1</v>
      </c>
      <c r="L4700">
        <v>88</v>
      </c>
      <c r="M4700">
        <v>88</v>
      </c>
      <c r="N4700" s="5">
        <v>4.4989775051124745</v>
      </c>
      <c r="O4700" t="s">
        <v>2420</v>
      </c>
      <c r="P4700" t="s">
        <v>340</v>
      </c>
      <c r="Q4700" s="10" t="s">
        <v>24</v>
      </c>
      <c r="R4700" t="s">
        <v>2422</v>
      </c>
    </row>
    <row r="4701" spans="1:18" hidden="1" x14ac:dyDescent="0.25">
      <c r="A4701" s="9" t="s">
        <v>2172</v>
      </c>
      <c r="B4701" s="3" t="s">
        <v>2379</v>
      </c>
      <c r="C4701" s="10">
        <v>26</v>
      </c>
      <c r="D4701" s="10">
        <v>1</v>
      </c>
      <c r="E4701" s="10">
        <v>20</v>
      </c>
      <c r="F4701" t="s">
        <v>39</v>
      </c>
      <c r="G4701" t="s">
        <v>889</v>
      </c>
      <c r="H4701" t="s">
        <v>2400</v>
      </c>
      <c r="I4701" t="s">
        <v>72</v>
      </c>
      <c r="J4701">
        <v>57</v>
      </c>
      <c r="K4701" s="10">
        <v>1</v>
      </c>
      <c r="L4701">
        <v>57</v>
      </c>
      <c r="M4701">
        <v>57</v>
      </c>
      <c r="N4701" s="5">
        <v>2.9141104294478528</v>
      </c>
      <c r="O4701" t="s">
        <v>2420</v>
      </c>
      <c r="P4701" t="s">
        <v>340</v>
      </c>
      <c r="Q4701" s="10" t="s">
        <v>24</v>
      </c>
      <c r="R4701" t="s">
        <v>2423</v>
      </c>
    </row>
    <row r="4702" spans="1:18" hidden="1" x14ac:dyDescent="0.25">
      <c r="A4702" s="9" t="s">
        <v>2172</v>
      </c>
      <c r="B4702" s="3" t="s">
        <v>2379</v>
      </c>
      <c r="C4702" s="10">
        <v>26</v>
      </c>
      <c r="D4702" s="10">
        <v>1</v>
      </c>
      <c r="E4702" s="10">
        <v>20</v>
      </c>
      <c r="F4702" t="s">
        <v>39</v>
      </c>
      <c r="G4702" t="s">
        <v>889</v>
      </c>
      <c r="H4702" t="s">
        <v>2093</v>
      </c>
      <c r="I4702" t="s">
        <v>72</v>
      </c>
      <c r="J4702">
        <v>46.14</v>
      </c>
      <c r="K4702" s="10">
        <v>1</v>
      </c>
      <c r="L4702">
        <v>46.14</v>
      </c>
      <c r="M4702">
        <v>46.14</v>
      </c>
      <c r="N4702" s="5">
        <v>2.3588957055214728</v>
      </c>
      <c r="O4702" t="s">
        <v>629</v>
      </c>
      <c r="P4702" t="s">
        <v>340</v>
      </c>
      <c r="Q4702" s="10" t="s">
        <v>24</v>
      </c>
      <c r="R4702" t="s">
        <v>2421</v>
      </c>
    </row>
    <row r="4703" spans="1:18" hidden="1" x14ac:dyDescent="0.25">
      <c r="A4703" s="9" t="s">
        <v>2172</v>
      </c>
      <c r="B4703" s="3" t="s">
        <v>2379</v>
      </c>
      <c r="C4703" s="10">
        <v>26</v>
      </c>
      <c r="D4703" s="10">
        <v>1</v>
      </c>
      <c r="E4703" s="10">
        <v>20</v>
      </c>
      <c r="F4703" t="s">
        <v>1846</v>
      </c>
      <c r="G4703" t="s">
        <v>889</v>
      </c>
      <c r="H4703" t="s">
        <v>102</v>
      </c>
      <c r="I4703" t="s">
        <v>27</v>
      </c>
      <c r="J4703">
        <v>21.94</v>
      </c>
      <c r="K4703" s="10">
        <v>1</v>
      </c>
      <c r="L4703">
        <v>21.94</v>
      </c>
      <c r="M4703">
        <v>21.94</v>
      </c>
      <c r="N4703" s="5">
        <v>1.121676891615542</v>
      </c>
      <c r="O4703" t="s">
        <v>629</v>
      </c>
      <c r="P4703" t="s">
        <v>340</v>
      </c>
      <c r="Q4703" s="10" t="s">
        <v>24</v>
      </c>
      <c r="R4703" t="s">
        <v>1742</v>
      </c>
    </row>
    <row r="4704" spans="1:18" hidden="1" x14ac:dyDescent="0.25">
      <c r="A4704" s="9" t="s">
        <v>2172</v>
      </c>
      <c r="B4704" s="3" t="s">
        <v>2379</v>
      </c>
      <c r="C4704" s="10">
        <v>26</v>
      </c>
      <c r="D4704" s="10">
        <v>1</v>
      </c>
      <c r="E4704" s="10">
        <v>20</v>
      </c>
      <c r="F4704" t="s">
        <v>2107</v>
      </c>
      <c r="G4704" t="s">
        <v>889</v>
      </c>
      <c r="H4704" t="s">
        <v>2093</v>
      </c>
      <c r="I4704" t="s">
        <v>72</v>
      </c>
      <c r="J4704">
        <v>1.45</v>
      </c>
      <c r="K4704" s="10">
        <v>5</v>
      </c>
      <c r="L4704">
        <v>1.45</v>
      </c>
      <c r="M4704">
        <v>7.25</v>
      </c>
      <c r="N4704" s="5">
        <v>0.37065439672801637</v>
      </c>
      <c r="O4704" t="s">
        <v>629</v>
      </c>
      <c r="P4704" t="s">
        <v>340</v>
      </c>
      <c r="Q4704" s="10" t="s">
        <v>24</v>
      </c>
      <c r="R4704" t="s">
        <v>2424</v>
      </c>
    </row>
    <row r="4705" spans="1:18" hidden="1" x14ac:dyDescent="0.25">
      <c r="A4705" s="9" t="s">
        <v>2172</v>
      </c>
      <c r="B4705" s="3" t="s">
        <v>2336</v>
      </c>
      <c r="C4705" s="10">
        <v>27</v>
      </c>
      <c r="D4705" s="10">
        <v>1</v>
      </c>
      <c r="E4705" s="10">
        <v>20</v>
      </c>
      <c r="F4705" t="s">
        <v>2444</v>
      </c>
      <c r="G4705" t="s">
        <v>889</v>
      </c>
      <c r="H4705" t="s">
        <v>889</v>
      </c>
      <c r="I4705" t="s">
        <v>39</v>
      </c>
      <c r="J4705">
        <v>23</v>
      </c>
      <c r="K4705">
        <v>1</v>
      </c>
      <c r="L4705">
        <v>23</v>
      </c>
      <c r="M4705">
        <v>23</v>
      </c>
      <c r="N4705" s="5">
        <v>1.1657374556512925</v>
      </c>
      <c r="O4705" t="s">
        <v>39</v>
      </c>
      <c r="P4705" t="s">
        <v>340</v>
      </c>
      <c r="Q4705" s="10" t="s">
        <v>24</v>
      </c>
      <c r="R4705">
        <v>0</v>
      </c>
    </row>
    <row r="4706" spans="1:18" hidden="1" x14ac:dyDescent="0.25">
      <c r="A4706" s="9" t="s">
        <v>2172</v>
      </c>
      <c r="B4706" s="3" t="s">
        <v>2305</v>
      </c>
      <c r="C4706" s="10">
        <v>28</v>
      </c>
      <c r="D4706" s="10">
        <v>1</v>
      </c>
      <c r="E4706" s="10">
        <v>20</v>
      </c>
      <c r="F4706" t="s">
        <v>1680</v>
      </c>
      <c r="G4706" t="s">
        <v>889</v>
      </c>
      <c r="H4706" t="s">
        <v>40</v>
      </c>
      <c r="I4706" t="s">
        <v>27</v>
      </c>
      <c r="J4706" s="4">
        <v>10</v>
      </c>
      <c r="K4706">
        <v>1</v>
      </c>
      <c r="L4706">
        <v>10</v>
      </c>
      <c r="M4706">
        <v>10</v>
      </c>
      <c r="N4706" s="5">
        <v>0.50684237202230109</v>
      </c>
      <c r="O4706" t="s">
        <v>100</v>
      </c>
      <c r="P4706" t="s">
        <v>340</v>
      </c>
      <c r="Q4706" s="10" t="s">
        <v>24</v>
      </c>
      <c r="R4706">
        <v>0</v>
      </c>
    </row>
    <row r="4707" spans="1:18" hidden="1" x14ac:dyDescent="0.25">
      <c r="A4707" s="9" t="s">
        <v>2172</v>
      </c>
      <c r="B4707" s="3" t="s">
        <v>2305</v>
      </c>
      <c r="C4707" s="10">
        <v>28</v>
      </c>
      <c r="D4707" s="10">
        <v>1</v>
      </c>
      <c r="E4707" s="10">
        <v>20</v>
      </c>
      <c r="F4707" t="s">
        <v>1036</v>
      </c>
      <c r="G4707" t="s">
        <v>889</v>
      </c>
      <c r="H4707" t="s">
        <v>38</v>
      </c>
      <c r="I4707" t="s">
        <v>27</v>
      </c>
      <c r="J4707" s="4">
        <v>126</v>
      </c>
      <c r="K4707">
        <v>0.28599999999999998</v>
      </c>
      <c r="L4707">
        <v>126</v>
      </c>
      <c r="M4707">
        <v>36.035999999999994</v>
      </c>
      <c r="N4707" s="5">
        <v>1.8264571718195637</v>
      </c>
      <c r="O4707" t="s">
        <v>100</v>
      </c>
      <c r="P4707" t="s">
        <v>340</v>
      </c>
      <c r="Q4707" s="10" t="s">
        <v>24</v>
      </c>
      <c r="R4707">
        <v>0</v>
      </c>
    </row>
    <row r="4708" spans="1:18" hidden="1" x14ac:dyDescent="0.25">
      <c r="A4708" s="9" t="s">
        <v>2172</v>
      </c>
      <c r="B4708" s="3" t="s">
        <v>2305</v>
      </c>
      <c r="C4708" s="10">
        <v>28</v>
      </c>
      <c r="D4708" s="10">
        <v>1</v>
      </c>
      <c r="E4708" s="10">
        <v>20</v>
      </c>
      <c r="F4708" t="s">
        <v>1624</v>
      </c>
      <c r="G4708" t="s">
        <v>889</v>
      </c>
      <c r="H4708" t="s">
        <v>131</v>
      </c>
      <c r="I4708" t="s">
        <v>27</v>
      </c>
      <c r="J4708" s="4">
        <v>64</v>
      </c>
      <c r="K4708">
        <v>1</v>
      </c>
      <c r="L4708">
        <v>64</v>
      </c>
      <c r="M4708">
        <v>64</v>
      </c>
      <c r="N4708" s="5">
        <v>3.2437911809427269</v>
      </c>
      <c r="O4708" t="s">
        <v>100</v>
      </c>
      <c r="P4708" t="s">
        <v>340</v>
      </c>
      <c r="Q4708" s="10" t="s">
        <v>24</v>
      </c>
      <c r="R4708">
        <v>0</v>
      </c>
    </row>
    <row r="4709" spans="1:18" hidden="1" x14ac:dyDescent="0.25">
      <c r="A4709" s="9" t="s">
        <v>2172</v>
      </c>
      <c r="B4709" s="3" t="s">
        <v>2305</v>
      </c>
      <c r="C4709" s="10">
        <v>28</v>
      </c>
      <c r="D4709" s="10">
        <v>1</v>
      </c>
      <c r="E4709" s="10">
        <v>20</v>
      </c>
      <c r="F4709" t="s">
        <v>2327</v>
      </c>
      <c r="G4709" t="s">
        <v>889</v>
      </c>
      <c r="H4709" t="s">
        <v>889</v>
      </c>
      <c r="I4709" t="s">
        <v>72</v>
      </c>
      <c r="J4709">
        <v>50</v>
      </c>
      <c r="K4709">
        <v>1</v>
      </c>
      <c r="L4709">
        <v>50</v>
      </c>
      <c r="M4709">
        <v>50</v>
      </c>
      <c r="N4709" s="5">
        <v>2.5342118601115051</v>
      </c>
      <c r="O4709" t="s">
        <v>39</v>
      </c>
      <c r="P4709" t="s">
        <v>340</v>
      </c>
      <c r="Q4709" s="10" t="s">
        <v>24</v>
      </c>
      <c r="R4709" t="s">
        <v>2329</v>
      </c>
    </row>
    <row r="4710" spans="1:18" hidden="1" x14ac:dyDescent="0.25">
      <c r="A4710" s="9" t="s">
        <v>2172</v>
      </c>
      <c r="B4710" s="3" t="s">
        <v>2305</v>
      </c>
      <c r="C4710" s="10">
        <v>28</v>
      </c>
      <c r="D4710" s="10">
        <v>1</v>
      </c>
      <c r="E4710" s="10">
        <v>20</v>
      </c>
      <c r="F4710" t="s">
        <v>48</v>
      </c>
      <c r="G4710" t="s">
        <v>889</v>
      </c>
      <c r="H4710" t="s">
        <v>49</v>
      </c>
      <c r="I4710" t="s">
        <v>50</v>
      </c>
      <c r="J4710">
        <v>39.950000000000003</v>
      </c>
      <c r="K4710" s="10">
        <v>1</v>
      </c>
      <c r="L4710">
        <v>39.950000000000003</v>
      </c>
      <c r="M4710">
        <v>39.950000000000003</v>
      </c>
      <c r="N4710" s="5">
        <v>2.0424335378323111</v>
      </c>
      <c r="O4710" t="s">
        <v>1472</v>
      </c>
      <c r="P4710" t="s">
        <v>340</v>
      </c>
      <c r="Q4710" s="10" t="s">
        <v>24</v>
      </c>
      <c r="R4710">
        <v>0</v>
      </c>
    </row>
    <row r="4711" spans="1:18" hidden="1" x14ac:dyDescent="0.25">
      <c r="A4711" s="9" t="s">
        <v>2172</v>
      </c>
      <c r="B4711" s="3" t="s">
        <v>2305</v>
      </c>
      <c r="C4711" s="10">
        <v>28</v>
      </c>
      <c r="D4711" s="10">
        <v>1</v>
      </c>
      <c r="E4711" s="10">
        <v>20</v>
      </c>
      <c r="F4711" t="s">
        <v>237</v>
      </c>
      <c r="G4711" t="s">
        <v>889</v>
      </c>
      <c r="H4711" t="s">
        <v>49</v>
      </c>
      <c r="I4711" t="s">
        <v>50</v>
      </c>
      <c r="J4711">
        <v>30.45</v>
      </c>
      <c r="K4711" s="10">
        <v>1</v>
      </c>
      <c r="L4711">
        <v>30.45</v>
      </c>
      <c r="M4711">
        <v>30.45</v>
      </c>
      <c r="N4711" s="5">
        <v>1.5567484662576687</v>
      </c>
      <c r="O4711" t="s">
        <v>1472</v>
      </c>
      <c r="P4711" t="s">
        <v>340</v>
      </c>
      <c r="Q4711" s="10" t="s">
        <v>24</v>
      </c>
      <c r="R4711">
        <v>0</v>
      </c>
    </row>
    <row r="4712" spans="1:18" hidden="1" x14ac:dyDescent="0.25">
      <c r="A4712" s="9" t="s">
        <v>2172</v>
      </c>
      <c r="B4712" s="3" t="s">
        <v>2305</v>
      </c>
      <c r="C4712" s="10">
        <v>28</v>
      </c>
      <c r="D4712" s="10">
        <v>1</v>
      </c>
      <c r="E4712" s="10">
        <v>20</v>
      </c>
      <c r="F4712" t="s">
        <v>55</v>
      </c>
      <c r="G4712" t="s">
        <v>889</v>
      </c>
      <c r="H4712" t="s">
        <v>56</v>
      </c>
      <c r="I4712" t="s">
        <v>27</v>
      </c>
      <c r="J4712">
        <v>26.9</v>
      </c>
      <c r="K4712" s="10">
        <v>0.878</v>
      </c>
      <c r="L4712">
        <v>26.9</v>
      </c>
      <c r="M4712">
        <v>23.618199999999998</v>
      </c>
      <c r="N4712" s="5">
        <v>1.2074744376278119</v>
      </c>
      <c r="O4712" t="s">
        <v>1472</v>
      </c>
      <c r="P4712" t="s">
        <v>340</v>
      </c>
      <c r="Q4712" s="10" t="s">
        <v>24</v>
      </c>
      <c r="R4712">
        <v>0</v>
      </c>
    </row>
    <row r="4713" spans="1:18" hidden="1" x14ac:dyDescent="0.25">
      <c r="A4713" s="9" t="s">
        <v>2172</v>
      </c>
      <c r="B4713" s="3" t="s">
        <v>2305</v>
      </c>
      <c r="C4713" s="10">
        <v>28</v>
      </c>
      <c r="D4713" s="10">
        <v>1</v>
      </c>
      <c r="E4713" s="10">
        <v>20</v>
      </c>
      <c r="F4713" t="s">
        <v>1692</v>
      </c>
      <c r="G4713" t="s">
        <v>889</v>
      </c>
      <c r="H4713" t="s">
        <v>49</v>
      </c>
      <c r="I4713" t="s">
        <v>50</v>
      </c>
      <c r="J4713">
        <v>34.450000000000003</v>
      </c>
      <c r="K4713" s="10">
        <v>2</v>
      </c>
      <c r="L4713">
        <v>34.450000000000003</v>
      </c>
      <c r="M4713">
        <v>68.900000000000006</v>
      </c>
      <c r="N4713" s="5">
        <v>3.5224948875255628</v>
      </c>
      <c r="O4713" t="s">
        <v>1472</v>
      </c>
      <c r="P4713" t="s">
        <v>340</v>
      </c>
      <c r="Q4713" s="10" t="s">
        <v>24</v>
      </c>
      <c r="R4713">
        <v>0</v>
      </c>
    </row>
    <row r="4714" spans="1:18" hidden="1" x14ac:dyDescent="0.25">
      <c r="A4714" s="9" t="s">
        <v>2172</v>
      </c>
      <c r="B4714" s="3" t="s">
        <v>2305</v>
      </c>
      <c r="C4714" s="10">
        <v>28</v>
      </c>
      <c r="D4714" s="10">
        <v>1</v>
      </c>
      <c r="E4714" s="10">
        <v>20</v>
      </c>
      <c r="F4714" t="s">
        <v>2388</v>
      </c>
      <c r="G4714" t="s">
        <v>889</v>
      </c>
      <c r="H4714" t="s">
        <v>26</v>
      </c>
      <c r="I4714" t="s">
        <v>27</v>
      </c>
      <c r="J4714">
        <v>9.75</v>
      </c>
      <c r="K4714" s="10">
        <v>1</v>
      </c>
      <c r="L4714">
        <v>9.75</v>
      </c>
      <c r="M4714">
        <v>9.75</v>
      </c>
      <c r="N4714" s="5">
        <v>0.49846625766871167</v>
      </c>
      <c r="O4714" t="s">
        <v>1472</v>
      </c>
      <c r="P4714" t="s">
        <v>340</v>
      </c>
      <c r="Q4714" s="10" t="s">
        <v>24</v>
      </c>
      <c r="R4714">
        <v>0</v>
      </c>
    </row>
    <row r="4715" spans="1:18" hidden="1" x14ac:dyDescent="0.25">
      <c r="A4715" s="9" t="s">
        <v>2172</v>
      </c>
      <c r="B4715" s="3" t="s">
        <v>2305</v>
      </c>
      <c r="C4715" s="10">
        <v>28</v>
      </c>
      <c r="D4715" s="10">
        <v>1</v>
      </c>
      <c r="E4715" s="10">
        <v>20</v>
      </c>
      <c r="F4715" t="s">
        <v>2386</v>
      </c>
      <c r="G4715" t="s">
        <v>31</v>
      </c>
      <c r="H4715" t="s">
        <v>26</v>
      </c>
      <c r="I4715" t="s">
        <v>27</v>
      </c>
      <c r="J4715">
        <v>12.4</v>
      </c>
      <c r="K4715" s="10">
        <v>1</v>
      </c>
      <c r="L4715">
        <v>12.4</v>
      </c>
      <c r="M4715">
        <v>12.4</v>
      </c>
      <c r="N4715" s="5">
        <v>0.63394683026584875</v>
      </c>
      <c r="O4715" t="s">
        <v>1472</v>
      </c>
      <c r="P4715" t="s">
        <v>340</v>
      </c>
      <c r="Q4715" s="10" t="s">
        <v>24</v>
      </c>
      <c r="R4715">
        <v>0</v>
      </c>
    </row>
    <row r="4716" spans="1:18" hidden="1" x14ac:dyDescent="0.25">
      <c r="A4716" s="9" t="s">
        <v>2172</v>
      </c>
      <c r="B4716" s="3" t="s">
        <v>2305</v>
      </c>
      <c r="C4716" s="10">
        <v>28</v>
      </c>
      <c r="D4716" s="10">
        <v>1</v>
      </c>
      <c r="E4716" s="10">
        <v>20</v>
      </c>
      <c r="F4716" t="s">
        <v>708</v>
      </c>
      <c r="G4716" t="s">
        <v>708</v>
      </c>
      <c r="H4716" t="s">
        <v>131</v>
      </c>
      <c r="I4716" t="s">
        <v>27</v>
      </c>
      <c r="J4716">
        <v>35</v>
      </c>
      <c r="K4716" s="10">
        <v>1</v>
      </c>
      <c r="L4716">
        <v>35</v>
      </c>
      <c r="M4716">
        <v>35</v>
      </c>
      <c r="N4716" s="5">
        <v>1.7893660531697342</v>
      </c>
      <c r="O4716" t="s">
        <v>1472</v>
      </c>
      <c r="P4716" t="s">
        <v>340</v>
      </c>
      <c r="Q4716" s="10" t="s">
        <v>24</v>
      </c>
      <c r="R4716">
        <v>0</v>
      </c>
    </row>
    <row r="4717" spans="1:18" hidden="1" x14ac:dyDescent="0.25">
      <c r="A4717" s="9" t="s">
        <v>2172</v>
      </c>
      <c r="B4717" s="3" t="s">
        <v>2305</v>
      </c>
      <c r="C4717" s="10">
        <v>28</v>
      </c>
      <c r="D4717" s="10">
        <v>1</v>
      </c>
      <c r="E4717" s="10">
        <v>20</v>
      </c>
      <c r="F4717" t="s">
        <v>923</v>
      </c>
      <c r="G4717" t="s">
        <v>708</v>
      </c>
      <c r="H4717" t="s">
        <v>131</v>
      </c>
      <c r="I4717" t="s">
        <v>27</v>
      </c>
      <c r="J4717">
        <v>35</v>
      </c>
      <c r="K4717" s="10">
        <v>1</v>
      </c>
      <c r="L4717">
        <v>35</v>
      </c>
      <c r="M4717">
        <v>35</v>
      </c>
      <c r="N4717" s="5">
        <v>1.7893660531697342</v>
      </c>
      <c r="O4717" t="s">
        <v>1472</v>
      </c>
      <c r="P4717" t="s">
        <v>340</v>
      </c>
      <c r="Q4717" s="10" t="s">
        <v>24</v>
      </c>
      <c r="R4717">
        <v>0</v>
      </c>
    </row>
    <row r="4718" spans="1:18" hidden="1" x14ac:dyDescent="0.25">
      <c r="A4718" s="9" t="s">
        <v>2172</v>
      </c>
      <c r="B4718" s="3" t="s">
        <v>2305</v>
      </c>
      <c r="C4718" s="10">
        <v>28</v>
      </c>
      <c r="D4718" s="10">
        <v>1</v>
      </c>
      <c r="E4718" s="10">
        <v>20</v>
      </c>
      <c r="F4718" t="s">
        <v>53</v>
      </c>
      <c r="G4718" t="s">
        <v>889</v>
      </c>
      <c r="H4718" t="s">
        <v>53</v>
      </c>
      <c r="I4718" t="s">
        <v>27</v>
      </c>
      <c r="J4718">
        <v>15</v>
      </c>
      <c r="K4718" s="10">
        <v>1</v>
      </c>
      <c r="L4718">
        <v>15</v>
      </c>
      <c r="M4718">
        <v>15</v>
      </c>
      <c r="N4718" s="5">
        <v>0.76687116564417179</v>
      </c>
      <c r="O4718" t="s">
        <v>23</v>
      </c>
      <c r="P4718" t="s">
        <v>340</v>
      </c>
      <c r="Q4718" s="10" t="s">
        <v>24</v>
      </c>
    </row>
    <row r="4719" spans="1:18" hidden="1" x14ac:dyDescent="0.25">
      <c r="A4719" s="9" t="s">
        <v>2172</v>
      </c>
      <c r="B4719" s="3" t="s">
        <v>2305</v>
      </c>
      <c r="C4719" s="10">
        <v>28</v>
      </c>
      <c r="D4719" s="10">
        <v>1</v>
      </c>
      <c r="E4719" s="10">
        <v>20</v>
      </c>
      <c r="F4719" t="s">
        <v>53</v>
      </c>
      <c r="G4719" t="s">
        <v>889</v>
      </c>
      <c r="H4719" t="s">
        <v>53</v>
      </c>
      <c r="I4719" t="s">
        <v>27</v>
      </c>
      <c r="J4719">
        <v>15</v>
      </c>
      <c r="K4719" s="10">
        <v>1</v>
      </c>
      <c r="L4719">
        <v>15</v>
      </c>
      <c r="M4719">
        <v>15</v>
      </c>
      <c r="N4719" s="5">
        <v>0.76687116564417179</v>
      </c>
      <c r="O4719" t="s">
        <v>23</v>
      </c>
      <c r="P4719" t="s">
        <v>340</v>
      </c>
      <c r="Q4719" s="10" t="s">
        <v>24</v>
      </c>
    </row>
    <row r="4720" spans="1:18" hidden="1" x14ac:dyDescent="0.25">
      <c r="A4720" s="9" t="s">
        <v>2172</v>
      </c>
      <c r="B4720" s="3" t="s">
        <v>2304</v>
      </c>
      <c r="C4720" s="10">
        <v>29</v>
      </c>
      <c r="D4720" s="10">
        <v>1</v>
      </c>
      <c r="E4720" s="10">
        <v>20</v>
      </c>
      <c r="F4720" t="s">
        <v>292</v>
      </c>
      <c r="G4720" t="s">
        <v>889</v>
      </c>
      <c r="H4720" t="s">
        <v>40</v>
      </c>
      <c r="I4720" t="s">
        <v>27</v>
      </c>
      <c r="J4720" s="4">
        <v>17</v>
      </c>
      <c r="K4720">
        <v>1</v>
      </c>
      <c r="L4720">
        <v>17</v>
      </c>
      <c r="M4720">
        <v>17</v>
      </c>
      <c r="N4720" s="5">
        <v>0.86163203243791175</v>
      </c>
      <c r="O4720" t="s">
        <v>100</v>
      </c>
      <c r="P4720" t="s">
        <v>340</v>
      </c>
      <c r="Q4720" s="10" t="s">
        <v>24</v>
      </c>
      <c r="R4720">
        <v>0</v>
      </c>
    </row>
    <row r="4721" spans="1:18" hidden="1" x14ac:dyDescent="0.25">
      <c r="A4721" s="9" t="s">
        <v>2172</v>
      </c>
      <c r="B4721" s="3" t="s">
        <v>2304</v>
      </c>
      <c r="C4721" s="10">
        <v>29</v>
      </c>
      <c r="D4721" s="10">
        <v>1</v>
      </c>
      <c r="E4721" s="10">
        <v>20</v>
      </c>
      <c r="F4721" t="s">
        <v>1466</v>
      </c>
      <c r="G4721" t="s">
        <v>31</v>
      </c>
      <c r="H4721" t="s">
        <v>26</v>
      </c>
      <c r="I4721" t="s">
        <v>27</v>
      </c>
      <c r="J4721">
        <v>34.5</v>
      </c>
      <c r="K4721" s="10">
        <v>2</v>
      </c>
      <c r="L4721">
        <v>34.5</v>
      </c>
      <c r="M4721">
        <v>69</v>
      </c>
      <c r="N4721" s="5">
        <v>3.5276073619631902</v>
      </c>
      <c r="O4721" t="s">
        <v>51</v>
      </c>
      <c r="P4721" t="s">
        <v>340</v>
      </c>
      <c r="Q4721" s="10" t="s">
        <v>24</v>
      </c>
    </row>
    <row r="4722" spans="1:18" hidden="1" x14ac:dyDescent="0.25">
      <c r="A4722" s="9" t="s">
        <v>2172</v>
      </c>
      <c r="B4722" s="3" t="s">
        <v>2304</v>
      </c>
      <c r="C4722" s="10">
        <v>29</v>
      </c>
      <c r="D4722" s="10">
        <v>1</v>
      </c>
      <c r="E4722" s="10">
        <v>20</v>
      </c>
      <c r="F4722" t="s">
        <v>188</v>
      </c>
      <c r="G4722" t="s">
        <v>77</v>
      </c>
      <c r="H4722" t="s">
        <v>26</v>
      </c>
      <c r="I4722" t="s">
        <v>27</v>
      </c>
      <c r="J4722">
        <v>37.450000000000003</v>
      </c>
      <c r="K4722" s="10">
        <v>1</v>
      </c>
      <c r="L4722">
        <v>37.450000000000003</v>
      </c>
      <c r="M4722">
        <v>37.450000000000003</v>
      </c>
      <c r="N4722" s="5">
        <v>1.9146216768916158</v>
      </c>
      <c r="O4722" t="s">
        <v>51</v>
      </c>
      <c r="P4722" t="s">
        <v>340</v>
      </c>
      <c r="Q4722" s="10" t="s">
        <v>24</v>
      </c>
    </row>
    <row r="4723" spans="1:18" hidden="1" x14ac:dyDescent="0.25">
      <c r="A4723" s="9" t="s">
        <v>2172</v>
      </c>
      <c r="B4723" s="3" t="s">
        <v>2304</v>
      </c>
      <c r="C4723" s="10">
        <v>29</v>
      </c>
      <c r="D4723" s="10">
        <v>1</v>
      </c>
      <c r="E4723" s="10">
        <v>20</v>
      </c>
      <c r="F4723" t="s">
        <v>2339</v>
      </c>
      <c r="G4723" t="s">
        <v>889</v>
      </c>
      <c r="H4723" t="s">
        <v>65</v>
      </c>
      <c r="I4723" t="s">
        <v>27</v>
      </c>
      <c r="J4723">
        <v>36.49</v>
      </c>
      <c r="K4723" s="10">
        <v>2</v>
      </c>
      <c r="L4723">
        <v>36.49</v>
      </c>
      <c r="M4723">
        <v>69.33</v>
      </c>
      <c r="N4723" s="5">
        <v>3.544478527607362</v>
      </c>
      <c r="O4723" t="s">
        <v>51</v>
      </c>
      <c r="P4723" t="s">
        <v>340</v>
      </c>
      <c r="Q4723" s="10" t="s">
        <v>24</v>
      </c>
    </row>
    <row r="4724" spans="1:18" hidden="1" x14ac:dyDescent="0.25">
      <c r="A4724" s="9" t="s">
        <v>2172</v>
      </c>
      <c r="B4724" s="3" t="s">
        <v>2304</v>
      </c>
      <c r="C4724" s="10">
        <v>29</v>
      </c>
      <c r="D4724" s="10">
        <v>1</v>
      </c>
      <c r="E4724" s="10">
        <v>20</v>
      </c>
      <c r="F4724" t="s">
        <v>2242</v>
      </c>
      <c r="G4724" t="s">
        <v>889</v>
      </c>
      <c r="H4724" t="s">
        <v>26</v>
      </c>
      <c r="I4724" t="s">
        <v>27</v>
      </c>
      <c r="J4724">
        <v>6.65</v>
      </c>
      <c r="K4724" s="10">
        <v>1</v>
      </c>
      <c r="L4724">
        <v>6.65</v>
      </c>
      <c r="M4724">
        <v>6.65</v>
      </c>
      <c r="N4724" s="5">
        <v>0.33997955010224951</v>
      </c>
      <c r="O4724" t="s">
        <v>51</v>
      </c>
      <c r="P4724" t="s">
        <v>340</v>
      </c>
      <c r="Q4724" s="10" t="s">
        <v>24</v>
      </c>
    </row>
    <row r="4725" spans="1:18" hidden="1" x14ac:dyDescent="0.25">
      <c r="A4725" s="9" t="s">
        <v>2172</v>
      </c>
      <c r="B4725" s="3" t="s">
        <v>2304</v>
      </c>
      <c r="C4725" s="10">
        <v>29</v>
      </c>
      <c r="D4725" s="10">
        <v>1</v>
      </c>
      <c r="E4725" s="10">
        <v>20</v>
      </c>
      <c r="F4725" t="s">
        <v>86</v>
      </c>
      <c r="G4725" t="s">
        <v>889</v>
      </c>
      <c r="H4725" t="s">
        <v>102</v>
      </c>
      <c r="I4725" t="s">
        <v>27</v>
      </c>
      <c r="J4725">
        <v>89.9</v>
      </c>
      <c r="K4725" s="10">
        <v>1</v>
      </c>
      <c r="L4725">
        <v>89.9</v>
      </c>
      <c r="M4725">
        <v>89.9</v>
      </c>
      <c r="N4725" s="5">
        <v>4.5961145194274033</v>
      </c>
      <c r="O4725" t="s">
        <v>51</v>
      </c>
      <c r="P4725" t="s">
        <v>340</v>
      </c>
      <c r="Q4725" s="10" t="s">
        <v>24</v>
      </c>
    </row>
    <row r="4726" spans="1:18" hidden="1" x14ac:dyDescent="0.25">
      <c r="A4726" s="9" t="s">
        <v>2172</v>
      </c>
      <c r="B4726" s="3" t="s">
        <v>2304</v>
      </c>
      <c r="C4726" s="10">
        <v>29</v>
      </c>
      <c r="D4726" s="10">
        <v>1</v>
      </c>
      <c r="E4726" s="10">
        <v>20</v>
      </c>
      <c r="F4726" t="s">
        <v>1220</v>
      </c>
      <c r="G4726" t="s">
        <v>889</v>
      </c>
      <c r="H4726" t="s">
        <v>65</v>
      </c>
      <c r="I4726" t="s">
        <v>27</v>
      </c>
      <c r="J4726">
        <v>43.99</v>
      </c>
      <c r="K4726" s="10">
        <v>1</v>
      </c>
      <c r="L4726">
        <v>43.99</v>
      </c>
      <c r="M4726">
        <v>43.99</v>
      </c>
      <c r="N4726" s="5">
        <v>2.2489775051124745</v>
      </c>
      <c r="O4726" t="s">
        <v>51</v>
      </c>
      <c r="P4726" t="s">
        <v>340</v>
      </c>
      <c r="Q4726" s="10" t="s">
        <v>24</v>
      </c>
    </row>
    <row r="4727" spans="1:18" hidden="1" x14ac:dyDescent="0.25">
      <c r="A4727" s="9" t="s">
        <v>2172</v>
      </c>
      <c r="B4727" s="3" t="s">
        <v>2304</v>
      </c>
      <c r="C4727" s="10">
        <v>29</v>
      </c>
      <c r="D4727" s="10">
        <v>1</v>
      </c>
      <c r="E4727" s="10">
        <v>20</v>
      </c>
      <c r="F4727" t="s">
        <v>1793</v>
      </c>
      <c r="G4727" t="s">
        <v>889</v>
      </c>
      <c r="H4727" t="s">
        <v>65</v>
      </c>
      <c r="I4727" t="s">
        <v>27</v>
      </c>
      <c r="J4727">
        <v>8.69</v>
      </c>
      <c r="K4727" s="10">
        <v>2</v>
      </c>
      <c r="L4727">
        <v>8.69</v>
      </c>
      <c r="M4727">
        <v>17.38</v>
      </c>
      <c r="N4727" s="5">
        <v>0.88854805725971375</v>
      </c>
      <c r="O4727" t="s">
        <v>51</v>
      </c>
      <c r="P4727" t="s">
        <v>340</v>
      </c>
      <c r="Q4727" s="10" t="s">
        <v>24</v>
      </c>
    </row>
    <row r="4728" spans="1:18" hidden="1" x14ac:dyDescent="0.25">
      <c r="A4728" s="9" t="s">
        <v>2172</v>
      </c>
      <c r="B4728" s="3" t="s">
        <v>2304</v>
      </c>
      <c r="C4728" s="10">
        <v>29</v>
      </c>
      <c r="D4728" s="10">
        <v>1</v>
      </c>
      <c r="E4728" s="10">
        <v>20</v>
      </c>
      <c r="F4728" t="s">
        <v>44</v>
      </c>
      <c r="G4728" t="s">
        <v>889</v>
      </c>
      <c r="H4728" t="s">
        <v>44</v>
      </c>
      <c r="I4728" t="s">
        <v>27</v>
      </c>
      <c r="J4728">
        <v>24.79</v>
      </c>
      <c r="K4728" s="10">
        <v>2</v>
      </c>
      <c r="L4728">
        <v>24.79</v>
      </c>
      <c r="M4728">
        <v>49.58</v>
      </c>
      <c r="N4728" s="5">
        <v>2.5347648261758691</v>
      </c>
      <c r="O4728" t="s">
        <v>51</v>
      </c>
      <c r="P4728" t="s">
        <v>340</v>
      </c>
      <c r="Q4728" s="10" t="s">
        <v>24</v>
      </c>
    </row>
    <row r="4729" spans="1:18" hidden="1" x14ac:dyDescent="0.25">
      <c r="A4729" s="9" t="s">
        <v>2172</v>
      </c>
      <c r="B4729" s="3" t="s">
        <v>2304</v>
      </c>
      <c r="C4729" s="10">
        <v>29</v>
      </c>
      <c r="D4729" s="10">
        <v>1</v>
      </c>
      <c r="E4729" s="10">
        <v>20</v>
      </c>
      <c r="F4729" t="s">
        <v>128</v>
      </c>
      <c r="G4729" t="s">
        <v>889</v>
      </c>
      <c r="H4729" t="s">
        <v>44</v>
      </c>
      <c r="I4729" t="s">
        <v>27</v>
      </c>
      <c r="J4729">
        <v>25.79</v>
      </c>
      <c r="K4729" s="10">
        <v>2</v>
      </c>
      <c r="L4729">
        <v>25.79</v>
      </c>
      <c r="M4729">
        <v>51.58</v>
      </c>
      <c r="N4729" s="5">
        <v>2.6370143149284253</v>
      </c>
      <c r="O4729" t="s">
        <v>51</v>
      </c>
      <c r="P4729" t="s">
        <v>340</v>
      </c>
      <c r="Q4729" s="10" t="s">
        <v>24</v>
      </c>
      <c r="R4729">
        <v>0</v>
      </c>
    </row>
    <row r="4730" spans="1:18" hidden="1" x14ac:dyDescent="0.25">
      <c r="A4730" s="9" t="s">
        <v>2172</v>
      </c>
      <c r="B4730" s="3" t="s">
        <v>2304</v>
      </c>
      <c r="C4730" s="10">
        <v>29</v>
      </c>
      <c r="D4730" s="10">
        <v>1</v>
      </c>
      <c r="E4730" s="10">
        <v>20</v>
      </c>
      <c r="F4730" t="s">
        <v>60</v>
      </c>
      <c r="G4730" t="s">
        <v>31</v>
      </c>
      <c r="H4730" t="s">
        <v>26</v>
      </c>
      <c r="I4730" t="s">
        <v>27</v>
      </c>
      <c r="J4730">
        <v>7.65</v>
      </c>
      <c r="K4730" s="10">
        <v>1</v>
      </c>
      <c r="L4730">
        <v>7.65</v>
      </c>
      <c r="M4730">
        <v>7.65</v>
      </c>
      <c r="N4730" s="5">
        <v>0.39110429447852763</v>
      </c>
      <c r="O4730" t="s">
        <v>51</v>
      </c>
      <c r="P4730" t="s">
        <v>340</v>
      </c>
      <c r="Q4730" s="10" t="s">
        <v>24</v>
      </c>
    </row>
    <row r="4731" spans="1:18" hidden="1" x14ac:dyDescent="0.25">
      <c r="A4731" s="9" t="s">
        <v>2172</v>
      </c>
      <c r="B4731" s="3" t="s">
        <v>2304</v>
      </c>
      <c r="C4731" s="10">
        <v>29</v>
      </c>
      <c r="D4731" s="10">
        <v>1</v>
      </c>
      <c r="E4731" s="10">
        <v>20</v>
      </c>
      <c r="F4731" t="s">
        <v>55</v>
      </c>
      <c r="G4731" t="s">
        <v>889</v>
      </c>
      <c r="H4731" t="s">
        <v>56</v>
      </c>
      <c r="I4731" t="s">
        <v>27</v>
      </c>
      <c r="J4731">
        <v>23.9</v>
      </c>
      <c r="K4731" s="10">
        <v>1.4259999999999999</v>
      </c>
      <c r="L4731">
        <v>23.9</v>
      </c>
      <c r="M4731">
        <v>34.081399999999995</v>
      </c>
      <c r="N4731" s="5">
        <v>1.7424028629856849</v>
      </c>
      <c r="O4731" t="s">
        <v>51</v>
      </c>
      <c r="P4731" t="s">
        <v>340</v>
      </c>
      <c r="Q4731" s="10" t="s">
        <v>24</v>
      </c>
      <c r="R4731">
        <v>0</v>
      </c>
    </row>
    <row r="4732" spans="1:18" hidden="1" x14ac:dyDescent="0.25">
      <c r="A4732" s="9" t="s">
        <v>2172</v>
      </c>
      <c r="B4732" s="3" t="s">
        <v>2304</v>
      </c>
      <c r="C4732" s="10">
        <v>29</v>
      </c>
      <c r="D4732" s="10">
        <v>1</v>
      </c>
      <c r="E4732" s="10">
        <v>20</v>
      </c>
      <c r="F4732" t="s">
        <v>1458</v>
      </c>
      <c r="G4732" t="s">
        <v>889</v>
      </c>
      <c r="H4732" t="s">
        <v>59</v>
      </c>
      <c r="I4732" t="s">
        <v>27</v>
      </c>
      <c r="J4732">
        <v>239</v>
      </c>
      <c r="K4732" s="10">
        <v>1</v>
      </c>
      <c r="L4732">
        <v>239</v>
      </c>
      <c r="M4732">
        <v>239</v>
      </c>
      <c r="N4732" s="5">
        <v>12.218813905930471</v>
      </c>
      <c r="O4732" t="s">
        <v>51</v>
      </c>
      <c r="P4732" t="s">
        <v>340</v>
      </c>
      <c r="Q4732" s="10" t="s">
        <v>24</v>
      </c>
    </row>
    <row r="4733" spans="1:18" hidden="1" x14ac:dyDescent="0.25">
      <c r="A4733" s="9" t="s">
        <v>2172</v>
      </c>
      <c r="B4733" s="3" t="s">
        <v>2304</v>
      </c>
      <c r="C4733" s="10">
        <v>29</v>
      </c>
      <c r="D4733" s="10">
        <v>1</v>
      </c>
      <c r="E4733" s="10">
        <v>20</v>
      </c>
      <c r="F4733" t="s">
        <v>2434</v>
      </c>
      <c r="G4733" t="s">
        <v>889</v>
      </c>
      <c r="H4733" t="s">
        <v>63</v>
      </c>
      <c r="I4733" t="s">
        <v>50</v>
      </c>
      <c r="J4733">
        <v>32.9</v>
      </c>
      <c r="K4733" s="10">
        <v>1</v>
      </c>
      <c r="L4733">
        <v>32.9</v>
      </c>
      <c r="M4733">
        <v>32.9</v>
      </c>
      <c r="N4733" s="5">
        <v>1.6820040899795501</v>
      </c>
      <c r="O4733" t="s">
        <v>51</v>
      </c>
      <c r="P4733" t="s">
        <v>340</v>
      </c>
      <c r="Q4733" s="10" t="s">
        <v>24</v>
      </c>
      <c r="R4733" t="s">
        <v>2435</v>
      </c>
    </row>
    <row r="4734" spans="1:18" hidden="1" x14ac:dyDescent="0.25">
      <c r="A4734" s="9" t="s">
        <v>2172</v>
      </c>
      <c r="B4734" s="3" t="s">
        <v>2304</v>
      </c>
      <c r="C4734" s="10">
        <v>29</v>
      </c>
      <c r="D4734" s="10">
        <v>1</v>
      </c>
      <c r="E4734" s="10">
        <v>20</v>
      </c>
      <c r="F4734" t="s">
        <v>2434</v>
      </c>
      <c r="G4734" t="s">
        <v>889</v>
      </c>
      <c r="H4734" t="s">
        <v>63</v>
      </c>
      <c r="I4734" t="s">
        <v>50</v>
      </c>
      <c r="J4734">
        <v>39.9</v>
      </c>
      <c r="K4734" s="10">
        <v>1</v>
      </c>
      <c r="L4734">
        <v>39.9</v>
      </c>
      <c r="M4734">
        <v>39.9</v>
      </c>
      <c r="N4734" s="5">
        <v>2.0398773006134969</v>
      </c>
      <c r="O4734" t="s">
        <v>51</v>
      </c>
      <c r="P4734" t="s">
        <v>340</v>
      </c>
      <c r="Q4734" s="10" t="s">
        <v>24</v>
      </c>
      <c r="R4734" t="s">
        <v>2435</v>
      </c>
    </row>
    <row r="4735" spans="1:18" hidden="1" x14ac:dyDescent="0.25">
      <c r="A4735" s="9" t="s">
        <v>2172</v>
      </c>
      <c r="B4735" s="3" t="s">
        <v>2304</v>
      </c>
      <c r="C4735" s="10">
        <v>29</v>
      </c>
      <c r="D4735" s="10">
        <v>1</v>
      </c>
      <c r="E4735" s="10">
        <v>20</v>
      </c>
      <c r="F4735" t="s">
        <v>2348</v>
      </c>
      <c r="G4735" t="s">
        <v>889</v>
      </c>
      <c r="H4735" t="s">
        <v>49</v>
      </c>
      <c r="I4735" t="s">
        <v>50</v>
      </c>
      <c r="J4735">
        <v>39</v>
      </c>
      <c r="K4735" s="10">
        <v>1</v>
      </c>
      <c r="L4735">
        <v>39</v>
      </c>
      <c r="M4735">
        <v>39</v>
      </c>
      <c r="N4735" s="5">
        <v>1.9938650306748467</v>
      </c>
      <c r="O4735" t="s">
        <v>51</v>
      </c>
      <c r="P4735" t="s">
        <v>340</v>
      </c>
      <c r="Q4735" s="10" t="s">
        <v>24</v>
      </c>
    </row>
    <row r="4736" spans="1:18" hidden="1" x14ac:dyDescent="0.25">
      <c r="A4736" s="9" t="s">
        <v>2172</v>
      </c>
      <c r="B4736" s="3" t="s">
        <v>2304</v>
      </c>
      <c r="C4736" s="10">
        <v>29</v>
      </c>
      <c r="D4736" s="10">
        <v>1</v>
      </c>
      <c r="E4736" s="10">
        <v>20</v>
      </c>
      <c r="F4736" t="s">
        <v>962</v>
      </c>
      <c r="G4736" t="s">
        <v>889</v>
      </c>
      <c r="H4736" t="s">
        <v>49</v>
      </c>
      <c r="I4736" t="s">
        <v>50</v>
      </c>
      <c r="J4736">
        <v>128.9</v>
      </c>
      <c r="K4736" s="10">
        <v>1</v>
      </c>
      <c r="L4736">
        <v>128.9</v>
      </c>
      <c r="M4736">
        <v>128.9</v>
      </c>
      <c r="N4736" s="5">
        <v>6.5899795501022504</v>
      </c>
      <c r="O4736" t="s">
        <v>51</v>
      </c>
      <c r="P4736" t="s">
        <v>340</v>
      </c>
      <c r="Q4736" s="10" t="s">
        <v>24</v>
      </c>
    </row>
    <row r="4737" spans="1:18" hidden="1" x14ac:dyDescent="0.25">
      <c r="A4737" s="9" t="s">
        <v>2172</v>
      </c>
      <c r="B4737" s="3" t="s">
        <v>2304</v>
      </c>
      <c r="C4737" s="10">
        <v>29</v>
      </c>
      <c r="D4737" s="10">
        <v>1</v>
      </c>
      <c r="E4737" s="10">
        <v>20</v>
      </c>
      <c r="F4737" t="s">
        <v>2436</v>
      </c>
      <c r="G4737" t="s">
        <v>889</v>
      </c>
      <c r="H4737" t="s">
        <v>59</v>
      </c>
      <c r="I4737" t="s">
        <v>50</v>
      </c>
      <c r="J4737">
        <v>74.900000000000006</v>
      </c>
      <c r="K4737" s="10">
        <v>12</v>
      </c>
      <c r="L4737">
        <v>74.900000000000006</v>
      </c>
      <c r="M4737">
        <v>898.80000000000007</v>
      </c>
      <c r="N4737" s="5">
        <v>45.950920245398777</v>
      </c>
      <c r="O4737" t="s">
        <v>51</v>
      </c>
      <c r="P4737" t="s">
        <v>340</v>
      </c>
      <c r="Q4737" s="10" t="s">
        <v>24</v>
      </c>
      <c r="R4737" t="s">
        <v>2441</v>
      </c>
    </row>
    <row r="4738" spans="1:18" hidden="1" x14ac:dyDescent="0.25">
      <c r="A4738" s="9" t="s">
        <v>2172</v>
      </c>
      <c r="B4738" s="3" t="s">
        <v>2304</v>
      </c>
      <c r="C4738" s="10">
        <v>29</v>
      </c>
      <c r="D4738" s="10">
        <v>1</v>
      </c>
      <c r="E4738" s="10">
        <v>20</v>
      </c>
      <c r="F4738" t="s">
        <v>107</v>
      </c>
      <c r="G4738" t="s">
        <v>889</v>
      </c>
      <c r="H4738" t="s">
        <v>53</v>
      </c>
      <c r="I4738" t="s">
        <v>27</v>
      </c>
      <c r="J4738">
        <v>9.92</v>
      </c>
      <c r="K4738" s="10">
        <v>12</v>
      </c>
      <c r="L4738">
        <v>9.92</v>
      </c>
      <c r="M4738">
        <v>119.03999999999999</v>
      </c>
      <c r="N4738" s="5">
        <v>6.0858895705521476</v>
      </c>
      <c r="O4738" t="s">
        <v>51</v>
      </c>
      <c r="P4738" t="s">
        <v>340</v>
      </c>
      <c r="Q4738" s="10" t="s">
        <v>24</v>
      </c>
      <c r="R4738">
        <v>0</v>
      </c>
    </row>
    <row r="4739" spans="1:18" hidden="1" x14ac:dyDescent="0.25">
      <c r="A4739" s="9" t="s">
        <v>2172</v>
      </c>
      <c r="B4739" s="3" t="s">
        <v>2304</v>
      </c>
      <c r="C4739" s="10">
        <v>29</v>
      </c>
      <c r="D4739" s="10">
        <v>1</v>
      </c>
      <c r="E4739" s="10">
        <v>20</v>
      </c>
      <c r="F4739" t="s">
        <v>1214</v>
      </c>
      <c r="G4739" t="s">
        <v>889</v>
      </c>
      <c r="H4739" t="s">
        <v>53</v>
      </c>
      <c r="I4739" t="s">
        <v>27</v>
      </c>
      <c r="J4739">
        <v>10.49</v>
      </c>
      <c r="K4739" s="10">
        <v>12</v>
      </c>
      <c r="L4739">
        <v>10.49</v>
      </c>
      <c r="M4739">
        <v>125.88</v>
      </c>
      <c r="N4739" s="5">
        <v>6.4355828220858902</v>
      </c>
      <c r="O4739" t="s">
        <v>51</v>
      </c>
      <c r="P4739" t="s">
        <v>340</v>
      </c>
      <c r="Q4739" s="10" t="s">
        <v>24</v>
      </c>
      <c r="R4739">
        <v>0</v>
      </c>
    </row>
    <row r="4740" spans="1:18" hidden="1" x14ac:dyDescent="0.25">
      <c r="A4740" s="9" t="s">
        <v>2172</v>
      </c>
      <c r="B4740" s="3" t="s">
        <v>2304</v>
      </c>
      <c r="C4740" s="10">
        <v>29</v>
      </c>
      <c r="D4740" s="10">
        <v>1</v>
      </c>
      <c r="E4740" s="10">
        <v>20</v>
      </c>
      <c r="F4740" t="s">
        <v>140</v>
      </c>
      <c r="G4740" t="s">
        <v>889</v>
      </c>
      <c r="H4740" t="s">
        <v>49</v>
      </c>
      <c r="I4740" t="s">
        <v>50</v>
      </c>
      <c r="J4740">
        <v>66.06</v>
      </c>
      <c r="K4740" s="10">
        <v>1</v>
      </c>
      <c r="L4740">
        <v>66.06</v>
      </c>
      <c r="M4740">
        <v>66.06</v>
      </c>
      <c r="N4740" s="5">
        <v>3.3773006134969328</v>
      </c>
      <c r="O4740" t="s">
        <v>51</v>
      </c>
      <c r="P4740" t="s">
        <v>340</v>
      </c>
      <c r="Q4740" s="10" t="s">
        <v>24</v>
      </c>
      <c r="R4740">
        <v>0</v>
      </c>
    </row>
    <row r="4741" spans="1:18" hidden="1" x14ac:dyDescent="0.25">
      <c r="A4741" s="9" t="s">
        <v>2172</v>
      </c>
      <c r="B4741" s="3" t="s">
        <v>2304</v>
      </c>
      <c r="C4741" s="10">
        <v>29</v>
      </c>
      <c r="D4741" s="10">
        <v>1</v>
      </c>
      <c r="E4741" s="10">
        <v>20</v>
      </c>
      <c r="F4741" t="s">
        <v>1692</v>
      </c>
      <c r="G4741" t="s">
        <v>889</v>
      </c>
      <c r="H4741" t="s">
        <v>49</v>
      </c>
      <c r="I4741" t="s">
        <v>50</v>
      </c>
      <c r="J4741">
        <v>49.49</v>
      </c>
      <c r="K4741" s="10">
        <v>2</v>
      </c>
      <c r="L4741">
        <v>49.49</v>
      </c>
      <c r="M4741">
        <v>94.04</v>
      </c>
      <c r="N4741" s="5">
        <v>4.8077709611451951</v>
      </c>
      <c r="O4741" t="s">
        <v>51</v>
      </c>
      <c r="P4741" t="s">
        <v>340</v>
      </c>
      <c r="Q4741" s="10" t="s">
        <v>24</v>
      </c>
      <c r="R4741">
        <v>0</v>
      </c>
    </row>
    <row r="4742" spans="1:18" hidden="1" x14ac:dyDescent="0.25">
      <c r="A4742" s="9" t="s">
        <v>2172</v>
      </c>
      <c r="B4742" s="3" t="s">
        <v>2304</v>
      </c>
      <c r="C4742" s="10">
        <v>29</v>
      </c>
      <c r="D4742" s="10">
        <v>1</v>
      </c>
      <c r="E4742" s="10">
        <v>20</v>
      </c>
      <c r="F4742" t="s">
        <v>237</v>
      </c>
      <c r="G4742" t="s">
        <v>889</v>
      </c>
      <c r="H4742" t="s">
        <v>49</v>
      </c>
      <c r="I4742" t="s">
        <v>50</v>
      </c>
      <c r="J4742">
        <v>21.9</v>
      </c>
      <c r="K4742" s="10">
        <v>2</v>
      </c>
      <c r="L4742">
        <v>21.9</v>
      </c>
      <c r="M4742">
        <v>43.8</v>
      </c>
      <c r="N4742" s="5">
        <v>2.2392638036809815</v>
      </c>
      <c r="O4742" t="s">
        <v>51</v>
      </c>
      <c r="P4742" t="s">
        <v>340</v>
      </c>
      <c r="Q4742" s="10" t="s">
        <v>24</v>
      </c>
      <c r="R4742">
        <v>0</v>
      </c>
    </row>
    <row r="4743" spans="1:18" hidden="1" x14ac:dyDescent="0.25">
      <c r="A4743" s="9" t="s">
        <v>2172</v>
      </c>
      <c r="B4743" s="3" t="s">
        <v>2304</v>
      </c>
      <c r="C4743" s="10">
        <v>29</v>
      </c>
      <c r="D4743" s="10">
        <v>1</v>
      </c>
      <c r="E4743" s="10">
        <v>20</v>
      </c>
      <c r="F4743" t="s">
        <v>1051</v>
      </c>
      <c r="G4743" t="s">
        <v>889</v>
      </c>
      <c r="H4743" t="s">
        <v>56</v>
      </c>
      <c r="I4743" t="s">
        <v>27</v>
      </c>
      <c r="J4743">
        <v>23.9</v>
      </c>
      <c r="K4743" s="10">
        <v>0.192</v>
      </c>
      <c r="L4743">
        <v>23.9</v>
      </c>
      <c r="M4743">
        <v>4.5888</v>
      </c>
      <c r="N4743" s="5">
        <v>0.23460122699386504</v>
      </c>
      <c r="O4743" t="s">
        <v>51</v>
      </c>
      <c r="P4743" t="s">
        <v>340</v>
      </c>
      <c r="Q4743" s="10" t="s">
        <v>24</v>
      </c>
      <c r="R4743">
        <v>0</v>
      </c>
    </row>
    <row r="4744" spans="1:18" hidden="1" x14ac:dyDescent="0.25">
      <c r="A4744" s="9" t="s">
        <v>2172</v>
      </c>
      <c r="B4744" s="3" t="s">
        <v>2304</v>
      </c>
      <c r="C4744" s="10">
        <v>29</v>
      </c>
      <c r="D4744" s="10">
        <v>1</v>
      </c>
      <c r="E4744" s="10">
        <v>20</v>
      </c>
      <c r="F4744" t="s">
        <v>202</v>
      </c>
      <c r="G4744" t="s">
        <v>889</v>
      </c>
      <c r="H4744" t="s">
        <v>54</v>
      </c>
      <c r="I4744" t="s">
        <v>27</v>
      </c>
      <c r="J4744">
        <v>119</v>
      </c>
      <c r="K4744" s="10">
        <v>0.254</v>
      </c>
      <c r="L4744">
        <v>119</v>
      </c>
      <c r="M4744">
        <v>30.225999999999999</v>
      </c>
      <c r="N4744" s="5">
        <v>1.5452965235173826</v>
      </c>
      <c r="O4744" t="s">
        <v>51</v>
      </c>
      <c r="P4744" t="s">
        <v>148</v>
      </c>
      <c r="Q4744" s="10" t="s">
        <v>24</v>
      </c>
    </row>
    <row r="4745" spans="1:18" hidden="1" x14ac:dyDescent="0.25">
      <c r="A4745" s="9" t="s">
        <v>2172</v>
      </c>
      <c r="B4745" s="3" t="s">
        <v>2304</v>
      </c>
      <c r="C4745" s="10">
        <v>29</v>
      </c>
      <c r="D4745" s="10">
        <v>1</v>
      </c>
      <c r="E4745" s="10">
        <v>20</v>
      </c>
      <c r="F4745" t="s">
        <v>208</v>
      </c>
      <c r="G4745" t="s">
        <v>889</v>
      </c>
      <c r="H4745" t="s">
        <v>56</v>
      </c>
      <c r="I4745" t="s">
        <v>27</v>
      </c>
      <c r="J4745">
        <v>93.9</v>
      </c>
      <c r="K4745" s="10">
        <v>0.16600000000000001</v>
      </c>
      <c r="L4745">
        <v>93.9</v>
      </c>
      <c r="M4745">
        <v>15.587400000000002</v>
      </c>
      <c r="N4745" s="5">
        <v>0.79690184049079771</v>
      </c>
      <c r="O4745" t="s">
        <v>51</v>
      </c>
      <c r="P4745" t="s">
        <v>340</v>
      </c>
      <c r="Q4745" s="10" t="s">
        <v>24</v>
      </c>
      <c r="R4745">
        <v>0</v>
      </c>
    </row>
    <row r="4746" spans="1:18" hidden="1" x14ac:dyDescent="0.25">
      <c r="A4746" s="9" t="s">
        <v>2172</v>
      </c>
      <c r="B4746" s="3" t="s">
        <v>2304</v>
      </c>
      <c r="C4746" s="10">
        <v>29</v>
      </c>
      <c r="D4746" s="10">
        <v>1</v>
      </c>
      <c r="E4746" s="10">
        <v>20</v>
      </c>
      <c r="F4746" t="s">
        <v>239</v>
      </c>
      <c r="G4746" t="s">
        <v>889</v>
      </c>
      <c r="H4746" t="s">
        <v>49</v>
      </c>
      <c r="I4746" t="s">
        <v>50</v>
      </c>
      <c r="J4746">
        <v>22.8</v>
      </c>
      <c r="K4746" s="10">
        <v>1</v>
      </c>
      <c r="L4746">
        <v>22.8</v>
      </c>
      <c r="M4746">
        <v>22.8</v>
      </c>
      <c r="N4746" s="5">
        <v>1.1656441717791413</v>
      </c>
      <c r="O4746" t="s">
        <v>51</v>
      </c>
      <c r="P4746" t="s">
        <v>340</v>
      </c>
      <c r="Q4746" s="10" t="s">
        <v>24</v>
      </c>
      <c r="R4746">
        <v>0</v>
      </c>
    </row>
    <row r="4747" spans="1:18" hidden="1" x14ac:dyDescent="0.25">
      <c r="A4747" s="9" t="s">
        <v>2172</v>
      </c>
      <c r="B4747" s="3" t="s">
        <v>2304</v>
      </c>
      <c r="C4747" s="10">
        <v>29</v>
      </c>
      <c r="D4747" s="10">
        <v>1</v>
      </c>
      <c r="E4747" s="10">
        <v>20</v>
      </c>
      <c r="F4747" t="s">
        <v>1522</v>
      </c>
      <c r="G4747" t="s">
        <v>889</v>
      </c>
      <c r="H4747" t="s">
        <v>49</v>
      </c>
      <c r="I4747" t="s">
        <v>50</v>
      </c>
      <c r="J4747">
        <v>44.9</v>
      </c>
      <c r="K4747" s="10">
        <v>1</v>
      </c>
      <c r="L4747">
        <v>44.9</v>
      </c>
      <c r="M4747">
        <v>44.9</v>
      </c>
      <c r="N4747" s="5">
        <v>2.2955010224948875</v>
      </c>
      <c r="O4747" t="s">
        <v>51</v>
      </c>
      <c r="P4747" t="s">
        <v>340</v>
      </c>
      <c r="Q4747" s="10" t="s">
        <v>24</v>
      </c>
      <c r="R4747">
        <v>0</v>
      </c>
    </row>
    <row r="4748" spans="1:18" hidden="1" x14ac:dyDescent="0.25">
      <c r="A4748" s="9" t="s">
        <v>2172</v>
      </c>
      <c r="B4748" s="3" t="s">
        <v>2304</v>
      </c>
      <c r="C4748" s="10">
        <v>29</v>
      </c>
      <c r="D4748" s="10">
        <v>1</v>
      </c>
      <c r="E4748" s="10">
        <v>20</v>
      </c>
      <c r="F4748" t="s">
        <v>2188</v>
      </c>
      <c r="G4748" t="s">
        <v>889</v>
      </c>
      <c r="H4748" t="s">
        <v>49</v>
      </c>
      <c r="I4748" t="s">
        <v>50</v>
      </c>
      <c r="J4748">
        <v>199</v>
      </c>
      <c r="K4748" s="10">
        <v>1</v>
      </c>
      <c r="L4748">
        <v>199</v>
      </c>
      <c r="M4748">
        <v>199</v>
      </c>
      <c r="N4748" s="5">
        <v>10.173824130879346</v>
      </c>
      <c r="O4748" t="s">
        <v>51</v>
      </c>
      <c r="P4748" t="s">
        <v>340</v>
      </c>
      <c r="Q4748" s="10" t="s">
        <v>24</v>
      </c>
      <c r="R4748" t="s">
        <v>2437</v>
      </c>
    </row>
    <row r="4749" spans="1:18" hidden="1" x14ac:dyDescent="0.25">
      <c r="A4749" s="9" t="s">
        <v>2172</v>
      </c>
      <c r="B4749" s="3" t="s">
        <v>2304</v>
      </c>
      <c r="C4749" s="10">
        <v>29</v>
      </c>
      <c r="D4749" s="10">
        <v>1</v>
      </c>
      <c r="E4749" s="10">
        <v>20</v>
      </c>
      <c r="F4749" t="s">
        <v>2438</v>
      </c>
      <c r="G4749" t="s">
        <v>889</v>
      </c>
      <c r="H4749" t="s">
        <v>63</v>
      </c>
      <c r="I4749" t="s">
        <v>50</v>
      </c>
      <c r="J4749">
        <v>25.67</v>
      </c>
      <c r="K4749" s="10">
        <v>1</v>
      </c>
      <c r="L4749">
        <v>25.67</v>
      </c>
      <c r="M4749">
        <v>25.67</v>
      </c>
      <c r="N4749" s="5">
        <v>1.3123721881390595</v>
      </c>
      <c r="O4749" t="s">
        <v>51</v>
      </c>
      <c r="P4749" t="s">
        <v>340</v>
      </c>
      <c r="Q4749" s="10" t="s">
        <v>24</v>
      </c>
      <c r="R4749" t="s">
        <v>2440</v>
      </c>
    </row>
    <row r="4750" spans="1:18" hidden="1" x14ac:dyDescent="0.25">
      <c r="A4750" s="9" t="s">
        <v>2172</v>
      </c>
      <c r="B4750" s="3" t="s">
        <v>2304</v>
      </c>
      <c r="C4750" s="10">
        <v>29</v>
      </c>
      <c r="D4750" s="10">
        <v>1</v>
      </c>
      <c r="E4750" s="10">
        <v>20</v>
      </c>
      <c r="F4750" t="s">
        <v>2439</v>
      </c>
      <c r="G4750" t="s">
        <v>889</v>
      </c>
      <c r="H4750" t="s">
        <v>63</v>
      </c>
      <c r="I4750" t="s">
        <v>50</v>
      </c>
      <c r="J4750">
        <v>9.9</v>
      </c>
      <c r="K4750" s="10">
        <v>1</v>
      </c>
      <c r="L4750">
        <v>9.9</v>
      </c>
      <c r="M4750">
        <v>9.9</v>
      </c>
      <c r="N4750" s="5">
        <v>0.50613496932515345</v>
      </c>
      <c r="O4750" t="s">
        <v>51</v>
      </c>
      <c r="P4750" t="s">
        <v>340</v>
      </c>
      <c r="Q4750" s="10" t="s">
        <v>24</v>
      </c>
      <c r="R4750" t="s">
        <v>2440</v>
      </c>
    </row>
    <row r="4751" spans="1:18" hidden="1" x14ac:dyDescent="0.25">
      <c r="A4751" s="9" t="s">
        <v>2172</v>
      </c>
      <c r="B4751" s="3" t="s">
        <v>2304</v>
      </c>
      <c r="C4751" s="10">
        <v>29</v>
      </c>
      <c r="D4751" s="10">
        <v>1</v>
      </c>
      <c r="E4751" s="10">
        <v>20</v>
      </c>
      <c r="F4751" t="s">
        <v>388</v>
      </c>
      <c r="G4751" t="s">
        <v>889</v>
      </c>
      <c r="H4751" t="s">
        <v>49</v>
      </c>
      <c r="I4751" t="s">
        <v>50</v>
      </c>
      <c r="J4751">
        <v>36.9</v>
      </c>
      <c r="K4751" s="10">
        <v>1</v>
      </c>
      <c r="L4751">
        <v>36.9</v>
      </c>
      <c r="M4751">
        <v>36.9</v>
      </c>
      <c r="N4751" s="5">
        <v>1.8865030674846626</v>
      </c>
      <c r="O4751" t="s">
        <v>51</v>
      </c>
      <c r="P4751" t="s">
        <v>340</v>
      </c>
      <c r="Q4751" s="10" t="s">
        <v>24</v>
      </c>
      <c r="R4751">
        <v>0</v>
      </c>
    </row>
    <row r="4752" spans="1:18" hidden="1" x14ac:dyDescent="0.25">
      <c r="A4752" s="9" t="s">
        <v>2172</v>
      </c>
      <c r="B4752" s="3" t="s">
        <v>2304</v>
      </c>
      <c r="C4752" s="10">
        <v>29</v>
      </c>
      <c r="D4752" s="10">
        <v>1</v>
      </c>
      <c r="E4752" s="10">
        <v>20</v>
      </c>
      <c r="F4752" t="s">
        <v>388</v>
      </c>
      <c r="G4752" t="s">
        <v>889</v>
      </c>
      <c r="H4752" t="s">
        <v>49</v>
      </c>
      <c r="I4752" t="s">
        <v>50</v>
      </c>
      <c r="J4752">
        <v>21.9</v>
      </c>
      <c r="K4752" s="10">
        <v>1</v>
      </c>
      <c r="L4752">
        <v>21.9</v>
      </c>
      <c r="M4752">
        <v>21.9</v>
      </c>
      <c r="N4752" s="5">
        <v>1.1196319018404908</v>
      </c>
      <c r="O4752" t="s">
        <v>51</v>
      </c>
      <c r="P4752" t="s">
        <v>148</v>
      </c>
      <c r="Q4752" s="10" t="s">
        <v>24</v>
      </c>
    </row>
    <row r="4753" spans="1:18" hidden="1" x14ac:dyDescent="0.25">
      <c r="A4753" s="9" t="s">
        <v>2172</v>
      </c>
      <c r="B4753" s="3" t="s">
        <v>2304</v>
      </c>
      <c r="C4753" s="10">
        <v>29</v>
      </c>
      <c r="D4753" s="10">
        <v>1</v>
      </c>
      <c r="E4753" s="10">
        <v>20</v>
      </c>
      <c r="F4753" t="s">
        <v>388</v>
      </c>
      <c r="G4753" t="s">
        <v>889</v>
      </c>
      <c r="H4753" t="s">
        <v>49</v>
      </c>
      <c r="I4753" t="s">
        <v>50</v>
      </c>
      <c r="J4753">
        <v>18.899999999999999</v>
      </c>
      <c r="K4753" s="10">
        <v>1</v>
      </c>
      <c r="L4753">
        <v>18.899999999999999</v>
      </c>
      <c r="M4753">
        <v>18.899999999999999</v>
      </c>
      <c r="N4753" s="5">
        <v>0.96625766871165641</v>
      </c>
      <c r="O4753" t="s">
        <v>51</v>
      </c>
      <c r="P4753" t="s">
        <v>340</v>
      </c>
      <c r="Q4753" s="10" t="s">
        <v>24</v>
      </c>
    </row>
    <row r="4754" spans="1:18" hidden="1" x14ac:dyDescent="0.25">
      <c r="A4754" s="9" t="s">
        <v>2172</v>
      </c>
      <c r="B4754" s="3" t="s">
        <v>2210</v>
      </c>
      <c r="C4754" s="10">
        <v>3</v>
      </c>
      <c r="D4754" s="10">
        <v>1</v>
      </c>
      <c r="E4754" s="10">
        <v>20</v>
      </c>
      <c r="F4754" t="s">
        <v>141</v>
      </c>
      <c r="G4754" t="s">
        <v>889</v>
      </c>
      <c r="H4754" t="s">
        <v>172</v>
      </c>
      <c r="I4754" t="s">
        <v>39</v>
      </c>
      <c r="J4754" s="4">
        <v>2</v>
      </c>
      <c r="K4754">
        <v>2</v>
      </c>
      <c r="L4754">
        <v>2</v>
      </c>
      <c r="M4754">
        <v>4</v>
      </c>
      <c r="N4754" s="5">
        <v>0.20273694880892043</v>
      </c>
      <c r="O4754" t="s">
        <v>39</v>
      </c>
      <c r="P4754" t="s">
        <v>340</v>
      </c>
      <c r="Q4754" s="10" t="s">
        <v>24</v>
      </c>
      <c r="R4754">
        <v>0</v>
      </c>
    </row>
    <row r="4755" spans="1:18" hidden="1" x14ac:dyDescent="0.25">
      <c r="A4755" s="9" t="s">
        <v>2172</v>
      </c>
      <c r="B4755" s="3" t="s">
        <v>2210</v>
      </c>
      <c r="C4755" s="10">
        <v>3</v>
      </c>
      <c r="D4755" s="10">
        <v>1</v>
      </c>
      <c r="E4755" s="10">
        <v>20</v>
      </c>
      <c r="F4755" t="s">
        <v>2048</v>
      </c>
      <c r="G4755" t="s">
        <v>708</v>
      </c>
      <c r="H4755" t="s">
        <v>131</v>
      </c>
      <c r="I4755" t="s">
        <v>27</v>
      </c>
      <c r="J4755" s="4">
        <v>45.47</v>
      </c>
      <c r="K4755">
        <v>1</v>
      </c>
      <c r="L4755">
        <v>45.47</v>
      </c>
      <c r="M4755">
        <v>45.47</v>
      </c>
      <c r="N4755" s="5">
        <v>2.3046122655854027</v>
      </c>
      <c r="O4755" t="s">
        <v>181</v>
      </c>
      <c r="P4755" t="s">
        <v>340</v>
      </c>
      <c r="Q4755" s="10" t="s">
        <v>24</v>
      </c>
      <c r="R4755">
        <v>0</v>
      </c>
    </row>
    <row r="4756" spans="1:18" hidden="1" x14ac:dyDescent="0.25">
      <c r="A4756" s="9" t="s">
        <v>2172</v>
      </c>
      <c r="B4756" s="3" t="s">
        <v>2210</v>
      </c>
      <c r="C4756" s="10">
        <v>3</v>
      </c>
      <c r="D4756" s="10">
        <v>1</v>
      </c>
      <c r="E4756" s="10">
        <v>20</v>
      </c>
      <c r="F4756" t="s">
        <v>2049</v>
      </c>
      <c r="G4756" t="s">
        <v>708</v>
      </c>
      <c r="H4756" t="s">
        <v>131</v>
      </c>
      <c r="I4756" t="s">
        <v>27</v>
      </c>
      <c r="J4756" s="4">
        <v>46.45</v>
      </c>
      <c r="K4756">
        <v>1</v>
      </c>
      <c r="L4756">
        <v>46.45</v>
      </c>
      <c r="M4756">
        <v>46.45</v>
      </c>
      <c r="N4756" s="5">
        <v>2.3542828180435884</v>
      </c>
      <c r="O4756" t="s">
        <v>181</v>
      </c>
      <c r="P4756" t="s">
        <v>340</v>
      </c>
      <c r="Q4756" s="10" t="s">
        <v>24</v>
      </c>
      <c r="R4756">
        <v>0</v>
      </c>
    </row>
    <row r="4757" spans="1:18" hidden="1" x14ac:dyDescent="0.25">
      <c r="A4757" s="9" t="s">
        <v>2172</v>
      </c>
      <c r="B4757" s="3" t="s">
        <v>2210</v>
      </c>
      <c r="C4757" s="10">
        <v>3</v>
      </c>
      <c r="D4757" s="10">
        <v>1</v>
      </c>
      <c r="E4757" s="10">
        <v>20</v>
      </c>
      <c r="F4757" t="s">
        <v>1379</v>
      </c>
      <c r="G4757" t="s">
        <v>31</v>
      </c>
      <c r="H4757" t="s">
        <v>26</v>
      </c>
      <c r="I4757" t="s">
        <v>27</v>
      </c>
      <c r="J4757" s="4">
        <v>7.64</v>
      </c>
      <c r="K4757">
        <v>1</v>
      </c>
      <c r="L4757">
        <v>7.64</v>
      </c>
      <c r="M4757">
        <v>7.64</v>
      </c>
      <c r="N4757" s="5">
        <v>0.38722757222503801</v>
      </c>
      <c r="O4757" t="s">
        <v>181</v>
      </c>
      <c r="P4757" t="s">
        <v>340</v>
      </c>
      <c r="Q4757" s="10" t="s">
        <v>24</v>
      </c>
      <c r="R4757">
        <v>0</v>
      </c>
    </row>
    <row r="4758" spans="1:18" hidden="1" x14ac:dyDescent="0.25">
      <c r="A4758" s="9" t="s">
        <v>2172</v>
      </c>
      <c r="B4758" s="3" t="s">
        <v>2210</v>
      </c>
      <c r="C4758" s="10">
        <v>3</v>
      </c>
      <c r="D4758" s="10">
        <v>1</v>
      </c>
      <c r="E4758" s="10">
        <v>20</v>
      </c>
      <c r="F4758" t="s">
        <v>146</v>
      </c>
      <c r="G4758" t="s">
        <v>889</v>
      </c>
      <c r="H4758" t="s">
        <v>49</v>
      </c>
      <c r="I4758" t="s">
        <v>50</v>
      </c>
      <c r="J4758" s="4">
        <v>1</v>
      </c>
      <c r="K4758">
        <v>1</v>
      </c>
      <c r="L4758">
        <v>1</v>
      </c>
      <c r="M4758">
        <v>1</v>
      </c>
      <c r="N4758" s="5">
        <v>5.0684237202230108E-2</v>
      </c>
      <c r="O4758" t="s">
        <v>181</v>
      </c>
      <c r="P4758" t="s">
        <v>340</v>
      </c>
      <c r="Q4758" s="10" t="s">
        <v>24</v>
      </c>
      <c r="R4758">
        <v>0</v>
      </c>
    </row>
    <row r="4759" spans="1:18" hidden="1" x14ac:dyDescent="0.25">
      <c r="A4759" s="9" t="s">
        <v>2172</v>
      </c>
      <c r="B4759" s="3" t="s">
        <v>2210</v>
      </c>
      <c r="C4759" s="10">
        <v>3</v>
      </c>
      <c r="D4759" s="10">
        <v>1</v>
      </c>
      <c r="E4759" s="10">
        <v>20</v>
      </c>
      <c r="F4759" t="s">
        <v>1680</v>
      </c>
      <c r="G4759" t="s">
        <v>889</v>
      </c>
      <c r="H4759" t="s">
        <v>40</v>
      </c>
      <c r="I4759" t="s">
        <v>27</v>
      </c>
      <c r="J4759" s="4">
        <v>4.21</v>
      </c>
      <c r="K4759">
        <v>1</v>
      </c>
      <c r="L4759">
        <v>4.21</v>
      </c>
      <c r="M4759">
        <v>4.21</v>
      </c>
      <c r="N4759" s="5">
        <v>0.21338063862138873</v>
      </c>
      <c r="O4759" t="s">
        <v>181</v>
      </c>
      <c r="P4759" t="s">
        <v>340</v>
      </c>
      <c r="Q4759" s="10" t="s">
        <v>24</v>
      </c>
      <c r="R4759">
        <v>0</v>
      </c>
    </row>
    <row r="4760" spans="1:18" hidden="1" x14ac:dyDescent="0.25">
      <c r="A4760" s="9" t="s">
        <v>2172</v>
      </c>
      <c r="B4760" s="3" t="s">
        <v>2210</v>
      </c>
      <c r="C4760" s="10">
        <v>3</v>
      </c>
      <c r="D4760" s="10">
        <v>1</v>
      </c>
      <c r="E4760" s="10">
        <v>20</v>
      </c>
      <c r="F4760" t="s">
        <v>2219</v>
      </c>
      <c r="G4760" t="s">
        <v>889</v>
      </c>
      <c r="H4760" t="s">
        <v>1748</v>
      </c>
      <c r="I4760" t="s">
        <v>431</v>
      </c>
      <c r="J4760" s="4">
        <v>289</v>
      </c>
      <c r="K4760">
        <v>1</v>
      </c>
      <c r="L4760">
        <v>289</v>
      </c>
      <c r="M4760">
        <v>289</v>
      </c>
      <c r="N4760" s="5">
        <v>14.6477445514445</v>
      </c>
      <c r="O4760" t="s">
        <v>1657</v>
      </c>
      <c r="P4760" t="s">
        <v>340</v>
      </c>
      <c r="Q4760" s="10" t="s">
        <v>24</v>
      </c>
      <c r="R4760">
        <v>0</v>
      </c>
    </row>
    <row r="4761" spans="1:18" hidden="1" x14ac:dyDescent="0.25">
      <c r="A4761" s="9" t="s">
        <v>2172</v>
      </c>
      <c r="B4761" s="3" t="s">
        <v>2210</v>
      </c>
      <c r="C4761" s="10">
        <v>3</v>
      </c>
      <c r="D4761" s="10">
        <v>1</v>
      </c>
      <c r="E4761" s="10">
        <v>20</v>
      </c>
      <c r="F4761" t="s">
        <v>2220</v>
      </c>
      <c r="G4761" t="s">
        <v>889</v>
      </c>
      <c r="H4761" t="s">
        <v>1748</v>
      </c>
      <c r="I4761" t="s">
        <v>431</v>
      </c>
      <c r="J4761" s="4">
        <v>259</v>
      </c>
      <c r="K4761">
        <v>1</v>
      </c>
      <c r="L4761">
        <v>259</v>
      </c>
      <c r="M4761">
        <v>259</v>
      </c>
      <c r="N4761" s="5">
        <v>13.127217435377597</v>
      </c>
      <c r="O4761" t="s">
        <v>1657</v>
      </c>
      <c r="P4761" t="s">
        <v>340</v>
      </c>
      <c r="Q4761" s="10" t="s">
        <v>24</v>
      </c>
      <c r="R4761">
        <v>0</v>
      </c>
    </row>
    <row r="4762" spans="1:18" hidden="1" x14ac:dyDescent="0.25">
      <c r="A4762" s="9" t="s">
        <v>2172</v>
      </c>
      <c r="B4762" s="3" t="s">
        <v>2210</v>
      </c>
      <c r="C4762" s="10">
        <v>3</v>
      </c>
      <c r="D4762" s="10">
        <v>1</v>
      </c>
      <c r="E4762" s="10">
        <v>20</v>
      </c>
      <c r="F4762" t="s">
        <v>246</v>
      </c>
      <c r="G4762" t="s">
        <v>889</v>
      </c>
      <c r="H4762" t="s">
        <v>1748</v>
      </c>
      <c r="I4762" t="s">
        <v>72</v>
      </c>
      <c r="J4762" s="4">
        <v>170</v>
      </c>
      <c r="K4762">
        <v>1</v>
      </c>
      <c r="L4762">
        <v>170</v>
      </c>
      <c r="M4762">
        <v>170</v>
      </c>
      <c r="N4762" s="5">
        <v>8.6163203243791173</v>
      </c>
      <c r="O4762" t="s">
        <v>1055</v>
      </c>
      <c r="P4762" t="s">
        <v>340</v>
      </c>
      <c r="Q4762" s="10" t="s">
        <v>24</v>
      </c>
      <c r="R4762" t="s">
        <v>2224</v>
      </c>
    </row>
    <row r="4763" spans="1:18" hidden="1" x14ac:dyDescent="0.25">
      <c r="A4763" s="9" t="s">
        <v>2172</v>
      </c>
      <c r="B4763" s="3" t="s">
        <v>2210</v>
      </c>
      <c r="C4763" s="10">
        <v>3</v>
      </c>
      <c r="D4763" s="10">
        <v>1</v>
      </c>
      <c r="E4763" s="10">
        <v>20</v>
      </c>
      <c r="F4763" t="s">
        <v>246</v>
      </c>
      <c r="G4763" t="s">
        <v>889</v>
      </c>
      <c r="H4763" t="s">
        <v>1748</v>
      </c>
      <c r="I4763" t="s">
        <v>72</v>
      </c>
      <c r="J4763" s="4">
        <v>100</v>
      </c>
      <c r="K4763">
        <v>1</v>
      </c>
      <c r="L4763">
        <v>100</v>
      </c>
      <c r="M4763">
        <v>100</v>
      </c>
      <c r="N4763" s="5">
        <v>5.0684237202230102</v>
      </c>
      <c r="O4763" t="s">
        <v>1055</v>
      </c>
      <c r="P4763" t="s">
        <v>340</v>
      </c>
      <c r="Q4763" s="10" t="s">
        <v>24</v>
      </c>
      <c r="R4763" t="s">
        <v>2225</v>
      </c>
    </row>
    <row r="4764" spans="1:18" hidden="1" x14ac:dyDescent="0.25">
      <c r="A4764" s="9" t="s">
        <v>2172</v>
      </c>
      <c r="B4764" s="3" t="s">
        <v>2210</v>
      </c>
      <c r="C4764" s="10">
        <v>3</v>
      </c>
      <c r="D4764" s="10">
        <v>1</v>
      </c>
      <c r="E4764" s="10">
        <v>20</v>
      </c>
      <c r="F4764" t="s">
        <v>39</v>
      </c>
      <c r="G4764" t="s">
        <v>889</v>
      </c>
      <c r="H4764" t="s">
        <v>1748</v>
      </c>
      <c r="I4764" t="s">
        <v>39</v>
      </c>
      <c r="J4764" s="4">
        <v>259</v>
      </c>
      <c r="K4764">
        <v>0.33300000000000002</v>
      </c>
      <c r="L4764">
        <v>259</v>
      </c>
      <c r="M4764">
        <v>86.247</v>
      </c>
      <c r="N4764" s="5">
        <v>4.3713634059807402</v>
      </c>
      <c r="O4764" t="s">
        <v>283</v>
      </c>
      <c r="P4764" t="s">
        <v>340</v>
      </c>
      <c r="Q4764" s="10" t="s">
        <v>24</v>
      </c>
      <c r="R4764" t="s">
        <v>2226</v>
      </c>
    </row>
    <row r="4765" spans="1:18" hidden="1" x14ac:dyDescent="0.25">
      <c r="A4765" s="9" t="s">
        <v>2172</v>
      </c>
      <c r="B4765" s="3" t="s">
        <v>2210</v>
      </c>
      <c r="C4765" s="10">
        <v>3</v>
      </c>
      <c r="D4765" s="10">
        <v>1</v>
      </c>
      <c r="E4765" s="10">
        <v>20</v>
      </c>
      <c r="F4765" t="s">
        <v>2227</v>
      </c>
      <c r="G4765" t="s">
        <v>889</v>
      </c>
      <c r="H4765" t="s">
        <v>1748</v>
      </c>
      <c r="I4765" t="s">
        <v>50</v>
      </c>
      <c r="J4765" s="4">
        <v>262</v>
      </c>
      <c r="K4765">
        <v>1</v>
      </c>
      <c r="L4765">
        <v>262</v>
      </c>
      <c r="M4765">
        <v>262</v>
      </c>
      <c r="N4765" s="5">
        <v>13.279270146984288</v>
      </c>
      <c r="O4765" t="s">
        <v>283</v>
      </c>
      <c r="P4765" t="s">
        <v>340</v>
      </c>
      <c r="Q4765" s="10" t="s">
        <v>24</v>
      </c>
      <c r="R4765">
        <v>0</v>
      </c>
    </row>
    <row r="4766" spans="1:18" hidden="1" x14ac:dyDescent="0.25">
      <c r="A4766" s="9" t="s">
        <v>2172</v>
      </c>
      <c r="B4766" s="3" t="s">
        <v>2306</v>
      </c>
      <c r="C4766" s="10">
        <v>31</v>
      </c>
      <c r="D4766" s="10">
        <v>1</v>
      </c>
      <c r="E4766" s="10">
        <v>20</v>
      </c>
      <c r="F4766" t="s">
        <v>398</v>
      </c>
      <c r="G4766" t="s">
        <v>889</v>
      </c>
      <c r="H4766" t="s">
        <v>40</v>
      </c>
      <c r="I4766" t="s">
        <v>27</v>
      </c>
      <c r="J4766" s="4">
        <v>14.6</v>
      </c>
      <c r="K4766">
        <v>1</v>
      </c>
      <c r="L4766">
        <v>14.6</v>
      </c>
      <c r="M4766">
        <v>14.6</v>
      </c>
      <c r="N4766" s="5">
        <v>0.73998986315255955</v>
      </c>
      <c r="O4766" t="s">
        <v>100</v>
      </c>
      <c r="P4766" t="s">
        <v>340</v>
      </c>
      <c r="Q4766" s="10" t="s">
        <v>24</v>
      </c>
      <c r="R4766">
        <v>0</v>
      </c>
    </row>
    <row r="4767" spans="1:18" hidden="1" x14ac:dyDescent="0.25">
      <c r="A4767" s="9" t="s">
        <v>2172</v>
      </c>
      <c r="B4767" s="3" t="s">
        <v>2306</v>
      </c>
      <c r="C4767" s="10">
        <v>31</v>
      </c>
      <c r="D4767" s="10">
        <v>1</v>
      </c>
      <c r="E4767" s="10">
        <v>20</v>
      </c>
      <c r="F4767" t="s">
        <v>2094</v>
      </c>
      <c r="G4767" t="s">
        <v>889</v>
      </c>
      <c r="H4767" t="s">
        <v>2093</v>
      </c>
      <c r="I4767" t="s">
        <v>431</v>
      </c>
      <c r="J4767" s="4">
        <v>105</v>
      </c>
      <c r="K4767">
        <v>1</v>
      </c>
      <c r="L4767">
        <v>105</v>
      </c>
      <c r="M4767">
        <v>105</v>
      </c>
      <c r="N4767" s="5">
        <v>5.3218449062341611</v>
      </c>
      <c r="O4767" t="s">
        <v>376</v>
      </c>
      <c r="P4767" t="s">
        <v>340</v>
      </c>
      <c r="Q4767" s="10" t="s">
        <v>24</v>
      </c>
    </row>
    <row r="4768" spans="1:18" hidden="1" x14ac:dyDescent="0.25">
      <c r="A4768" s="9" t="s">
        <v>2172</v>
      </c>
      <c r="B4768" s="3" t="s">
        <v>2306</v>
      </c>
      <c r="C4768" s="10">
        <v>31</v>
      </c>
      <c r="D4768" s="10">
        <v>1</v>
      </c>
      <c r="E4768" s="10">
        <v>20</v>
      </c>
      <c r="F4768" t="s">
        <v>2307</v>
      </c>
      <c r="G4768" t="s">
        <v>889</v>
      </c>
      <c r="H4768" t="s">
        <v>2093</v>
      </c>
      <c r="I4768" t="s">
        <v>431</v>
      </c>
      <c r="J4768" s="4">
        <v>285</v>
      </c>
      <c r="K4768">
        <v>1</v>
      </c>
      <c r="L4768">
        <v>285</v>
      </c>
      <c r="M4768">
        <v>285</v>
      </c>
      <c r="N4768" s="5">
        <v>14.445007602635579</v>
      </c>
      <c r="O4768" t="s">
        <v>376</v>
      </c>
      <c r="P4768" t="s">
        <v>340</v>
      </c>
      <c r="Q4768" s="10" t="s">
        <v>24</v>
      </c>
    </row>
    <row r="4769" spans="1:18" hidden="1" x14ac:dyDescent="0.25">
      <c r="A4769" s="9" t="s">
        <v>2172</v>
      </c>
      <c r="B4769" s="3" t="s">
        <v>2306</v>
      </c>
      <c r="C4769" s="10">
        <v>31</v>
      </c>
      <c r="D4769" s="10">
        <v>1</v>
      </c>
      <c r="E4769" s="10">
        <v>20</v>
      </c>
      <c r="F4769" t="s">
        <v>2308</v>
      </c>
      <c r="G4769" t="s">
        <v>889</v>
      </c>
      <c r="H4769" t="s">
        <v>2093</v>
      </c>
      <c r="I4769" t="s">
        <v>431</v>
      </c>
      <c r="J4769" s="4">
        <v>55</v>
      </c>
      <c r="K4769">
        <v>2</v>
      </c>
      <c r="L4769">
        <v>55</v>
      </c>
      <c r="M4769">
        <v>110</v>
      </c>
      <c r="N4769" s="5">
        <v>5.5752660922453119</v>
      </c>
      <c r="O4769" t="s">
        <v>2309</v>
      </c>
      <c r="P4769" t="s">
        <v>340</v>
      </c>
      <c r="Q4769" s="10" t="s">
        <v>24</v>
      </c>
    </row>
    <row r="4770" spans="1:18" hidden="1" x14ac:dyDescent="0.25">
      <c r="A4770" s="9" t="s">
        <v>2172</v>
      </c>
      <c r="B4770" s="3" t="s">
        <v>2306</v>
      </c>
      <c r="C4770" s="10">
        <v>31</v>
      </c>
      <c r="D4770" s="10">
        <v>1</v>
      </c>
      <c r="E4770" s="10">
        <v>20</v>
      </c>
      <c r="F4770" t="s">
        <v>53</v>
      </c>
      <c r="G4770" t="s">
        <v>889</v>
      </c>
      <c r="H4770" t="s">
        <v>53</v>
      </c>
      <c r="I4770" t="s">
        <v>27</v>
      </c>
      <c r="J4770">
        <v>15</v>
      </c>
      <c r="K4770" s="10">
        <v>1</v>
      </c>
      <c r="L4770">
        <v>15</v>
      </c>
      <c r="M4770">
        <v>15</v>
      </c>
      <c r="N4770" s="5">
        <v>0.76687116564417179</v>
      </c>
      <c r="O4770" t="s">
        <v>23</v>
      </c>
      <c r="P4770" t="s">
        <v>340</v>
      </c>
      <c r="Q4770" s="10" t="s">
        <v>24</v>
      </c>
    </row>
    <row r="4771" spans="1:18" hidden="1" x14ac:dyDescent="0.25">
      <c r="A4771" s="9" t="s">
        <v>2172</v>
      </c>
      <c r="B4771" s="3" t="s">
        <v>2173</v>
      </c>
      <c r="C4771" s="10">
        <v>4</v>
      </c>
      <c r="D4771" s="10">
        <v>1</v>
      </c>
      <c r="E4771" s="10">
        <v>20</v>
      </c>
      <c r="F4771" t="s">
        <v>2114</v>
      </c>
      <c r="G4771" t="s">
        <v>332</v>
      </c>
      <c r="H4771" t="s">
        <v>65</v>
      </c>
      <c r="I4771" t="s">
        <v>27</v>
      </c>
      <c r="J4771" s="4">
        <v>14.49</v>
      </c>
      <c r="K4771">
        <v>1</v>
      </c>
      <c r="L4771">
        <v>61.002900000000004</v>
      </c>
      <c r="M4771">
        <v>61.002900000000004</v>
      </c>
      <c r="N4771" s="5">
        <v>3.1057904115400929</v>
      </c>
      <c r="O4771" t="s">
        <v>2164</v>
      </c>
      <c r="P4771" t="s">
        <v>148</v>
      </c>
      <c r="Q4771" s="10" t="s">
        <v>24</v>
      </c>
      <c r="R4771" t="s">
        <v>2171</v>
      </c>
    </row>
    <row r="4772" spans="1:18" hidden="1" x14ac:dyDescent="0.25">
      <c r="A4772" s="9" t="s">
        <v>2172</v>
      </c>
      <c r="B4772" s="3" t="s">
        <v>2173</v>
      </c>
      <c r="C4772" s="10">
        <v>4</v>
      </c>
      <c r="D4772" s="10">
        <v>1</v>
      </c>
      <c r="E4772" s="10">
        <v>20</v>
      </c>
      <c r="F4772" t="s">
        <v>2165</v>
      </c>
      <c r="G4772" t="s">
        <v>332</v>
      </c>
      <c r="H4772" t="s">
        <v>65</v>
      </c>
      <c r="I4772" t="s">
        <v>27</v>
      </c>
      <c r="J4772" s="4">
        <v>12.99</v>
      </c>
      <c r="K4772">
        <v>1</v>
      </c>
      <c r="L4772">
        <v>54.687899999999999</v>
      </c>
      <c r="M4772">
        <v>54.687899999999999</v>
      </c>
      <c r="N4772" s="5">
        <v>2.7842800169707251</v>
      </c>
      <c r="O4772" t="s">
        <v>2164</v>
      </c>
      <c r="P4772" t="s">
        <v>148</v>
      </c>
      <c r="Q4772" s="10" t="s">
        <v>24</v>
      </c>
      <c r="R4772" t="s">
        <v>2171</v>
      </c>
    </row>
    <row r="4773" spans="1:18" hidden="1" x14ac:dyDescent="0.25">
      <c r="A4773" s="9" t="s">
        <v>2172</v>
      </c>
      <c r="B4773" s="3" t="s">
        <v>2173</v>
      </c>
      <c r="C4773" s="10">
        <v>4</v>
      </c>
      <c r="D4773" s="10">
        <v>1</v>
      </c>
      <c r="E4773" s="10">
        <v>20</v>
      </c>
      <c r="F4773" t="s">
        <v>2166</v>
      </c>
      <c r="G4773" t="s">
        <v>332</v>
      </c>
      <c r="H4773" t="s">
        <v>65</v>
      </c>
      <c r="I4773" t="s">
        <v>27</v>
      </c>
      <c r="J4773" s="4">
        <v>8.99</v>
      </c>
      <c r="K4773">
        <v>2</v>
      </c>
      <c r="L4773">
        <v>37.847900000000003</v>
      </c>
      <c r="M4773">
        <v>75.695800000000006</v>
      </c>
      <c r="N4773" s="5">
        <v>3.8538379295714891</v>
      </c>
      <c r="O4773" t="s">
        <v>2164</v>
      </c>
      <c r="P4773" t="s">
        <v>148</v>
      </c>
      <c r="Q4773" s="10" t="s">
        <v>24</v>
      </c>
      <c r="R4773" t="s">
        <v>2171</v>
      </c>
    </row>
    <row r="4774" spans="1:18" hidden="1" x14ac:dyDescent="0.25">
      <c r="A4774" s="9" t="s">
        <v>2172</v>
      </c>
      <c r="B4774" s="3" t="s">
        <v>2173</v>
      </c>
      <c r="C4774" s="10">
        <v>4</v>
      </c>
      <c r="D4774" s="10">
        <v>1</v>
      </c>
      <c r="E4774" s="10">
        <v>20</v>
      </c>
      <c r="F4774" t="s">
        <v>2167</v>
      </c>
      <c r="G4774" t="s">
        <v>332</v>
      </c>
      <c r="H4774" t="s">
        <v>65</v>
      </c>
      <c r="I4774" t="s">
        <v>27</v>
      </c>
      <c r="J4774" s="4">
        <v>14.99</v>
      </c>
      <c r="K4774">
        <v>2</v>
      </c>
      <c r="L4774">
        <v>63.107900000000001</v>
      </c>
      <c r="M4774">
        <v>126.2158</v>
      </c>
      <c r="N4774" s="5">
        <v>6.4259210861264311</v>
      </c>
      <c r="O4774" t="s">
        <v>2164</v>
      </c>
      <c r="P4774" t="s">
        <v>148</v>
      </c>
      <c r="Q4774" s="10" t="s">
        <v>24</v>
      </c>
      <c r="R4774" t="s">
        <v>2171</v>
      </c>
    </row>
    <row r="4775" spans="1:18" hidden="1" x14ac:dyDescent="0.25">
      <c r="A4775" s="9" t="s">
        <v>2172</v>
      </c>
      <c r="B4775" s="3" t="s">
        <v>2173</v>
      </c>
      <c r="C4775" s="10">
        <v>4</v>
      </c>
      <c r="D4775" s="10">
        <v>1</v>
      </c>
      <c r="E4775" s="10">
        <v>20</v>
      </c>
      <c r="F4775" t="s">
        <v>1078</v>
      </c>
      <c r="G4775" t="s">
        <v>332</v>
      </c>
      <c r="H4775" t="s">
        <v>65</v>
      </c>
      <c r="I4775" t="s">
        <v>27</v>
      </c>
      <c r="J4775" s="4">
        <v>16.989999999999998</v>
      </c>
      <c r="K4775">
        <v>1</v>
      </c>
      <c r="L4775">
        <v>71.527899999999988</v>
      </c>
      <c r="M4775">
        <v>71.527899999999988</v>
      </c>
      <c r="N4775" s="5">
        <v>3.6416410691557055</v>
      </c>
      <c r="O4775" t="s">
        <v>2164</v>
      </c>
      <c r="P4775" t="s">
        <v>148</v>
      </c>
      <c r="Q4775" s="10" t="s">
        <v>24</v>
      </c>
      <c r="R4775" t="s">
        <v>2171</v>
      </c>
    </row>
    <row r="4776" spans="1:18" hidden="1" x14ac:dyDescent="0.25">
      <c r="A4776" s="9" t="s">
        <v>2172</v>
      </c>
      <c r="B4776" s="3" t="s">
        <v>2173</v>
      </c>
      <c r="C4776" s="10">
        <v>4</v>
      </c>
      <c r="D4776" s="10">
        <v>1</v>
      </c>
      <c r="E4776" s="10">
        <v>20</v>
      </c>
      <c r="F4776" t="s">
        <v>1078</v>
      </c>
      <c r="G4776" t="s">
        <v>332</v>
      </c>
      <c r="H4776" t="s">
        <v>65</v>
      </c>
      <c r="I4776" t="s">
        <v>27</v>
      </c>
      <c r="J4776" s="4">
        <v>13.99</v>
      </c>
      <c r="K4776">
        <v>2</v>
      </c>
      <c r="L4776">
        <v>58.8979</v>
      </c>
      <c r="M4776">
        <v>117.7958</v>
      </c>
      <c r="N4776" s="5">
        <v>5.9972405600339407</v>
      </c>
      <c r="O4776" t="s">
        <v>2164</v>
      </c>
      <c r="P4776" t="s">
        <v>148</v>
      </c>
      <c r="Q4776" s="10" t="s">
        <v>24</v>
      </c>
      <c r="R4776" t="s">
        <v>2171</v>
      </c>
    </row>
    <row r="4777" spans="1:18" hidden="1" x14ac:dyDescent="0.25">
      <c r="A4777" s="9" t="s">
        <v>2172</v>
      </c>
      <c r="B4777" s="3" t="s">
        <v>2173</v>
      </c>
      <c r="C4777" s="10">
        <v>4</v>
      </c>
      <c r="D4777" s="10">
        <v>1</v>
      </c>
      <c r="E4777" s="10">
        <v>20</v>
      </c>
      <c r="F4777" t="s">
        <v>2169</v>
      </c>
      <c r="G4777" t="s">
        <v>332</v>
      </c>
      <c r="H4777" t="s">
        <v>65</v>
      </c>
      <c r="I4777" t="s">
        <v>27</v>
      </c>
      <c r="J4777" s="4">
        <v>8.49</v>
      </c>
      <c r="K4777">
        <v>1</v>
      </c>
      <c r="L4777">
        <v>35.742899999999999</v>
      </c>
      <c r="M4777">
        <v>35.742899999999999</v>
      </c>
      <c r="N4777" s="5">
        <v>1.8197488332626217</v>
      </c>
      <c r="O4777" t="s">
        <v>2164</v>
      </c>
      <c r="P4777" t="s">
        <v>148</v>
      </c>
      <c r="Q4777" s="10" t="s">
        <v>24</v>
      </c>
      <c r="R4777" t="s">
        <v>2171</v>
      </c>
    </row>
    <row r="4778" spans="1:18" hidden="1" x14ac:dyDescent="0.25">
      <c r="A4778" s="9" t="s">
        <v>2172</v>
      </c>
      <c r="B4778" s="3" t="s">
        <v>2173</v>
      </c>
      <c r="C4778" s="10">
        <v>4</v>
      </c>
      <c r="D4778" s="10">
        <v>1</v>
      </c>
      <c r="E4778" s="10">
        <v>20</v>
      </c>
      <c r="F4778" t="s">
        <v>2072</v>
      </c>
      <c r="G4778" t="s">
        <v>328</v>
      </c>
      <c r="H4778" t="s">
        <v>49</v>
      </c>
      <c r="I4778" t="s">
        <v>50</v>
      </c>
      <c r="J4778" s="4">
        <v>2.4900000000000002</v>
      </c>
      <c r="K4778">
        <v>3</v>
      </c>
      <c r="L4778">
        <v>10.482900000000001</v>
      </c>
      <c r="M4778">
        <v>31.448700000000002</v>
      </c>
      <c r="N4778" s="5">
        <v>1.6011217649554517</v>
      </c>
      <c r="O4778" t="s">
        <v>2164</v>
      </c>
      <c r="P4778" t="s">
        <v>148</v>
      </c>
      <c r="Q4778" s="10" t="s">
        <v>24</v>
      </c>
      <c r="R4778" t="s">
        <v>2171</v>
      </c>
    </row>
    <row r="4779" spans="1:18" hidden="1" x14ac:dyDescent="0.25">
      <c r="A4779" s="9" t="s">
        <v>2172</v>
      </c>
      <c r="B4779" s="3" t="s">
        <v>2173</v>
      </c>
      <c r="C4779" s="10">
        <v>4</v>
      </c>
      <c r="D4779" s="10">
        <v>1</v>
      </c>
      <c r="E4779" s="10">
        <v>20</v>
      </c>
      <c r="F4779" t="s">
        <v>112</v>
      </c>
      <c r="G4779" t="s">
        <v>889</v>
      </c>
      <c r="H4779" t="s">
        <v>56</v>
      </c>
      <c r="I4779" t="s">
        <v>27</v>
      </c>
      <c r="J4779" s="4">
        <v>2.79</v>
      </c>
      <c r="K4779">
        <v>0.88400000000000001</v>
      </c>
      <c r="L4779">
        <v>11.745900000000001</v>
      </c>
      <c r="M4779">
        <v>10.383375600000001</v>
      </c>
      <c r="N4779" s="5">
        <v>0.5286402511667373</v>
      </c>
      <c r="O4779" t="s">
        <v>2164</v>
      </c>
      <c r="P4779" t="s">
        <v>148</v>
      </c>
      <c r="Q4779" s="10" t="s">
        <v>24</v>
      </c>
      <c r="R4779" t="s">
        <v>2171</v>
      </c>
    </row>
    <row r="4780" spans="1:18" hidden="1" x14ac:dyDescent="0.25">
      <c r="A4780" s="9" t="s">
        <v>2172</v>
      </c>
      <c r="B4780" s="3" t="s">
        <v>2173</v>
      </c>
      <c r="C4780" s="10">
        <v>4</v>
      </c>
      <c r="D4780" s="10">
        <v>1</v>
      </c>
      <c r="E4780" s="10">
        <v>20</v>
      </c>
      <c r="F4780" t="s">
        <v>140</v>
      </c>
      <c r="G4780" t="s">
        <v>889</v>
      </c>
      <c r="H4780" t="s">
        <v>49</v>
      </c>
      <c r="I4780" t="s">
        <v>50</v>
      </c>
      <c r="J4780" s="4">
        <v>2.89</v>
      </c>
      <c r="K4780">
        <v>1</v>
      </c>
      <c r="L4780">
        <v>12.1669</v>
      </c>
      <c r="M4780">
        <v>12.1669</v>
      </c>
      <c r="N4780" s="5">
        <v>0.61944336020364865</v>
      </c>
      <c r="O4780" t="s">
        <v>2164</v>
      </c>
      <c r="P4780" t="s">
        <v>148</v>
      </c>
      <c r="Q4780" s="10" t="s">
        <v>24</v>
      </c>
      <c r="R4780" t="s">
        <v>2171</v>
      </c>
    </row>
    <row r="4781" spans="1:18" hidden="1" x14ac:dyDescent="0.25">
      <c r="A4781" s="9" t="s">
        <v>2172</v>
      </c>
      <c r="B4781" s="3" t="s">
        <v>2173</v>
      </c>
      <c r="C4781" s="10">
        <v>4</v>
      </c>
      <c r="D4781" s="10">
        <v>1</v>
      </c>
      <c r="E4781" s="10">
        <v>20</v>
      </c>
      <c r="F4781" t="s">
        <v>474</v>
      </c>
      <c r="G4781" t="s">
        <v>889</v>
      </c>
      <c r="H4781" t="s">
        <v>62</v>
      </c>
      <c r="I4781" t="s">
        <v>27</v>
      </c>
      <c r="J4781" s="4">
        <v>3.99</v>
      </c>
      <c r="K4781">
        <v>1</v>
      </c>
      <c r="L4781">
        <v>16.797900000000002</v>
      </c>
      <c r="M4781">
        <v>16.797900000000002</v>
      </c>
      <c r="N4781" s="5">
        <v>0.8552176495545184</v>
      </c>
      <c r="O4781" t="s">
        <v>2164</v>
      </c>
      <c r="P4781" t="s">
        <v>148</v>
      </c>
      <c r="Q4781" s="10" t="s">
        <v>24</v>
      </c>
      <c r="R4781" t="s">
        <v>2171</v>
      </c>
    </row>
    <row r="4782" spans="1:18" hidden="1" x14ac:dyDescent="0.25">
      <c r="A4782" s="9" t="s">
        <v>2172</v>
      </c>
      <c r="B4782" s="3" t="s">
        <v>2173</v>
      </c>
      <c r="C4782" s="10">
        <v>4</v>
      </c>
      <c r="D4782" s="10">
        <v>1</v>
      </c>
      <c r="E4782" s="10">
        <v>20</v>
      </c>
      <c r="F4782" t="s">
        <v>44</v>
      </c>
      <c r="G4782" t="s">
        <v>889</v>
      </c>
      <c r="H4782" t="s">
        <v>44</v>
      </c>
      <c r="I4782" t="s">
        <v>27</v>
      </c>
      <c r="J4782" s="4">
        <v>7.69</v>
      </c>
      <c r="K4782">
        <v>1</v>
      </c>
      <c r="L4782">
        <v>32.374900000000004</v>
      </c>
      <c r="M4782">
        <v>32.374900000000004</v>
      </c>
      <c r="N4782" s="5">
        <v>1.6482766228256258</v>
      </c>
      <c r="O4782" t="s">
        <v>2164</v>
      </c>
      <c r="P4782" t="s">
        <v>148</v>
      </c>
      <c r="Q4782" s="10" t="s">
        <v>24</v>
      </c>
      <c r="R4782" t="s">
        <v>2171</v>
      </c>
    </row>
    <row r="4783" spans="1:18" hidden="1" x14ac:dyDescent="0.25">
      <c r="A4783" s="9" t="s">
        <v>2172</v>
      </c>
      <c r="B4783" s="3" t="s">
        <v>2173</v>
      </c>
      <c r="C4783" s="10">
        <v>4</v>
      </c>
      <c r="D4783" s="10">
        <v>1</v>
      </c>
      <c r="E4783" s="10">
        <v>20</v>
      </c>
      <c r="F4783" t="s">
        <v>2170</v>
      </c>
      <c r="G4783" t="s">
        <v>328</v>
      </c>
      <c r="H4783" t="s">
        <v>49</v>
      </c>
      <c r="I4783" t="s">
        <v>50</v>
      </c>
      <c r="J4783" s="4">
        <v>2.29</v>
      </c>
      <c r="K4783">
        <v>1</v>
      </c>
      <c r="L4783">
        <v>9.6409000000000002</v>
      </c>
      <c r="M4783">
        <v>9.6409000000000002</v>
      </c>
      <c r="N4783" s="5">
        <v>0.49083920237590151</v>
      </c>
      <c r="O4783" t="s">
        <v>2164</v>
      </c>
      <c r="P4783" t="s">
        <v>148</v>
      </c>
      <c r="Q4783" s="10" t="s">
        <v>24</v>
      </c>
      <c r="R4783" t="s">
        <v>2171</v>
      </c>
    </row>
    <row r="4784" spans="1:18" hidden="1" x14ac:dyDescent="0.25">
      <c r="A4784" s="9" t="s">
        <v>2172</v>
      </c>
      <c r="B4784" s="3" t="s">
        <v>2173</v>
      </c>
      <c r="C4784" s="10">
        <v>4</v>
      </c>
      <c r="D4784" s="10">
        <v>1</v>
      </c>
      <c r="E4784" s="10">
        <v>20</v>
      </c>
      <c r="F4784" t="s">
        <v>2199</v>
      </c>
      <c r="G4784" t="s">
        <v>889</v>
      </c>
      <c r="H4784" t="s">
        <v>49</v>
      </c>
      <c r="I4784" t="s">
        <v>50</v>
      </c>
      <c r="J4784" s="4">
        <v>26.79</v>
      </c>
      <c r="K4784">
        <v>1</v>
      </c>
      <c r="L4784">
        <v>112.7859</v>
      </c>
      <c r="M4784">
        <v>112.7859</v>
      </c>
      <c r="N4784" s="5">
        <v>5.7421756470089091</v>
      </c>
      <c r="O4784" t="s">
        <v>2164</v>
      </c>
      <c r="P4784" t="s">
        <v>148</v>
      </c>
      <c r="Q4784" s="10" t="s">
        <v>24</v>
      </c>
      <c r="R4784" t="s">
        <v>2171</v>
      </c>
    </row>
    <row r="4785" spans="1:18" hidden="1" x14ac:dyDescent="0.25">
      <c r="A4785" s="9" t="s">
        <v>2172</v>
      </c>
      <c r="B4785" s="3" t="s">
        <v>2173</v>
      </c>
      <c r="C4785" s="10">
        <v>4</v>
      </c>
      <c r="D4785" s="10">
        <v>1</v>
      </c>
      <c r="E4785" s="10">
        <v>20</v>
      </c>
      <c r="F4785" t="s">
        <v>2174</v>
      </c>
      <c r="G4785" t="s">
        <v>889</v>
      </c>
      <c r="H4785" t="s">
        <v>2093</v>
      </c>
      <c r="I4785" t="s">
        <v>72</v>
      </c>
      <c r="J4785" s="4">
        <v>26.99</v>
      </c>
      <c r="K4785">
        <v>1</v>
      </c>
      <c r="L4785">
        <v>108.22989999999999</v>
      </c>
      <c r="M4785">
        <v>108.22989999999999</v>
      </c>
      <c r="N4785" s="5">
        <v>5.4855499239736432</v>
      </c>
      <c r="O4785" t="s">
        <v>152</v>
      </c>
      <c r="P4785" t="s">
        <v>148</v>
      </c>
      <c r="Q4785" s="10" t="s">
        <v>24</v>
      </c>
      <c r="R4785" t="s">
        <v>2171</v>
      </c>
    </row>
    <row r="4786" spans="1:18" hidden="1" x14ac:dyDescent="0.25">
      <c r="A4786" s="9" t="s">
        <v>2172</v>
      </c>
      <c r="B4786" s="3" t="s">
        <v>2173</v>
      </c>
      <c r="C4786" s="10">
        <v>4</v>
      </c>
      <c r="D4786" s="10">
        <v>1</v>
      </c>
      <c r="E4786" s="10">
        <v>20</v>
      </c>
      <c r="F4786" t="s">
        <v>2175</v>
      </c>
      <c r="G4786" t="s">
        <v>889</v>
      </c>
      <c r="H4786" t="s">
        <v>1748</v>
      </c>
      <c r="I4786" t="s">
        <v>72</v>
      </c>
      <c r="J4786" s="4">
        <v>62.99</v>
      </c>
      <c r="K4786">
        <v>2</v>
      </c>
      <c r="L4786">
        <v>252.5899</v>
      </c>
      <c r="M4786">
        <v>505.1798</v>
      </c>
      <c r="N4786" s="5">
        <v>25.604652812975164</v>
      </c>
      <c r="O4786" t="s">
        <v>152</v>
      </c>
      <c r="P4786" t="s">
        <v>148</v>
      </c>
      <c r="Q4786" s="10" t="s">
        <v>24</v>
      </c>
      <c r="R4786" t="s">
        <v>2171</v>
      </c>
    </row>
    <row r="4787" spans="1:18" hidden="1" x14ac:dyDescent="0.25">
      <c r="A4787" s="9" t="s">
        <v>2172</v>
      </c>
      <c r="B4787" s="3" t="s">
        <v>2173</v>
      </c>
      <c r="C4787" s="10">
        <v>4</v>
      </c>
      <c r="D4787" s="10">
        <v>1</v>
      </c>
      <c r="E4787" s="10">
        <v>20</v>
      </c>
      <c r="F4787" t="s">
        <v>2176</v>
      </c>
      <c r="G4787" t="s">
        <v>889</v>
      </c>
      <c r="H4787" t="s">
        <v>2093</v>
      </c>
      <c r="I4787" t="s">
        <v>72</v>
      </c>
      <c r="J4787" s="4">
        <v>41.39</v>
      </c>
      <c r="K4787">
        <v>1</v>
      </c>
      <c r="L4787">
        <v>165.97389999999999</v>
      </c>
      <c r="M4787">
        <v>165.97389999999999</v>
      </c>
      <c r="N4787" s="5">
        <v>8.4122605169792184</v>
      </c>
      <c r="O4787" t="s">
        <v>152</v>
      </c>
      <c r="P4787" t="s">
        <v>148</v>
      </c>
      <c r="Q4787" s="10" t="s">
        <v>24</v>
      </c>
      <c r="R4787" t="s">
        <v>2171</v>
      </c>
    </row>
    <row r="4788" spans="1:18" hidden="1" x14ac:dyDescent="0.25">
      <c r="A4788" s="9" t="s">
        <v>2172</v>
      </c>
      <c r="B4788" s="3" t="s">
        <v>2173</v>
      </c>
      <c r="C4788" s="10">
        <v>4</v>
      </c>
      <c r="D4788" s="10">
        <v>1</v>
      </c>
      <c r="E4788" s="10">
        <v>20</v>
      </c>
      <c r="F4788" t="s">
        <v>2177</v>
      </c>
      <c r="G4788" t="s">
        <v>889</v>
      </c>
      <c r="H4788" t="s">
        <v>2093</v>
      </c>
      <c r="I4788" t="s">
        <v>72</v>
      </c>
      <c r="J4788" s="4">
        <v>26.99</v>
      </c>
      <c r="K4788">
        <v>1</v>
      </c>
      <c r="L4788">
        <v>108.22989999999999</v>
      </c>
      <c r="M4788">
        <v>108.22989999999999</v>
      </c>
      <c r="N4788" s="5">
        <v>5.4855499239736432</v>
      </c>
      <c r="O4788" t="s">
        <v>152</v>
      </c>
      <c r="P4788" t="s">
        <v>148</v>
      </c>
      <c r="Q4788" s="10" t="s">
        <v>24</v>
      </c>
      <c r="R4788" t="s">
        <v>2171</v>
      </c>
    </row>
    <row r="4789" spans="1:18" hidden="1" x14ac:dyDescent="0.25">
      <c r="A4789" s="9" t="s">
        <v>2172</v>
      </c>
      <c r="B4789" s="3" t="s">
        <v>2173</v>
      </c>
      <c r="C4789" s="10">
        <v>4</v>
      </c>
      <c r="D4789" s="10">
        <v>1</v>
      </c>
      <c r="E4789" s="10">
        <v>20</v>
      </c>
      <c r="F4789" t="s">
        <v>2178</v>
      </c>
      <c r="G4789" t="s">
        <v>889</v>
      </c>
      <c r="H4789" t="s">
        <v>2093</v>
      </c>
      <c r="I4789" t="s">
        <v>72</v>
      </c>
      <c r="J4789" s="4">
        <v>61.19</v>
      </c>
      <c r="K4789">
        <v>1</v>
      </c>
      <c r="L4789">
        <v>245.37189999999998</v>
      </c>
      <c r="M4789">
        <v>245.37189999999998</v>
      </c>
      <c r="N4789" s="5">
        <v>12.436487582361885</v>
      </c>
      <c r="O4789" t="s">
        <v>152</v>
      </c>
      <c r="P4789" t="s">
        <v>148</v>
      </c>
      <c r="Q4789" s="10" t="s">
        <v>24</v>
      </c>
      <c r="R4789" t="s">
        <v>2171</v>
      </c>
    </row>
    <row r="4790" spans="1:18" hidden="1" x14ac:dyDescent="0.25">
      <c r="A4790" s="9" t="s">
        <v>2172</v>
      </c>
      <c r="B4790" s="3" t="s">
        <v>2173</v>
      </c>
      <c r="C4790" s="10">
        <v>4</v>
      </c>
      <c r="D4790" s="10">
        <v>1</v>
      </c>
      <c r="E4790" s="10">
        <v>20</v>
      </c>
      <c r="F4790" t="s">
        <v>2179</v>
      </c>
      <c r="G4790" t="s">
        <v>889</v>
      </c>
      <c r="H4790" t="s">
        <v>2093</v>
      </c>
      <c r="I4790" t="s">
        <v>72</v>
      </c>
      <c r="J4790" s="4">
        <v>21.59</v>
      </c>
      <c r="K4790">
        <v>1</v>
      </c>
      <c r="L4790">
        <v>86.57589999999999</v>
      </c>
      <c r="M4790">
        <v>86.57589999999999</v>
      </c>
      <c r="N4790" s="5">
        <v>4.3880334515965531</v>
      </c>
      <c r="O4790" t="s">
        <v>152</v>
      </c>
      <c r="P4790" t="s">
        <v>148</v>
      </c>
      <c r="Q4790" s="10" t="s">
        <v>24</v>
      </c>
      <c r="R4790" t="s">
        <v>2171</v>
      </c>
    </row>
    <row r="4791" spans="1:18" hidden="1" x14ac:dyDescent="0.25">
      <c r="A4791" s="9" t="s">
        <v>2172</v>
      </c>
      <c r="B4791" s="3" t="s">
        <v>2173</v>
      </c>
      <c r="C4791" s="10">
        <v>4</v>
      </c>
      <c r="D4791" s="10">
        <v>1</v>
      </c>
      <c r="E4791" s="10">
        <v>20</v>
      </c>
      <c r="F4791" t="s">
        <v>2180</v>
      </c>
      <c r="G4791" t="s">
        <v>889</v>
      </c>
      <c r="H4791" t="s">
        <v>2093</v>
      </c>
      <c r="I4791" t="s">
        <v>72</v>
      </c>
      <c r="J4791" s="4">
        <v>23.99</v>
      </c>
      <c r="K4791">
        <v>1</v>
      </c>
      <c r="L4791">
        <v>96.199899999999985</v>
      </c>
      <c r="M4791">
        <v>96.199899999999985</v>
      </c>
      <c r="N4791" s="5">
        <v>4.8758185504308154</v>
      </c>
      <c r="O4791" t="s">
        <v>152</v>
      </c>
      <c r="P4791" t="s">
        <v>148</v>
      </c>
      <c r="Q4791" s="10" t="s">
        <v>24</v>
      </c>
      <c r="R4791" t="s">
        <v>2171</v>
      </c>
    </row>
    <row r="4792" spans="1:18" hidden="1" x14ac:dyDescent="0.25">
      <c r="A4792" s="9" t="s">
        <v>2172</v>
      </c>
      <c r="B4792" s="3" t="s">
        <v>2173</v>
      </c>
      <c r="C4792" s="10">
        <v>4</v>
      </c>
      <c r="D4792" s="10">
        <v>1</v>
      </c>
      <c r="E4792" s="10">
        <v>20</v>
      </c>
      <c r="F4792" t="s">
        <v>2181</v>
      </c>
      <c r="G4792" t="s">
        <v>889</v>
      </c>
      <c r="H4792" t="s">
        <v>2093</v>
      </c>
      <c r="I4792" t="s">
        <v>72</v>
      </c>
      <c r="J4792" s="4">
        <v>10.79</v>
      </c>
      <c r="K4792">
        <v>1</v>
      </c>
      <c r="L4792">
        <v>43.267899999999997</v>
      </c>
      <c r="M4792">
        <v>43.267899999999997</v>
      </c>
      <c r="N4792" s="5">
        <v>2.1930005068423717</v>
      </c>
      <c r="O4792" t="s">
        <v>152</v>
      </c>
      <c r="P4792" t="s">
        <v>148</v>
      </c>
      <c r="Q4792" s="10" t="s">
        <v>24</v>
      </c>
      <c r="R4792" t="s">
        <v>2171</v>
      </c>
    </row>
    <row r="4793" spans="1:18" hidden="1" x14ac:dyDescent="0.25">
      <c r="A4793" s="9" t="s">
        <v>2172</v>
      </c>
      <c r="B4793" s="3" t="s">
        <v>2173</v>
      </c>
      <c r="C4793" s="10">
        <v>4</v>
      </c>
      <c r="D4793" s="10">
        <v>1</v>
      </c>
      <c r="E4793" s="10">
        <v>20</v>
      </c>
      <c r="F4793" t="s">
        <v>2184</v>
      </c>
      <c r="G4793" t="s">
        <v>2190</v>
      </c>
      <c r="H4793" t="s">
        <v>2093</v>
      </c>
      <c r="I4793" t="s">
        <v>50</v>
      </c>
      <c r="J4793" s="20">
        <v>1.2380952380952381</v>
      </c>
      <c r="K4793">
        <v>105</v>
      </c>
      <c r="L4793">
        <v>4.9647619047619047</v>
      </c>
      <c r="M4793">
        <v>521.29999999999995</v>
      </c>
      <c r="N4793" s="5">
        <v>26.421692853522551</v>
      </c>
      <c r="O4793" t="s">
        <v>147</v>
      </c>
      <c r="P4793" t="s">
        <v>148</v>
      </c>
      <c r="Q4793" s="10" t="s">
        <v>24</v>
      </c>
      <c r="R4793" t="s">
        <v>2171</v>
      </c>
    </row>
    <row r="4794" spans="1:18" hidden="1" x14ac:dyDescent="0.25">
      <c r="A4794" s="9" t="s">
        <v>2172</v>
      </c>
      <c r="B4794" s="3" t="s">
        <v>2173</v>
      </c>
      <c r="C4794" s="10">
        <v>4</v>
      </c>
      <c r="D4794" s="10">
        <v>1</v>
      </c>
      <c r="E4794" s="10">
        <v>20</v>
      </c>
      <c r="F4794" t="s">
        <v>156</v>
      </c>
      <c r="G4794" t="s">
        <v>155</v>
      </c>
      <c r="H4794" t="s">
        <v>131</v>
      </c>
      <c r="I4794" t="s">
        <v>27</v>
      </c>
      <c r="J4794" s="4">
        <v>25.99</v>
      </c>
      <c r="K4794">
        <v>1</v>
      </c>
      <c r="L4794">
        <v>104.21989999999998</v>
      </c>
      <c r="M4794">
        <v>104.21989999999998</v>
      </c>
      <c r="N4794" s="5">
        <v>5.2823061327927006</v>
      </c>
      <c r="O4794" t="s">
        <v>147</v>
      </c>
      <c r="P4794" t="s">
        <v>148</v>
      </c>
      <c r="Q4794" s="10" t="s">
        <v>24</v>
      </c>
      <c r="R4794" t="s">
        <v>2171</v>
      </c>
    </row>
    <row r="4795" spans="1:18" hidden="1" x14ac:dyDescent="0.25">
      <c r="A4795" s="9" t="s">
        <v>2172</v>
      </c>
      <c r="B4795" s="3" t="s">
        <v>2173</v>
      </c>
      <c r="C4795" s="10">
        <v>4</v>
      </c>
      <c r="D4795" s="10">
        <v>1</v>
      </c>
      <c r="E4795" s="10">
        <v>20</v>
      </c>
      <c r="F4795" t="s">
        <v>40</v>
      </c>
      <c r="G4795" t="s">
        <v>889</v>
      </c>
      <c r="H4795" t="s">
        <v>40</v>
      </c>
      <c r="I4795" t="s">
        <v>27</v>
      </c>
      <c r="J4795" s="4">
        <v>2.99</v>
      </c>
      <c r="K4795">
        <v>1</v>
      </c>
      <c r="L4795">
        <v>11.9899</v>
      </c>
      <c r="M4795">
        <v>11.9899</v>
      </c>
      <c r="N4795" s="5">
        <v>0.60769893563101873</v>
      </c>
      <c r="O4795" t="s">
        <v>147</v>
      </c>
      <c r="P4795" t="s">
        <v>148</v>
      </c>
      <c r="Q4795" s="10" t="s">
        <v>24</v>
      </c>
      <c r="R4795" t="s">
        <v>2171</v>
      </c>
    </row>
    <row r="4796" spans="1:18" hidden="1" x14ac:dyDescent="0.25">
      <c r="A4796" s="9" t="s">
        <v>2172</v>
      </c>
      <c r="B4796" s="3" t="s">
        <v>2173</v>
      </c>
      <c r="C4796" s="10">
        <v>4</v>
      </c>
      <c r="D4796" s="10">
        <v>1</v>
      </c>
      <c r="E4796" s="10">
        <v>20</v>
      </c>
      <c r="F4796" t="s">
        <v>44</v>
      </c>
      <c r="G4796" t="s">
        <v>889</v>
      </c>
      <c r="H4796" t="s">
        <v>44</v>
      </c>
      <c r="I4796" t="s">
        <v>27</v>
      </c>
      <c r="J4796" s="4">
        <v>8.5500000000000007</v>
      </c>
      <c r="K4796">
        <v>2</v>
      </c>
      <c r="L4796">
        <v>34.285499999999999</v>
      </c>
      <c r="M4796">
        <v>68.570999999999998</v>
      </c>
      <c r="N4796" s="5">
        <v>3.4754688291941203</v>
      </c>
      <c r="O4796" t="s">
        <v>147</v>
      </c>
      <c r="P4796" t="s">
        <v>148</v>
      </c>
      <c r="Q4796" s="10" t="s">
        <v>24</v>
      </c>
      <c r="R4796" t="s">
        <v>2171</v>
      </c>
    </row>
    <row r="4797" spans="1:18" hidden="1" x14ac:dyDescent="0.25">
      <c r="A4797" s="9" t="s">
        <v>2172</v>
      </c>
      <c r="B4797" s="3" t="s">
        <v>2173</v>
      </c>
      <c r="C4797" s="10">
        <v>4</v>
      </c>
      <c r="D4797" s="10">
        <v>1</v>
      </c>
      <c r="E4797" s="10">
        <v>20</v>
      </c>
      <c r="F4797" t="s">
        <v>217</v>
      </c>
      <c r="G4797" t="s">
        <v>25</v>
      </c>
      <c r="H4797" t="s">
        <v>26</v>
      </c>
      <c r="I4797" t="s">
        <v>27</v>
      </c>
      <c r="J4797" s="4">
        <v>4.8600000000000003</v>
      </c>
      <c r="K4797">
        <v>2</v>
      </c>
      <c r="L4797">
        <v>19.488600000000002</v>
      </c>
      <c r="M4797">
        <v>38.977200000000003</v>
      </c>
      <c r="N4797" s="5">
        <v>1.9755296502787634</v>
      </c>
      <c r="O4797" t="s">
        <v>147</v>
      </c>
      <c r="P4797" t="s">
        <v>148</v>
      </c>
      <c r="Q4797" s="10" t="s">
        <v>24</v>
      </c>
      <c r="R4797" t="s">
        <v>2171</v>
      </c>
    </row>
    <row r="4798" spans="1:18" hidden="1" x14ac:dyDescent="0.25">
      <c r="A4798" s="9" t="s">
        <v>2172</v>
      </c>
      <c r="B4798" s="3" t="s">
        <v>2173</v>
      </c>
      <c r="C4798" s="10">
        <v>4</v>
      </c>
      <c r="D4798" s="10">
        <v>1</v>
      </c>
      <c r="E4798" s="10">
        <v>20</v>
      </c>
      <c r="F4798" t="s">
        <v>2182</v>
      </c>
      <c r="G4798" t="s">
        <v>2190</v>
      </c>
      <c r="H4798" t="s">
        <v>2093</v>
      </c>
      <c r="I4798" t="s">
        <v>50</v>
      </c>
      <c r="J4798" s="20">
        <v>0.87874999999999992</v>
      </c>
      <c r="K4798">
        <v>80</v>
      </c>
      <c r="L4798">
        <v>3.5237874999999996</v>
      </c>
      <c r="M4798">
        <v>281.90299999999996</v>
      </c>
      <c r="N4798" s="5">
        <v>14.288038520020271</v>
      </c>
      <c r="O4798" t="s">
        <v>147</v>
      </c>
      <c r="P4798" t="s">
        <v>148</v>
      </c>
      <c r="Q4798" s="10" t="s">
        <v>24</v>
      </c>
      <c r="R4798" t="s">
        <v>2171</v>
      </c>
    </row>
    <row r="4799" spans="1:18" hidden="1" x14ac:dyDescent="0.25">
      <c r="A4799" s="9" t="s">
        <v>2172</v>
      </c>
      <c r="B4799" s="3" t="s">
        <v>2173</v>
      </c>
      <c r="C4799" s="10">
        <v>4</v>
      </c>
      <c r="D4799" s="10">
        <v>1</v>
      </c>
      <c r="E4799" s="10">
        <v>20</v>
      </c>
      <c r="F4799" t="s">
        <v>2183</v>
      </c>
      <c r="G4799" t="s">
        <v>2190</v>
      </c>
      <c r="H4799" t="s">
        <v>2093</v>
      </c>
      <c r="I4799" t="s">
        <v>50</v>
      </c>
      <c r="J4799" s="20">
        <v>0.90757575757575759</v>
      </c>
      <c r="K4799">
        <v>66</v>
      </c>
      <c r="L4799">
        <v>3.6393787878787878</v>
      </c>
      <c r="M4799">
        <v>240.19899999999998</v>
      </c>
      <c r="N4799" s="5">
        <v>12.174303091738468</v>
      </c>
      <c r="O4799" t="s">
        <v>147</v>
      </c>
      <c r="P4799" t="s">
        <v>148</v>
      </c>
      <c r="Q4799" s="10" t="s">
        <v>24</v>
      </c>
      <c r="R4799" t="s">
        <v>2171</v>
      </c>
    </row>
    <row r="4800" spans="1:18" hidden="1" x14ac:dyDescent="0.25">
      <c r="A4800" s="9" t="s">
        <v>2172</v>
      </c>
      <c r="B4800" s="3" t="s">
        <v>2173</v>
      </c>
      <c r="C4800" s="10">
        <v>4</v>
      </c>
      <c r="D4800" s="10">
        <v>1</v>
      </c>
      <c r="E4800" s="10">
        <v>20</v>
      </c>
      <c r="F4800" t="s">
        <v>2185</v>
      </c>
      <c r="G4800" t="s">
        <v>328</v>
      </c>
      <c r="H4800" t="s">
        <v>49</v>
      </c>
      <c r="I4800" t="s">
        <v>50</v>
      </c>
      <c r="J4800" s="4">
        <v>22</v>
      </c>
      <c r="K4800">
        <v>1</v>
      </c>
      <c r="L4800">
        <v>88.22</v>
      </c>
      <c r="M4800">
        <v>88.22</v>
      </c>
      <c r="N4800" s="5">
        <v>4.4713634059807399</v>
      </c>
      <c r="O4800" t="s">
        <v>147</v>
      </c>
      <c r="P4800" t="s">
        <v>148</v>
      </c>
      <c r="Q4800" s="10" t="s">
        <v>24</v>
      </c>
      <c r="R4800" t="s">
        <v>2171</v>
      </c>
    </row>
    <row r="4801" spans="1:18" hidden="1" x14ac:dyDescent="0.25">
      <c r="A4801" s="9" t="s">
        <v>2172</v>
      </c>
      <c r="B4801" s="3" t="s">
        <v>2173</v>
      </c>
      <c r="C4801" s="10">
        <v>4</v>
      </c>
      <c r="D4801" s="10">
        <v>1</v>
      </c>
      <c r="E4801" s="10">
        <v>20</v>
      </c>
      <c r="F4801" t="s">
        <v>2186</v>
      </c>
      <c r="G4801" t="s">
        <v>889</v>
      </c>
      <c r="H4801" t="s">
        <v>39</v>
      </c>
      <c r="I4801" t="s">
        <v>50</v>
      </c>
      <c r="J4801" s="4">
        <v>3.99</v>
      </c>
      <c r="K4801">
        <v>1</v>
      </c>
      <c r="L4801">
        <v>15.9999</v>
      </c>
      <c r="M4801">
        <v>15.9999</v>
      </c>
      <c r="N4801" s="5">
        <v>0.81094272681196145</v>
      </c>
      <c r="O4801" t="s">
        <v>147</v>
      </c>
      <c r="P4801" t="s">
        <v>148</v>
      </c>
      <c r="Q4801" s="10" t="s">
        <v>24</v>
      </c>
      <c r="R4801" t="s">
        <v>2171</v>
      </c>
    </row>
    <row r="4802" spans="1:18" hidden="1" x14ac:dyDescent="0.25">
      <c r="A4802" s="9" t="s">
        <v>2172</v>
      </c>
      <c r="B4802" s="3" t="s">
        <v>2173</v>
      </c>
      <c r="C4802" s="10">
        <v>4</v>
      </c>
      <c r="D4802" s="10">
        <v>1</v>
      </c>
      <c r="E4802" s="10">
        <v>20</v>
      </c>
      <c r="F4802" t="s">
        <v>2187</v>
      </c>
      <c r="G4802" t="s">
        <v>320</v>
      </c>
      <c r="H4802" t="s">
        <v>49</v>
      </c>
      <c r="I4802" t="s">
        <v>50</v>
      </c>
      <c r="J4802" s="4">
        <v>14.24</v>
      </c>
      <c r="K4802">
        <v>2</v>
      </c>
      <c r="L4802">
        <v>57.102399999999996</v>
      </c>
      <c r="M4802">
        <v>114.20479999999999</v>
      </c>
      <c r="N4802" s="5">
        <v>5.7883831728332487</v>
      </c>
      <c r="O4802" t="s">
        <v>147</v>
      </c>
      <c r="P4802" t="s">
        <v>148</v>
      </c>
      <c r="Q4802" s="10" t="s">
        <v>24</v>
      </c>
      <c r="R4802" t="s">
        <v>2171</v>
      </c>
    </row>
    <row r="4803" spans="1:18" hidden="1" x14ac:dyDescent="0.25">
      <c r="A4803" s="9" t="s">
        <v>2172</v>
      </c>
      <c r="B4803" s="3" t="s">
        <v>2173</v>
      </c>
      <c r="C4803" s="10">
        <v>4</v>
      </c>
      <c r="D4803" s="10">
        <v>1</v>
      </c>
      <c r="E4803" s="10">
        <v>20</v>
      </c>
      <c r="F4803" t="s">
        <v>2188</v>
      </c>
      <c r="G4803" t="s">
        <v>1502</v>
      </c>
      <c r="H4803" t="s">
        <v>49</v>
      </c>
      <c r="I4803" t="s">
        <v>50</v>
      </c>
      <c r="J4803" s="4">
        <v>8.0500000000000007</v>
      </c>
      <c r="K4803">
        <v>1</v>
      </c>
      <c r="L4803">
        <v>32.280500000000004</v>
      </c>
      <c r="M4803">
        <v>32.280500000000004</v>
      </c>
      <c r="N4803" s="5">
        <v>1.6361125190065891</v>
      </c>
      <c r="O4803" t="s">
        <v>147</v>
      </c>
      <c r="P4803" t="s">
        <v>148</v>
      </c>
      <c r="Q4803" s="10" t="s">
        <v>24</v>
      </c>
      <c r="R4803" t="s">
        <v>2171</v>
      </c>
    </row>
    <row r="4804" spans="1:18" hidden="1" x14ac:dyDescent="0.25">
      <c r="A4804" s="9" t="s">
        <v>2172</v>
      </c>
      <c r="B4804" s="3" t="s">
        <v>2173</v>
      </c>
      <c r="C4804" s="10">
        <v>4</v>
      </c>
      <c r="D4804" s="10">
        <v>1</v>
      </c>
      <c r="E4804" s="10">
        <v>20</v>
      </c>
      <c r="F4804" t="s">
        <v>165</v>
      </c>
      <c r="G4804" t="s">
        <v>304</v>
      </c>
      <c r="H4804" t="s">
        <v>1593</v>
      </c>
      <c r="I4804" t="s">
        <v>79</v>
      </c>
      <c r="J4804" s="4">
        <v>31.41</v>
      </c>
      <c r="K4804">
        <v>1</v>
      </c>
      <c r="L4804">
        <v>125.9541</v>
      </c>
      <c r="M4804">
        <v>125.9541</v>
      </c>
      <c r="N4804" s="5">
        <v>6.383887480993411</v>
      </c>
      <c r="O4804" t="s">
        <v>147</v>
      </c>
      <c r="P4804" t="s">
        <v>148</v>
      </c>
      <c r="Q4804" s="10" t="s">
        <v>24</v>
      </c>
      <c r="R4804" t="s">
        <v>2171</v>
      </c>
    </row>
    <row r="4805" spans="1:18" hidden="1" x14ac:dyDescent="0.25">
      <c r="A4805" s="9" t="s">
        <v>2172</v>
      </c>
      <c r="B4805" s="3" t="s">
        <v>2173</v>
      </c>
      <c r="C4805" s="10">
        <v>4</v>
      </c>
      <c r="D4805" s="10">
        <v>1</v>
      </c>
      <c r="E4805" s="10">
        <v>20</v>
      </c>
      <c r="F4805" t="s">
        <v>415</v>
      </c>
      <c r="G4805" t="s">
        <v>889</v>
      </c>
      <c r="H4805" t="s">
        <v>49</v>
      </c>
      <c r="I4805" t="s">
        <v>50</v>
      </c>
      <c r="J4805" s="4">
        <v>10.5</v>
      </c>
      <c r="K4805">
        <v>1</v>
      </c>
      <c r="L4805">
        <v>42.104999999999997</v>
      </c>
      <c r="M4805">
        <v>42.104999999999997</v>
      </c>
      <c r="N4805" s="5">
        <v>2.1340598073998986</v>
      </c>
      <c r="O4805" t="s">
        <v>147</v>
      </c>
      <c r="P4805" t="s">
        <v>148</v>
      </c>
      <c r="Q4805" s="10" t="s">
        <v>24</v>
      </c>
      <c r="R4805" t="s">
        <v>2171</v>
      </c>
    </row>
    <row r="4806" spans="1:18" hidden="1" x14ac:dyDescent="0.25">
      <c r="A4806" s="9" t="s">
        <v>2172</v>
      </c>
      <c r="B4806" s="3" t="s">
        <v>2173</v>
      </c>
      <c r="C4806" s="10">
        <v>4</v>
      </c>
      <c r="D4806" s="10">
        <v>1</v>
      </c>
      <c r="E4806" s="10">
        <v>20</v>
      </c>
      <c r="F4806" t="s">
        <v>2189</v>
      </c>
      <c r="G4806" t="s">
        <v>1502</v>
      </c>
      <c r="H4806" t="s">
        <v>2093</v>
      </c>
      <c r="I4806" t="s">
        <v>50</v>
      </c>
      <c r="J4806" s="4">
        <v>37.450000000000003</v>
      </c>
      <c r="K4806">
        <v>1</v>
      </c>
      <c r="L4806">
        <v>150.17449999999999</v>
      </c>
      <c r="M4806">
        <v>150.17449999999999</v>
      </c>
      <c r="N4806" s="5">
        <v>7.6114799797263046</v>
      </c>
      <c r="O4806" t="s">
        <v>147</v>
      </c>
      <c r="P4806" t="s">
        <v>148</v>
      </c>
      <c r="Q4806" s="10" t="s">
        <v>24</v>
      </c>
      <c r="R4806" t="s">
        <v>2171</v>
      </c>
    </row>
    <row r="4807" spans="1:18" hidden="1" x14ac:dyDescent="0.25">
      <c r="A4807" s="9" t="s">
        <v>2172</v>
      </c>
      <c r="B4807" s="3" t="s">
        <v>2173</v>
      </c>
      <c r="C4807" s="10">
        <v>4</v>
      </c>
      <c r="D4807" s="10">
        <v>1</v>
      </c>
      <c r="E4807" s="10">
        <v>20</v>
      </c>
      <c r="F4807" t="s">
        <v>1949</v>
      </c>
      <c r="G4807" t="s">
        <v>889</v>
      </c>
      <c r="H4807" t="s">
        <v>49</v>
      </c>
      <c r="I4807" t="s">
        <v>79</v>
      </c>
      <c r="J4807" s="4">
        <v>15.9</v>
      </c>
      <c r="K4807">
        <v>1</v>
      </c>
      <c r="L4807">
        <v>63.759</v>
      </c>
      <c r="M4807">
        <v>63.759</v>
      </c>
      <c r="N4807" s="5">
        <v>3.2315762797769891</v>
      </c>
      <c r="O4807" t="s">
        <v>147</v>
      </c>
      <c r="P4807" t="s">
        <v>148</v>
      </c>
      <c r="Q4807" s="10" t="s">
        <v>24</v>
      </c>
      <c r="R4807" t="s">
        <v>2171</v>
      </c>
    </row>
    <row r="4808" spans="1:18" hidden="1" x14ac:dyDescent="0.25">
      <c r="A4808" s="9" t="s">
        <v>2172</v>
      </c>
      <c r="B4808" s="3" t="s">
        <v>2173</v>
      </c>
      <c r="C4808" s="10">
        <v>4</v>
      </c>
      <c r="D4808" s="10">
        <v>1</v>
      </c>
      <c r="E4808" s="10">
        <v>20</v>
      </c>
      <c r="F4808" t="s">
        <v>2191</v>
      </c>
      <c r="G4808" t="s">
        <v>889</v>
      </c>
      <c r="H4808" t="s">
        <v>889</v>
      </c>
      <c r="I4808" t="s">
        <v>96</v>
      </c>
      <c r="J4808" s="4">
        <v>1599</v>
      </c>
      <c r="K4808">
        <v>1</v>
      </c>
      <c r="L4808">
        <v>6411.99</v>
      </c>
      <c r="M4808">
        <v>6411.99</v>
      </c>
      <c r="N4808" s="5">
        <v>324.98682209832742</v>
      </c>
      <c r="O4808" t="s">
        <v>2192</v>
      </c>
      <c r="P4808" t="s">
        <v>148</v>
      </c>
      <c r="Q4808" s="10" t="s">
        <v>24</v>
      </c>
      <c r="R4808" t="s">
        <v>2171</v>
      </c>
    </row>
    <row r="4809" spans="1:18" hidden="1" x14ac:dyDescent="0.25">
      <c r="A4809" s="9" t="s">
        <v>2172</v>
      </c>
      <c r="B4809" s="3" t="s">
        <v>2173</v>
      </c>
      <c r="C4809" s="10">
        <v>4</v>
      </c>
      <c r="D4809" s="10">
        <v>1</v>
      </c>
      <c r="E4809" s="10">
        <v>20</v>
      </c>
      <c r="F4809" t="s">
        <v>2194</v>
      </c>
      <c r="G4809" t="s">
        <v>889</v>
      </c>
      <c r="H4809" t="s">
        <v>39</v>
      </c>
      <c r="I4809" t="s">
        <v>72</v>
      </c>
      <c r="J4809" s="4">
        <v>36</v>
      </c>
      <c r="K4809">
        <v>1</v>
      </c>
      <c r="L4809">
        <v>144.35999999999999</v>
      </c>
      <c r="M4809">
        <v>144.35999999999999</v>
      </c>
      <c r="N4809" s="5">
        <v>7.3167764825139372</v>
      </c>
      <c r="O4809" t="s">
        <v>2196</v>
      </c>
      <c r="P4809" t="s">
        <v>148</v>
      </c>
      <c r="Q4809" s="10" t="s">
        <v>24</v>
      </c>
      <c r="R4809" t="s">
        <v>2171</v>
      </c>
    </row>
    <row r="4810" spans="1:18" hidden="1" x14ac:dyDescent="0.25">
      <c r="A4810" s="9" t="s">
        <v>2172</v>
      </c>
      <c r="B4810" s="3" t="s">
        <v>2173</v>
      </c>
      <c r="C4810" s="10">
        <v>4</v>
      </c>
      <c r="D4810" s="10">
        <v>1</v>
      </c>
      <c r="E4810" s="10">
        <v>20</v>
      </c>
      <c r="F4810" t="s">
        <v>2195</v>
      </c>
      <c r="G4810" t="s">
        <v>889</v>
      </c>
      <c r="H4810" t="s">
        <v>39</v>
      </c>
      <c r="I4810" t="s">
        <v>72</v>
      </c>
      <c r="J4810" s="4">
        <v>11.5</v>
      </c>
      <c r="K4810">
        <v>1</v>
      </c>
      <c r="L4810">
        <v>46.114999999999995</v>
      </c>
      <c r="M4810">
        <v>46.114999999999995</v>
      </c>
      <c r="N4810" s="5">
        <v>2.3373035985808412</v>
      </c>
      <c r="O4810" t="s">
        <v>2196</v>
      </c>
      <c r="P4810" t="s">
        <v>340</v>
      </c>
      <c r="Q4810" s="10" t="s">
        <v>24</v>
      </c>
      <c r="R4810" t="s">
        <v>2171</v>
      </c>
    </row>
    <row r="4811" spans="1:18" hidden="1" x14ac:dyDescent="0.25">
      <c r="A4811" s="9" t="s">
        <v>2172</v>
      </c>
      <c r="B4811" s="3" t="s">
        <v>2173</v>
      </c>
      <c r="C4811" s="10">
        <v>4</v>
      </c>
      <c r="D4811" s="10">
        <v>1</v>
      </c>
      <c r="E4811" s="10">
        <v>20</v>
      </c>
      <c r="F4811" t="s">
        <v>2197</v>
      </c>
      <c r="G4811" t="s">
        <v>889</v>
      </c>
      <c r="H4811" t="s">
        <v>39</v>
      </c>
      <c r="I4811" t="s">
        <v>79</v>
      </c>
      <c r="J4811" s="4">
        <v>690</v>
      </c>
      <c r="K4811">
        <v>1</v>
      </c>
      <c r="L4811">
        <v>690</v>
      </c>
      <c r="M4811">
        <v>690</v>
      </c>
      <c r="N4811" s="5">
        <v>34.972123669538774</v>
      </c>
      <c r="O4811" t="s">
        <v>39</v>
      </c>
      <c r="P4811" t="s">
        <v>340</v>
      </c>
      <c r="Q4811" s="10" t="s">
        <v>24</v>
      </c>
      <c r="R4811" t="s">
        <v>2171</v>
      </c>
    </row>
    <row r="4812" spans="1:18" hidden="1" x14ac:dyDescent="0.25">
      <c r="A4812" s="9" t="s">
        <v>2172</v>
      </c>
      <c r="B4812" s="3" t="s">
        <v>2173</v>
      </c>
      <c r="C4812" s="10">
        <v>4</v>
      </c>
      <c r="D4812" s="10">
        <v>1</v>
      </c>
      <c r="E4812" s="10">
        <v>20</v>
      </c>
      <c r="F4812" t="s">
        <v>2198</v>
      </c>
      <c r="G4812" t="s">
        <v>889</v>
      </c>
      <c r="H4812" t="s">
        <v>39</v>
      </c>
      <c r="I4812" t="s">
        <v>79</v>
      </c>
      <c r="J4812" s="4">
        <v>0</v>
      </c>
      <c r="K4812">
        <v>1</v>
      </c>
      <c r="L4812">
        <v>0</v>
      </c>
      <c r="M4812">
        <v>0</v>
      </c>
      <c r="N4812" s="5">
        <v>0</v>
      </c>
      <c r="O4812" t="s">
        <v>39</v>
      </c>
      <c r="P4812" t="s">
        <v>340</v>
      </c>
      <c r="Q4812" s="10" t="s">
        <v>24</v>
      </c>
      <c r="R4812" t="s">
        <v>2171</v>
      </c>
    </row>
    <row r="4813" spans="1:18" hidden="1" x14ac:dyDescent="0.25">
      <c r="A4813" s="9" t="s">
        <v>2172</v>
      </c>
      <c r="B4813" s="3" t="s">
        <v>2173</v>
      </c>
      <c r="C4813" s="10">
        <v>4</v>
      </c>
      <c r="D4813" s="10">
        <v>1</v>
      </c>
      <c r="E4813" s="10">
        <v>20</v>
      </c>
      <c r="F4813" t="s">
        <v>86</v>
      </c>
      <c r="G4813" t="s">
        <v>889</v>
      </c>
      <c r="H4813" t="s">
        <v>102</v>
      </c>
      <c r="I4813" t="s">
        <v>27</v>
      </c>
      <c r="J4813" s="4">
        <v>19</v>
      </c>
      <c r="K4813">
        <v>1</v>
      </c>
      <c r="L4813">
        <v>19</v>
      </c>
      <c r="M4813">
        <v>19</v>
      </c>
      <c r="N4813" s="5">
        <v>0.96300050684237204</v>
      </c>
      <c r="O4813" t="s">
        <v>1790</v>
      </c>
      <c r="P4813" t="s">
        <v>340</v>
      </c>
      <c r="Q4813" s="10" t="s">
        <v>24</v>
      </c>
      <c r="R4813" t="s">
        <v>2171</v>
      </c>
    </row>
    <row r="4814" spans="1:18" hidden="1" x14ac:dyDescent="0.25">
      <c r="A4814" s="9" t="s">
        <v>2172</v>
      </c>
      <c r="B4814" s="3" t="s">
        <v>2173</v>
      </c>
      <c r="C4814" s="10">
        <v>4</v>
      </c>
      <c r="D4814" s="10">
        <v>1</v>
      </c>
      <c r="E4814" s="10">
        <v>20</v>
      </c>
      <c r="F4814" t="s">
        <v>78</v>
      </c>
      <c r="G4814" t="s">
        <v>304</v>
      </c>
      <c r="H4814" t="s">
        <v>78</v>
      </c>
      <c r="I4814" t="s">
        <v>79</v>
      </c>
      <c r="J4814" s="4">
        <v>18.04</v>
      </c>
      <c r="K4814">
        <v>22.73</v>
      </c>
      <c r="L4814">
        <v>18.04</v>
      </c>
      <c r="M4814">
        <v>410.04919999999998</v>
      </c>
      <c r="N4814" s="5">
        <v>20.783030917384693</v>
      </c>
      <c r="O4814" t="s">
        <v>1790</v>
      </c>
      <c r="P4814" t="s">
        <v>340</v>
      </c>
      <c r="Q4814" s="10" t="s">
        <v>24</v>
      </c>
      <c r="R4814" t="s">
        <v>2171</v>
      </c>
    </row>
    <row r="4815" spans="1:18" hidden="1" x14ac:dyDescent="0.25">
      <c r="A4815" s="9" t="s">
        <v>2172</v>
      </c>
      <c r="B4815" s="3" t="s">
        <v>2173</v>
      </c>
      <c r="C4815" s="10">
        <v>4</v>
      </c>
      <c r="D4815" s="10">
        <v>1</v>
      </c>
      <c r="E4815" s="10">
        <v>20</v>
      </c>
      <c r="F4815" t="s">
        <v>146</v>
      </c>
      <c r="G4815" t="s">
        <v>889</v>
      </c>
      <c r="H4815" t="s">
        <v>49</v>
      </c>
      <c r="I4815" t="s">
        <v>50</v>
      </c>
      <c r="J4815" s="4">
        <v>0.01</v>
      </c>
      <c r="K4815">
        <v>1</v>
      </c>
      <c r="L4815">
        <v>0.1973</v>
      </c>
      <c r="M4815">
        <v>0.1973</v>
      </c>
      <c r="N4815" s="5">
        <v>0.01</v>
      </c>
      <c r="O4815" t="s">
        <v>306</v>
      </c>
      <c r="P4815" t="s">
        <v>340</v>
      </c>
      <c r="Q4815" s="10" t="s">
        <v>24</v>
      </c>
      <c r="R4815" t="s">
        <v>2171</v>
      </c>
    </row>
    <row r="4816" spans="1:18" hidden="1" x14ac:dyDescent="0.25">
      <c r="A4816" s="9" t="s">
        <v>2172</v>
      </c>
      <c r="B4816" s="3" t="s">
        <v>2173</v>
      </c>
      <c r="C4816" s="10">
        <v>4</v>
      </c>
      <c r="D4816" s="10">
        <v>1</v>
      </c>
      <c r="E4816" s="10">
        <v>20</v>
      </c>
      <c r="F4816" t="s">
        <v>2201</v>
      </c>
      <c r="G4816" t="s">
        <v>889</v>
      </c>
      <c r="H4816" t="s">
        <v>59</v>
      </c>
      <c r="I4816" t="s">
        <v>27</v>
      </c>
      <c r="J4816" s="4">
        <v>19.399999999999999</v>
      </c>
      <c r="K4816">
        <v>1</v>
      </c>
      <c r="L4816">
        <v>382.762</v>
      </c>
      <c r="M4816">
        <v>382.762</v>
      </c>
      <c r="N4816" s="5">
        <v>19.399999999999999</v>
      </c>
      <c r="O4816" t="s">
        <v>306</v>
      </c>
      <c r="P4816" t="s">
        <v>340</v>
      </c>
      <c r="Q4816" s="10" t="s">
        <v>24</v>
      </c>
      <c r="R4816" t="s">
        <v>2171</v>
      </c>
    </row>
    <row r="4817" spans="1:18" hidden="1" x14ac:dyDescent="0.25">
      <c r="A4817" s="9" t="s">
        <v>2172</v>
      </c>
      <c r="B4817" s="3" t="s">
        <v>2173</v>
      </c>
      <c r="C4817" s="10">
        <v>4</v>
      </c>
      <c r="D4817" s="10">
        <v>1</v>
      </c>
      <c r="E4817" s="10">
        <v>20</v>
      </c>
      <c r="F4817" t="s">
        <v>155</v>
      </c>
      <c r="G4817" t="s">
        <v>155</v>
      </c>
      <c r="H4817" t="s">
        <v>131</v>
      </c>
      <c r="I4817" t="s">
        <v>27</v>
      </c>
      <c r="J4817" s="4">
        <v>4.9000000000000004</v>
      </c>
      <c r="K4817">
        <v>1</v>
      </c>
      <c r="L4817">
        <v>96.677000000000007</v>
      </c>
      <c r="M4817">
        <v>96.677000000000007</v>
      </c>
      <c r="N4817" s="5">
        <v>4.9000000000000004</v>
      </c>
      <c r="O4817" t="s">
        <v>306</v>
      </c>
      <c r="P4817" t="s">
        <v>340</v>
      </c>
      <c r="Q4817" s="10" t="s">
        <v>24</v>
      </c>
      <c r="R4817" t="s">
        <v>2171</v>
      </c>
    </row>
    <row r="4818" spans="1:18" hidden="1" x14ac:dyDescent="0.25">
      <c r="A4818" s="9" t="s">
        <v>2172</v>
      </c>
      <c r="B4818" s="3" t="s">
        <v>2173</v>
      </c>
      <c r="C4818" s="10">
        <v>4</v>
      </c>
      <c r="D4818" s="10">
        <v>1</v>
      </c>
      <c r="E4818" s="10">
        <v>20</v>
      </c>
      <c r="F4818" t="s">
        <v>155</v>
      </c>
      <c r="G4818" t="s">
        <v>155</v>
      </c>
      <c r="H4818" t="s">
        <v>131</v>
      </c>
      <c r="I4818" t="s">
        <v>27</v>
      </c>
      <c r="J4818" s="4">
        <v>3.5</v>
      </c>
      <c r="K4818">
        <v>1</v>
      </c>
      <c r="L4818">
        <v>69.055000000000007</v>
      </c>
      <c r="M4818">
        <v>69.055000000000007</v>
      </c>
      <c r="N4818" s="5">
        <v>3.5000000000000004</v>
      </c>
      <c r="O4818" t="s">
        <v>306</v>
      </c>
      <c r="P4818" t="s">
        <v>340</v>
      </c>
      <c r="Q4818" s="10" t="s">
        <v>24</v>
      </c>
      <c r="R4818" t="s">
        <v>2171</v>
      </c>
    </row>
    <row r="4819" spans="1:18" hidden="1" x14ac:dyDescent="0.25">
      <c r="A4819" s="9" t="s">
        <v>2172</v>
      </c>
      <c r="B4819" s="3" t="s">
        <v>2173</v>
      </c>
      <c r="C4819" s="10">
        <v>4</v>
      </c>
      <c r="D4819" s="10">
        <v>1</v>
      </c>
      <c r="E4819" s="10">
        <v>20</v>
      </c>
      <c r="F4819" t="s">
        <v>155</v>
      </c>
      <c r="G4819" t="s">
        <v>155</v>
      </c>
      <c r="H4819" t="s">
        <v>131</v>
      </c>
      <c r="I4819" t="s">
        <v>27</v>
      </c>
      <c r="J4819" s="4">
        <v>3.5</v>
      </c>
      <c r="K4819">
        <v>1</v>
      </c>
      <c r="L4819">
        <v>69.055000000000007</v>
      </c>
      <c r="M4819">
        <v>69.055000000000007</v>
      </c>
      <c r="N4819" s="5">
        <v>3.5000000000000004</v>
      </c>
      <c r="O4819" t="s">
        <v>306</v>
      </c>
      <c r="P4819" t="s">
        <v>340</v>
      </c>
      <c r="Q4819" s="10" t="s">
        <v>24</v>
      </c>
      <c r="R4819" t="s">
        <v>2171</v>
      </c>
    </row>
    <row r="4820" spans="1:18" hidden="1" x14ac:dyDescent="0.25">
      <c r="A4820" s="9" t="s">
        <v>2172</v>
      </c>
      <c r="B4820" s="3" t="s">
        <v>2173</v>
      </c>
      <c r="C4820" s="10">
        <v>4</v>
      </c>
      <c r="D4820" s="10">
        <v>1</v>
      </c>
      <c r="E4820" s="10">
        <v>20</v>
      </c>
      <c r="F4820" t="s">
        <v>1680</v>
      </c>
      <c r="G4820" t="s">
        <v>889</v>
      </c>
      <c r="H4820" t="s">
        <v>40</v>
      </c>
      <c r="I4820" t="s">
        <v>27</v>
      </c>
      <c r="J4820" s="4">
        <v>4.26</v>
      </c>
      <c r="K4820">
        <v>1</v>
      </c>
      <c r="L4820">
        <v>4.26</v>
      </c>
      <c r="M4820">
        <v>4.26</v>
      </c>
      <c r="N4820" s="5">
        <v>0.21591485048150025</v>
      </c>
      <c r="O4820" t="s">
        <v>181</v>
      </c>
      <c r="P4820" t="s">
        <v>340</v>
      </c>
      <c r="Q4820" s="10" t="s">
        <v>24</v>
      </c>
      <c r="R4820">
        <v>0</v>
      </c>
    </row>
    <row r="4821" spans="1:18" hidden="1" x14ac:dyDescent="0.25">
      <c r="A4821" s="9" t="s">
        <v>2172</v>
      </c>
      <c r="B4821" s="3" t="s">
        <v>2173</v>
      </c>
      <c r="C4821" s="10">
        <v>4</v>
      </c>
      <c r="D4821" s="10">
        <v>1</v>
      </c>
      <c r="E4821" s="10">
        <v>20</v>
      </c>
      <c r="F4821" t="s">
        <v>146</v>
      </c>
      <c r="G4821" t="s">
        <v>889</v>
      </c>
      <c r="H4821" t="s">
        <v>49</v>
      </c>
      <c r="I4821" t="s">
        <v>50</v>
      </c>
      <c r="J4821" s="4">
        <v>1</v>
      </c>
      <c r="K4821">
        <v>1</v>
      </c>
      <c r="L4821">
        <v>1</v>
      </c>
      <c r="M4821">
        <v>1</v>
      </c>
      <c r="N4821" s="5">
        <v>5.0684237202230108E-2</v>
      </c>
      <c r="O4821" t="s">
        <v>181</v>
      </c>
      <c r="P4821" t="s">
        <v>340</v>
      </c>
      <c r="Q4821" s="10" t="s">
        <v>24</v>
      </c>
      <c r="R4821">
        <v>0</v>
      </c>
    </row>
    <row r="4822" spans="1:18" hidden="1" x14ac:dyDescent="0.25">
      <c r="A4822" s="9" t="s">
        <v>2172</v>
      </c>
      <c r="B4822" s="3" t="s">
        <v>2173</v>
      </c>
      <c r="C4822" s="10">
        <v>4</v>
      </c>
      <c r="D4822" s="10">
        <v>1</v>
      </c>
      <c r="E4822" s="10">
        <v>20</v>
      </c>
      <c r="F4822" t="s">
        <v>1465</v>
      </c>
      <c r="G4822" t="s">
        <v>889</v>
      </c>
      <c r="H4822" t="s">
        <v>131</v>
      </c>
      <c r="I4822" t="s">
        <v>27</v>
      </c>
      <c r="J4822" s="4">
        <v>6.63</v>
      </c>
      <c r="K4822">
        <v>4</v>
      </c>
      <c r="L4822">
        <v>6.63</v>
      </c>
      <c r="M4822">
        <v>26.52</v>
      </c>
      <c r="N4822" s="5">
        <v>1.3441459706031424</v>
      </c>
      <c r="O4822" t="s">
        <v>181</v>
      </c>
      <c r="P4822" t="s">
        <v>340</v>
      </c>
      <c r="Q4822" s="10" t="s">
        <v>24</v>
      </c>
      <c r="R4822">
        <v>0</v>
      </c>
    </row>
    <row r="4823" spans="1:18" hidden="1" x14ac:dyDescent="0.25">
      <c r="A4823" s="9" t="s">
        <v>2172</v>
      </c>
      <c r="B4823" s="3" t="s">
        <v>2173</v>
      </c>
      <c r="C4823" s="10">
        <v>4</v>
      </c>
      <c r="D4823" s="10">
        <v>1</v>
      </c>
      <c r="E4823" s="10">
        <v>20</v>
      </c>
      <c r="F4823" t="s">
        <v>1721</v>
      </c>
      <c r="G4823" t="s">
        <v>889</v>
      </c>
      <c r="H4823" t="s">
        <v>39</v>
      </c>
      <c r="I4823" t="s">
        <v>27</v>
      </c>
      <c r="J4823" s="4">
        <v>63.4</v>
      </c>
      <c r="K4823">
        <v>0.2</v>
      </c>
      <c r="L4823">
        <v>63.4</v>
      </c>
      <c r="M4823">
        <v>12.68</v>
      </c>
      <c r="N4823" s="5">
        <v>0.64267612772427773</v>
      </c>
      <c r="O4823" t="s">
        <v>181</v>
      </c>
      <c r="P4823" t="s">
        <v>340</v>
      </c>
      <c r="Q4823" s="10" t="s">
        <v>24</v>
      </c>
      <c r="R4823">
        <v>0</v>
      </c>
    </row>
    <row r="4824" spans="1:18" hidden="1" x14ac:dyDescent="0.25">
      <c r="A4824" s="9" t="s">
        <v>2172</v>
      </c>
      <c r="B4824" s="3" t="s">
        <v>2173</v>
      </c>
      <c r="C4824" s="10">
        <v>4</v>
      </c>
      <c r="D4824" s="10">
        <v>1</v>
      </c>
      <c r="E4824" s="10">
        <v>20</v>
      </c>
      <c r="F4824" t="s">
        <v>770</v>
      </c>
      <c r="G4824" t="s">
        <v>31</v>
      </c>
      <c r="H4824" t="s">
        <v>26</v>
      </c>
      <c r="I4824" t="s">
        <v>27</v>
      </c>
      <c r="J4824" s="4">
        <v>7.62</v>
      </c>
      <c r="K4824">
        <v>1</v>
      </c>
      <c r="L4824">
        <v>7.62</v>
      </c>
      <c r="M4824">
        <v>7.62</v>
      </c>
      <c r="N4824" s="5">
        <v>0.38621388748099339</v>
      </c>
      <c r="O4824" t="s">
        <v>181</v>
      </c>
      <c r="P4824" t="s">
        <v>340</v>
      </c>
      <c r="Q4824" s="10" t="s">
        <v>24</v>
      </c>
      <c r="R4824">
        <v>0</v>
      </c>
    </row>
    <row r="4825" spans="1:18" hidden="1" x14ac:dyDescent="0.25">
      <c r="A4825" s="9" t="s">
        <v>2172</v>
      </c>
      <c r="B4825" s="3" t="s">
        <v>2173</v>
      </c>
      <c r="C4825" s="10">
        <v>4</v>
      </c>
      <c r="D4825" s="10">
        <v>1</v>
      </c>
      <c r="E4825" s="10">
        <v>20</v>
      </c>
      <c r="F4825" t="s">
        <v>2242</v>
      </c>
      <c r="G4825" t="s">
        <v>345</v>
      </c>
      <c r="H4825" t="s">
        <v>26</v>
      </c>
      <c r="I4825" t="s">
        <v>27</v>
      </c>
      <c r="J4825" s="4">
        <v>6.53</v>
      </c>
      <c r="K4825">
        <v>1</v>
      </c>
      <c r="L4825">
        <v>6.53</v>
      </c>
      <c r="M4825">
        <v>6.53</v>
      </c>
      <c r="N4825" s="5">
        <v>0.33096806893056258</v>
      </c>
      <c r="O4825" t="s">
        <v>181</v>
      </c>
      <c r="P4825" t="s">
        <v>340</v>
      </c>
      <c r="Q4825" s="10" t="s">
        <v>24</v>
      </c>
      <c r="R4825">
        <v>0</v>
      </c>
    </row>
    <row r="4826" spans="1:18" hidden="1" x14ac:dyDescent="0.25">
      <c r="A4826" s="9" t="s">
        <v>2172</v>
      </c>
      <c r="B4826" s="3" t="s">
        <v>2173</v>
      </c>
      <c r="C4826" s="10">
        <v>4</v>
      </c>
      <c r="D4826" s="10">
        <v>1</v>
      </c>
      <c r="E4826" s="10">
        <v>20</v>
      </c>
      <c r="F4826" t="s">
        <v>2222</v>
      </c>
      <c r="G4826" t="s">
        <v>889</v>
      </c>
      <c r="H4826" t="s">
        <v>1748</v>
      </c>
      <c r="I4826" t="s">
        <v>50</v>
      </c>
      <c r="J4826" s="4">
        <v>26.9</v>
      </c>
      <c r="K4826">
        <v>1</v>
      </c>
      <c r="L4826">
        <v>26.9</v>
      </c>
      <c r="M4826">
        <v>26.9</v>
      </c>
      <c r="N4826" s="5">
        <v>1.3634059807399899</v>
      </c>
      <c r="O4826" t="s">
        <v>2221</v>
      </c>
      <c r="P4826" t="s">
        <v>340</v>
      </c>
      <c r="Q4826" s="10" t="s">
        <v>24</v>
      </c>
      <c r="R4826">
        <v>0</v>
      </c>
    </row>
    <row r="4827" spans="1:18" hidden="1" x14ac:dyDescent="0.25">
      <c r="A4827" s="9" t="s">
        <v>2172</v>
      </c>
      <c r="B4827" s="3" t="s">
        <v>2173</v>
      </c>
      <c r="C4827" s="10">
        <v>4</v>
      </c>
      <c r="D4827" s="10">
        <v>1</v>
      </c>
      <c r="E4827" s="10">
        <v>20</v>
      </c>
      <c r="F4827" t="s">
        <v>2223</v>
      </c>
      <c r="G4827" t="s">
        <v>889</v>
      </c>
      <c r="H4827" t="s">
        <v>1748</v>
      </c>
      <c r="I4827" t="s">
        <v>50</v>
      </c>
      <c r="J4827" s="4">
        <v>16.5</v>
      </c>
      <c r="K4827">
        <v>1</v>
      </c>
      <c r="L4827">
        <v>16.5</v>
      </c>
      <c r="M4827">
        <v>16.5</v>
      </c>
      <c r="N4827" s="5">
        <v>0.83628991383679674</v>
      </c>
      <c r="O4827" t="s">
        <v>2221</v>
      </c>
      <c r="P4827" t="s">
        <v>340</v>
      </c>
      <c r="Q4827" s="10" t="s">
        <v>24</v>
      </c>
      <c r="R4827">
        <v>0</v>
      </c>
    </row>
    <row r="4828" spans="1:18" hidden="1" x14ac:dyDescent="0.25">
      <c r="A4828" s="9" t="s">
        <v>2172</v>
      </c>
      <c r="B4828" s="3" t="s">
        <v>2173</v>
      </c>
      <c r="C4828" s="10">
        <v>4</v>
      </c>
      <c r="D4828" s="10">
        <v>1</v>
      </c>
      <c r="E4828" s="10">
        <v>20</v>
      </c>
      <c r="F4828" t="s">
        <v>2228</v>
      </c>
      <c r="G4828" t="s">
        <v>889</v>
      </c>
      <c r="H4828" t="s">
        <v>39</v>
      </c>
      <c r="I4828" t="s">
        <v>72</v>
      </c>
      <c r="J4828" s="4">
        <v>168</v>
      </c>
      <c r="K4828">
        <v>1</v>
      </c>
      <c r="L4828">
        <v>168</v>
      </c>
      <c r="M4828">
        <v>168</v>
      </c>
      <c r="N4828" s="5">
        <v>8.5149518499746577</v>
      </c>
      <c r="O4828" t="s">
        <v>233</v>
      </c>
      <c r="P4828" t="s">
        <v>340</v>
      </c>
      <c r="Q4828" s="10" t="s">
        <v>24</v>
      </c>
      <c r="R4828">
        <v>0</v>
      </c>
    </row>
    <row r="4829" spans="1:18" hidden="1" x14ac:dyDescent="0.25">
      <c r="A4829" s="9" t="s">
        <v>2172</v>
      </c>
      <c r="B4829" s="3" t="s">
        <v>2193</v>
      </c>
      <c r="C4829" s="10">
        <v>5</v>
      </c>
      <c r="D4829" s="10">
        <v>1</v>
      </c>
      <c r="E4829" s="10">
        <v>20</v>
      </c>
      <c r="F4829" t="s">
        <v>2209</v>
      </c>
      <c r="G4829" t="s">
        <v>889</v>
      </c>
      <c r="H4829" t="s">
        <v>889</v>
      </c>
      <c r="I4829" t="s">
        <v>96</v>
      </c>
      <c r="J4829" s="4">
        <v>600</v>
      </c>
      <c r="K4829">
        <v>1</v>
      </c>
      <c r="L4829">
        <v>600</v>
      </c>
      <c r="M4829">
        <v>600</v>
      </c>
      <c r="N4829" s="5">
        <v>30.410542321338063</v>
      </c>
      <c r="O4829" t="s">
        <v>39</v>
      </c>
      <c r="P4829" t="s">
        <v>340</v>
      </c>
      <c r="Q4829" s="10" t="s">
        <v>24</v>
      </c>
      <c r="R4829" t="s">
        <v>2171</v>
      </c>
    </row>
    <row r="4830" spans="1:18" hidden="1" x14ac:dyDescent="0.25">
      <c r="A4830" s="9" t="s">
        <v>2172</v>
      </c>
      <c r="B4830" s="3" t="s">
        <v>2193</v>
      </c>
      <c r="C4830" s="10">
        <v>5</v>
      </c>
      <c r="D4830" s="10">
        <v>1</v>
      </c>
      <c r="E4830" s="10">
        <v>20</v>
      </c>
      <c r="F4830" t="s">
        <v>2213</v>
      </c>
      <c r="G4830" t="s">
        <v>889</v>
      </c>
      <c r="H4830" t="s">
        <v>2093</v>
      </c>
      <c r="I4830" t="s">
        <v>50</v>
      </c>
      <c r="J4830" s="4">
        <v>550</v>
      </c>
      <c r="K4830">
        <v>1</v>
      </c>
      <c r="L4830">
        <v>550</v>
      </c>
      <c r="M4830">
        <v>550</v>
      </c>
      <c r="N4830" s="5">
        <v>27.876330461226559</v>
      </c>
      <c r="O4830" t="s">
        <v>2215</v>
      </c>
      <c r="P4830" t="s">
        <v>340</v>
      </c>
      <c r="Q4830" s="10" t="s">
        <v>24</v>
      </c>
      <c r="R4830">
        <v>0</v>
      </c>
    </row>
    <row r="4831" spans="1:18" hidden="1" x14ac:dyDescent="0.25">
      <c r="A4831" s="9" t="s">
        <v>2172</v>
      </c>
      <c r="B4831" s="3" t="s">
        <v>2193</v>
      </c>
      <c r="C4831" s="10">
        <v>5</v>
      </c>
      <c r="D4831" s="10">
        <v>1</v>
      </c>
      <c r="E4831" s="10">
        <v>20</v>
      </c>
      <c r="F4831" t="s">
        <v>2214</v>
      </c>
      <c r="G4831" t="s">
        <v>889</v>
      </c>
      <c r="H4831" t="s">
        <v>2093</v>
      </c>
      <c r="I4831" t="s">
        <v>50</v>
      </c>
      <c r="J4831" s="4">
        <v>370</v>
      </c>
      <c r="K4831">
        <v>1</v>
      </c>
      <c r="L4831">
        <v>370</v>
      </c>
      <c r="M4831">
        <v>370</v>
      </c>
      <c r="N4831" s="5">
        <v>18.75316776482514</v>
      </c>
      <c r="O4831" t="s">
        <v>2215</v>
      </c>
      <c r="P4831" t="s">
        <v>340</v>
      </c>
      <c r="Q4831" s="10" t="s">
        <v>24</v>
      </c>
      <c r="R4831">
        <v>0</v>
      </c>
    </row>
    <row r="4832" spans="1:18" hidden="1" x14ac:dyDescent="0.25">
      <c r="A4832" s="9" t="s">
        <v>2172</v>
      </c>
      <c r="B4832" s="3" t="s">
        <v>2211</v>
      </c>
      <c r="C4832" s="10">
        <v>6</v>
      </c>
      <c r="D4832" s="10">
        <v>1</v>
      </c>
      <c r="E4832" s="10">
        <v>20</v>
      </c>
      <c r="F4832" t="s">
        <v>110</v>
      </c>
      <c r="G4832" t="s">
        <v>889</v>
      </c>
      <c r="H4832" t="s">
        <v>56</v>
      </c>
      <c r="I4832" t="s">
        <v>27</v>
      </c>
      <c r="J4832" s="4">
        <v>29.9</v>
      </c>
      <c r="K4832">
        <v>0.312</v>
      </c>
      <c r="L4832">
        <v>29.9</v>
      </c>
      <c r="M4832">
        <v>9.3287999999999993</v>
      </c>
      <c r="N4832" s="5">
        <v>0.47282311201216415</v>
      </c>
      <c r="O4832" t="s">
        <v>181</v>
      </c>
      <c r="P4832" t="s">
        <v>340</v>
      </c>
      <c r="Q4832" s="10" t="s">
        <v>24</v>
      </c>
      <c r="R4832">
        <v>0</v>
      </c>
    </row>
    <row r="4833" spans="1:18" hidden="1" x14ac:dyDescent="0.25">
      <c r="A4833" s="9" t="s">
        <v>2172</v>
      </c>
      <c r="B4833" s="3" t="s">
        <v>2211</v>
      </c>
      <c r="C4833" s="10">
        <v>6</v>
      </c>
      <c r="D4833" s="10">
        <v>1</v>
      </c>
      <c r="E4833" s="10">
        <v>20</v>
      </c>
      <c r="F4833" t="s">
        <v>676</v>
      </c>
      <c r="G4833" t="s">
        <v>39</v>
      </c>
      <c r="H4833" t="s">
        <v>131</v>
      </c>
      <c r="I4833" t="s">
        <v>27</v>
      </c>
      <c r="J4833" s="4">
        <v>5.2</v>
      </c>
      <c r="K4833">
        <v>2</v>
      </c>
      <c r="L4833">
        <v>5.2</v>
      </c>
      <c r="M4833">
        <v>10.4</v>
      </c>
      <c r="N4833" s="5">
        <v>0.52711606690319313</v>
      </c>
      <c r="O4833" t="s">
        <v>181</v>
      </c>
      <c r="P4833" t="s">
        <v>340</v>
      </c>
      <c r="Q4833" s="10" t="s">
        <v>24</v>
      </c>
      <c r="R4833">
        <v>0</v>
      </c>
    </row>
    <row r="4834" spans="1:18" hidden="1" x14ac:dyDescent="0.25">
      <c r="A4834" s="9" t="s">
        <v>2172</v>
      </c>
      <c r="B4834" s="3" t="s">
        <v>2211</v>
      </c>
      <c r="C4834" s="10">
        <v>6</v>
      </c>
      <c r="D4834" s="10">
        <v>1</v>
      </c>
      <c r="E4834" s="10">
        <v>20</v>
      </c>
      <c r="F4834" t="s">
        <v>146</v>
      </c>
      <c r="G4834" t="s">
        <v>889</v>
      </c>
      <c r="H4834" t="s">
        <v>49</v>
      </c>
      <c r="I4834" t="s">
        <v>50</v>
      </c>
      <c r="J4834" s="4">
        <v>1.65</v>
      </c>
      <c r="K4834">
        <v>1</v>
      </c>
      <c r="L4834">
        <v>1.65</v>
      </c>
      <c r="M4834">
        <v>1.65</v>
      </c>
      <c r="N4834" s="5">
        <v>8.3628991383679671E-2</v>
      </c>
      <c r="O4834" t="s">
        <v>181</v>
      </c>
      <c r="P4834" t="s">
        <v>340</v>
      </c>
      <c r="Q4834" s="10" t="s">
        <v>24</v>
      </c>
      <c r="R4834">
        <v>0</v>
      </c>
    </row>
    <row r="4835" spans="1:18" hidden="1" x14ac:dyDescent="0.25">
      <c r="A4835" s="9" t="s">
        <v>2172</v>
      </c>
      <c r="B4835" s="3" t="s">
        <v>2211</v>
      </c>
      <c r="C4835" s="10">
        <v>6</v>
      </c>
      <c r="D4835" s="10">
        <v>1</v>
      </c>
      <c r="E4835" s="10">
        <v>20</v>
      </c>
      <c r="F4835" t="s">
        <v>44</v>
      </c>
      <c r="G4835" t="s">
        <v>889</v>
      </c>
      <c r="H4835" t="s">
        <v>44</v>
      </c>
      <c r="I4835" t="s">
        <v>27</v>
      </c>
      <c r="J4835" s="4">
        <v>41.4</v>
      </c>
      <c r="K4835">
        <v>1</v>
      </c>
      <c r="L4835">
        <v>41.4</v>
      </c>
      <c r="M4835">
        <v>41.4</v>
      </c>
      <c r="N4835" s="5">
        <v>2.0983274201723261</v>
      </c>
      <c r="O4835" t="s">
        <v>181</v>
      </c>
      <c r="P4835" t="s">
        <v>340</v>
      </c>
      <c r="Q4835" s="10" t="s">
        <v>24</v>
      </c>
      <c r="R4835">
        <v>0</v>
      </c>
    </row>
    <row r="4836" spans="1:18" hidden="1" x14ac:dyDescent="0.25">
      <c r="A4836" s="9" t="s">
        <v>2172</v>
      </c>
      <c r="B4836" s="3" t="s">
        <v>2211</v>
      </c>
      <c r="C4836" s="10">
        <v>6</v>
      </c>
      <c r="D4836" s="10">
        <v>1</v>
      </c>
      <c r="E4836" s="10">
        <v>20</v>
      </c>
      <c r="F4836" t="s">
        <v>1466</v>
      </c>
      <c r="G4836" t="s">
        <v>31</v>
      </c>
      <c r="H4836" t="s">
        <v>26</v>
      </c>
      <c r="I4836" t="s">
        <v>27</v>
      </c>
      <c r="J4836" s="4">
        <v>34.6</v>
      </c>
      <c r="K4836">
        <v>2</v>
      </c>
      <c r="L4836">
        <v>34.6</v>
      </c>
      <c r="M4836">
        <v>69.2</v>
      </c>
      <c r="N4836" s="5">
        <v>3.5073492143943232</v>
      </c>
      <c r="O4836" t="s">
        <v>181</v>
      </c>
      <c r="P4836" t="s">
        <v>340</v>
      </c>
      <c r="Q4836" s="10" t="s">
        <v>24</v>
      </c>
      <c r="R4836">
        <v>0</v>
      </c>
    </row>
    <row r="4837" spans="1:18" hidden="1" x14ac:dyDescent="0.25">
      <c r="A4837" s="9" t="s">
        <v>2172</v>
      </c>
      <c r="B4837" s="3" t="s">
        <v>2211</v>
      </c>
      <c r="C4837" s="10">
        <v>6</v>
      </c>
      <c r="D4837" s="10">
        <v>1</v>
      </c>
      <c r="E4837" s="10">
        <v>20</v>
      </c>
      <c r="F4837" t="s">
        <v>55</v>
      </c>
      <c r="G4837" t="s">
        <v>889</v>
      </c>
      <c r="H4837" t="s">
        <v>56</v>
      </c>
      <c r="I4837" t="s">
        <v>27</v>
      </c>
      <c r="J4837" s="4">
        <v>24.3</v>
      </c>
      <c r="K4837">
        <v>0.73599999999999999</v>
      </c>
      <c r="L4837">
        <v>24.3</v>
      </c>
      <c r="M4837">
        <v>17.884799999999998</v>
      </c>
      <c r="N4837" s="5">
        <v>0.90647744551444487</v>
      </c>
      <c r="O4837" t="s">
        <v>181</v>
      </c>
      <c r="P4837" t="s">
        <v>340</v>
      </c>
      <c r="Q4837" s="10" t="s">
        <v>24</v>
      </c>
      <c r="R4837">
        <v>0</v>
      </c>
    </row>
    <row r="4838" spans="1:18" hidden="1" x14ac:dyDescent="0.25">
      <c r="A4838" s="9" t="s">
        <v>2172</v>
      </c>
      <c r="B4838" s="3" t="s">
        <v>2211</v>
      </c>
      <c r="C4838" s="10">
        <v>6</v>
      </c>
      <c r="D4838" s="10">
        <v>1</v>
      </c>
      <c r="E4838" s="10">
        <v>20</v>
      </c>
      <c r="F4838" t="s">
        <v>112</v>
      </c>
      <c r="G4838" t="s">
        <v>889</v>
      </c>
      <c r="H4838" t="s">
        <v>56</v>
      </c>
      <c r="I4838" t="s">
        <v>27</v>
      </c>
      <c r="J4838" s="4">
        <v>17.8</v>
      </c>
      <c r="K4838">
        <v>0.41799999999999998</v>
      </c>
      <c r="L4838">
        <v>17.8</v>
      </c>
      <c r="M4838">
        <v>7.4404000000000003</v>
      </c>
      <c r="N4838" s="5">
        <v>0.37711099847947288</v>
      </c>
      <c r="O4838" t="s">
        <v>181</v>
      </c>
      <c r="P4838" t="s">
        <v>340</v>
      </c>
      <c r="Q4838" s="10" t="s">
        <v>24</v>
      </c>
      <c r="R4838">
        <v>0</v>
      </c>
    </row>
    <row r="4839" spans="1:18" hidden="1" x14ac:dyDescent="0.25">
      <c r="A4839" s="9" t="s">
        <v>2172</v>
      </c>
      <c r="B4839" s="3" t="s">
        <v>2211</v>
      </c>
      <c r="C4839" s="10">
        <v>6</v>
      </c>
      <c r="D4839" s="10">
        <v>1</v>
      </c>
      <c r="E4839" s="10">
        <v>20</v>
      </c>
      <c r="F4839" t="s">
        <v>2136</v>
      </c>
      <c r="G4839" t="s">
        <v>39</v>
      </c>
      <c r="H4839" t="s">
        <v>63</v>
      </c>
      <c r="I4839" t="s">
        <v>50</v>
      </c>
      <c r="J4839" s="4">
        <v>35</v>
      </c>
      <c r="K4839">
        <v>2</v>
      </c>
      <c r="L4839">
        <v>35</v>
      </c>
      <c r="M4839">
        <v>70</v>
      </c>
      <c r="N4839" s="5">
        <v>3.5478966041561075</v>
      </c>
      <c r="O4839" t="s">
        <v>754</v>
      </c>
      <c r="P4839" t="s">
        <v>340</v>
      </c>
      <c r="Q4839" s="10" t="s">
        <v>24</v>
      </c>
      <c r="R4839">
        <v>0</v>
      </c>
    </row>
    <row r="4840" spans="1:18" hidden="1" x14ac:dyDescent="0.25">
      <c r="A4840" s="9" t="s">
        <v>2172</v>
      </c>
      <c r="B4840" s="3" t="s">
        <v>2211</v>
      </c>
      <c r="C4840" s="10">
        <v>6</v>
      </c>
      <c r="D4840" s="10">
        <v>1</v>
      </c>
      <c r="E4840" s="10">
        <v>20</v>
      </c>
      <c r="F4840" t="s">
        <v>2136</v>
      </c>
      <c r="G4840" t="s">
        <v>39</v>
      </c>
      <c r="H4840" t="s">
        <v>63</v>
      </c>
      <c r="I4840" t="s">
        <v>50</v>
      </c>
      <c r="J4840" s="4">
        <v>70</v>
      </c>
      <c r="K4840">
        <v>1</v>
      </c>
      <c r="L4840">
        <v>70</v>
      </c>
      <c r="M4840">
        <v>70</v>
      </c>
      <c r="N4840" s="5">
        <v>3.5478966041561075</v>
      </c>
      <c r="O4840" t="s">
        <v>754</v>
      </c>
      <c r="P4840" t="s">
        <v>340</v>
      </c>
      <c r="Q4840" s="10" t="s">
        <v>24</v>
      </c>
      <c r="R4840">
        <v>0</v>
      </c>
    </row>
    <row r="4841" spans="1:18" hidden="1" x14ac:dyDescent="0.25">
      <c r="A4841" s="9" t="s">
        <v>2172</v>
      </c>
      <c r="B4841" s="3" t="s">
        <v>2211</v>
      </c>
      <c r="C4841" s="10">
        <v>6</v>
      </c>
      <c r="D4841" s="10">
        <v>1</v>
      </c>
      <c r="E4841" s="10">
        <v>20</v>
      </c>
      <c r="F4841" t="s">
        <v>2136</v>
      </c>
      <c r="G4841" t="s">
        <v>39</v>
      </c>
      <c r="H4841" t="s">
        <v>63</v>
      </c>
      <c r="I4841" t="s">
        <v>50</v>
      </c>
      <c r="J4841" s="4">
        <v>55</v>
      </c>
      <c r="K4841">
        <v>1</v>
      </c>
      <c r="L4841">
        <v>55</v>
      </c>
      <c r="M4841">
        <v>55</v>
      </c>
      <c r="N4841" s="5">
        <v>2.7876330461226559</v>
      </c>
      <c r="O4841" t="s">
        <v>754</v>
      </c>
      <c r="P4841" t="s">
        <v>340</v>
      </c>
      <c r="Q4841" s="10" t="s">
        <v>24</v>
      </c>
      <c r="R4841">
        <v>0</v>
      </c>
    </row>
    <row r="4842" spans="1:18" hidden="1" x14ac:dyDescent="0.25">
      <c r="A4842" s="9" t="s">
        <v>2172</v>
      </c>
      <c r="B4842" s="3" t="s">
        <v>2211</v>
      </c>
      <c r="C4842" s="10">
        <v>6</v>
      </c>
      <c r="D4842" s="10">
        <v>1</v>
      </c>
      <c r="E4842" s="10">
        <v>20</v>
      </c>
      <c r="F4842" t="s">
        <v>383</v>
      </c>
      <c r="G4842" t="s">
        <v>39</v>
      </c>
      <c r="H4842" t="s">
        <v>63</v>
      </c>
      <c r="I4842" t="s">
        <v>50</v>
      </c>
      <c r="J4842" s="4">
        <v>123</v>
      </c>
      <c r="K4842">
        <v>1</v>
      </c>
      <c r="L4842">
        <v>123</v>
      </c>
      <c r="M4842">
        <v>123</v>
      </c>
      <c r="N4842" s="5">
        <v>6.234161175874303</v>
      </c>
      <c r="O4842" t="s">
        <v>754</v>
      </c>
      <c r="P4842" t="s">
        <v>340</v>
      </c>
      <c r="Q4842" s="10" t="s">
        <v>24</v>
      </c>
      <c r="R4842">
        <v>0</v>
      </c>
    </row>
    <row r="4843" spans="1:18" hidden="1" x14ac:dyDescent="0.25">
      <c r="A4843" s="9" t="s">
        <v>2172</v>
      </c>
      <c r="B4843" s="3" t="s">
        <v>2211</v>
      </c>
      <c r="C4843" s="10">
        <v>6</v>
      </c>
      <c r="D4843" s="10">
        <v>1</v>
      </c>
      <c r="E4843" s="10">
        <v>20</v>
      </c>
      <c r="F4843" t="s">
        <v>39</v>
      </c>
      <c r="G4843" t="s">
        <v>889</v>
      </c>
      <c r="H4843" t="s">
        <v>1748</v>
      </c>
      <c r="I4843" t="s">
        <v>72</v>
      </c>
      <c r="J4843" s="4">
        <v>0.68</v>
      </c>
      <c r="K4843">
        <v>11</v>
      </c>
      <c r="L4843">
        <v>0.68</v>
      </c>
      <c r="M4843">
        <v>7.48</v>
      </c>
      <c r="N4843" s="5">
        <v>0.37911809427268123</v>
      </c>
      <c r="O4843" t="s">
        <v>1659</v>
      </c>
      <c r="P4843" t="s">
        <v>340</v>
      </c>
      <c r="Q4843" s="10" t="s">
        <v>24</v>
      </c>
      <c r="R4843" t="s">
        <v>1230</v>
      </c>
    </row>
    <row r="4844" spans="1:18" hidden="1" x14ac:dyDescent="0.25">
      <c r="A4844" s="9" t="s">
        <v>2172</v>
      </c>
      <c r="B4844" s="3" t="s">
        <v>2211</v>
      </c>
      <c r="C4844" s="10">
        <v>6</v>
      </c>
      <c r="D4844" s="10">
        <v>1</v>
      </c>
      <c r="E4844" s="10">
        <v>20</v>
      </c>
      <c r="F4844" t="s">
        <v>166</v>
      </c>
      <c r="G4844" t="s">
        <v>77</v>
      </c>
      <c r="H4844" t="s">
        <v>26</v>
      </c>
      <c r="I4844" t="s">
        <v>27</v>
      </c>
      <c r="J4844" s="4">
        <v>20</v>
      </c>
      <c r="K4844">
        <v>1</v>
      </c>
      <c r="L4844">
        <v>20</v>
      </c>
      <c r="M4844">
        <v>20</v>
      </c>
      <c r="N4844" s="5">
        <v>1.0136847440446022</v>
      </c>
      <c r="O4844" t="s">
        <v>101</v>
      </c>
      <c r="P4844" t="s">
        <v>340</v>
      </c>
      <c r="Q4844" s="10" t="s">
        <v>24</v>
      </c>
      <c r="R4844">
        <v>0</v>
      </c>
    </row>
    <row r="4845" spans="1:18" hidden="1" x14ac:dyDescent="0.25">
      <c r="A4845" s="9" t="s">
        <v>2172</v>
      </c>
      <c r="B4845" s="3" t="s">
        <v>2211</v>
      </c>
      <c r="C4845" s="10">
        <v>6</v>
      </c>
      <c r="D4845" s="10">
        <v>1</v>
      </c>
      <c r="E4845" s="10">
        <v>20</v>
      </c>
      <c r="F4845" t="s">
        <v>2216</v>
      </c>
      <c r="G4845" t="s">
        <v>889</v>
      </c>
      <c r="H4845" t="s">
        <v>889</v>
      </c>
      <c r="I4845" t="s">
        <v>96</v>
      </c>
      <c r="J4845" s="4">
        <v>249</v>
      </c>
      <c r="K4845">
        <v>1</v>
      </c>
      <c r="L4845">
        <v>249</v>
      </c>
      <c r="M4845">
        <v>249</v>
      </c>
      <c r="N4845" s="5">
        <v>12.620375063355295</v>
      </c>
      <c r="O4845" t="s">
        <v>2217</v>
      </c>
      <c r="P4845" t="s">
        <v>340</v>
      </c>
      <c r="Q4845" s="10" t="s">
        <v>24</v>
      </c>
      <c r="R4845">
        <v>0</v>
      </c>
    </row>
    <row r="4846" spans="1:18" hidden="1" x14ac:dyDescent="0.25">
      <c r="A4846" s="9" t="s">
        <v>2172</v>
      </c>
      <c r="B4846" s="3" t="s">
        <v>2211</v>
      </c>
      <c r="C4846" s="10">
        <v>6</v>
      </c>
      <c r="D4846" s="10">
        <v>1</v>
      </c>
      <c r="E4846" s="10">
        <v>20</v>
      </c>
      <c r="F4846" t="s">
        <v>2392</v>
      </c>
      <c r="G4846" t="s">
        <v>889</v>
      </c>
      <c r="H4846" t="s">
        <v>2093</v>
      </c>
      <c r="I4846" t="s">
        <v>72</v>
      </c>
      <c r="J4846" s="4">
        <v>243</v>
      </c>
      <c r="K4846">
        <v>1</v>
      </c>
      <c r="L4846">
        <v>243</v>
      </c>
      <c r="M4846">
        <v>243</v>
      </c>
      <c r="N4846" s="5">
        <v>12.316269640141915</v>
      </c>
      <c r="O4846" t="s">
        <v>243</v>
      </c>
      <c r="P4846" t="s">
        <v>340</v>
      </c>
      <c r="Q4846" s="10" t="s">
        <v>24</v>
      </c>
      <c r="R4846">
        <v>0</v>
      </c>
    </row>
    <row r="4847" spans="1:18" hidden="1" x14ac:dyDescent="0.25">
      <c r="A4847" s="9" t="s">
        <v>2172</v>
      </c>
      <c r="B4847" s="3" t="s">
        <v>2211</v>
      </c>
      <c r="C4847" s="10">
        <v>6</v>
      </c>
      <c r="D4847" s="10">
        <v>1</v>
      </c>
      <c r="E4847" s="10">
        <v>20</v>
      </c>
      <c r="F4847" t="s">
        <v>1663</v>
      </c>
      <c r="G4847" t="s">
        <v>889</v>
      </c>
      <c r="H4847" t="s">
        <v>889</v>
      </c>
      <c r="I4847" t="s">
        <v>72</v>
      </c>
      <c r="J4847" s="4">
        <v>32.4</v>
      </c>
      <c r="K4847">
        <v>1</v>
      </c>
      <c r="L4847">
        <v>32.4</v>
      </c>
      <c r="M4847">
        <v>32.4</v>
      </c>
      <c r="N4847" s="5">
        <v>1.6421692853522554</v>
      </c>
      <c r="O4847" t="s">
        <v>39</v>
      </c>
      <c r="P4847" t="s">
        <v>340</v>
      </c>
      <c r="Q4847" s="10" t="s">
        <v>24</v>
      </c>
      <c r="R4847" t="s">
        <v>2218</v>
      </c>
    </row>
    <row r="4848" spans="1:18" hidden="1" x14ac:dyDescent="0.25">
      <c r="A4848" s="9" t="s">
        <v>2172</v>
      </c>
      <c r="B4848" s="3" t="s">
        <v>2211</v>
      </c>
      <c r="C4848" s="10">
        <v>6</v>
      </c>
      <c r="D4848" s="10">
        <v>1</v>
      </c>
      <c r="E4848" s="10">
        <v>20</v>
      </c>
      <c r="F4848" t="s">
        <v>674</v>
      </c>
      <c r="G4848" t="s">
        <v>889</v>
      </c>
      <c r="H4848" t="s">
        <v>39</v>
      </c>
      <c r="I4848" t="s">
        <v>72</v>
      </c>
      <c r="J4848" s="4">
        <v>47.25</v>
      </c>
      <c r="K4848">
        <v>0.04</v>
      </c>
      <c r="L4848">
        <v>47.25</v>
      </c>
      <c r="M4848">
        <v>1.8900000000000001</v>
      </c>
      <c r="N4848" s="5">
        <v>9.5793208312214911E-2</v>
      </c>
      <c r="O4848" t="s">
        <v>39</v>
      </c>
      <c r="P4848" t="s">
        <v>340</v>
      </c>
      <c r="Q4848" s="10" t="s">
        <v>24</v>
      </c>
    </row>
    <row r="4849" spans="1:18" hidden="1" x14ac:dyDescent="0.25">
      <c r="A4849" s="9" t="s">
        <v>2172</v>
      </c>
      <c r="B4849" s="3" t="s">
        <v>2211</v>
      </c>
      <c r="C4849" s="10">
        <v>6</v>
      </c>
      <c r="D4849" s="10">
        <v>1</v>
      </c>
      <c r="E4849" s="10">
        <v>20</v>
      </c>
      <c r="F4849" t="s">
        <v>2244</v>
      </c>
      <c r="G4849" t="s">
        <v>889</v>
      </c>
      <c r="H4849" t="s">
        <v>63</v>
      </c>
      <c r="I4849" t="s">
        <v>50</v>
      </c>
      <c r="J4849" s="4">
        <v>225</v>
      </c>
      <c r="K4849">
        <v>1</v>
      </c>
      <c r="L4849">
        <v>225</v>
      </c>
      <c r="M4849">
        <v>225</v>
      </c>
      <c r="N4849" s="5">
        <v>11.403953370501773</v>
      </c>
      <c r="O4849" t="s">
        <v>2262</v>
      </c>
      <c r="P4849" t="s">
        <v>340</v>
      </c>
      <c r="Q4849" s="10" t="s">
        <v>24</v>
      </c>
    </row>
    <row r="4850" spans="1:18" hidden="1" x14ac:dyDescent="0.25">
      <c r="A4850" s="9" t="s">
        <v>2172</v>
      </c>
      <c r="B4850" s="3" t="s">
        <v>2212</v>
      </c>
      <c r="C4850" s="10">
        <v>8</v>
      </c>
      <c r="D4850" s="10">
        <v>1</v>
      </c>
      <c r="E4850" s="10">
        <v>20</v>
      </c>
      <c r="F4850" t="s">
        <v>40</v>
      </c>
      <c r="G4850" t="s">
        <v>889</v>
      </c>
      <c r="H4850" t="s">
        <v>40</v>
      </c>
      <c r="I4850" t="s">
        <v>27</v>
      </c>
      <c r="J4850" s="4">
        <v>12.6</v>
      </c>
      <c r="K4850">
        <v>1</v>
      </c>
      <c r="L4850">
        <v>12.6</v>
      </c>
      <c r="M4850">
        <v>12.6</v>
      </c>
      <c r="N4850" s="5">
        <v>0.63862138874809926</v>
      </c>
      <c r="O4850" t="s">
        <v>181</v>
      </c>
      <c r="P4850" t="s">
        <v>340</v>
      </c>
      <c r="Q4850" s="10" t="s">
        <v>24</v>
      </c>
      <c r="R4850">
        <v>0</v>
      </c>
    </row>
    <row r="4851" spans="1:18" hidden="1" x14ac:dyDescent="0.25">
      <c r="A4851" s="9" t="s">
        <v>2172</v>
      </c>
      <c r="B4851" s="3" t="s">
        <v>2212</v>
      </c>
      <c r="C4851" s="10">
        <v>8</v>
      </c>
      <c r="D4851" s="10">
        <v>1</v>
      </c>
      <c r="E4851" s="10">
        <v>20</v>
      </c>
      <c r="F4851" t="s">
        <v>44</v>
      </c>
      <c r="G4851" t="s">
        <v>889</v>
      </c>
      <c r="H4851" t="s">
        <v>44</v>
      </c>
      <c r="I4851" t="s">
        <v>27</v>
      </c>
      <c r="J4851" s="4">
        <v>41.4</v>
      </c>
      <c r="K4851">
        <v>1</v>
      </c>
      <c r="L4851">
        <v>41.4</v>
      </c>
      <c r="M4851">
        <v>41.4</v>
      </c>
      <c r="N4851" s="5">
        <v>2.0983274201723261</v>
      </c>
      <c r="O4851" t="s">
        <v>181</v>
      </c>
      <c r="P4851" t="s">
        <v>340</v>
      </c>
      <c r="Q4851" s="10" t="s">
        <v>24</v>
      </c>
      <c r="R4851">
        <v>0</v>
      </c>
    </row>
    <row r="4852" spans="1:18" hidden="1" x14ac:dyDescent="0.25">
      <c r="A4852" s="9" t="s">
        <v>2172</v>
      </c>
      <c r="B4852" s="3" t="s">
        <v>2212</v>
      </c>
      <c r="C4852" s="10">
        <v>8</v>
      </c>
      <c r="D4852" s="10">
        <v>1</v>
      </c>
      <c r="E4852" s="10">
        <v>20</v>
      </c>
      <c r="F4852" t="s">
        <v>997</v>
      </c>
      <c r="G4852" t="s">
        <v>889</v>
      </c>
      <c r="H4852" t="s">
        <v>54</v>
      </c>
      <c r="I4852" t="s">
        <v>27</v>
      </c>
      <c r="J4852" s="4">
        <v>48.3</v>
      </c>
      <c r="K4852">
        <v>0.124</v>
      </c>
      <c r="L4852">
        <v>48.3</v>
      </c>
      <c r="M4852">
        <v>5.9891999999999994</v>
      </c>
      <c r="N4852" s="5">
        <v>0.30355803345159654</v>
      </c>
      <c r="O4852" t="s">
        <v>181</v>
      </c>
      <c r="P4852" t="s">
        <v>340</v>
      </c>
      <c r="Q4852" s="10" t="s">
        <v>24</v>
      </c>
      <c r="R4852">
        <v>0</v>
      </c>
    </row>
    <row r="4853" spans="1:18" hidden="1" x14ac:dyDescent="0.25">
      <c r="A4853" s="9" t="s">
        <v>2172</v>
      </c>
      <c r="B4853" s="3" t="s">
        <v>2212</v>
      </c>
      <c r="C4853" s="10">
        <v>8</v>
      </c>
      <c r="D4853" s="10">
        <v>1</v>
      </c>
      <c r="E4853" s="10">
        <v>20</v>
      </c>
      <c r="F4853" t="s">
        <v>2242</v>
      </c>
      <c r="G4853" t="s">
        <v>345</v>
      </c>
      <c r="H4853" t="s">
        <v>26</v>
      </c>
      <c r="I4853" t="s">
        <v>27</v>
      </c>
      <c r="J4853" s="4">
        <v>6.6</v>
      </c>
      <c r="K4853">
        <v>1</v>
      </c>
      <c r="L4853">
        <v>6.6</v>
      </c>
      <c r="M4853">
        <v>6.6</v>
      </c>
      <c r="N4853" s="5">
        <v>0.33451596553471868</v>
      </c>
      <c r="O4853" t="s">
        <v>181</v>
      </c>
      <c r="P4853" t="s">
        <v>340</v>
      </c>
      <c r="Q4853" s="10" t="s">
        <v>24</v>
      </c>
      <c r="R4853">
        <v>0</v>
      </c>
    </row>
    <row r="4854" spans="1:18" hidden="1" x14ac:dyDescent="0.25">
      <c r="A4854" s="9" t="s">
        <v>2172</v>
      </c>
      <c r="B4854" s="3" t="s">
        <v>2212</v>
      </c>
      <c r="C4854" s="10">
        <v>8</v>
      </c>
      <c r="D4854" s="10">
        <v>1</v>
      </c>
      <c r="E4854" s="10">
        <v>20</v>
      </c>
      <c r="F4854" t="s">
        <v>1289</v>
      </c>
      <c r="G4854" t="s">
        <v>889</v>
      </c>
      <c r="H4854" t="s">
        <v>54</v>
      </c>
      <c r="I4854" t="s">
        <v>27</v>
      </c>
      <c r="J4854" s="4">
        <v>35.700000000000003</v>
      </c>
      <c r="K4854">
        <v>0.27400000000000002</v>
      </c>
      <c r="L4854">
        <v>35.700000000000003</v>
      </c>
      <c r="M4854">
        <v>9.7818000000000023</v>
      </c>
      <c r="N4854" s="5">
        <v>0.49578307146477457</v>
      </c>
      <c r="O4854" t="s">
        <v>181</v>
      </c>
      <c r="P4854" t="s">
        <v>340</v>
      </c>
      <c r="Q4854" s="10" t="s">
        <v>24</v>
      </c>
      <c r="R4854">
        <v>0</v>
      </c>
    </row>
    <row r="4855" spans="1:18" hidden="1" x14ac:dyDescent="0.25">
      <c r="A4855" s="9" t="s">
        <v>2172</v>
      </c>
      <c r="B4855" s="3" t="s">
        <v>2212</v>
      </c>
      <c r="C4855" s="10">
        <v>8</v>
      </c>
      <c r="D4855" s="10">
        <v>1</v>
      </c>
      <c r="E4855" s="10">
        <v>20</v>
      </c>
      <c r="F4855" t="s">
        <v>55</v>
      </c>
      <c r="G4855" t="s">
        <v>889</v>
      </c>
      <c r="H4855" t="s">
        <v>56</v>
      </c>
      <c r="I4855" t="s">
        <v>27</v>
      </c>
      <c r="J4855" s="4">
        <v>24.3</v>
      </c>
      <c r="K4855">
        <v>1.0740000000000001</v>
      </c>
      <c r="L4855">
        <v>24.3</v>
      </c>
      <c r="M4855">
        <v>26.098200000000002</v>
      </c>
      <c r="N4855" s="5">
        <v>1.3227673593512419</v>
      </c>
      <c r="O4855" t="s">
        <v>181</v>
      </c>
      <c r="P4855" t="s">
        <v>340</v>
      </c>
      <c r="Q4855" s="10" t="s">
        <v>24</v>
      </c>
      <c r="R4855">
        <v>0</v>
      </c>
    </row>
    <row r="4856" spans="1:18" hidden="1" x14ac:dyDescent="0.25">
      <c r="A4856" s="9" t="s">
        <v>2172</v>
      </c>
      <c r="B4856" s="3" t="s">
        <v>2212</v>
      </c>
      <c r="C4856" s="10">
        <v>8</v>
      </c>
      <c r="D4856" s="10">
        <v>1</v>
      </c>
      <c r="E4856" s="10">
        <v>20</v>
      </c>
      <c r="F4856" t="s">
        <v>202</v>
      </c>
      <c r="G4856" t="s">
        <v>889</v>
      </c>
      <c r="H4856" t="s">
        <v>54</v>
      </c>
      <c r="I4856" t="s">
        <v>27</v>
      </c>
      <c r="J4856" s="4">
        <v>95.5</v>
      </c>
      <c r="K4856">
        <v>0.34799999999999998</v>
      </c>
      <c r="L4856">
        <v>95.5</v>
      </c>
      <c r="M4856">
        <v>33.233999999999995</v>
      </c>
      <c r="N4856" s="5">
        <v>1.6844399391789151</v>
      </c>
      <c r="O4856" t="s">
        <v>181</v>
      </c>
      <c r="P4856" t="s">
        <v>340</v>
      </c>
      <c r="Q4856" s="10" t="s">
        <v>24</v>
      </c>
      <c r="R4856">
        <v>0</v>
      </c>
    </row>
    <row r="4857" spans="1:18" hidden="1" x14ac:dyDescent="0.25">
      <c r="A4857" s="9" t="s">
        <v>2172</v>
      </c>
      <c r="B4857" s="3" t="s">
        <v>2212</v>
      </c>
      <c r="C4857" s="10">
        <v>8</v>
      </c>
      <c r="D4857" s="10">
        <v>1</v>
      </c>
      <c r="E4857" s="10">
        <v>20</v>
      </c>
      <c r="F4857" t="s">
        <v>177</v>
      </c>
      <c r="G4857" t="s">
        <v>889</v>
      </c>
      <c r="H4857" t="s">
        <v>56</v>
      </c>
      <c r="I4857" t="s">
        <v>27</v>
      </c>
      <c r="J4857" s="4">
        <v>16.7</v>
      </c>
      <c r="K4857">
        <v>0.91400000000000003</v>
      </c>
      <c r="L4857">
        <v>16.7</v>
      </c>
      <c r="M4857">
        <v>15.2638</v>
      </c>
      <c r="N4857" s="5">
        <v>0.77363405980739985</v>
      </c>
      <c r="O4857" t="s">
        <v>181</v>
      </c>
      <c r="P4857" t="s">
        <v>340</v>
      </c>
      <c r="Q4857" s="10" t="s">
        <v>24</v>
      </c>
      <c r="R4857">
        <v>0</v>
      </c>
    </row>
    <row r="4858" spans="1:18" hidden="1" x14ac:dyDescent="0.25">
      <c r="A4858" s="9" t="s">
        <v>2172</v>
      </c>
      <c r="B4858" s="3" t="s">
        <v>2212</v>
      </c>
      <c r="C4858" s="10">
        <v>8</v>
      </c>
      <c r="D4858" s="10">
        <v>1</v>
      </c>
      <c r="E4858" s="10">
        <v>20</v>
      </c>
      <c r="F4858" t="s">
        <v>1123</v>
      </c>
      <c r="G4858" t="s">
        <v>77</v>
      </c>
      <c r="H4858" t="s">
        <v>26</v>
      </c>
      <c r="I4858" t="s">
        <v>27</v>
      </c>
      <c r="J4858" s="4">
        <v>37.4</v>
      </c>
      <c r="K4858">
        <v>1</v>
      </c>
      <c r="L4858">
        <v>37.4</v>
      </c>
      <c r="M4858">
        <v>37.4</v>
      </c>
      <c r="N4858" s="5">
        <v>1.895590471363406</v>
      </c>
      <c r="O4858" t="s">
        <v>181</v>
      </c>
      <c r="P4858" t="s">
        <v>340</v>
      </c>
      <c r="Q4858" s="10" t="s">
        <v>24</v>
      </c>
      <c r="R4858">
        <v>0</v>
      </c>
    </row>
    <row r="4859" spans="1:18" hidden="1" x14ac:dyDescent="0.25">
      <c r="A4859" s="9" t="s">
        <v>2172</v>
      </c>
      <c r="B4859" s="3" t="s">
        <v>2212</v>
      </c>
      <c r="C4859" s="10">
        <v>8</v>
      </c>
      <c r="D4859" s="10">
        <v>1</v>
      </c>
      <c r="E4859" s="10">
        <v>20</v>
      </c>
      <c r="F4859" t="s">
        <v>1466</v>
      </c>
      <c r="G4859" t="s">
        <v>31</v>
      </c>
      <c r="H4859" t="s">
        <v>26</v>
      </c>
      <c r="I4859" t="s">
        <v>27</v>
      </c>
      <c r="J4859" s="4">
        <v>34.6</v>
      </c>
      <c r="K4859">
        <v>1</v>
      </c>
      <c r="L4859">
        <v>34.6</v>
      </c>
      <c r="M4859">
        <v>34.6</v>
      </c>
      <c r="N4859" s="5">
        <v>1.7536746071971616</v>
      </c>
      <c r="O4859" t="s">
        <v>181</v>
      </c>
      <c r="P4859" t="s">
        <v>340</v>
      </c>
      <c r="Q4859" s="10" t="s">
        <v>24</v>
      </c>
      <c r="R4859">
        <v>0</v>
      </c>
    </row>
    <row r="4860" spans="1:18" hidden="1" x14ac:dyDescent="0.25">
      <c r="A4860" s="9" t="s">
        <v>2172</v>
      </c>
      <c r="B4860" s="3" t="s">
        <v>2212</v>
      </c>
      <c r="C4860" s="10">
        <v>8</v>
      </c>
      <c r="D4860" s="10">
        <v>1</v>
      </c>
      <c r="E4860" s="10">
        <v>20</v>
      </c>
      <c r="F4860" t="s">
        <v>1381</v>
      </c>
      <c r="G4860" t="s">
        <v>889</v>
      </c>
      <c r="H4860" t="s">
        <v>53</v>
      </c>
      <c r="I4860" t="s">
        <v>27</v>
      </c>
      <c r="J4860" s="4">
        <v>22.4</v>
      </c>
      <c r="K4860">
        <v>2</v>
      </c>
      <c r="L4860">
        <v>22.4</v>
      </c>
      <c r="M4860">
        <v>44.8</v>
      </c>
      <c r="N4860" s="5">
        <v>2.2706538266599088</v>
      </c>
      <c r="O4860" t="s">
        <v>181</v>
      </c>
      <c r="P4860" t="s">
        <v>340</v>
      </c>
      <c r="Q4860" s="10" t="s">
        <v>24</v>
      </c>
      <c r="R4860">
        <v>0</v>
      </c>
    </row>
    <row r="4861" spans="1:18" hidden="1" x14ac:dyDescent="0.25">
      <c r="A4861" s="9" t="s">
        <v>1405</v>
      </c>
      <c r="B4861" s="3" t="s">
        <v>2263</v>
      </c>
      <c r="C4861" s="10">
        <v>25</v>
      </c>
      <c r="D4861" s="10">
        <v>11</v>
      </c>
      <c r="E4861" s="10">
        <v>19</v>
      </c>
      <c r="F4861" t="s">
        <v>176</v>
      </c>
      <c r="G4861" t="s">
        <v>889</v>
      </c>
      <c r="H4861" t="s">
        <v>176</v>
      </c>
      <c r="I4861" t="s">
        <v>105</v>
      </c>
      <c r="J4861" s="4">
        <v>182.7</v>
      </c>
      <c r="K4861">
        <v>1</v>
      </c>
      <c r="L4861">
        <v>182.7</v>
      </c>
      <c r="M4861">
        <v>182.7</v>
      </c>
      <c r="N4861" s="5">
        <v>9.2600101368474395</v>
      </c>
      <c r="O4861" t="s">
        <v>39</v>
      </c>
      <c r="P4861" t="s">
        <v>340</v>
      </c>
      <c r="Q4861" s="10" t="s">
        <v>24</v>
      </c>
    </row>
    <row r="4862" spans="1:18" hidden="1" x14ac:dyDescent="0.25">
      <c r="A4862" s="9" t="s">
        <v>1636</v>
      </c>
      <c r="B4862" s="3" t="s">
        <v>2246</v>
      </c>
      <c r="C4862" s="10">
        <v>22</v>
      </c>
      <c r="D4862" s="10">
        <v>12</v>
      </c>
      <c r="E4862" s="10">
        <v>19</v>
      </c>
      <c r="F4862" t="s">
        <v>179</v>
      </c>
      <c r="G4862" t="s">
        <v>889</v>
      </c>
      <c r="H4862" t="s">
        <v>179</v>
      </c>
      <c r="I4862" t="s">
        <v>105</v>
      </c>
      <c r="J4862" s="4">
        <v>284</v>
      </c>
      <c r="K4862">
        <v>1</v>
      </c>
      <c r="L4862">
        <v>284</v>
      </c>
      <c r="M4862">
        <v>284</v>
      </c>
      <c r="N4862" s="5">
        <v>14.394323365433349</v>
      </c>
      <c r="O4862" t="s">
        <v>39</v>
      </c>
      <c r="P4862" t="s">
        <v>340</v>
      </c>
      <c r="Q4862" s="10" t="s">
        <v>24</v>
      </c>
    </row>
    <row r="4863" spans="1:18" hidden="1" x14ac:dyDescent="0.25">
      <c r="A4863" s="9" t="s">
        <v>1636</v>
      </c>
      <c r="B4863" s="3" t="s">
        <v>2246</v>
      </c>
      <c r="C4863" s="10">
        <v>22</v>
      </c>
      <c r="D4863" s="10">
        <v>12</v>
      </c>
      <c r="E4863" s="10">
        <v>19</v>
      </c>
      <c r="F4863" t="s">
        <v>176</v>
      </c>
      <c r="G4863" t="s">
        <v>889</v>
      </c>
      <c r="H4863" t="s">
        <v>176</v>
      </c>
      <c r="I4863" t="s">
        <v>105</v>
      </c>
      <c r="J4863" s="4">
        <v>166</v>
      </c>
      <c r="K4863">
        <v>1</v>
      </c>
      <c r="L4863">
        <v>166</v>
      </c>
      <c r="M4863">
        <v>166</v>
      </c>
      <c r="N4863" s="5">
        <v>8.4135833755701981</v>
      </c>
      <c r="O4863" t="s">
        <v>39</v>
      </c>
      <c r="P4863" t="s">
        <v>340</v>
      </c>
      <c r="Q4863" s="10" t="s">
        <v>24</v>
      </c>
    </row>
    <row r="4864" spans="1:18" hidden="1" x14ac:dyDescent="0.25">
      <c r="A4864" s="9" t="s">
        <v>1636</v>
      </c>
      <c r="B4864" s="3" t="s">
        <v>2246</v>
      </c>
      <c r="C4864" s="10">
        <v>22</v>
      </c>
      <c r="D4864" s="10">
        <v>12</v>
      </c>
      <c r="E4864" s="10">
        <v>19</v>
      </c>
      <c r="F4864" t="s">
        <v>168</v>
      </c>
      <c r="G4864" t="s">
        <v>889</v>
      </c>
      <c r="H4864" t="s">
        <v>168</v>
      </c>
      <c r="I4864" t="s">
        <v>105</v>
      </c>
      <c r="J4864" s="4">
        <v>238</v>
      </c>
      <c r="K4864">
        <v>1</v>
      </c>
      <c r="L4864">
        <v>238</v>
      </c>
      <c r="M4864">
        <v>238</v>
      </c>
      <c r="N4864" s="5">
        <v>12.062848454130766</v>
      </c>
      <c r="O4864" t="s">
        <v>39</v>
      </c>
      <c r="P4864" t="s">
        <v>340</v>
      </c>
      <c r="Q4864" s="10" t="s">
        <v>24</v>
      </c>
    </row>
    <row r="4865" spans="1:18" hidden="1" x14ac:dyDescent="0.25">
      <c r="A4865" s="9" t="s">
        <v>1636</v>
      </c>
      <c r="B4865" s="3" t="s">
        <v>2246</v>
      </c>
      <c r="C4865" s="10">
        <v>22</v>
      </c>
      <c r="D4865" s="10">
        <v>12</v>
      </c>
      <c r="E4865" s="10">
        <v>19</v>
      </c>
      <c r="F4865" t="s">
        <v>169</v>
      </c>
      <c r="G4865" t="s">
        <v>889</v>
      </c>
      <c r="H4865" t="s">
        <v>170</v>
      </c>
      <c r="I4865" t="s">
        <v>105</v>
      </c>
      <c r="J4865" s="4">
        <v>210</v>
      </c>
      <c r="K4865">
        <v>1</v>
      </c>
      <c r="L4865">
        <v>210</v>
      </c>
      <c r="M4865">
        <v>210</v>
      </c>
      <c r="N4865" s="5">
        <v>10.643689812468322</v>
      </c>
      <c r="O4865" t="s">
        <v>39</v>
      </c>
      <c r="P4865" t="s">
        <v>340</v>
      </c>
      <c r="Q4865" s="10" t="s">
        <v>24</v>
      </c>
    </row>
    <row r="4866" spans="1:18" hidden="1" x14ac:dyDescent="0.25">
      <c r="A4866" s="9" t="s">
        <v>1636</v>
      </c>
      <c r="B4866" s="3" t="s">
        <v>2246</v>
      </c>
      <c r="C4866" s="10">
        <v>22</v>
      </c>
      <c r="D4866" s="10">
        <v>12</v>
      </c>
      <c r="E4866" s="10">
        <v>19</v>
      </c>
      <c r="F4866" t="s">
        <v>197</v>
      </c>
      <c r="G4866" t="s">
        <v>889</v>
      </c>
      <c r="H4866" t="s">
        <v>1094</v>
      </c>
      <c r="I4866" t="s">
        <v>105</v>
      </c>
      <c r="J4866" s="4">
        <v>200</v>
      </c>
      <c r="K4866">
        <v>1</v>
      </c>
      <c r="L4866">
        <v>200</v>
      </c>
      <c r="M4866">
        <v>200</v>
      </c>
      <c r="N4866" s="5">
        <v>10.13684744044602</v>
      </c>
      <c r="O4866" t="s">
        <v>39</v>
      </c>
      <c r="P4866" t="s">
        <v>340</v>
      </c>
      <c r="Q4866" s="10" t="s">
        <v>24</v>
      </c>
    </row>
    <row r="4867" spans="1:18" hidden="1" x14ac:dyDescent="0.25">
      <c r="A4867" s="9" t="s">
        <v>1636</v>
      </c>
      <c r="B4867" s="3" t="s">
        <v>2246</v>
      </c>
      <c r="C4867" s="10">
        <v>22</v>
      </c>
      <c r="D4867" s="10">
        <v>12</v>
      </c>
      <c r="E4867" s="10">
        <v>19</v>
      </c>
      <c r="F4867" t="s">
        <v>199</v>
      </c>
      <c r="G4867" t="s">
        <v>889</v>
      </c>
      <c r="H4867" t="s">
        <v>1094</v>
      </c>
      <c r="I4867" t="s">
        <v>105</v>
      </c>
      <c r="J4867" s="4">
        <v>200</v>
      </c>
      <c r="K4867">
        <v>1</v>
      </c>
      <c r="L4867">
        <v>200</v>
      </c>
      <c r="M4867">
        <v>200</v>
      </c>
      <c r="N4867" s="5">
        <v>10.13684744044602</v>
      </c>
      <c r="O4867" t="s">
        <v>39</v>
      </c>
      <c r="P4867" t="s">
        <v>340</v>
      </c>
      <c r="Q4867" s="10" t="s">
        <v>24</v>
      </c>
    </row>
    <row r="4868" spans="1:18" hidden="1" x14ac:dyDescent="0.25">
      <c r="A4868" s="9" t="s">
        <v>1636</v>
      </c>
      <c r="B4868" s="3" t="s">
        <v>2246</v>
      </c>
      <c r="C4868" s="10">
        <v>22</v>
      </c>
      <c r="D4868" s="10">
        <v>12</v>
      </c>
      <c r="E4868" s="10">
        <v>19</v>
      </c>
      <c r="F4868" t="s">
        <v>390</v>
      </c>
      <c r="G4868" t="s">
        <v>304</v>
      </c>
      <c r="H4868" t="s">
        <v>39</v>
      </c>
      <c r="I4868" t="s">
        <v>79</v>
      </c>
      <c r="J4868" s="4">
        <v>310.24</v>
      </c>
      <c r="K4868">
        <v>1</v>
      </c>
      <c r="L4868">
        <v>310.24</v>
      </c>
      <c r="M4868">
        <v>310.24</v>
      </c>
      <c r="N4868" s="5">
        <v>15.724277749619869</v>
      </c>
      <c r="O4868" t="s">
        <v>39</v>
      </c>
      <c r="P4868" t="s">
        <v>340</v>
      </c>
      <c r="Q4868" s="10" t="s">
        <v>24</v>
      </c>
    </row>
    <row r="4869" spans="1:18" hidden="1" x14ac:dyDescent="0.25">
      <c r="A4869" s="9" t="s">
        <v>980</v>
      </c>
      <c r="B4869" s="3" t="s">
        <v>2302</v>
      </c>
      <c r="C4869" s="10">
        <v>1</v>
      </c>
      <c r="D4869" s="10">
        <v>2</v>
      </c>
      <c r="E4869" s="10">
        <v>20</v>
      </c>
      <c r="F4869" t="s">
        <v>128</v>
      </c>
      <c r="G4869" t="s">
        <v>889</v>
      </c>
      <c r="H4869" t="s">
        <v>44</v>
      </c>
      <c r="I4869" t="s">
        <v>27</v>
      </c>
      <c r="J4869" s="4">
        <v>31.6</v>
      </c>
      <c r="K4869">
        <v>1</v>
      </c>
      <c r="L4869">
        <v>31.6</v>
      </c>
      <c r="M4869">
        <v>31.6</v>
      </c>
      <c r="N4869" s="5">
        <v>1.6016218955904713</v>
      </c>
      <c r="O4869" t="s">
        <v>100</v>
      </c>
      <c r="P4869" t="s">
        <v>340</v>
      </c>
      <c r="Q4869" s="10" t="s">
        <v>24</v>
      </c>
      <c r="R4869">
        <v>0</v>
      </c>
    </row>
    <row r="4870" spans="1:18" hidden="1" x14ac:dyDescent="0.25">
      <c r="A4870" s="9" t="s">
        <v>980</v>
      </c>
      <c r="B4870" s="3" t="s">
        <v>2302</v>
      </c>
      <c r="C4870" s="10">
        <v>1</v>
      </c>
      <c r="D4870" s="10">
        <v>2</v>
      </c>
      <c r="E4870" s="10">
        <v>20</v>
      </c>
      <c r="F4870" t="s">
        <v>398</v>
      </c>
      <c r="G4870" t="s">
        <v>889</v>
      </c>
      <c r="H4870" t="s">
        <v>40</v>
      </c>
      <c r="I4870" t="s">
        <v>27</v>
      </c>
      <c r="J4870" s="4">
        <v>14.6</v>
      </c>
      <c r="K4870">
        <v>1</v>
      </c>
      <c r="L4870">
        <v>14.6</v>
      </c>
      <c r="M4870">
        <v>14.6</v>
      </c>
      <c r="N4870" s="5">
        <v>0.73998986315255955</v>
      </c>
      <c r="O4870" t="s">
        <v>100</v>
      </c>
      <c r="P4870" t="s">
        <v>340</v>
      </c>
      <c r="Q4870" s="10" t="s">
        <v>24</v>
      </c>
      <c r="R4870">
        <v>0</v>
      </c>
    </row>
    <row r="4871" spans="1:18" hidden="1" x14ac:dyDescent="0.25">
      <c r="A4871" s="9" t="s">
        <v>980</v>
      </c>
      <c r="B4871" s="3" t="s">
        <v>2302</v>
      </c>
      <c r="C4871" s="10">
        <v>1</v>
      </c>
      <c r="D4871" s="10">
        <v>2</v>
      </c>
      <c r="E4871" s="10">
        <v>20</v>
      </c>
      <c r="F4871" t="s">
        <v>974</v>
      </c>
      <c r="G4871" t="s">
        <v>25</v>
      </c>
      <c r="H4871" t="s">
        <v>26</v>
      </c>
      <c r="I4871" t="s">
        <v>27</v>
      </c>
      <c r="J4871" s="4">
        <v>211.6</v>
      </c>
      <c r="K4871">
        <v>0.37</v>
      </c>
      <c r="L4871">
        <v>211.6</v>
      </c>
      <c r="M4871">
        <v>78.292000000000002</v>
      </c>
      <c r="N4871" s="5">
        <v>3.9681702990369994</v>
      </c>
      <c r="O4871" t="s">
        <v>100</v>
      </c>
      <c r="P4871" t="s">
        <v>340</v>
      </c>
      <c r="Q4871" s="10" t="s">
        <v>24</v>
      </c>
      <c r="R4871">
        <v>0</v>
      </c>
    </row>
    <row r="4872" spans="1:18" hidden="1" x14ac:dyDescent="0.25">
      <c r="A4872" s="9" t="s">
        <v>980</v>
      </c>
      <c r="B4872" s="3" t="s">
        <v>2302</v>
      </c>
      <c r="C4872" s="10">
        <v>1</v>
      </c>
      <c r="D4872" s="10">
        <v>2</v>
      </c>
      <c r="E4872" s="10">
        <v>20</v>
      </c>
      <c r="F4872" t="s">
        <v>2488</v>
      </c>
      <c r="G4872" t="s">
        <v>889</v>
      </c>
      <c r="H4872" t="s">
        <v>35</v>
      </c>
      <c r="I4872" t="s">
        <v>27</v>
      </c>
      <c r="J4872" s="4">
        <v>134.16</v>
      </c>
      <c r="K4872">
        <v>0.31</v>
      </c>
      <c r="L4872">
        <v>134.16</v>
      </c>
      <c r="M4872">
        <v>41.589599999999997</v>
      </c>
      <c r="N4872" s="5">
        <v>2.1079371515458689</v>
      </c>
      <c r="O4872" t="s">
        <v>100</v>
      </c>
      <c r="P4872" t="s">
        <v>340</v>
      </c>
      <c r="Q4872" s="10" t="s">
        <v>24</v>
      </c>
      <c r="R4872">
        <v>0</v>
      </c>
    </row>
    <row r="4873" spans="1:18" hidden="1" x14ac:dyDescent="0.25">
      <c r="A4873" s="9" t="s">
        <v>980</v>
      </c>
      <c r="B4873" s="3" t="s">
        <v>2302</v>
      </c>
      <c r="C4873" s="10">
        <v>1</v>
      </c>
      <c r="D4873" s="10">
        <v>2</v>
      </c>
      <c r="E4873" s="10">
        <v>20</v>
      </c>
      <c r="F4873" t="s">
        <v>173</v>
      </c>
      <c r="G4873" t="s">
        <v>174</v>
      </c>
      <c r="H4873" t="s">
        <v>54</v>
      </c>
      <c r="I4873" t="s">
        <v>27</v>
      </c>
      <c r="J4873" s="4">
        <v>19.600000000000001</v>
      </c>
      <c r="K4873">
        <v>0.438</v>
      </c>
      <c r="L4873">
        <v>19.600000000000001</v>
      </c>
      <c r="M4873">
        <v>8.5848000000000013</v>
      </c>
      <c r="N4873" s="5">
        <v>0.43511403953370509</v>
      </c>
      <c r="O4873" t="s">
        <v>100</v>
      </c>
      <c r="P4873" t="s">
        <v>340</v>
      </c>
      <c r="Q4873" s="10" t="s">
        <v>24</v>
      </c>
      <c r="R4873">
        <v>0</v>
      </c>
    </row>
    <row r="4874" spans="1:18" hidden="1" x14ac:dyDescent="0.25">
      <c r="A4874" s="9" t="s">
        <v>980</v>
      </c>
      <c r="B4874" s="3" t="s">
        <v>2302</v>
      </c>
      <c r="C4874" s="10">
        <v>1</v>
      </c>
      <c r="D4874" s="10">
        <v>2</v>
      </c>
      <c r="E4874" s="10">
        <v>20</v>
      </c>
      <c r="F4874" t="s">
        <v>2294</v>
      </c>
      <c r="G4874" t="s">
        <v>889</v>
      </c>
      <c r="H4874" t="s">
        <v>35</v>
      </c>
      <c r="I4874" t="s">
        <v>27</v>
      </c>
      <c r="J4874" s="4">
        <v>180.6</v>
      </c>
      <c r="K4874">
        <v>0.20799999999999999</v>
      </c>
      <c r="L4874">
        <v>180.6</v>
      </c>
      <c r="M4874">
        <v>37.564799999999998</v>
      </c>
      <c r="N4874" s="5">
        <v>1.9039432336543334</v>
      </c>
      <c r="O4874" t="s">
        <v>100</v>
      </c>
      <c r="P4874" t="s">
        <v>340</v>
      </c>
      <c r="Q4874" s="10" t="s">
        <v>24</v>
      </c>
      <c r="R4874">
        <v>0</v>
      </c>
    </row>
    <row r="4875" spans="1:18" hidden="1" x14ac:dyDescent="0.25">
      <c r="A4875" s="9" t="s">
        <v>980</v>
      </c>
      <c r="B4875" s="3" t="s">
        <v>2302</v>
      </c>
      <c r="C4875" s="10">
        <v>1</v>
      </c>
      <c r="D4875" s="10">
        <v>2</v>
      </c>
      <c r="E4875" s="10">
        <v>20</v>
      </c>
      <c r="F4875" t="s">
        <v>2295</v>
      </c>
      <c r="G4875" t="s">
        <v>889</v>
      </c>
      <c r="H4875" t="s">
        <v>35</v>
      </c>
      <c r="I4875" t="s">
        <v>27</v>
      </c>
      <c r="J4875" s="4">
        <v>148.6</v>
      </c>
      <c r="K4875">
        <v>0.17599999999999999</v>
      </c>
      <c r="L4875">
        <v>148.6</v>
      </c>
      <c r="M4875">
        <v>26.153599999999997</v>
      </c>
      <c r="N4875" s="5">
        <v>1.3255752660922451</v>
      </c>
      <c r="O4875" t="s">
        <v>100</v>
      </c>
      <c r="P4875" t="s">
        <v>340</v>
      </c>
      <c r="Q4875" s="10" t="s">
        <v>24</v>
      </c>
      <c r="R4875">
        <v>0</v>
      </c>
    </row>
    <row r="4876" spans="1:18" hidden="1" x14ac:dyDescent="0.25">
      <c r="A4876" s="9" t="s">
        <v>980</v>
      </c>
      <c r="B4876" s="3" t="s">
        <v>2302</v>
      </c>
      <c r="C4876" s="10">
        <v>1</v>
      </c>
      <c r="D4876" s="10">
        <v>2</v>
      </c>
      <c r="E4876" s="10">
        <v>20</v>
      </c>
      <c r="F4876" t="s">
        <v>1036</v>
      </c>
      <c r="G4876" t="s">
        <v>889</v>
      </c>
      <c r="H4876" t="s">
        <v>38</v>
      </c>
      <c r="I4876" t="s">
        <v>27</v>
      </c>
      <c r="J4876" s="4">
        <v>126</v>
      </c>
      <c r="K4876">
        <v>0.30199999999999999</v>
      </c>
      <c r="L4876">
        <v>126</v>
      </c>
      <c r="M4876">
        <v>38.052</v>
      </c>
      <c r="N4876" s="5">
        <v>1.92863659401926</v>
      </c>
      <c r="O4876" t="s">
        <v>100</v>
      </c>
      <c r="P4876" t="s">
        <v>340</v>
      </c>
      <c r="Q4876" s="10" t="s">
        <v>24</v>
      </c>
      <c r="R4876">
        <v>0</v>
      </c>
    </row>
    <row r="4877" spans="1:18" hidden="1" x14ac:dyDescent="0.25">
      <c r="A4877" s="9" t="s">
        <v>980</v>
      </c>
      <c r="B4877" s="3" t="s">
        <v>2302</v>
      </c>
      <c r="C4877" s="10">
        <v>1</v>
      </c>
      <c r="D4877" s="10">
        <v>2</v>
      </c>
      <c r="E4877" s="10">
        <v>20</v>
      </c>
      <c r="F4877" t="s">
        <v>1721</v>
      </c>
      <c r="G4877" t="s">
        <v>889</v>
      </c>
      <c r="H4877" t="s">
        <v>39</v>
      </c>
      <c r="I4877" t="s">
        <v>27</v>
      </c>
      <c r="J4877" s="4">
        <v>66.5</v>
      </c>
      <c r="K4877">
        <v>0.4</v>
      </c>
      <c r="L4877">
        <v>66.5</v>
      </c>
      <c r="M4877">
        <v>26.6</v>
      </c>
      <c r="N4877" s="5">
        <v>1.3482007095793209</v>
      </c>
      <c r="O4877" t="s">
        <v>100</v>
      </c>
      <c r="P4877" t="s">
        <v>340</v>
      </c>
      <c r="Q4877" s="10" t="s">
        <v>24</v>
      </c>
      <c r="R4877">
        <v>0</v>
      </c>
    </row>
    <row r="4878" spans="1:18" hidden="1" x14ac:dyDescent="0.25">
      <c r="A4878" s="9" t="s">
        <v>980</v>
      </c>
      <c r="B4878" s="3" t="s">
        <v>2302</v>
      </c>
      <c r="C4878" s="10">
        <v>1</v>
      </c>
      <c r="D4878" s="10">
        <v>2</v>
      </c>
      <c r="E4878" s="10">
        <v>20</v>
      </c>
      <c r="F4878" t="s">
        <v>1465</v>
      </c>
      <c r="G4878" t="s">
        <v>889</v>
      </c>
      <c r="H4878" t="s">
        <v>131</v>
      </c>
      <c r="I4878" t="s">
        <v>27</v>
      </c>
      <c r="J4878" s="4">
        <v>7.8</v>
      </c>
      <c r="K4878">
        <v>4</v>
      </c>
      <c r="L4878">
        <v>7.8</v>
      </c>
      <c r="M4878">
        <v>31.2</v>
      </c>
      <c r="N4878" s="5">
        <v>1.5813482007095792</v>
      </c>
      <c r="O4878" t="s">
        <v>100</v>
      </c>
      <c r="P4878" t="s">
        <v>340</v>
      </c>
      <c r="Q4878" s="10" t="s">
        <v>24</v>
      </c>
      <c r="R4878">
        <v>0</v>
      </c>
    </row>
    <row r="4879" spans="1:18" hidden="1" x14ac:dyDescent="0.25">
      <c r="A4879" s="9" t="s">
        <v>980</v>
      </c>
      <c r="B4879" s="3" t="s">
        <v>2302</v>
      </c>
      <c r="C4879" s="10">
        <v>1</v>
      </c>
      <c r="D4879" s="10">
        <v>2</v>
      </c>
      <c r="E4879" s="10">
        <v>20</v>
      </c>
      <c r="F4879" t="s">
        <v>155</v>
      </c>
      <c r="G4879" t="s">
        <v>155</v>
      </c>
      <c r="H4879" t="s">
        <v>131</v>
      </c>
      <c r="I4879" t="s">
        <v>27</v>
      </c>
      <c r="J4879" s="4">
        <v>63.75</v>
      </c>
      <c r="K4879">
        <v>1</v>
      </c>
      <c r="L4879">
        <v>63.75</v>
      </c>
      <c r="M4879">
        <v>63.75</v>
      </c>
      <c r="N4879" s="5">
        <v>3.231120121642169</v>
      </c>
      <c r="O4879" t="s">
        <v>100</v>
      </c>
      <c r="P4879" t="s">
        <v>340</v>
      </c>
      <c r="Q4879" s="10" t="s">
        <v>24</v>
      </c>
      <c r="R4879">
        <v>0</v>
      </c>
    </row>
    <row r="4880" spans="1:18" hidden="1" x14ac:dyDescent="0.25">
      <c r="A4880" s="9" t="s">
        <v>980</v>
      </c>
      <c r="B4880" s="3" t="s">
        <v>2302</v>
      </c>
      <c r="C4880" s="10">
        <v>1</v>
      </c>
      <c r="D4880" s="10">
        <v>2</v>
      </c>
      <c r="E4880" s="10">
        <v>20</v>
      </c>
      <c r="F4880" t="s">
        <v>155</v>
      </c>
      <c r="G4880" t="s">
        <v>155</v>
      </c>
      <c r="H4880" t="s">
        <v>131</v>
      </c>
      <c r="I4880" t="s">
        <v>27</v>
      </c>
      <c r="J4880" s="4">
        <v>28.6</v>
      </c>
      <c r="K4880">
        <v>1</v>
      </c>
      <c r="L4880">
        <v>28.6</v>
      </c>
      <c r="M4880">
        <v>28.6</v>
      </c>
      <c r="N4880" s="5">
        <v>1.449569183983781</v>
      </c>
      <c r="O4880" t="s">
        <v>100</v>
      </c>
      <c r="P4880" t="s">
        <v>340</v>
      </c>
      <c r="Q4880" s="10" t="s">
        <v>24</v>
      </c>
      <c r="R4880">
        <v>0</v>
      </c>
    </row>
    <row r="4881" spans="1:18" hidden="1" x14ac:dyDescent="0.25">
      <c r="A4881" s="9" t="s">
        <v>980</v>
      </c>
      <c r="B4881" s="3" t="s">
        <v>2302</v>
      </c>
      <c r="C4881" s="10">
        <v>1</v>
      </c>
      <c r="D4881" s="10">
        <v>2</v>
      </c>
      <c r="E4881" s="10">
        <v>20</v>
      </c>
      <c r="F4881" t="s">
        <v>155</v>
      </c>
      <c r="G4881" t="s">
        <v>155</v>
      </c>
      <c r="H4881" t="s">
        <v>131</v>
      </c>
      <c r="I4881" t="s">
        <v>27</v>
      </c>
      <c r="J4881" s="4">
        <v>49</v>
      </c>
      <c r="K4881">
        <v>1</v>
      </c>
      <c r="L4881">
        <v>49</v>
      </c>
      <c r="M4881">
        <v>49</v>
      </c>
      <c r="N4881" s="5">
        <v>2.4835276229092753</v>
      </c>
      <c r="O4881" t="s">
        <v>100</v>
      </c>
      <c r="P4881" t="s">
        <v>340</v>
      </c>
      <c r="Q4881" s="10" t="s">
        <v>24</v>
      </c>
      <c r="R4881">
        <v>0</v>
      </c>
    </row>
    <row r="4882" spans="1:18" hidden="1" x14ac:dyDescent="0.25">
      <c r="A4882" s="9" t="s">
        <v>980</v>
      </c>
      <c r="B4882" s="3" t="s">
        <v>2302</v>
      </c>
      <c r="C4882" s="10">
        <v>1</v>
      </c>
      <c r="D4882" s="10">
        <v>2</v>
      </c>
      <c r="E4882" s="10">
        <v>20</v>
      </c>
      <c r="F4882" t="s">
        <v>155</v>
      </c>
      <c r="G4882" t="s">
        <v>155</v>
      </c>
      <c r="H4882" t="s">
        <v>131</v>
      </c>
      <c r="I4882" t="s">
        <v>27</v>
      </c>
      <c r="J4882" s="4">
        <v>25</v>
      </c>
      <c r="K4882">
        <v>1</v>
      </c>
      <c r="L4882">
        <v>25</v>
      </c>
      <c r="M4882">
        <v>25</v>
      </c>
      <c r="N4882" s="5">
        <v>1.2671059300557526</v>
      </c>
      <c r="O4882" t="s">
        <v>100</v>
      </c>
      <c r="P4882" t="s">
        <v>340</v>
      </c>
      <c r="Q4882" s="10" t="s">
        <v>24</v>
      </c>
      <c r="R4882">
        <v>0</v>
      </c>
    </row>
    <row r="4883" spans="1:18" hidden="1" x14ac:dyDescent="0.25">
      <c r="A4883" s="9" t="s">
        <v>980</v>
      </c>
      <c r="B4883" s="3" t="s">
        <v>2302</v>
      </c>
      <c r="C4883" s="10">
        <v>1</v>
      </c>
      <c r="D4883" s="10">
        <v>2</v>
      </c>
      <c r="E4883" s="10">
        <v>20</v>
      </c>
      <c r="F4883" t="s">
        <v>155</v>
      </c>
      <c r="G4883" t="s">
        <v>155</v>
      </c>
      <c r="H4883" t="s">
        <v>131</v>
      </c>
      <c r="I4883" t="s">
        <v>27</v>
      </c>
      <c r="J4883" s="4">
        <v>52.9</v>
      </c>
      <c r="K4883">
        <v>1</v>
      </c>
      <c r="L4883">
        <v>52.9</v>
      </c>
      <c r="M4883">
        <v>52.9</v>
      </c>
      <c r="N4883" s="5">
        <v>2.6811961479979725</v>
      </c>
      <c r="O4883" t="s">
        <v>100</v>
      </c>
      <c r="P4883" t="s">
        <v>340</v>
      </c>
      <c r="Q4883" s="10" t="s">
        <v>24</v>
      </c>
      <c r="R4883">
        <v>0</v>
      </c>
    </row>
    <row r="4884" spans="1:18" hidden="1" x14ac:dyDescent="0.25">
      <c r="A4884" s="9" t="s">
        <v>2353</v>
      </c>
      <c r="B4884" s="3" t="s">
        <v>2302</v>
      </c>
      <c r="C4884" s="10">
        <v>1</v>
      </c>
      <c r="D4884" s="10">
        <v>2</v>
      </c>
      <c r="E4884" s="10">
        <v>20</v>
      </c>
      <c r="F4884" t="s">
        <v>2174</v>
      </c>
      <c r="G4884" t="s">
        <v>889</v>
      </c>
      <c r="H4884" t="s">
        <v>2093</v>
      </c>
      <c r="I4884" t="s">
        <v>72</v>
      </c>
      <c r="J4884">
        <v>118</v>
      </c>
      <c r="K4884" s="10">
        <v>1</v>
      </c>
      <c r="L4884">
        <v>118</v>
      </c>
      <c r="M4884">
        <v>118</v>
      </c>
      <c r="N4884" s="5">
        <v>6.0327198364008181</v>
      </c>
      <c r="O4884" t="s">
        <v>233</v>
      </c>
      <c r="P4884" t="s">
        <v>340</v>
      </c>
      <c r="Q4884" s="10" t="s">
        <v>24</v>
      </c>
      <c r="R4884">
        <v>0</v>
      </c>
    </row>
    <row r="4885" spans="1:18" hidden="1" x14ac:dyDescent="0.25">
      <c r="A4885" s="9" t="s">
        <v>2353</v>
      </c>
      <c r="B4885" s="3" t="s">
        <v>2302</v>
      </c>
      <c r="C4885" s="10">
        <v>1</v>
      </c>
      <c r="D4885" s="10">
        <v>2</v>
      </c>
      <c r="E4885" s="10">
        <v>20</v>
      </c>
      <c r="F4885" t="s">
        <v>104</v>
      </c>
      <c r="G4885" t="s">
        <v>889</v>
      </c>
      <c r="H4885" t="s">
        <v>2400</v>
      </c>
      <c r="I4885" t="s">
        <v>72</v>
      </c>
      <c r="J4885">
        <v>77.17</v>
      </c>
      <c r="K4885" s="10">
        <v>1</v>
      </c>
      <c r="L4885">
        <v>77.17</v>
      </c>
      <c r="M4885">
        <v>77.17</v>
      </c>
      <c r="N4885" s="5">
        <v>3.9452965235173827</v>
      </c>
      <c r="O4885" t="s">
        <v>233</v>
      </c>
      <c r="P4885" t="s">
        <v>340</v>
      </c>
      <c r="Q4885" s="10" t="s">
        <v>24</v>
      </c>
      <c r="R4885" t="s">
        <v>2391</v>
      </c>
    </row>
    <row r="4886" spans="1:18" hidden="1" x14ac:dyDescent="0.25">
      <c r="A4886" s="9" t="s">
        <v>2353</v>
      </c>
      <c r="B4886" s="3" t="s">
        <v>2302</v>
      </c>
      <c r="C4886" s="10">
        <v>1</v>
      </c>
      <c r="D4886" s="10">
        <v>2</v>
      </c>
      <c r="E4886" s="10">
        <v>20</v>
      </c>
      <c r="F4886" t="s">
        <v>146</v>
      </c>
      <c r="G4886" t="s">
        <v>889</v>
      </c>
      <c r="H4886" t="s">
        <v>49</v>
      </c>
      <c r="I4886" t="s">
        <v>50</v>
      </c>
      <c r="J4886">
        <v>0.15</v>
      </c>
      <c r="K4886" s="10">
        <v>1</v>
      </c>
      <c r="L4886">
        <v>0.15</v>
      </c>
      <c r="M4886">
        <v>0.15</v>
      </c>
      <c r="N4886" s="5">
        <v>7.6687116564417178E-3</v>
      </c>
      <c r="O4886" t="s">
        <v>233</v>
      </c>
      <c r="P4886" t="s">
        <v>340</v>
      </c>
      <c r="Q4886" s="10" t="s">
        <v>24</v>
      </c>
      <c r="R4886">
        <v>0</v>
      </c>
    </row>
    <row r="4887" spans="1:18" hidden="1" x14ac:dyDescent="0.25">
      <c r="A4887" s="9" t="s">
        <v>980</v>
      </c>
      <c r="B4887" s="3" t="s">
        <v>2281</v>
      </c>
      <c r="C4887" s="10">
        <v>11</v>
      </c>
      <c r="D4887" s="10">
        <v>2</v>
      </c>
      <c r="E4887" s="10">
        <v>20</v>
      </c>
      <c r="F4887" t="s">
        <v>53</v>
      </c>
      <c r="G4887" t="s">
        <v>889</v>
      </c>
      <c r="H4887" t="s">
        <v>53</v>
      </c>
      <c r="I4887" t="s">
        <v>27</v>
      </c>
      <c r="J4887" s="4">
        <v>13</v>
      </c>
      <c r="K4887">
        <v>2</v>
      </c>
      <c r="L4887">
        <v>13</v>
      </c>
      <c r="M4887">
        <v>26</v>
      </c>
      <c r="N4887" s="5">
        <v>1.3177901672579828</v>
      </c>
      <c r="O4887" t="s">
        <v>23</v>
      </c>
      <c r="P4887" t="s">
        <v>340</v>
      </c>
      <c r="Q4887" s="10" t="s">
        <v>24</v>
      </c>
      <c r="R4887" t="s">
        <v>1938</v>
      </c>
    </row>
    <row r="4888" spans="1:18" hidden="1" x14ac:dyDescent="0.25">
      <c r="A4888" s="9" t="s">
        <v>2353</v>
      </c>
      <c r="B4888" s="3" t="s">
        <v>2281</v>
      </c>
      <c r="C4888" s="10">
        <v>11</v>
      </c>
      <c r="D4888" s="10">
        <v>2</v>
      </c>
      <c r="E4888" s="10">
        <v>20</v>
      </c>
      <c r="F4888" t="s">
        <v>104</v>
      </c>
      <c r="G4888" t="s">
        <v>889</v>
      </c>
      <c r="H4888" t="s">
        <v>2406</v>
      </c>
      <c r="I4888" t="s">
        <v>72</v>
      </c>
      <c r="J4888">
        <v>14.25</v>
      </c>
      <c r="K4888" s="10">
        <v>1</v>
      </c>
      <c r="L4888">
        <v>14.25</v>
      </c>
      <c r="M4888">
        <v>14.25</v>
      </c>
      <c r="N4888" s="5">
        <v>0.7285276073619632</v>
      </c>
      <c r="O4888" t="s">
        <v>1659</v>
      </c>
      <c r="P4888" t="s">
        <v>340</v>
      </c>
      <c r="Q4888" s="10" t="s">
        <v>24</v>
      </c>
      <c r="R4888" t="s">
        <v>2407</v>
      </c>
    </row>
    <row r="4889" spans="1:18" hidden="1" x14ac:dyDescent="0.25">
      <c r="A4889" s="9" t="s">
        <v>980</v>
      </c>
      <c r="B4889" s="3" t="s">
        <v>2301</v>
      </c>
      <c r="C4889" s="10">
        <v>12</v>
      </c>
      <c r="D4889" s="10">
        <v>2</v>
      </c>
      <c r="E4889" s="10">
        <v>20</v>
      </c>
      <c r="F4889" t="s">
        <v>522</v>
      </c>
      <c r="G4889" t="s">
        <v>889</v>
      </c>
      <c r="H4889" t="s">
        <v>65</v>
      </c>
      <c r="I4889" t="s">
        <v>27</v>
      </c>
      <c r="J4889" s="4">
        <v>15.9</v>
      </c>
      <c r="K4889">
        <v>2</v>
      </c>
      <c r="L4889">
        <v>15.9</v>
      </c>
      <c r="M4889">
        <v>31.8</v>
      </c>
      <c r="N4889" s="5">
        <v>1.6117587430309175</v>
      </c>
      <c r="O4889" t="s">
        <v>100</v>
      </c>
      <c r="P4889" t="s">
        <v>340</v>
      </c>
      <c r="Q4889" s="10" t="s">
        <v>24</v>
      </c>
      <c r="R4889">
        <v>0</v>
      </c>
    </row>
    <row r="4890" spans="1:18" hidden="1" x14ac:dyDescent="0.25">
      <c r="A4890" s="9" t="s">
        <v>980</v>
      </c>
      <c r="B4890" s="3" t="s">
        <v>2301</v>
      </c>
      <c r="C4890" s="10">
        <v>12</v>
      </c>
      <c r="D4890" s="10">
        <v>2</v>
      </c>
      <c r="E4890" s="10">
        <v>20</v>
      </c>
      <c r="F4890" t="s">
        <v>657</v>
      </c>
      <c r="G4890" t="s">
        <v>889</v>
      </c>
      <c r="H4890" t="s">
        <v>40</v>
      </c>
      <c r="I4890" t="s">
        <v>27</v>
      </c>
      <c r="J4890" s="4">
        <v>14</v>
      </c>
      <c r="K4890">
        <v>1</v>
      </c>
      <c r="L4890">
        <v>14</v>
      </c>
      <c r="M4890">
        <v>14</v>
      </c>
      <c r="N4890" s="5">
        <v>0.70957932083122144</v>
      </c>
      <c r="O4890" t="s">
        <v>100</v>
      </c>
      <c r="P4890" t="s">
        <v>340</v>
      </c>
      <c r="Q4890" s="10" t="s">
        <v>24</v>
      </c>
      <c r="R4890">
        <v>0</v>
      </c>
    </row>
    <row r="4891" spans="1:18" hidden="1" x14ac:dyDescent="0.25">
      <c r="A4891" s="9" t="s">
        <v>980</v>
      </c>
      <c r="B4891" s="3" t="s">
        <v>2301</v>
      </c>
      <c r="C4891" s="10">
        <v>12</v>
      </c>
      <c r="D4891" s="10">
        <v>2</v>
      </c>
      <c r="E4891" s="10">
        <v>20</v>
      </c>
      <c r="F4891" t="s">
        <v>294</v>
      </c>
      <c r="G4891" t="s">
        <v>155</v>
      </c>
      <c r="H4891" t="s">
        <v>131</v>
      </c>
      <c r="I4891" t="s">
        <v>27</v>
      </c>
      <c r="J4891" s="4">
        <v>16.600000000000001</v>
      </c>
      <c r="K4891">
        <v>1</v>
      </c>
      <c r="L4891">
        <v>16.600000000000001</v>
      </c>
      <c r="M4891">
        <v>16.600000000000001</v>
      </c>
      <c r="N4891" s="5">
        <v>0.84135833755701983</v>
      </c>
      <c r="O4891" t="s">
        <v>100</v>
      </c>
      <c r="P4891" t="s">
        <v>340</v>
      </c>
      <c r="Q4891" s="10" t="s">
        <v>24</v>
      </c>
      <c r="R4891">
        <v>0</v>
      </c>
    </row>
    <row r="4892" spans="1:18" hidden="1" x14ac:dyDescent="0.25">
      <c r="A4892" s="9" t="s">
        <v>980</v>
      </c>
      <c r="B4892" s="3" t="s">
        <v>2301</v>
      </c>
      <c r="C4892" s="10">
        <v>12</v>
      </c>
      <c r="D4892" s="10">
        <v>2</v>
      </c>
      <c r="E4892" s="10">
        <v>20</v>
      </c>
      <c r="F4892" t="s">
        <v>2041</v>
      </c>
      <c r="G4892" t="s">
        <v>889</v>
      </c>
      <c r="H4892" t="s">
        <v>35</v>
      </c>
      <c r="I4892" t="s">
        <v>27</v>
      </c>
      <c r="J4892" s="4">
        <v>148.6</v>
      </c>
      <c r="K4892">
        <v>0.152</v>
      </c>
      <c r="L4892">
        <v>148.6</v>
      </c>
      <c r="M4892">
        <v>22.587199999999999</v>
      </c>
      <c r="N4892" s="5">
        <v>1.1448150025342119</v>
      </c>
      <c r="O4892" t="s">
        <v>100</v>
      </c>
      <c r="P4892" t="s">
        <v>340</v>
      </c>
      <c r="Q4892" s="10" t="s">
        <v>24</v>
      </c>
      <c r="R4892">
        <v>0</v>
      </c>
    </row>
    <row r="4893" spans="1:18" hidden="1" x14ac:dyDescent="0.25">
      <c r="A4893" s="9" t="s">
        <v>980</v>
      </c>
      <c r="B4893" s="3" t="s">
        <v>2301</v>
      </c>
      <c r="C4893" s="10">
        <v>12</v>
      </c>
      <c r="D4893" s="10">
        <v>2</v>
      </c>
      <c r="E4893" s="10">
        <v>20</v>
      </c>
      <c r="F4893" t="s">
        <v>2040</v>
      </c>
      <c r="G4893" t="s">
        <v>465</v>
      </c>
      <c r="H4893" t="s">
        <v>35</v>
      </c>
      <c r="I4893" t="s">
        <v>27</v>
      </c>
      <c r="J4893" s="4">
        <v>95.6</v>
      </c>
      <c r="K4893">
        <v>0.192</v>
      </c>
      <c r="L4893">
        <v>95.6</v>
      </c>
      <c r="M4893">
        <v>18.3552</v>
      </c>
      <c r="N4893" s="5">
        <v>0.93031931069437401</v>
      </c>
      <c r="O4893" t="s">
        <v>100</v>
      </c>
      <c r="P4893" t="s">
        <v>340</v>
      </c>
      <c r="Q4893" s="10" t="s">
        <v>24</v>
      </c>
      <c r="R4893">
        <v>0</v>
      </c>
    </row>
    <row r="4894" spans="1:18" hidden="1" x14ac:dyDescent="0.25">
      <c r="A4894" s="9" t="s">
        <v>980</v>
      </c>
      <c r="B4894" s="3" t="s">
        <v>2301</v>
      </c>
      <c r="C4894" s="10">
        <v>12</v>
      </c>
      <c r="D4894" s="10">
        <v>2</v>
      </c>
      <c r="E4894" s="10">
        <v>20</v>
      </c>
      <c r="F4894" t="s">
        <v>1624</v>
      </c>
      <c r="G4894" t="s">
        <v>889</v>
      </c>
      <c r="H4894" t="s">
        <v>131</v>
      </c>
      <c r="I4894" t="s">
        <v>27</v>
      </c>
      <c r="J4894" s="4">
        <v>64</v>
      </c>
      <c r="K4894">
        <v>1</v>
      </c>
      <c r="L4894">
        <v>64</v>
      </c>
      <c r="M4894">
        <v>64</v>
      </c>
      <c r="N4894" s="5">
        <v>3.2437911809427269</v>
      </c>
      <c r="O4894" t="s">
        <v>100</v>
      </c>
      <c r="P4894" t="s">
        <v>340</v>
      </c>
      <c r="Q4894" s="10" t="s">
        <v>24</v>
      </c>
      <c r="R4894">
        <v>0</v>
      </c>
    </row>
    <row r="4895" spans="1:18" hidden="1" x14ac:dyDescent="0.25">
      <c r="A4895" s="9" t="s">
        <v>980</v>
      </c>
      <c r="B4895" s="3" t="s">
        <v>2301</v>
      </c>
      <c r="C4895" s="10">
        <v>12</v>
      </c>
      <c r="D4895" s="10">
        <v>2</v>
      </c>
      <c r="E4895" s="10">
        <v>20</v>
      </c>
      <c r="F4895" t="s">
        <v>974</v>
      </c>
      <c r="G4895" t="s">
        <v>25</v>
      </c>
      <c r="H4895" t="s">
        <v>26</v>
      </c>
      <c r="I4895" t="s">
        <v>27</v>
      </c>
      <c r="J4895" s="4">
        <v>211.6</v>
      </c>
      <c r="K4895">
        <v>0.374</v>
      </c>
      <c r="L4895">
        <v>211.6</v>
      </c>
      <c r="M4895">
        <v>79.138400000000004</v>
      </c>
      <c r="N4895" s="5">
        <v>4.0110694374049674</v>
      </c>
      <c r="O4895" t="s">
        <v>100</v>
      </c>
      <c r="P4895" t="s">
        <v>340</v>
      </c>
      <c r="Q4895" s="10" t="s">
        <v>24</v>
      </c>
      <c r="R4895">
        <v>0</v>
      </c>
    </row>
    <row r="4896" spans="1:18" hidden="1" x14ac:dyDescent="0.25">
      <c r="A4896" s="9" t="s">
        <v>980</v>
      </c>
      <c r="B4896" s="3" t="s">
        <v>2301</v>
      </c>
      <c r="C4896" s="10">
        <v>12</v>
      </c>
      <c r="D4896" s="10">
        <v>2</v>
      </c>
      <c r="E4896" s="10">
        <v>20</v>
      </c>
      <c r="F4896" t="s">
        <v>2292</v>
      </c>
      <c r="G4896" t="s">
        <v>889</v>
      </c>
      <c r="H4896" t="s">
        <v>35</v>
      </c>
      <c r="I4896" t="s">
        <v>27</v>
      </c>
      <c r="J4896" s="4">
        <v>165.6</v>
      </c>
      <c r="K4896">
        <v>0.16800000000000001</v>
      </c>
      <c r="L4896">
        <v>165.6</v>
      </c>
      <c r="M4896">
        <v>27.820800000000002</v>
      </c>
      <c r="N4896" s="5">
        <v>1.4100760263558034</v>
      </c>
      <c r="O4896" t="s">
        <v>100</v>
      </c>
      <c r="P4896" t="s">
        <v>340</v>
      </c>
      <c r="Q4896" s="10" t="s">
        <v>24</v>
      </c>
      <c r="R4896">
        <v>0</v>
      </c>
    </row>
    <row r="4897" spans="1:18" hidden="1" x14ac:dyDescent="0.25">
      <c r="A4897" s="9" t="s">
        <v>980</v>
      </c>
      <c r="B4897" s="3" t="s">
        <v>2301</v>
      </c>
      <c r="C4897" s="10">
        <v>12</v>
      </c>
      <c r="D4897" s="10">
        <v>2</v>
      </c>
      <c r="E4897" s="10">
        <v>20</v>
      </c>
      <c r="F4897" t="s">
        <v>2287</v>
      </c>
      <c r="G4897" t="s">
        <v>77</v>
      </c>
      <c r="H4897" t="s">
        <v>26</v>
      </c>
      <c r="I4897" t="s">
        <v>27</v>
      </c>
      <c r="J4897" s="4">
        <v>23.6</v>
      </c>
      <c r="K4897">
        <v>1</v>
      </c>
      <c r="L4897">
        <v>23.6</v>
      </c>
      <c r="M4897">
        <v>23.6</v>
      </c>
      <c r="N4897" s="5">
        <v>1.1961479979726306</v>
      </c>
      <c r="O4897" t="s">
        <v>100</v>
      </c>
      <c r="P4897" t="s">
        <v>340</v>
      </c>
      <c r="Q4897" s="10" t="s">
        <v>24</v>
      </c>
      <c r="R4897">
        <v>0</v>
      </c>
    </row>
    <row r="4898" spans="1:18" hidden="1" x14ac:dyDescent="0.25">
      <c r="A4898" s="9" t="s">
        <v>980</v>
      </c>
      <c r="B4898" s="3" t="s">
        <v>2301</v>
      </c>
      <c r="C4898" s="10">
        <v>12</v>
      </c>
      <c r="D4898" s="10">
        <v>2</v>
      </c>
      <c r="E4898" s="10">
        <v>20</v>
      </c>
      <c r="F4898" t="s">
        <v>2293</v>
      </c>
      <c r="G4898" t="s">
        <v>155</v>
      </c>
      <c r="H4898" t="s">
        <v>131</v>
      </c>
      <c r="I4898" t="s">
        <v>27</v>
      </c>
      <c r="J4898" s="4">
        <v>23.6</v>
      </c>
      <c r="K4898">
        <v>1</v>
      </c>
      <c r="L4898">
        <v>23.6</v>
      </c>
      <c r="M4898">
        <v>23.6</v>
      </c>
      <c r="N4898" s="5">
        <v>1.1961479979726306</v>
      </c>
      <c r="O4898" t="s">
        <v>100</v>
      </c>
      <c r="P4898" t="s">
        <v>340</v>
      </c>
      <c r="Q4898" s="10" t="s">
        <v>24</v>
      </c>
      <c r="R4898">
        <v>0</v>
      </c>
    </row>
    <row r="4899" spans="1:18" hidden="1" x14ac:dyDescent="0.25">
      <c r="A4899" s="9" t="s">
        <v>980</v>
      </c>
      <c r="B4899" s="3" t="s">
        <v>2301</v>
      </c>
      <c r="C4899" s="10">
        <v>12</v>
      </c>
      <c r="D4899" s="10">
        <v>2</v>
      </c>
      <c r="E4899" s="10">
        <v>20</v>
      </c>
      <c r="F4899" t="s">
        <v>1721</v>
      </c>
      <c r="G4899" t="s">
        <v>889</v>
      </c>
      <c r="H4899" t="s">
        <v>39</v>
      </c>
      <c r="I4899" t="s">
        <v>27</v>
      </c>
      <c r="J4899" s="4">
        <v>66.63</v>
      </c>
      <c r="K4899">
        <v>0.4</v>
      </c>
      <c r="L4899">
        <v>66.63</v>
      </c>
      <c r="M4899">
        <v>26.652000000000001</v>
      </c>
      <c r="N4899" s="5">
        <v>1.3508362899138369</v>
      </c>
      <c r="O4899" t="s">
        <v>100</v>
      </c>
      <c r="P4899" t="s">
        <v>340</v>
      </c>
      <c r="Q4899" s="10" t="s">
        <v>24</v>
      </c>
      <c r="R4899">
        <v>0</v>
      </c>
    </row>
    <row r="4900" spans="1:18" hidden="1" x14ac:dyDescent="0.25">
      <c r="A4900" s="9" t="s">
        <v>980</v>
      </c>
      <c r="B4900" s="3" t="s">
        <v>2301</v>
      </c>
      <c r="C4900" s="10">
        <v>12</v>
      </c>
      <c r="D4900" s="10">
        <v>2</v>
      </c>
      <c r="E4900" s="10">
        <v>20</v>
      </c>
      <c r="F4900" t="s">
        <v>1036</v>
      </c>
      <c r="G4900" t="s">
        <v>889</v>
      </c>
      <c r="H4900" t="s">
        <v>38</v>
      </c>
      <c r="I4900" t="s">
        <v>27</v>
      </c>
      <c r="J4900" s="4">
        <v>126</v>
      </c>
      <c r="K4900">
        <v>0.24399999999999999</v>
      </c>
      <c r="L4900">
        <v>126</v>
      </c>
      <c r="M4900">
        <v>30.744</v>
      </c>
      <c r="N4900" s="5">
        <v>1.5582361885453624</v>
      </c>
      <c r="O4900" t="s">
        <v>100</v>
      </c>
      <c r="P4900" t="s">
        <v>340</v>
      </c>
      <c r="Q4900" s="10" t="s">
        <v>24</v>
      </c>
      <c r="R4900">
        <v>0</v>
      </c>
    </row>
    <row r="4901" spans="1:18" hidden="1" x14ac:dyDescent="0.25">
      <c r="A4901" s="9" t="s">
        <v>980</v>
      </c>
      <c r="B4901" s="3" t="s">
        <v>2301</v>
      </c>
      <c r="C4901" s="10">
        <v>12</v>
      </c>
      <c r="D4901" s="10">
        <v>2</v>
      </c>
      <c r="E4901" s="10">
        <v>20</v>
      </c>
      <c r="F4901" t="s">
        <v>1466</v>
      </c>
      <c r="G4901" t="s">
        <v>31</v>
      </c>
      <c r="H4901" t="s">
        <v>26</v>
      </c>
      <c r="I4901" t="s">
        <v>27</v>
      </c>
      <c r="J4901" s="4">
        <v>36.6</v>
      </c>
      <c r="K4901">
        <v>2</v>
      </c>
      <c r="L4901">
        <v>36.6</v>
      </c>
      <c r="M4901">
        <v>73.2</v>
      </c>
      <c r="N4901" s="5">
        <v>3.7100861632032438</v>
      </c>
      <c r="O4901" t="s">
        <v>100</v>
      </c>
      <c r="P4901" t="s">
        <v>340</v>
      </c>
      <c r="Q4901" s="10" t="s">
        <v>24</v>
      </c>
      <c r="R4901">
        <v>0</v>
      </c>
    </row>
    <row r="4902" spans="1:18" hidden="1" x14ac:dyDescent="0.25">
      <c r="A4902" s="9" t="s">
        <v>980</v>
      </c>
      <c r="B4902" s="3" t="s">
        <v>2297</v>
      </c>
      <c r="C4902" s="10">
        <v>13</v>
      </c>
      <c r="D4902" s="10">
        <v>2</v>
      </c>
      <c r="E4902" s="10">
        <v>20</v>
      </c>
      <c r="F4902" t="s">
        <v>55</v>
      </c>
      <c r="G4902" t="s">
        <v>889</v>
      </c>
      <c r="H4902" t="s">
        <v>56</v>
      </c>
      <c r="I4902" t="s">
        <v>27</v>
      </c>
      <c r="J4902" s="4">
        <v>23.1</v>
      </c>
      <c r="K4902">
        <v>0.85499999999999998</v>
      </c>
      <c r="L4902">
        <v>23.1</v>
      </c>
      <c r="M4902">
        <v>19.750500000000002</v>
      </c>
      <c r="N4902" s="5">
        <v>1.0010390268626459</v>
      </c>
      <c r="O4902" t="s">
        <v>100</v>
      </c>
      <c r="P4902" t="s">
        <v>340</v>
      </c>
      <c r="Q4902" s="10" t="s">
        <v>24</v>
      </c>
      <c r="R4902">
        <v>0</v>
      </c>
    </row>
    <row r="4903" spans="1:18" hidden="1" x14ac:dyDescent="0.25">
      <c r="A4903" s="9" t="s">
        <v>980</v>
      </c>
      <c r="B4903" s="3" t="s">
        <v>2297</v>
      </c>
      <c r="C4903" s="10">
        <v>13</v>
      </c>
      <c r="D4903" s="10">
        <v>2</v>
      </c>
      <c r="E4903" s="10">
        <v>20</v>
      </c>
      <c r="F4903" t="s">
        <v>118</v>
      </c>
      <c r="G4903" t="s">
        <v>889</v>
      </c>
      <c r="H4903" t="s">
        <v>40</v>
      </c>
      <c r="I4903" t="s">
        <v>27</v>
      </c>
      <c r="J4903" s="4">
        <v>10</v>
      </c>
      <c r="K4903">
        <v>1</v>
      </c>
      <c r="L4903">
        <v>10</v>
      </c>
      <c r="M4903">
        <v>10</v>
      </c>
      <c r="N4903" s="5">
        <v>0.50684237202230109</v>
      </c>
      <c r="O4903" t="s">
        <v>100</v>
      </c>
      <c r="P4903" t="s">
        <v>340</v>
      </c>
      <c r="Q4903" s="10" t="s">
        <v>24</v>
      </c>
      <c r="R4903">
        <v>0</v>
      </c>
    </row>
    <row r="4904" spans="1:18" hidden="1" x14ac:dyDescent="0.25">
      <c r="A4904" s="9" t="s">
        <v>980</v>
      </c>
      <c r="B4904" s="3" t="s">
        <v>2297</v>
      </c>
      <c r="C4904" s="10">
        <v>13</v>
      </c>
      <c r="D4904" s="10">
        <v>2</v>
      </c>
      <c r="E4904" s="10">
        <v>20</v>
      </c>
      <c r="F4904" t="s">
        <v>2182</v>
      </c>
      <c r="G4904" t="s">
        <v>2190</v>
      </c>
      <c r="H4904" t="s">
        <v>2093</v>
      </c>
      <c r="I4904" t="s">
        <v>50</v>
      </c>
      <c r="J4904" s="4">
        <f>289.9/80</f>
        <v>3.6237499999999998</v>
      </c>
      <c r="K4904">
        <v>80</v>
      </c>
      <c r="L4904">
        <f>Spending_raw[[#This Row],[Qty]]*Spending_raw[[#This Row],[Price, local Currency]]</f>
        <v>289.89999999999998</v>
      </c>
      <c r="M4904">
        <v>289.89999999999998</v>
      </c>
      <c r="N4904" s="5">
        <v>14.693360364926507</v>
      </c>
      <c r="O4904" t="s">
        <v>2354</v>
      </c>
      <c r="P4904" t="s">
        <v>340</v>
      </c>
      <c r="Q4904" s="10" t="s">
        <v>24</v>
      </c>
      <c r="R4904">
        <v>0</v>
      </c>
    </row>
    <row r="4905" spans="1:18" hidden="1" x14ac:dyDescent="0.25">
      <c r="A4905" s="9" t="s">
        <v>980</v>
      </c>
      <c r="B4905" s="3" t="s">
        <v>2297</v>
      </c>
      <c r="C4905" s="10">
        <v>13</v>
      </c>
      <c r="D4905" s="10">
        <v>2</v>
      </c>
      <c r="E4905" s="10">
        <v>20</v>
      </c>
      <c r="F4905" t="s">
        <v>2288</v>
      </c>
      <c r="H4905" t="s">
        <v>2093</v>
      </c>
      <c r="I4905" t="s">
        <v>82</v>
      </c>
      <c r="J4905" s="4">
        <v>83.45</v>
      </c>
      <c r="K4905">
        <v>2</v>
      </c>
      <c r="L4905">
        <v>83.45</v>
      </c>
      <c r="M4905">
        <v>166.9</v>
      </c>
      <c r="N4905" s="5">
        <v>8.4591991890522049</v>
      </c>
      <c r="O4905" t="s">
        <v>2354</v>
      </c>
      <c r="P4905" t="s">
        <v>340</v>
      </c>
      <c r="Q4905" s="10" t="s">
        <v>24</v>
      </c>
      <c r="R4905">
        <v>0</v>
      </c>
    </row>
    <row r="4906" spans="1:18" hidden="1" x14ac:dyDescent="0.25">
      <c r="A4906" s="9" t="s">
        <v>2353</v>
      </c>
      <c r="B4906" s="3" t="s">
        <v>2432</v>
      </c>
      <c r="C4906" s="10">
        <v>14</v>
      </c>
      <c r="D4906" s="10">
        <v>2</v>
      </c>
      <c r="E4906" s="10">
        <v>20</v>
      </c>
      <c r="F4906" t="s">
        <v>78</v>
      </c>
      <c r="G4906" t="s">
        <v>304</v>
      </c>
      <c r="H4906" t="s">
        <v>78</v>
      </c>
      <c r="I4906" t="s">
        <v>79</v>
      </c>
      <c r="J4906">
        <v>18.420000000000002</v>
      </c>
      <c r="K4906" s="10">
        <v>50.59</v>
      </c>
      <c r="L4906">
        <v>18.420000000000002</v>
      </c>
      <c r="M4906">
        <v>931.8678000000001</v>
      </c>
      <c r="N4906" s="5">
        <v>47.64150306748467</v>
      </c>
      <c r="O4906" t="s">
        <v>80</v>
      </c>
      <c r="P4906" t="s">
        <v>340</v>
      </c>
      <c r="Q4906" s="10" t="s">
        <v>24</v>
      </c>
    </row>
    <row r="4907" spans="1:18" hidden="1" x14ac:dyDescent="0.25">
      <c r="A4907" s="9" t="s">
        <v>2353</v>
      </c>
      <c r="B4907" s="3" t="s">
        <v>2432</v>
      </c>
      <c r="C4907" s="10">
        <v>14</v>
      </c>
      <c r="D4907" s="10">
        <v>2</v>
      </c>
      <c r="E4907" s="10">
        <v>20</v>
      </c>
      <c r="F4907" t="s">
        <v>78</v>
      </c>
      <c r="G4907" t="s">
        <v>889</v>
      </c>
      <c r="H4907" t="s">
        <v>78</v>
      </c>
      <c r="I4907" t="s">
        <v>79</v>
      </c>
      <c r="J4907">
        <v>18.420000000000002</v>
      </c>
      <c r="K4907" s="10">
        <v>50.59</v>
      </c>
      <c r="L4907">
        <v>18.420000000000002</v>
      </c>
      <c r="M4907">
        <v>931.8678000000001</v>
      </c>
      <c r="N4907" s="5">
        <v>47.64150306748467</v>
      </c>
      <c r="O4907" t="s">
        <v>80</v>
      </c>
      <c r="P4907" t="s">
        <v>340</v>
      </c>
      <c r="Q4907" s="10" t="s">
        <v>24</v>
      </c>
    </row>
    <row r="4908" spans="1:18" hidden="1" x14ac:dyDescent="0.25">
      <c r="A4908" s="9" t="s">
        <v>2353</v>
      </c>
      <c r="B4908" s="3" t="s">
        <v>2432</v>
      </c>
      <c r="C4908" s="10">
        <v>14</v>
      </c>
      <c r="D4908" s="10">
        <v>2</v>
      </c>
      <c r="E4908" s="10">
        <v>20</v>
      </c>
      <c r="F4908" t="s">
        <v>1214</v>
      </c>
      <c r="G4908" t="s">
        <v>889</v>
      </c>
      <c r="H4908" t="s">
        <v>53</v>
      </c>
      <c r="I4908" t="s">
        <v>27</v>
      </c>
      <c r="J4908">
        <v>8.49</v>
      </c>
      <c r="K4908" s="10">
        <v>12</v>
      </c>
      <c r="L4908">
        <v>8.49</v>
      </c>
      <c r="M4908">
        <v>101.88</v>
      </c>
      <c r="N4908" s="5">
        <v>5.2085889570552144</v>
      </c>
      <c r="O4908" t="s">
        <v>51</v>
      </c>
      <c r="P4908" t="s">
        <v>340</v>
      </c>
      <c r="Q4908" s="10" t="s">
        <v>24</v>
      </c>
      <c r="R4908">
        <v>0</v>
      </c>
    </row>
    <row r="4909" spans="1:18" hidden="1" x14ac:dyDescent="0.25">
      <c r="A4909" s="9" t="s">
        <v>2353</v>
      </c>
      <c r="B4909" s="3" t="s">
        <v>2432</v>
      </c>
      <c r="C4909" s="10">
        <v>14</v>
      </c>
      <c r="D4909" s="10">
        <v>2</v>
      </c>
      <c r="E4909" s="10">
        <v>20</v>
      </c>
      <c r="F4909" t="s">
        <v>1383</v>
      </c>
      <c r="G4909" t="s">
        <v>889</v>
      </c>
      <c r="H4909" t="s">
        <v>53</v>
      </c>
      <c r="I4909" t="s">
        <v>27</v>
      </c>
      <c r="J4909">
        <v>18.989999999999998</v>
      </c>
      <c r="K4909" s="10">
        <v>12</v>
      </c>
      <c r="L4909">
        <v>18.989999999999998</v>
      </c>
      <c r="M4909">
        <v>227.88</v>
      </c>
      <c r="N4909" s="5">
        <v>11.650306748466258</v>
      </c>
      <c r="O4909" t="s">
        <v>51</v>
      </c>
      <c r="P4909" t="s">
        <v>340</v>
      </c>
      <c r="Q4909" s="10" t="s">
        <v>24</v>
      </c>
      <c r="R4909">
        <v>0</v>
      </c>
    </row>
    <row r="4910" spans="1:18" hidden="1" x14ac:dyDescent="0.25">
      <c r="A4910" s="9" t="s">
        <v>2353</v>
      </c>
      <c r="B4910" s="3" t="s">
        <v>2432</v>
      </c>
      <c r="C4910" s="10">
        <v>14</v>
      </c>
      <c r="D4910" s="10">
        <v>2</v>
      </c>
      <c r="E4910" s="10">
        <v>20</v>
      </c>
      <c r="F4910" t="s">
        <v>316</v>
      </c>
      <c r="G4910" t="s">
        <v>889</v>
      </c>
      <c r="H4910" t="s">
        <v>49</v>
      </c>
      <c r="I4910" t="s">
        <v>79</v>
      </c>
      <c r="J4910">
        <v>38.9</v>
      </c>
      <c r="K4910" s="10">
        <v>1</v>
      </c>
      <c r="L4910">
        <v>38.9</v>
      </c>
      <c r="M4910">
        <v>38.9</v>
      </c>
      <c r="N4910" s="5">
        <v>1.9887525562372188</v>
      </c>
      <c r="O4910" t="s">
        <v>51</v>
      </c>
      <c r="P4910" t="s">
        <v>340</v>
      </c>
      <c r="Q4910" s="10" t="s">
        <v>24</v>
      </c>
      <c r="R4910">
        <v>0</v>
      </c>
    </row>
    <row r="4911" spans="1:18" hidden="1" x14ac:dyDescent="0.25">
      <c r="A4911" s="9" t="s">
        <v>2353</v>
      </c>
      <c r="B4911" s="3" t="s">
        <v>2432</v>
      </c>
      <c r="C4911" s="10">
        <v>14</v>
      </c>
      <c r="D4911" s="10">
        <v>2</v>
      </c>
      <c r="E4911" s="10">
        <v>20</v>
      </c>
      <c r="F4911" t="s">
        <v>44</v>
      </c>
      <c r="G4911" t="s">
        <v>889</v>
      </c>
      <c r="H4911" t="s">
        <v>44</v>
      </c>
      <c r="I4911" t="s">
        <v>27</v>
      </c>
      <c r="J4911">
        <v>26.59</v>
      </c>
      <c r="K4911" s="10">
        <v>2</v>
      </c>
      <c r="L4911">
        <v>26.59</v>
      </c>
      <c r="M4911">
        <v>53.18</v>
      </c>
      <c r="N4911" s="5">
        <v>2.7188139059304706</v>
      </c>
      <c r="O4911" t="s">
        <v>51</v>
      </c>
      <c r="P4911" t="s">
        <v>340</v>
      </c>
      <c r="Q4911" s="10" t="s">
        <v>24</v>
      </c>
      <c r="R4911">
        <v>0</v>
      </c>
    </row>
    <row r="4912" spans="1:18" hidden="1" x14ac:dyDescent="0.25">
      <c r="A4912" s="9" t="s">
        <v>2353</v>
      </c>
      <c r="B4912" s="3" t="s">
        <v>2432</v>
      </c>
      <c r="C4912" s="10">
        <v>14</v>
      </c>
      <c r="D4912" s="10">
        <v>2</v>
      </c>
      <c r="E4912" s="10">
        <v>20</v>
      </c>
      <c r="F4912" t="s">
        <v>44</v>
      </c>
      <c r="G4912" t="s">
        <v>889</v>
      </c>
      <c r="H4912" t="s">
        <v>44</v>
      </c>
      <c r="I4912" t="s">
        <v>27</v>
      </c>
      <c r="J4912">
        <v>23.9</v>
      </c>
      <c r="K4912" s="10">
        <v>1</v>
      </c>
      <c r="L4912">
        <v>23.9</v>
      </c>
      <c r="M4912">
        <v>23.9</v>
      </c>
      <c r="N4912" s="5">
        <v>1.221881390593047</v>
      </c>
      <c r="O4912" t="s">
        <v>51</v>
      </c>
      <c r="P4912" t="s">
        <v>340</v>
      </c>
      <c r="Q4912" s="10" t="s">
        <v>24</v>
      </c>
      <c r="R4912">
        <v>0</v>
      </c>
    </row>
    <row r="4913" spans="1:18" hidden="1" x14ac:dyDescent="0.25">
      <c r="A4913" s="9" t="s">
        <v>2353</v>
      </c>
      <c r="B4913" s="3" t="s">
        <v>2432</v>
      </c>
      <c r="C4913" s="10">
        <v>14</v>
      </c>
      <c r="D4913" s="10">
        <v>2</v>
      </c>
      <c r="E4913" s="10">
        <v>20</v>
      </c>
      <c r="F4913" t="s">
        <v>1466</v>
      </c>
      <c r="G4913" t="s">
        <v>31</v>
      </c>
      <c r="H4913" t="s">
        <v>26</v>
      </c>
      <c r="I4913" t="s">
        <v>27</v>
      </c>
      <c r="J4913">
        <v>34.5</v>
      </c>
      <c r="K4913" s="10">
        <v>2</v>
      </c>
      <c r="L4913">
        <v>34.5</v>
      </c>
      <c r="M4913">
        <v>69</v>
      </c>
      <c r="N4913" s="5">
        <v>3.5276073619631902</v>
      </c>
      <c r="O4913" t="s">
        <v>51</v>
      </c>
      <c r="P4913" t="s">
        <v>340</v>
      </c>
      <c r="Q4913" s="10" t="s">
        <v>24</v>
      </c>
      <c r="R4913">
        <v>0</v>
      </c>
    </row>
    <row r="4914" spans="1:18" hidden="1" x14ac:dyDescent="0.25">
      <c r="A4914" s="9" t="s">
        <v>2353</v>
      </c>
      <c r="B4914" s="3" t="s">
        <v>2432</v>
      </c>
      <c r="C4914" s="10">
        <v>14</v>
      </c>
      <c r="D4914" s="10">
        <v>2</v>
      </c>
      <c r="E4914" s="10">
        <v>20</v>
      </c>
      <c r="F4914" t="s">
        <v>73</v>
      </c>
      <c r="G4914" t="s">
        <v>889</v>
      </c>
      <c r="H4914" t="s">
        <v>73</v>
      </c>
      <c r="I4914" t="s">
        <v>27</v>
      </c>
      <c r="J4914">
        <v>33.479999999999997</v>
      </c>
      <c r="K4914" s="10">
        <v>1</v>
      </c>
      <c r="L4914">
        <v>33.479999999999997</v>
      </c>
      <c r="M4914">
        <v>33.479999999999997</v>
      </c>
      <c r="N4914" s="5">
        <v>1.7116564417177913</v>
      </c>
      <c r="O4914" t="s">
        <v>51</v>
      </c>
      <c r="P4914" t="s">
        <v>340</v>
      </c>
      <c r="Q4914" s="10" t="s">
        <v>24</v>
      </c>
      <c r="R4914">
        <v>0</v>
      </c>
    </row>
    <row r="4915" spans="1:18" hidden="1" x14ac:dyDescent="0.25">
      <c r="A4915" s="9" t="s">
        <v>2353</v>
      </c>
      <c r="B4915" s="3" t="s">
        <v>2432</v>
      </c>
      <c r="C4915" s="10">
        <v>14</v>
      </c>
      <c r="D4915" s="10">
        <v>2</v>
      </c>
      <c r="E4915" s="10">
        <v>20</v>
      </c>
      <c r="F4915" t="s">
        <v>460</v>
      </c>
      <c r="G4915" t="s">
        <v>889</v>
      </c>
      <c r="H4915" t="s">
        <v>65</v>
      </c>
      <c r="I4915" t="s">
        <v>27</v>
      </c>
      <c r="J4915">
        <v>7.99</v>
      </c>
      <c r="K4915" s="10">
        <v>3</v>
      </c>
      <c r="L4915">
        <v>7.99</v>
      </c>
      <c r="M4915">
        <v>23.97</v>
      </c>
      <c r="N4915" s="5">
        <v>1.2254601226993864</v>
      </c>
      <c r="O4915" t="s">
        <v>51</v>
      </c>
      <c r="P4915" t="s">
        <v>340</v>
      </c>
      <c r="Q4915" s="10" t="s">
        <v>24</v>
      </c>
      <c r="R4915">
        <v>0</v>
      </c>
    </row>
    <row r="4916" spans="1:18" hidden="1" x14ac:dyDescent="0.25">
      <c r="A4916" s="9" t="s">
        <v>2353</v>
      </c>
      <c r="B4916" s="3" t="s">
        <v>2432</v>
      </c>
      <c r="C4916" s="10">
        <v>14</v>
      </c>
      <c r="D4916" s="10">
        <v>2</v>
      </c>
      <c r="E4916" s="10">
        <v>20</v>
      </c>
      <c r="F4916" t="s">
        <v>1258</v>
      </c>
      <c r="G4916" t="s">
        <v>889</v>
      </c>
      <c r="H4916" t="s">
        <v>26</v>
      </c>
      <c r="I4916" t="s">
        <v>27</v>
      </c>
      <c r="J4916">
        <v>46.49</v>
      </c>
      <c r="K4916" s="10">
        <v>1</v>
      </c>
      <c r="L4916">
        <v>46.49</v>
      </c>
      <c r="M4916">
        <v>46.49</v>
      </c>
      <c r="N4916" s="5">
        <v>2.37678936605317</v>
      </c>
      <c r="O4916" t="s">
        <v>51</v>
      </c>
      <c r="P4916" t="s">
        <v>340</v>
      </c>
      <c r="Q4916" s="10" t="s">
        <v>24</v>
      </c>
      <c r="R4916">
        <v>0</v>
      </c>
    </row>
    <row r="4917" spans="1:18" hidden="1" x14ac:dyDescent="0.25">
      <c r="A4917" s="9" t="s">
        <v>2353</v>
      </c>
      <c r="B4917" s="3" t="s">
        <v>2432</v>
      </c>
      <c r="C4917" s="10">
        <v>14</v>
      </c>
      <c r="D4917" s="10">
        <v>2</v>
      </c>
      <c r="E4917" s="10">
        <v>20</v>
      </c>
      <c r="F4917" t="s">
        <v>2339</v>
      </c>
      <c r="G4917" t="s">
        <v>889</v>
      </c>
      <c r="H4917" t="s">
        <v>65</v>
      </c>
      <c r="I4917" t="s">
        <v>27</v>
      </c>
      <c r="J4917">
        <v>36.49</v>
      </c>
      <c r="K4917" s="10">
        <v>2</v>
      </c>
      <c r="L4917">
        <v>36.49</v>
      </c>
      <c r="M4917">
        <v>69.33</v>
      </c>
      <c r="N4917" s="5">
        <v>3.544478527607362</v>
      </c>
      <c r="O4917" t="s">
        <v>51</v>
      </c>
      <c r="P4917" t="s">
        <v>340</v>
      </c>
      <c r="Q4917" s="10" t="s">
        <v>24</v>
      </c>
      <c r="R4917">
        <v>0</v>
      </c>
    </row>
    <row r="4918" spans="1:18" hidden="1" x14ac:dyDescent="0.25">
      <c r="A4918" s="9" t="s">
        <v>2353</v>
      </c>
      <c r="B4918" s="3" t="s">
        <v>2432</v>
      </c>
      <c r="C4918" s="10">
        <v>14</v>
      </c>
      <c r="D4918" s="10">
        <v>2</v>
      </c>
      <c r="E4918" s="10">
        <v>20</v>
      </c>
      <c r="F4918" t="s">
        <v>962</v>
      </c>
      <c r="G4918" t="s">
        <v>889</v>
      </c>
      <c r="H4918" t="s">
        <v>49</v>
      </c>
      <c r="I4918" t="s">
        <v>50</v>
      </c>
      <c r="J4918">
        <v>128.9</v>
      </c>
      <c r="K4918" s="10">
        <v>1</v>
      </c>
      <c r="L4918">
        <v>128.9</v>
      </c>
      <c r="M4918">
        <v>128.9</v>
      </c>
      <c r="N4918" s="5">
        <v>6.5899795501022504</v>
      </c>
      <c r="O4918" t="s">
        <v>51</v>
      </c>
      <c r="P4918" t="s">
        <v>340</v>
      </c>
      <c r="Q4918" s="10" t="s">
        <v>24</v>
      </c>
      <c r="R4918">
        <v>0</v>
      </c>
    </row>
    <row r="4919" spans="1:18" hidden="1" x14ac:dyDescent="0.25">
      <c r="A4919" s="9" t="s">
        <v>2353</v>
      </c>
      <c r="B4919" s="3" t="s">
        <v>2432</v>
      </c>
      <c r="C4919" s="10">
        <v>14</v>
      </c>
      <c r="D4919" s="10">
        <v>2</v>
      </c>
      <c r="E4919" s="10">
        <v>20</v>
      </c>
      <c r="F4919" t="s">
        <v>140</v>
      </c>
      <c r="G4919" t="s">
        <v>889</v>
      </c>
      <c r="H4919" t="s">
        <v>49</v>
      </c>
      <c r="I4919" t="s">
        <v>50</v>
      </c>
      <c r="J4919">
        <v>24.8</v>
      </c>
      <c r="K4919" s="10">
        <v>1</v>
      </c>
      <c r="L4919">
        <v>24.8</v>
      </c>
      <c r="M4919">
        <v>24.8</v>
      </c>
      <c r="N4919" s="5">
        <v>1.2678936605316975</v>
      </c>
      <c r="O4919" t="s">
        <v>51</v>
      </c>
      <c r="P4919" t="s">
        <v>340</v>
      </c>
      <c r="Q4919" s="10" t="s">
        <v>24</v>
      </c>
      <c r="R4919">
        <v>0</v>
      </c>
    </row>
    <row r="4920" spans="1:18" hidden="1" x14ac:dyDescent="0.25">
      <c r="A4920" s="9" t="s">
        <v>2353</v>
      </c>
      <c r="B4920" s="3" t="s">
        <v>2432</v>
      </c>
      <c r="C4920" s="10">
        <v>14</v>
      </c>
      <c r="D4920" s="10">
        <v>2</v>
      </c>
      <c r="E4920" s="10">
        <v>20</v>
      </c>
      <c r="F4920" t="s">
        <v>165</v>
      </c>
      <c r="G4920" t="s">
        <v>304</v>
      </c>
      <c r="H4920" t="s">
        <v>1593</v>
      </c>
      <c r="I4920" t="s">
        <v>79</v>
      </c>
      <c r="J4920">
        <v>169</v>
      </c>
      <c r="K4920" s="10">
        <v>1</v>
      </c>
      <c r="L4920">
        <v>169</v>
      </c>
      <c r="M4920">
        <v>169</v>
      </c>
      <c r="N4920" s="5">
        <v>8.6400817995910018</v>
      </c>
      <c r="O4920" t="s">
        <v>51</v>
      </c>
      <c r="P4920" t="s">
        <v>340</v>
      </c>
      <c r="Q4920" s="10" t="s">
        <v>24</v>
      </c>
      <c r="R4920">
        <v>0</v>
      </c>
    </row>
    <row r="4921" spans="1:18" hidden="1" x14ac:dyDescent="0.25">
      <c r="A4921" s="9" t="s">
        <v>2353</v>
      </c>
      <c r="B4921" s="3" t="s">
        <v>2432</v>
      </c>
      <c r="C4921" s="10">
        <v>14</v>
      </c>
      <c r="D4921" s="10">
        <v>2</v>
      </c>
      <c r="E4921" s="10">
        <v>20</v>
      </c>
      <c r="F4921" t="s">
        <v>945</v>
      </c>
      <c r="G4921" t="s">
        <v>889</v>
      </c>
      <c r="H4921" t="s">
        <v>54</v>
      </c>
      <c r="I4921" t="s">
        <v>27</v>
      </c>
      <c r="J4921">
        <v>46.9</v>
      </c>
      <c r="K4921" s="10">
        <v>0.26600000000000001</v>
      </c>
      <c r="L4921">
        <v>46.9</v>
      </c>
      <c r="M4921">
        <v>12.4754</v>
      </c>
      <c r="N4921" s="5">
        <v>0.63780163599182016</v>
      </c>
      <c r="O4921" t="s">
        <v>51</v>
      </c>
      <c r="P4921" t="s">
        <v>340</v>
      </c>
      <c r="Q4921" s="10" t="s">
        <v>24</v>
      </c>
      <c r="R4921">
        <v>0</v>
      </c>
    </row>
    <row r="4922" spans="1:18" hidden="1" x14ac:dyDescent="0.25">
      <c r="A4922" s="9" t="s">
        <v>2353</v>
      </c>
      <c r="B4922" s="3" t="s">
        <v>2432</v>
      </c>
      <c r="C4922" s="10">
        <v>14</v>
      </c>
      <c r="D4922" s="10">
        <v>2</v>
      </c>
      <c r="E4922" s="10">
        <v>20</v>
      </c>
      <c r="F4922" t="s">
        <v>1692</v>
      </c>
      <c r="G4922" t="s">
        <v>889</v>
      </c>
      <c r="H4922" t="s">
        <v>49</v>
      </c>
      <c r="I4922" t="s">
        <v>50</v>
      </c>
      <c r="J4922">
        <v>28.9</v>
      </c>
      <c r="K4922" s="10">
        <v>2</v>
      </c>
      <c r="L4922">
        <v>28.9</v>
      </c>
      <c r="M4922">
        <v>57.8</v>
      </c>
      <c r="N4922" s="5">
        <v>2.9550102249488752</v>
      </c>
      <c r="O4922" t="s">
        <v>51</v>
      </c>
      <c r="P4922" t="s">
        <v>340</v>
      </c>
      <c r="Q4922" s="10" t="s">
        <v>24</v>
      </c>
      <c r="R4922">
        <v>0</v>
      </c>
    </row>
    <row r="4923" spans="1:18" hidden="1" x14ac:dyDescent="0.25">
      <c r="A4923" s="9" t="s">
        <v>2353</v>
      </c>
      <c r="B4923" s="3" t="s">
        <v>2432</v>
      </c>
      <c r="C4923" s="10">
        <v>14</v>
      </c>
      <c r="D4923" s="10">
        <v>2</v>
      </c>
      <c r="E4923" s="10">
        <v>20</v>
      </c>
      <c r="F4923" t="s">
        <v>595</v>
      </c>
      <c r="G4923" t="s">
        <v>889</v>
      </c>
      <c r="H4923" t="s">
        <v>54</v>
      </c>
      <c r="I4923" t="s">
        <v>27</v>
      </c>
      <c r="J4923">
        <v>11.59</v>
      </c>
      <c r="K4923" s="10">
        <v>1</v>
      </c>
      <c r="L4923">
        <v>11.59</v>
      </c>
      <c r="M4923">
        <v>11.59</v>
      </c>
      <c r="N4923" s="5">
        <v>0.59253578732106338</v>
      </c>
      <c r="O4923" t="s">
        <v>51</v>
      </c>
      <c r="P4923" t="s">
        <v>340</v>
      </c>
      <c r="Q4923" s="10" t="s">
        <v>24</v>
      </c>
      <c r="R4923">
        <v>0</v>
      </c>
    </row>
    <row r="4924" spans="1:18" hidden="1" x14ac:dyDescent="0.25">
      <c r="A4924" s="9" t="s">
        <v>2353</v>
      </c>
      <c r="B4924" s="3" t="s">
        <v>2432</v>
      </c>
      <c r="C4924" s="10">
        <v>14</v>
      </c>
      <c r="D4924" s="10">
        <v>2</v>
      </c>
      <c r="E4924" s="10">
        <v>20</v>
      </c>
      <c r="F4924" t="s">
        <v>110</v>
      </c>
      <c r="G4924" t="s">
        <v>889</v>
      </c>
      <c r="H4924" t="s">
        <v>56</v>
      </c>
      <c r="I4924" t="s">
        <v>27</v>
      </c>
      <c r="J4924">
        <v>38.9</v>
      </c>
      <c r="K4924" s="10">
        <v>0.28199999999999997</v>
      </c>
      <c r="L4924">
        <v>38.9</v>
      </c>
      <c r="M4924">
        <v>10.969799999999999</v>
      </c>
      <c r="N4924" s="5">
        <v>0.56082822085889572</v>
      </c>
      <c r="O4924" t="s">
        <v>51</v>
      </c>
      <c r="P4924" t="s">
        <v>340</v>
      </c>
      <c r="Q4924" s="10" t="s">
        <v>24</v>
      </c>
      <c r="R4924">
        <v>0</v>
      </c>
    </row>
    <row r="4925" spans="1:18" hidden="1" x14ac:dyDescent="0.25">
      <c r="A4925" s="9" t="s">
        <v>2353</v>
      </c>
      <c r="B4925" s="3" t="s">
        <v>2432</v>
      </c>
      <c r="C4925" s="10">
        <v>14</v>
      </c>
      <c r="D4925" s="10">
        <v>2</v>
      </c>
      <c r="E4925" s="10">
        <v>20</v>
      </c>
      <c r="F4925" t="s">
        <v>1621</v>
      </c>
      <c r="G4925" t="s">
        <v>889</v>
      </c>
      <c r="H4925" t="s">
        <v>62</v>
      </c>
      <c r="I4925" t="s">
        <v>27</v>
      </c>
      <c r="J4925">
        <v>5.99</v>
      </c>
      <c r="K4925" s="10">
        <v>1</v>
      </c>
      <c r="L4925">
        <v>5.99</v>
      </c>
      <c r="M4925">
        <v>5.99</v>
      </c>
      <c r="N4925" s="5">
        <v>0.30623721881390598</v>
      </c>
      <c r="O4925" t="s">
        <v>51</v>
      </c>
      <c r="P4925" t="s">
        <v>340</v>
      </c>
      <c r="Q4925" s="10" t="s">
        <v>24</v>
      </c>
      <c r="R4925">
        <v>0</v>
      </c>
    </row>
    <row r="4926" spans="1:18" hidden="1" x14ac:dyDescent="0.25">
      <c r="A4926" s="9" t="s">
        <v>2353</v>
      </c>
      <c r="B4926" s="3" t="s">
        <v>2432</v>
      </c>
      <c r="C4926" s="10">
        <v>14</v>
      </c>
      <c r="D4926" s="10">
        <v>2</v>
      </c>
      <c r="E4926" s="10">
        <v>20</v>
      </c>
      <c r="F4926" t="s">
        <v>61</v>
      </c>
      <c r="G4926" t="s">
        <v>889</v>
      </c>
      <c r="H4926" t="s">
        <v>62</v>
      </c>
      <c r="I4926" t="s">
        <v>27</v>
      </c>
      <c r="J4926">
        <v>16.899999999999999</v>
      </c>
      <c r="K4926" s="10">
        <v>1</v>
      </c>
      <c r="L4926">
        <v>16.899999999999999</v>
      </c>
      <c r="M4926">
        <v>16.899999999999999</v>
      </c>
      <c r="N4926" s="5">
        <v>0.86400817995910018</v>
      </c>
      <c r="O4926" t="s">
        <v>51</v>
      </c>
      <c r="P4926" t="s">
        <v>340</v>
      </c>
      <c r="Q4926" s="10" t="s">
        <v>24</v>
      </c>
      <c r="R4926">
        <v>0</v>
      </c>
    </row>
    <row r="4927" spans="1:18" hidden="1" x14ac:dyDescent="0.25">
      <c r="A4927" s="9" t="s">
        <v>2353</v>
      </c>
      <c r="B4927" s="3" t="s">
        <v>2432</v>
      </c>
      <c r="C4927" s="10">
        <v>14</v>
      </c>
      <c r="D4927" s="10">
        <v>2</v>
      </c>
      <c r="E4927" s="10">
        <v>20</v>
      </c>
      <c r="F4927" t="s">
        <v>55</v>
      </c>
      <c r="G4927" t="s">
        <v>889</v>
      </c>
      <c r="H4927" t="s">
        <v>56</v>
      </c>
      <c r="I4927" t="s">
        <v>27</v>
      </c>
      <c r="J4927">
        <v>22.9</v>
      </c>
      <c r="K4927" s="10">
        <v>1.294</v>
      </c>
      <c r="L4927">
        <v>22.9</v>
      </c>
      <c r="M4927">
        <v>29.6326</v>
      </c>
      <c r="N4927" s="5">
        <v>1.5149591002044991</v>
      </c>
      <c r="O4927" t="s">
        <v>51</v>
      </c>
      <c r="P4927" t="s">
        <v>340</v>
      </c>
      <c r="Q4927" s="10" t="s">
        <v>24</v>
      </c>
      <c r="R4927">
        <v>0</v>
      </c>
    </row>
    <row r="4928" spans="1:18" hidden="1" x14ac:dyDescent="0.25">
      <c r="A4928" s="9" t="s">
        <v>2353</v>
      </c>
      <c r="B4928" s="3" t="s">
        <v>2432</v>
      </c>
      <c r="C4928" s="10">
        <v>14</v>
      </c>
      <c r="D4928" s="10">
        <v>2</v>
      </c>
      <c r="E4928" s="10">
        <v>20</v>
      </c>
      <c r="F4928" t="s">
        <v>202</v>
      </c>
      <c r="G4928" t="s">
        <v>889</v>
      </c>
      <c r="H4928" t="s">
        <v>54</v>
      </c>
      <c r="I4928" t="s">
        <v>27</v>
      </c>
      <c r="J4928">
        <v>145</v>
      </c>
      <c r="K4928" s="10">
        <v>0.23799999999999999</v>
      </c>
      <c r="L4928">
        <v>145</v>
      </c>
      <c r="M4928">
        <v>34.51</v>
      </c>
      <c r="N4928" s="5">
        <v>1.7643149284253579</v>
      </c>
      <c r="O4928" t="s">
        <v>51</v>
      </c>
      <c r="P4928" t="s">
        <v>340</v>
      </c>
      <c r="Q4928" s="10" t="s">
        <v>24</v>
      </c>
      <c r="R4928">
        <v>0</v>
      </c>
    </row>
    <row r="4929" spans="1:18" hidden="1" x14ac:dyDescent="0.25">
      <c r="A4929" s="9" t="s">
        <v>2353</v>
      </c>
      <c r="B4929" s="3" t="s">
        <v>2432</v>
      </c>
      <c r="C4929" s="10">
        <v>14</v>
      </c>
      <c r="D4929" s="10">
        <v>2</v>
      </c>
      <c r="E4929" s="10">
        <v>20</v>
      </c>
      <c r="F4929" t="s">
        <v>1051</v>
      </c>
      <c r="G4929" t="s">
        <v>889</v>
      </c>
      <c r="H4929" t="s">
        <v>56</v>
      </c>
      <c r="I4929" t="s">
        <v>27</v>
      </c>
      <c r="J4929">
        <v>23.9</v>
      </c>
      <c r="K4929" s="10">
        <v>0.38600000000000001</v>
      </c>
      <c r="L4929">
        <v>23.9</v>
      </c>
      <c r="M4929">
        <v>9.2254000000000005</v>
      </c>
      <c r="N4929" s="5">
        <v>0.47164621676891622</v>
      </c>
      <c r="O4929" t="s">
        <v>51</v>
      </c>
      <c r="P4929" t="s">
        <v>340</v>
      </c>
      <c r="Q4929" s="10" t="s">
        <v>24</v>
      </c>
      <c r="R4929">
        <v>0</v>
      </c>
    </row>
    <row r="4930" spans="1:18" hidden="1" x14ac:dyDescent="0.25">
      <c r="A4930" s="9" t="s">
        <v>2353</v>
      </c>
      <c r="B4930" s="3" t="s">
        <v>2432</v>
      </c>
      <c r="C4930" s="10">
        <v>14</v>
      </c>
      <c r="D4930" s="10">
        <v>2</v>
      </c>
      <c r="E4930" s="10">
        <v>20</v>
      </c>
      <c r="F4930" t="s">
        <v>1465</v>
      </c>
      <c r="G4930" t="s">
        <v>889</v>
      </c>
      <c r="H4930" t="s">
        <v>131</v>
      </c>
      <c r="I4930" t="s">
        <v>27</v>
      </c>
      <c r="J4930">
        <v>6.65</v>
      </c>
      <c r="K4930" s="10">
        <v>24</v>
      </c>
      <c r="L4930">
        <v>6.65</v>
      </c>
      <c r="M4930">
        <v>159.60000000000002</v>
      </c>
      <c r="N4930" s="5">
        <v>8.1595092024539895</v>
      </c>
      <c r="O4930" t="s">
        <v>51</v>
      </c>
      <c r="P4930" t="s">
        <v>340</v>
      </c>
      <c r="Q4930" s="10" t="s">
        <v>24</v>
      </c>
      <c r="R4930">
        <v>0</v>
      </c>
    </row>
    <row r="4931" spans="1:18" hidden="1" x14ac:dyDescent="0.25">
      <c r="A4931" s="9" t="s">
        <v>2353</v>
      </c>
      <c r="B4931" s="3" t="s">
        <v>2432</v>
      </c>
      <c r="C4931" s="10">
        <v>14</v>
      </c>
      <c r="D4931" s="10">
        <v>2</v>
      </c>
      <c r="E4931" s="10">
        <v>20</v>
      </c>
      <c r="F4931" t="s">
        <v>204</v>
      </c>
      <c r="G4931" t="s">
        <v>889</v>
      </c>
      <c r="H4931" t="s">
        <v>54</v>
      </c>
      <c r="I4931" t="s">
        <v>27</v>
      </c>
      <c r="J4931">
        <v>69.900000000000006</v>
      </c>
      <c r="K4931" s="10">
        <v>0.25</v>
      </c>
      <c r="L4931">
        <v>69.900000000000006</v>
      </c>
      <c r="M4931">
        <v>17.475000000000001</v>
      </c>
      <c r="N4931" s="5">
        <v>0.89340490797546024</v>
      </c>
      <c r="O4931" t="s">
        <v>51</v>
      </c>
      <c r="P4931" t="s">
        <v>340</v>
      </c>
      <c r="Q4931" s="10" t="s">
        <v>24</v>
      </c>
      <c r="R4931">
        <v>0</v>
      </c>
    </row>
    <row r="4932" spans="1:18" hidden="1" x14ac:dyDescent="0.25">
      <c r="A4932" s="9" t="s">
        <v>2353</v>
      </c>
      <c r="B4932" s="3" t="s">
        <v>2432</v>
      </c>
      <c r="C4932" s="10">
        <v>14</v>
      </c>
      <c r="D4932" s="10">
        <v>2</v>
      </c>
      <c r="E4932" s="10">
        <v>20</v>
      </c>
      <c r="F4932" t="s">
        <v>2341</v>
      </c>
      <c r="G4932" t="s">
        <v>58</v>
      </c>
      <c r="H4932" t="s">
        <v>59</v>
      </c>
      <c r="I4932" t="s">
        <v>27</v>
      </c>
      <c r="J4932">
        <v>89.9</v>
      </c>
      <c r="K4932" s="10">
        <v>2</v>
      </c>
      <c r="L4932">
        <v>89.9</v>
      </c>
      <c r="M4932">
        <v>179.8</v>
      </c>
      <c r="N4932" s="5">
        <v>9.1922290388548067</v>
      </c>
      <c r="O4932" t="s">
        <v>51</v>
      </c>
      <c r="P4932" t="s">
        <v>340</v>
      </c>
      <c r="Q4932" s="10" t="s">
        <v>24</v>
      </c>
      <c r="R4932">
        <v>0</v>
      </c>
    </row>
    <row r="4933" spans="1:18" hidden="1" x14ac:dyDescent="0.25">
      <c r="A4933" s="9" t="s">
        <v>2353</v>
      </c>
      <c r="B4933" s="3" t="s">
        <v>2432</v>
      </c>
      <c r="C4933" s="10">
        <v>14</v>
      </c>
      <c r="D4933" s="10">
        <v>2</v>
      </c>
      <c r="E4933" s="10">
        <v>20</v>
      </c>
      <c r="F4933" t="s">
        <v>58</v>
      </c>
      <c r="G4933" t="s">
        <v>889</v>
      </c>
      <c r="H4933" t="s">
        <v>59</v>
      </c>
      <c r="I4933" t="s">
        <v>27</v>
      </c>
      <c r="J4933">
        <v>72.900000000000006</v>
      </c>
      <c r="K4933" s="10">
        <v>1</v>
      </c>
      <c r="L4933">
        <v>72.900000000000006</v>
      </c>
      <c r="M4933">
        <v>72.900000000000006</v>
      </c>
      <c r="N4933" s="5">
        <v>3.7269938650306753</v>
      </c>
      <c r="O4933" t="s">
        <v>51</v>
      </c>
      <c r="P4933" t="s">
        <v>340</v>
      </c>
      <c r="Q4933" s="10" t="s">
        <v>24</v>
      </c>
      <c r="R4933">
        <v>0</v>
      </c>
    </row>
    <row r="4934" spans="1:18" hidden="1" x14ac:dyDescent="0.25">
      <c r="A4934" s="9" t="s">
        <v>2353</v>
      </c>
      <c r="B4934" s="3" t="s">
        <v>2389</v>
      </c>
      <c r="C4934" s="10">
        <v>15</v>
      </c>
      <c r="D4934" s="10">
        <v>2</v>
      </c>
      <c r="E4934" s="10">
        <v>20</v>
      </c>
      <c r="F4934" t="s">
        <v>174</v>
      </c>
      <c r="G4934" t="s">
        <v>889</v>
      </c>
      <c r="H4934" t="s">
        <v>54</v>
      </c>
      <c r="I4934" t="s">
        <v>27</v>
      </c>
      <c r="J4934">
        <v>7.9</v>
      </c>
      <c r="K4934" s="10">
        <v>0.75800000000000001</v>
      </c>
      <c r="L4934">
        <v>7.9</v>
      </c>
      <c r="M4934">
        <v>5.9882</v>
      </c>
      <c r="N4934" s="5">
        <v>0.30614519427402864</v>
      </c>
      <c r="O4934" t="s">
        <v>1472</v>
      </c>
      <c r="P4934" t="s">
        <v>340</v>
      </c>
      <c r="Q4934" s="10" t="s">
        <v>24</v>
      </c>
      <c r="R4934">
        <v>0</v>
      </c>
    </row>
    <row r="4935" spans="1:18" hidden="1" x14ac:dyDescent="0.25">
      <c r="A4935" s="9" t="s">
        <v>2353</v>
      </c>
      <c r="B4935" s="3" t="s">
        <v>2389</v>
      </c>
      <c r="C4935" s="10">
        <v>15</v>
      </c>
      <c r="D4935" s="10">
        <v>2</v>
      </c>
      <c r="E4935" s="10">
        <v>20</v>
      </c>
      <c r="F4935" t="s">
        <v>112</v>
      </c>
      <c r="G4935" t="s">
        <v>889</v>
      </c>
      <c r="H4935" t="s">
        <v>56</v>
      </c>
      <c r="I4935" t="s">
        <v>27</v>
      </c>
      <c r="J4935">
        <v>21.55</v>
      </c>
      <c r="K4935" s="10">
        <v>1.1000000000000001</v>
      </c>
      <c r="L4935">
        <v>21.55</v>
      </c>
      <c r="M4935">
        <v>23.705000000000002</v>
      </c>
      <c r="N4935" s="5">
        <v>1.2119120654396729</v>
      </c>
      <c r="O4935" t="s">
        <v>1472</v>
      </c>
      <c r="P4935" t="s">
        <v>340</v>
      </c>
      <c r="Q4935" s="10" t="s">
        <v>24</v>
      </c>
      <c r="R4935">
        <v>0</v>
      </c>
    </row>
    <row r="4936" spans="1:18" hidden="1" x14ac:dyDescent="0.25">
      <c r="A4936" s="9" t="s">
        <v>2353</v>
      </c>
      <c r="B4936" s="3" t="s">
        <v>2389</v>
      </c>
      <c r="C4936" s="10">
        <v>15</v>
      </c>
      <c r="D4936" s="10">
        <v>2</v>
      </c>
      <c r="E4936" s="10">
        <v>20</v>
      </c>
      <c r="F4936" t="s">
        <v>1424</v>
      </c>
      <c r="G4936" t="s">
        <v>889</v>
      </c>
      <c r="H4936" t="s">
        <v>889</v>
      </c>
      <c r="I4936" t="s">
        <v>72</v>
      </c>
      <c r="J4936">
        <v>43.12</v>
      </c>
      <c r="K4936" s="10">
        <v>1</v>
      </c>
      <c r="L4936">
        <v>43.12</v>
      </c>
      <c r="M4936">
        <v>43.12</v>
      </c>
      <c r="N4936" s="5">
        <v>2.2044989775051125</v>
      </c>
      <c r="O4936" t="s">
        <v>1659</v>
      </c>
      <c r="P4936" t="s">
        <v>340</v>
      </c>
      <c r="Q4936" s="10" t="s">
        <v>24</v>
      </c>
    </row>
    <row r="4937" spans="1:18" hidden="1" x14ac:dyDescent="0.25">
      <c r="A4937" s="9" t="s">
        <v>2353</v>
      </c>
      <c r="B4937" s="3" t="s">
        <v>2389</v>
      </c>
      <c r="C4937" s="10">
        <v>15</v>
      </c>
      <c r="D4937" s="10">
        <v>2</v>
      </c>
      <c r="E4937" s="10">
        <v>20</v>
      </c>
      <c r="F4937" t="s">
        <v>39</v>
      </c>
      <c r="G4937" t="s">
        <v>889</v>
      </c>
      <c r="H4937" t="s">
        <v>2093</v>
      </c>
      <c r="I4937" t="s">
        <v>72</v>
      </c>
      <c r="J4937">
        <v>29.7</v>
      </c>
      <c r="K4937" s="10">
        <v>1</v>
      </c>
      <c r="L4937">
        <v>29.7</v>
      </c>
      <c r="M4937">
        <v>29.7</v>
      </c>
      <c r="N4937" s="5">
        <v>1.5184049079754602</v>
      </c>
      <c r="O4937" t="s">
        <v>629</v>
      </c>
      <c r="P4937" t="s">
        <v>340</v>
      </c>
      <c r="Q4937" s="10" t="s">
        <v>24</v>
      </c>
      <c r="R4937" t="s">
        <v>2409</v>
      </c>
    </row>
    <row r="4938" spans="1:18" hidden="1" x14ac:dyDescent="0.25">
      <c r="A4938" s="9" t="s">
        <v>2353</v>
      </c>
      <c r="B4938" s="3" t="s">
        <v>2334</v>
      </c>
      <c r="C4938" s="10">
        <v>16</v>
      </c>
      <c r="D4938" s="10">
        <v>2</v>
      </c>
      <c r="E4938" s="10">
        <v>20</v>
      </c>
      <c r="F4938" t="s">
        <v>81</v>
      </c>
      <c r="G4938" t="s">
        <v>889</v>
      </c>
      <c r="H4938" t="s">
        <v>889</v>
      </c>
      <c r="I4938" t="s">
        <v>39</v>
      </c>
      <c r="J4938">
        <v>1600</v>
      </c>
      <c r="K4938">
        <v>1</v>
      </c>
      <c r="L4938">
        <v>1600</v>
      </c>
      <c r="M4938">
        <v>1600</v>
      </c>
      <c r="N4938" s="5">
        <v>81.094779523568164</v>
      </c>
      <c r="O4938" t="s">
        <v>39</v>
      </c>
      <c r="P4938" t="s">
        <v>340</v>
      </c>
      <c r="Q4938" s="10" t="s">
        <v>84</v>
      </c>
      <c r="R4938" t="s">
        <v>2326</v>
      </c>
    </row>
    <row r="4939" spans="1:18" hidden="1" x14ac:dyDescent="0.25">
      <c r="A4939" s="9" t="s">
        <v>980</v>
      </c>
      <c r="B4939" s="3" t="s">
        <v>2285</v>
      </c>
      <c r="C4939" s="10">
        <v>17</v>
      </c>
      <c r="D4939" s="10">
        <v>2</v>
      </c>
      <c r="E4939" s="10">
        <v>20</v>
      </c>
      <c r="F4939" t="s">
        <v>200</v>
      </c>
      <c r="G4939" t="s">
        <v>77</v>
      </c>
      <c r="H4939" t="s">
        <v>26</v>
      </c>
      <c r="I4939" t="s">
        <v>27</v>
      </c>
      <c r="J4939" s="4">
        <v>14.6</v>
      </c>
      <c r="K4939">
        <v>2</v>
      </c>
      <c r="L4939">
        <v>14.6</v>
      </c>
      <c r="M4939">
        <v>29.2</v>
      </c>
      <c r="N4939" s="5">
        <v>1.4799797263051191</v>
      </c>
      <c r="O4939" t="s">
        <v>101</v>
      </c>
      <c r="P4939" t="s">
        <v>340</v>
      </c>
      <c r="Q4939" s="10" t="s">
        <v>24</v>
      </c>
    </row>
    <row r="4940" spans="1:18" hidden="1" x14ac:dyDescent="0.25">
      <c r="A4940" s="9" t="s">
        <v>980</v>
      </c>
      <c r="B4940" s="3" t="s">
        <v>2285</v>
      </c>
      <c r="C4940" s="10">
        <v>17</v>
      </c>
      <c r="D4940" s="10">
        <v>2</v>
      </c>
      <c r="E4940" s="10">
        <v>20</v>
      </c>
      <c r="F4940" t="s">
        <v>292</v>
      </c>
      <c r="G4940" t="s">
        <v>889</v>
      </c>
      <c r="H4940" t="s">
        <v>40</v>
      </c>
      <c r="I4940" t="s">
        <v>27</v>
      </c>
      <c r="J4940" s="4">
        <v>17</v>
      </c>
      <c r="K4940">
        <v>1</v>
      </c>
      <c r="L4940">
        <v>17</v>
      </c>
      <c r="M4940">
        <v>17</v>
      </c>
      <c r="N4940" s="5">
        <v>0.86163203243791175</v>
      </c>
      <c r="O4940" t="s">
        <v>100</v>
      </c>
      <c r="P4940" t="s">
        <v>340</v>
      </c>
      <c r="Q4940" s="10" t="s">
        <v>24</v>
      </c>
      <c r="R4940">
        <v>0</v>
      </c>
    </row>
    <row r="4941" spans="1:18" hidden="1" x14ac:dyDescent="0.25">
      <c r="A4941" s="9" t="s">
        <v>980</v>
      </c>
      <c r="B4941" s="3" t="s">
        <v>2283</v>
      </c>
      <c r="C4941" s="10">
        <v>18</v>
      </c>
      <c r="D4941" s="10">
        <v>2</v>
      </c>
      <c r="E4941" s="10">
        <v>20</v>
      </c>
      <c r="F4941" t="s">
        <v>166</v>
      </c>
      <c r="G4941" t="s">
        <v>77</v>
      </c>
      <c r="H4941" t="s">
        <v>26</v>
      </c>
      <c r="I4941" t="s">
        <v>27</v>
      </c>
      <c r="J4941" s="4">
        <v>20</v>
      </c>
      <c r="K4941">
        <v>1</v>
      </c>
      <c r="L4941">
        <v>20</v>
      </c>
      <c r="M4941">
        <v>20</v>
      </c>
      <c r="N4941" s="5">
        <v>1.0136847440446022</v>
      </c>
      <c r="O4941" t="s">
        <v>101</v>
      </c>
      <c r="P4941" t="s">
        <v>340</v>
      </c>
      <c r="Q4941" s="10" t="s">
        <v>24</v>
      </c>
    </row>
    <row r="4942" spans="1:18" hidden="1" x14ac:dyDescent="0.25">
      <c r="A4942" s="9" t="s">
        <v>980</v>
      </c>
      <c r="B4942" s="3" t="s">
        <v>2298</v>
      </c>
      <c r="C4942" s="10">
        <v>19</v>
      </c>
      <c r="D4942" s="10">
        <v>2</v>
      </c>
      <c r="E4942" s="10">
        <v>20</v>
      </c>
      <c r="F4942" t="s">
        <v>2271</v>
      </c>
      <c r="G4942" t="s">
        <v>889</v>
      </c>
      <c r="H4942" t="s">
        <v>131</v>
      </c>
      <c r="I4942" t="s">
        <v>27</v>
      </c>
      <c r="J4942" s="4">
        <v>16.600000000000001</v>
      </c>
      <c r="K4942">
        <v>2</v>
      </c>
      <c r="L4942">
        <v>16.600000000000001</v>
      </c>
      <c r="M4942">
        <v>33.200000000000003</v>
      </c>
      <c r="N4942" s="5">
        <v>1.6827166751140397</v>
      </c>
      <c r="O4942" t="s">
        <v>100</v>
      </c>
      <c r="P4942" t="s">
        <v>340</v>
      </c>
      <c r="Q4942" s="10" t="s">
        <v>24</v>
      </c>
      <c r="R4942">
        <v>0</v>
      </c>
    </row>
    <row r="4943" spans="1:18" hidden="1" x14ac:dyDescent="0.25">
      <c r="A4943" s="9" t="s">
        <v>980</v>
      </c>
      <c r="B4943" s="3" t="s">
        <v>2298</v>
      </c>
      <c r="C4943" s="10">
        <v>19</v>
      </c>
      <c r="D4943" s="10">
        <v>2</v>
      </c>
      <c r="E4943" s="10">
        <v>20</v>
      </c>
      <c r="F4943" t="s">
        <v>1358</v>
      </c>
      <c r="G4943" t="s">
        <v>155</v>
      </c>
      <c r="H4943" t="s">
        <v>131</v>
      </c>
      <c r="I4943" t="s">
        <v>27</v>
      </c>
      <c r="J4943" s="4">
        <v>75</v>
      </c>
      <c r="K4943">
        <v>1</v>
      </c>
      <c r="L4943">
        <v>75</v>
      </c>
      <c r="M4943">
        <v>75</v>
      </c>
      <c r="N4943" s="5">
        <v>3.8013177901672579</v>
      </c>
      <c r="O4943" t="s">
        <v>100</v>
      </c>
      <c r="P4943" t="s">
        <v>340</v>
      </c>
      <c r="Q4943" s="10" t="s">
        <v>24</v>
      </c>
      <c r="R4943">
        <v>0</v>
      </c>
    </row>
    <row r="4944" spans="1:18" hidden="1" x14ac:dyDescent="0.25">
      <c r="A4944" s="9" t="s">
        <v>980</v>
      </c>
      <c r="B4944" s="3" t="s">
        <v>2298</v>
      </c>
      <c r="C4944" s="10">
        <v>19</v>
      </c>
      <c r="D4944" s="10">
        <v>2</v>
      </c>
      <c r="E4944" s="10">
        <v>20</v>
      </c>
      <c r="F4944" t="s">
        <v>1466</v>
      </c>
      <c r="G4944" t="s">
        <v>31</v>
      </c>
      <c r="H4944" t="s">
        <v>26</v>
      </c>
      <c r="I4944" t="s">
        <v>27</v>
      </c>
      <c r="J4944" s="4">
        <v>38.6</v>
      </c>
      <c r="K4944">
        <v>2</v>
      </c>
      <c r="L4944">
        <v>38.6</v>
      </c>
      <c r="M4944">
        <v>77.2</v>
      </c>
      <c r="N4944" s="5">
        <v>3.9128231120121644</v>
      </c>
      <c r="O4944" t="s">
        <v>100</v>
      </c>
      <c r="P4944" t="s">
        <v>340</v>
      </c>
      <c r="Q4944" s="10" t="s">
        <v>24</v>
      </c>
      <c r="R4944">
        <v>0</v>
      </c>
    </row>
    <row r="4945" spans="1:18" hidden="1" x14ac:dyDescent="0.25">
      <c r="A4945" s="9" t="s">
        <v>980</v>
      </c>
      <c r="B4945" s="3" t="s">
        <v>2298</v>
      </c>
      <c r="C4945" s="10">
        <v>19</v>
      </c>
      <c r="D4945" s="10">
        <v>2</v>
      </c>
      <c r="E4945" s="10">
        <v>20</v>
      </c>
      <c r="F4945" t="s">
        <v>1624</v>
      </c>
      <c r="G4945" t="s">
        <v>889</v>
      </c>
      <c r="H4945" t="s">
        <v>131</v>
      </c>
      <c r="I4945" t="s">
        <v>27</v>
      </c>
      <c r="J4945" s="4">
        <v>64</v>
      </c>
      <c r="K4945">
        <v>1</v>
      </c>
      <c r="L4945">
        <v>64</v>
      </c>
      <c r="M4945">
        <v>64</v>
      </c>
      <c r="N4945" s="5">
        <v>3.2437911809427269</v>
      </c>
      <c r="O4945" t="s">
        <v>100</v>
      </c>
      <c r="P4945" t="s">
        <v>340</v>
      </c>
      <c r="Q4945" s="10" t="s">
        <v>24</v>
      </c>
      <c r="R4945">
        <v>0</v>
      </c>
    </row>
    <row r="4946" spans="1:18" hidden="1" x14ac:dyDescent="0.25">
      <c r="A4946" s="9" t="s">
        <v>980</v>
      </c>
      <c r="B4946" s="3" t="s">
        <v>2298</v>
      </c>
      <c r="C4946" s="10">
        <v>19</v>
      </c>
      <c r="D4946" s="10">
        <v>2</v>
      </c>
      <c r="E4946" s="10">
        <v>20</v>
      </c>
      <c r="F4946" t="s">
        <v>923</v>
      </c>
      <c r="G4946" t="s">
        <v>708</v>
      </c>
      <c r="H4946" t="s">
        <v>131</v>
      </c>
      <c r="I4946" t="s">
        <v>27</v>
      </c>
      <c r="J4946" s="4">
        <v>31</v>
      </c>
      <c r="K4946">
        <v>1</v>
      </c>
      <c r="L4946">
        <v>31</v>
      </c>
      <c r="M4946">
        <v>31</v>
      </c>
      <c r="N4946" s="5">
        <v>1.5712113532691332</v>
      </c>
      <c r="O4946" t="s">
        <v>100</v>
      </c>
      <c r="P4946" t="s">
        <v>340</v>
      </c>
      <c r="Q4946" s="10" t="s">
        <v>24</v>
      </c>
      <c r="R4946">
        <v>0</v>
      </c>
    </row>
    <row r="4947" spans="1:18" hidden="1" x14ac:dyDescent="0.25">
      <c r="A4947" s="9" t="s">
        <v>980</v>
      </c>
      <c r="B4947" s="3" t="s">
        <v>2298</v>
      </c>
      <c r="C4947" s="10">
        <v>19</v>
      </c>
      <c r="D4947" s="10">
        <v>2</v>
      </c>
      <c r="E4947" s="10">
        <v>20</v>
      </c>
      <c r="F4947" t="s">
        <v>1036</v>
      </c>
      <c r="G4947" t="s">
        <v>889</v>
      </c>
      <c r="H4947" t="s">
        <v>38</v>
      </c>
      <c r="I4947" t="s">
        <v>27</v>
      </c>
      <c r="J4947" s="4">
        <v>126</v>
      </c>
      <c r="K4947">
        <v>0.22600000000000001</v>
      </c>
      <c r="L4947">
        <v>126</v>
      </c>
      <c r="M4947">
        <v>28.475999999999999</v>
      </c>
      <c r="N4947" s="5">
        <v>1.4432843385707044</v>
      </c>
      <c r="O4947" t="s">
        <v>100</v>
      </c>
      <c r="P4947" t="s">
        <v>340</v>
      </c>
      <c r="Q4947" s="10" t="s">
        <v>24</v>
      </c>
      <c r="R4947">
        <v>0</v>
      </c>
    </row>
    <row r="4948" spans="1:18" hidden="1" x14ac:dyDescent="0.25">
      <c r="A4948" s="9" t="s">
        <v>980</v>
      </c>
      <c r="B4948" s="3" t="s">
        <v>2298</v>
      </c>
      <c r="C4948" s="10">
        <v>19</v>
      </c>
      <c r="D4948" s="10">
        <v>2</v>
      </c>
      <c r="E4948" s="10">
        <v>20</v>
      </c>
      <c r="F4948" t="s">
        <v>1357</v>
      </c>
      <c r="G4948" t="s">
        <v>889</v>
      </c>
      <c r="H4948" t="s">
        <v>35</v>
      </c>
      <c r="I4948" t="s">
        <v>27</v>
      </c>
      <c r="J4948" s="4">
        <v>182.6</v>
      </c>
      <c r="K4948">
        <v>0.182</v>
      </c>
      <c r="L4948">
        <v>182.6</v>
      </c>
      <c r="M4948">
        <v>33.233199999999997</v>
      </c>
      <c r="N4948" s="5">
        <v>1.6843993917891533</v>
      </c>
      <c r="O4948" t="s">
        <v>100</v>
      </c>
      <c r="P4948" t="s">
        <v>340</v>
      </c>
      <c r="Q4948" s="10" t="s">
        <v>24</v>
      </c>
      <c r="R4948">
        <v>0</v>
      </c>
    </row>
    <row r="4949" spans="1:18" hidden="1" x14ac:dyDescent="0.25">
      <c r="A4949" s="9" t="s">
        <v>980</v>
      </c>
      <c r="B4949" s="3" t="s">
        <v>2298</v>
      </c>
      <c r="C4949" s="10">
        <v>19</v>
      </c>
      <c r="D4949" s="10">
        <v>2</v>
      </c>
      <c r="E4949" s="10">
        <v>20</v>
      </c>
      <c r="F4949" t="s">
        <v>398</v>
      </c>
      <c r="G4949" t="s">
        <v>889</v>
      </c>
      <c r="H4949" t="s">
        <v>40</v>
      </c>
      <c r="I4949" t="s">
        <v>27</v>
      </c>
      <c r="J4949" s="4">
        <v>14.6</v>
      </c>
      <c r="K4949">
        <v>1</v>
      </c>
      <c r="L4949">
        <v>14.6</v>
      </c>
      <c r="M4949">
        <v>14.6</v>
      </c>
      <c r="N4949" s="5">
        <v>0.73998986315255955</v>
      </c>
      <c r="O4949" t="s">
        <v>100</v>
      </c>
      <c r="P4949" t="s">
        <v>340</v>
      </c>
      <c r="Q4949" s="10" t="s">
        <v>24</v>
      </c>
      <c r="R4949">
        <v>0</v>
      </c>
    </row>
    <row r="4950" spans="1:18" hidden="1" x14ac:dyDescent="0.25">
      <c r="A4950" s="9" t="s">
        <v>2353</v>
      </c>
      <c r="B4950" s="3" t="s">
        <v>2298</v>
      </c>
      <c r="C4950" s="10">
        <v>19</v>
      </c>
      <c r="D4950" s="10">
        <v>2</v>
      </c>
      <c r="E4950" s="10">
        <v>20</v>
      </c>
      <c r="F4950" t="s">
        <v>390</v>
      </c>
      <c r="G4950" t="s">
        <v>304</v>
      </c>
      <c r="H4950" t="s">
        <v>39</v>
      </c>
      <c r="I4950" t="s">
        <v>79</v>
      </c>
      <c r="J4950">
        <v>10</v>
      </c>
      <c r="K4950" s="10">
        <v>1</v>
      </c>
      <c r="L4950">
        <v>10</v>
      </c>
      <c r="M4950">
        <v>10</v>
      </c>
      <c r="N4950" s="5">
        <v>0.5112474437627812</v>
      </c>
      <c r="O4950" t="s">
        <v>428</v>
      </c>
      <c r="P4950" t="s">
        <v>340</v>
      </c>
      <c r="Q4950" s="10" t="s">
        <v>24</v>
      </c>
      <c r="R4950" t="s">
        <v>2427</v>
      </c>
    </row>
    <row r="4951" spans="1:18" hidden="1" x14ac:dyDescent="0.25">
      <c r="A4951" s="9" t="s">
        <v>2353</v>
      </c>
      <c r="B4951" s="3" t="s">
        <v>2298</v>
      </c>
      <c r="C4951" s="10">
        <v>19</v>
      </c>
      <c r="D4951" s="10">
        <v>2</v>
      </c>
      <c r="E4951" s="10">
        <v>20</v>
      </c>
      <c r="F4951" t="s">
        <v>390</v>
      </c>
      <c r="G4951" t="s">
        <v>304</v>
      </c>
      <c r="H4951" t="s">
        <v>39</v>
      </c>
      <c r="I4951" t="s">
        <v>79</v>
      </c>
      <c r="J4951">
        <v>10</v>
      </c>
      <c r="K4951" s="10">
        <v>1</v>
      </c>
      <c r="L4951">
        <v>10</v>
      </c>
      <c r="M4951">
        <v>10</v>
      </c>
      <c r="N4951" s="5">
        <v>0.5112474437627812</v>
      </c>
      <c r="O4951" t="s">
        <v>428</v>
      </c>
      <c r="P4951" t="s">
        <v>340</v>
      </c>
      <c r="Q4951" s="10" t="s">
        <v>24</v>
      </c>
      <c r="R4951" t="s">
        <v>2427</v>
      </c>
    </row>
    <row r="4952" spans="1:18" hidden="1" x14ac:dyDescent="0.25">
      <c r="A4952" s="9" t="s">
        <v>2353</v>
      </c>
      <c r="B4952" s="3" t="s">
        <v>2430</v>
      </c>
      <c r="C4952" s="10">
        <v>2</v>
      </c>
      <c r="D4952" s="10">
        <v>2</v>
      </c>
      <c r="E4952" s="10">
        <v>20</v>
      </c>
      <c r="F4952" t="s">
        <v>104</v>
      </c>
      <c r="G4952" t="s">
        <v>889</v>
      </c>
      <c r="H4952" t="s">
        <v>2400</v>
      </c>
      <c r="I4952" t="s">
        <v>72</v>
      </c>
      <c r="J4952">
        <v>14.17</v>
      </c>
      <c r="K4952" s="10">
        <v>1</v>
      </c>
      <c r="L4952">
        <v>14.17</v>
      </c>
      <c r="M4952">
        <v>14.17</v>
      </c>
      <c r="N4952" s="5">
        <v>0.72443762781186094</v>
      </c>
      <c r="O4952" t="s">
        <v>233</v>
      </c>
      <c r="P4952" t="s">
        <v>340</v>
      </c>
      <c r="Q4952" s="10" t="s">
        <v>24</v>
      </c>
      <c r="R4952" t="s">
        <v>2426</v>
      </c>
    </row>
    <row r="4953" spans="1:18" hidden="1" x14ac:dyDescent="0.25">
      <c r="A4953" s="9" t="s">
        <v>2353</v>
      </c>
      <c r="B4953" s="3" t="s">
        <v>2430</v>
      </c>
      <c r="C4953" s="10">
        <v>2</v>
      </c>
      <c r="D4953" s="10">
        <v>2</v>
      </c>
      <c r="E4953" s="10">
        <v>20</v>
      </c>
      <c r="F4953" t="s">
        <v>39</v>
      </c>
      <c r="G4953" t="s">
        <v>889</v>
      </c>
      <c r="H4953" t="s">
        <v>39</v>
      </c>
      <c r="I4953" t="s">
        <v>72</v>
      </c>
      <c r="J4953">
        <v>4.2300000000000004</v>
      </c>
      <c r="K4953" s="10">
        <v>5</v>
      </c>
      <c r="L4953">
        <v>4.2300000000000004</v>
      </c>
      <c r="M4953">
        <v>21.150000000000002</v>
      </c>
      <c r="N4953" s="5">
        <v>1.0812883435582823</v>
      </c>
      <c r="O4953" t="s">
        <v>233</v>
      </c>
      <c r="P4953" t="s">
        <v>340</v>
      </c>
      <c r="Q4953" s="10" t="s">
        <v>24</v>
      </c>
      <c r="R4953" t="s">
        <v>2425</v>
      </c>
    </row>
    <row r="4954" spans="1:18" hidden="1" x14ac:dyDescent="0.25">
      <c r="A4954" s="9" t="s">
        <v>2353</v>
      </c>
      <c r="B4954" s="3" t="s">
        <v>2430</v>
      </c>
      <c r="C4954" s="10">
        <v>2</v>
      </c>
      <c r="D4954" s="10">
        <v>2</v>
      </c>
      <c r="E4954" s="10">
        <v>20</v>
      </c>
      <c r="F4954" t="s">
        <v>104</v>
      </c>
      <c r="G4954" t="s">
        <v>889</v>
      </c>
      <c r="H4954" t="s">
        <v>2400</v>
      </c>
      <c r="I4954" t="s">
        <v>72</v>
      </c>
      <c r="J4954">
        <v>14.17</v>
      </c>
      <c r="K4954" s="10">
        <v>1</v>
      </c>
      <c r="L4954">
        <v>14.17</v>
      </c>
      <c r="M4954">
        <v>14.17</v>
      </c>
      <c r="N4954" s="5">
        <v>0.72443762781186094</v>
      </c>
      <c r="O4954" t="s">
        <v>233</v>
      </c>
      <c r="P4954" t="s">
        <v>340</v>
      </c>
      <c r="Q4954" s="10" t="s">
        <v>24</v>
      </c>
      <c r="R4954" t="s">
        <v>2426</v>
      </c>
    </row>
    <row r="4955" spans="1:18" hidden="1" x14ac:dyDescent="0.25">
      <c r="A4955" s="9" t="s">
        <v>2353</v>
      </c>
      <c r="B4955" s="3" t="s">
        <v>2430</v>
      </c>
      <c r="C4955" s="10">
        <v>2</v>
      </c>
      <c r="D4955" s="10">
        <v>2</v>
      </c>
      <c r="E4955" s="10">
        <v>20</v>
      </c>
      <c r="F4955" t="s">
        <v>39</v>
      </c>
      <c r="G4955" t="s">
        <v>889</v>
      </c>
      <c r="H4955" t="s">
        <v>39</v>
      </c>
      <c r="I4955" t="s">
        <v>72</v>
      </c>
      <c r="J4955">
        <v>4.2300000000000004</v>
      </c>
      <c r="K4955" s="10">
        <v>5</v>
      </c>
      <c r="L4955">
        <v>4.2300000000000004</v>
      </c>
      <c r="M4955">
        <v>21.150000000000002</v>
      </c>
      <c r="N4955" s="5">
        <v>1.0812883435582823</v>
      </c>
      <c r="O4955" t="s">
        <v>233</v>
      </c>
      <c r="P4955" t="s">
        <v>340</v>
      </c>
      <c r="Q4955" s="10" t="s">
        <v>24</v>
      </c>
      <c r="R4955" t="s">
        <v>2425</v>
      </c>
    </row>
    <row r="4956" spans="1:18" hidden="1" x14ac:dyDescent="0.25">
      <c r="A4956" s="9" t="s">
        <v>980</v>
      </c>
      <c r="B4956" s="3" t="s">
        <v>2282</v>
      </c>
      <c r="C4956" s="10">
        <v>20</v>
      </c>
      <c r="D4956" s="10">
        <v>2</v>
      </c>
      <c r="E4956" s="10">
        <v>20</v>
      </c>
      <c r="F4956" t="s">
        <v>104</v>
      </c>
      <c r="G4956" t="s">
        <v>889</v>
      </c>
      <c r="H4956" t="s">
        <v>2400</v>
      </c>
      <c r="I4956" t="s">
        <v>72</v>
      </c>
      <c r="J4956" s="4">
        <v>256.56</v>
      </c>
      <c r="K4956">
        <v>2</v>
      </c>
      <c r="L4956">
        <v>256.56</v>
      </c>
      <c r="M4956">
        <v>513.12</v>
      </c>
      <c r="N4956" s="5">
        <v>26.007095793208311</v>
      </c>
      <c r="O4956" t="s">
        <v>233</v>
      </c>
      <c r="P4956" t="s">
        <v>340</v>
      </c>
      <c r="Q4956" s="10" t="s">
        <v>24</v>
      </c>
      <c r="R4956" t="s">
        <v>2279</v>
      </c>
    </row>
    <row r="4957" spans="1:18" hidden="1" x14ac:dyDescent="0.25">
      <c r="A4957" s="9" t="s">
        <v>980</v>
      </c>
      <c r="B4957" s="3" t="s">
        <v>2282</v>
      </c>
      <c r="C4957" s="10">
        <v>20</v>
      </c>
      <c r="D4957" s="10">
        <v>2</v>
      </c>
      <c r="E4957" s="10">
        <v>20</v>
      </c>
      <c r="F4957" t="s">
        <v>2287</v>
      </c>
      <c r="G4957" t="s">
        <v>77</v>
      </c>
      <c r="H4957" t="s">
        <v>26</v>
      </c>
      <c r="I4957" t="s">
        <v>27</v>
      </c>
      <c r="J4957" s="4">
        <v>23.5</v>
      </c>
      <c r="K4957">
        <v>1</v>
      </c>
      <c r="L4957">
        <v>23.5</v>
      </c>
      <c r="M4957">
        <v>23.5</v>
      </c>
      <c r="N4957" s="5">
        <v>1.1910795742524074</v>
      </c>
      <c r="O4957" t="s">
        <v>100</v>
      </c>
      <c r="P4957" t="s">
        <v>340</v>
      </c>
      <c r="Q4957" s="10" t="s">
        <v>24</v>
      </c>
      <c r="R4957">
        <v>0</v>
      </c>
    </row>
    <row r="4958" spans="1:18" hidden="1" x14ac:dyDescent="0.25">
      <c r="A4958" s="9" t="s">
        <v>980</v>
      </c>
      <c r="B4958" s="3" t="s">
        <v>2282</v>
      </c>
      <c r="C4958" s="10">
        <v>20</v>
      </c>
      <c r="D4958" s="10">
        <v>2</v>
      </c>
      <c r="E4958" s="10">
        <v>20</v>
      </c>
      <c r="F4958" t="s">
        <v>2242</v>
      </c>
      <c r="G4958" t="s">
        <v>889</v>
      </c>
      <c r="H4958" t="s">
        <v>26</v>
      </c>
      <c r="I4958" t="s">
        <v>27</v>
      </c>
      <c r="J4958" s="4">
        <v>7.1</v>
      </c>
      <c r="K4958">
        <v>1</v>
      </c>
      <c r="L4958">
        <v>7.1</v>
      </c>
      <c r="M4958">
        <v>7.1</v>
      </c>
      <c r="N4958" s="5">
        <v>0.35985808413583376</v>
      </c>
      <c r="O4958" t="s">
        <v>100</v>
      </c>
      <c r="P4958" t="s">
        <v>340</v>
      </c>
      <c r="Q4958" s="10" t="s">
        <v>24</v>
      </c>
      <c r="R4958">
        <v>0</v>
      </c>
    </row>
    <row r="4959" spans="1:18" hidden="1" x14ac:dyDescent="0.25">
      <c r="A4959" s="9" t="s">
        <v>980</v>
      </c>
      <c r="B4959" s="3" t="s">
        <v>2282</v>
      </c>
      <c r="C4959" s="10">
        <v>20</v>
      </c>
      <c r="D4959" s="10">
        <v>2</v>
      </c>
      <c r="E4959" s="10">
        <v>20</v>
      </c>
      <c r="F4959" t="s">
        <v>657</v>
      </c>
      <c r="G4959" t="s">
        <v>889</v>
      </c>
      <c r="H4959" t="s">
        <v>40</v>
      </c>
      <c r="I4959" t="s">
        <v>27</v>
      </c>
      <c r="J4959" s="4">
        <v>14</v>
      </c>
      <c r="K4959">
        <v>1</v>
      </c>
      <c r="L4959">
        <v>14</v>
      </c>
      <c r="M4959">
        <v>14</v>
      </c>
      <c r="N4959" s="5">
        <v>0.70957932083122144</v>
      </c>
      <c r="O4959" t="s">
        <v>100</v>
      </c>
      <c r="P4959" t="s">
        <v>340</v>
      </c>
      <c r="Q4959" s="10" t="s">
        <v>24</v>
      </c>
      <c r="R4959">
        <v>0</v>
      </c>
    </row>
    <row r="4960" spans="1:18" hidden="1" x14ac:dyDescent="0.25">
      <c r="A4960" s="9" t="s">
        <v>980</v>
      </c>
      <c r="B4960" s="3" t="s">
        <v>2282</v>
      </c>
      <c r="C4960" s="10">
        <v>20</v>
      </c>
      <c r="D4960" s="10">
        <v>2</v>
      </c>
      <c r="E4960" s="10">
        <v>20</v>
      </c>
      <c r="F4960" t="s">
        <v>1902</v>
      </c>
      <c r="G4960" t="s">
        <v>889</v>
      </c>
      <c r="H4960" t="s">
        <v>49</v>
      </c>
      <c r="I4960" t="s">
        <v>50</v>
      </c>
      <c r="J4960" s="4">
        <v>2</v>
      </c>
      <c r="K4960">
        <v>1</v>
      </c>
      <c r="L4960">
        <v>2</v>
      </c>
      <c r="M4960">
        <v>2</v>
      </c>
      <c r="N4960" s="5">
        <v>0.10136847440446022</v>
      </c>
      <c r="O4960" t="s">
        <v>100</v>
      </c>
      <c r="P4960" t="s">
        <v>340</v>
      </c>
      <c r="Q4960" s="10" t="s">
        <v>24</v>
      </c>
      <c r="R4960">
        <v>0</v>
      </c>
    </row>
    <row r="4961" spans="1:18" hidden="1" x14ac:dyDescent="0.25">
      <c r="A4961" s="9" t="s">
        <v>2353</v>
      </c>
      <c r="B4961" s="3" t="s">
        <v>2282</v>
      </c>
      <c r="C4961" s="10">
        <v>20</v>
      </c>
      <c r="D4961" s="10">
        <v>2</v>
      </c>
      <c r="E4961" s="10">
        <v>20</v>
      </c>
      <c r="F4961" t="s">
        <v>2377</v>
      </c>
      <c r="G4961" t="s">
        <v>889</v>
      </c>
      <c r="H4961" t="s">
        <v>26</v>
      </c>
      <c r="I4961" t="s">
        <v>27</v>
      </c>
      <c r="J4961">
        <v>6.8</v>
      </c>
      <c r="K4961" s="10">
        <v>1</v>
      </c>
      <c r="L4961">
        <v>6.8</v>
      </c>
      <c r="M4961">
        <v>6.8</v>
      </c>
      <c r="N4961" s="5">
        <v>0.34764826175869123</v>
      </c>
      <c r="O4961" t="s">
        <v>101</v>
      </c>
      <c r="P4961" t="s">
        <v>340</v>
      </c>
      <c r="Q4961" s="10" t="s">
        <v>24</v>
      </c>
    </row>
    <row r="4962" spans="1:18" hidden="1" x14ac:dyDescent="0.25">
      <c r="A4962" s="9" t="s">
        <v>2353</v>
      </c>
      <c r="B4962" s="3" t="s">
        <v>2282</v>
      </c>
      <c r="C4962" s="10">
        <v>20</v>
      </c>
      <c r="D4962" s="10">
        <v>2</v>
      </c>
      <c r="E4962" s="10">
        <v>20</v>
      </c>
      <c r="F4962" t="s">
        <v>981</v>
      </c>
      <c r="G4962" t="s">
        <v>31</v>
      </c>
      <c r="H4962" t="s">
        <v>26</v>
      </c>
      <c r="I4962" t="s">
        <v>27</v>
      </c>
      <c r="J4962">
        <v>10.25</v>
      </c>
      <c r="K4962" s="10">
        <v>1</v>
      </c>
      <c r="L4962">
        <v>10.25</v>
      </c>
      <c r="M4962">
        <v>10.25</v>
      </c>
      <c r="N4962" s="5">
        <v>0.52402862985685073</v>
      </c>
      <c r="O4962" t="s">
        <v>101</v>
      </c>
      <c r="P4962" t="s">
        <v>340</v>
      </c>
      <c r="Q4962" s="10" t="s">
        <v>24</v>
      </c>
    </row>
    <row r="4963" spans="1:18" hidden="1" x14ac:dyDescent="0.25">
      <c r="A4963" s="9" t="s">
        <v>2353</v>
      </c>
      <c r="B4963" s="3" t="s">
        <v>2282</v>
      </c>
      <c r="C4963" s="10">
        <v>20</v>
      </c>
      <c r="D4963" s="10">
        <v>2</v>
      </c>
      <c r="E4963" s="10">
        <v>20</v>
      </c>
      <c r="F4963" t="s">
        <v>770</v>
      </c>
      <c r="G4963" t="s">
        <v>31</v>
      </c>
      <c r="H4963" t="s">
        <v>26</v>
      </c>
      <c r="I4963" t="s">
        <v>27</v>
      </c>
      <c r="J4963">
        <v>8.1999999999999993</v>
      </c>
      <c r="K4963" s="10">
        <v>2</v>
      </c>
      <c r="L4963">
        <v>8.1999999999999993</v>
      </c>
      <c r="M4963">
        <v>16.399999999999999</v>
      </c>
      <c r="N4963" s="5">
        <v>0.83844580777096112</v>
      </c>
      <c r="O4963" t="s">
        <v>101</v>
      </c>
      <c r="P4963" t="s">
        <v>340</v>
      </c>
      <c r="Q4963" s="10" t="s">
        <v>24</v>
      </c>
    </row>
    <row r="4964" spans="1:18" hidden="1" x14ac:dyDescent="0.25">
      <c r="A4964" s="9" t="s">
        <v>2353</v>
      </c>
      <c r="B4964" s="3" t="s">
        <v>2282</v>
      </c>
      <c r="C4964" s="10">
        <v>20</v>
      </c>
      <c r="D4964" s="10">
        <v>2</v>
      </c>
      <c r="E4964" s="10">
        <v>20</v>
      </c>
      <c r="F4964" t="s">
        <v>104</v>
      </c>
      <c r="G4964" t="s">
        <v>889</v>
      </c>
      <c r="H4964" t="s">
        <v>2406</v>
      </c>
      <c r="I4964" t="s">
        <v>72</v>
      </c>
      <c r="J4964">
        <v>14.26</v>
      </c>
      <c r="K4964" s="10">
        <v>1</v>
      </c>
      <c r="L4964">
        <v>14.26</v>
      </c>
      <c r="M4964">
        <v>14.26</v>
      </c>
      <c r="N4964" s="5">
        <v>0.72903885480572606</v>
      </c>
      <c r="O4964" t="s">
        <v>1659</v>
      </c>
      <c r="P4964" t="s">
        <v>340</v>
      </c>
      <c r="Q4964" s="10" t="s">
        <v>24</v>
      </c>
      <c r="R4964" t="s">
        <v>2407</v>
      </c>
    </row>
    <row r="4965" spans="1:18" hidden="1" x14ac:dyDescent="0.25">
      <c r="A4965" s="9" t="s">
        <v>2353</v>
      </c>
      <c r="B4965" s="3" t="s">
        <v>2381</v>
      </c>
      <c r="C4965" s="10">
        <v>22</v>
      </c>
      <c r="D4965" s="10">
        <v>2</v>
      </c>
      <c r="E4965" s="10">
        <v>20</v>
      </c>
      <c r="F4965" t="s">
        <v>1466</v>
      </c>
      <c r="G4965" t="s">
        <v>31</v>
      </c>
      <c r="H4965" t="s">
        <v>26</v>
      </c>
      <c r="I4965" t="s">
        <v>27</v>
      </c>
      <c r="J4965">
        <v>33.22</v>
      </c>
      <c r="K4965" s="10">
        <v>2</v>
      </c>
      <c r="L4965">
        <v>33.22</v>
      </c>
      <c r="M4965">
        <v>66.44</v>
      </c>
      <c r="N4965" s="5">
        <v>3.3967280163599183</v>
      </c>
      <c r="O4965" t="s">
        <v>90</v>
      </c>
      <c r="P4965" t="s">
        <v>340</v>
      </c>
      <c r="Q4965" s="10" t="s">
        <v>24</v>
      </c>
    </row>
    <row r="4966" spans="1:18" hidden="1" x14ac:dyDescent="0.25">
      <c r="A4966" s="9" t="s">
        <v>2353</v>
      </c>
      <c r="B4966" s="3" t="s">
        <v>2381</v>
      </c>
      <c r="C4966" s="10">
        <v>22</v>
      </c>
      <c r="D4966" s="10">
        <v>2</v>
      </c>
      <c r="E4966" s="10">
        <v>20</v>
      </c>
      <c r="F4966" t="s">
        <v>55</v>
      </c>
      <c r="G4966" t="s">
        <v>889</v>
      </c>
      <c r="H4966" t="s">
        <v>56</v>
      </c>
      <c r="I4966" t="s">
        <v>27</v>
      </c>
      <c r="J4966">
        <v>24.5</v>
      </c>
      <c r="K4966" s="10">
        <v>1.1679999999999999</v>
      </c>
      <c r="L4966">
        <v>24.5</v>
      </c>
      <c r="M4966">
        <v>28.616</v>
      </c>
      <c r="N4966" s="5">
        <v>1.4629856850715748</v>
      </c>
      <c r="O4966" t="s">
        <v>90</v>
      </c>
      <c r="P4966" t="s">
        <v>340</v>
      </c>
      <c r="Q4966" s="10" t="s">
        <v>24</v>
      </c>
    </row>
    <row r="4967" spans="1:18" hidden="1" x14ac:dyDescent="0.25">
      <c r="A4967" s="9" t="s">
        <v>2353</v>
      </c>
      <c r="B4967" s="3" t="s">
        <v>2381</v>
      </c>
      <c r="C4967" s="10">
        <v>22</v>
      </c>
      <c r="D4967" s="10">
        <v>2</v>
      </c>
      <c r="E4967" s="10">
        <v>20</v>
      </c>
      <c r="F4967" t="s">
        <v>74</v>
      </c>
      <c r="G4967" t="s">
        <v>889</v>
      </c>
      <c r="H4967" t="s">
        <v>56</v>
      </c>
      <c r="I4967" t="s">
        <v>27</v>
      </c>
      <c r="J4967">
        <v>34.200000000000003</v>
      </c>
      <c r="K4967" s="10">
        <v>0.87</v>
      </c>
      <c r="L4967">
        <v>34.200000000000003</v>
      </c>
      <c r="M4967">
        <v>29.754000000000001</v>
      </c>
      <c r="N4967" s="5">
        <v>1.5211656441717794</v>
      </c>
      <c r="O4967" t="s">
        <v>90</v>
      </c>
      <c r="P4967" t="s">
        <v>340</v>
      </c>
      <c r="Q4967" s="10" t="s">
        <v>24</v>
      </c>
    </row>
    <row r="4968" spans="1:18" hidden="1" x14ac:dyDescent="0.25">
      <c r="A4968" s="9" t="s">
        <v>2353</v>
      </c>
      <c r="B4968" s="3" t="s">
        <v>2381</v>
      </c>
      <c r="C4968" s="10">
        <v>22</v>
      </c>
      <c r="D4968" s="10">
        <v>2</v>
      </c>
      <c r="E4968" s="10">
        <v>20</v>
      </c>
      <c r="F4968" t="s">
        <v>202</v>
      </c>
      <c r="G4968" t="s">
        <v>889</v>
      </c>
      <c r="H4968" t="s">
        <v>54</v>
      </c>
      <c r="I4968" t="s">
        <v>27</v>
      </c>
      <c r="J4968">
        <v>98.5</v>
      </c>
      <c r="K4968" s="10">
        <v>0.378</v>
      </c>
      <c r="L4968">
        <v>98.5</v>
      </c>
      <c r="M4968">
        <v>37.232999999999997</v>
      </c>
      <c r="N4968" s="5">
        <v>1.9035276073619631</v>
      </c>
      <c r="O4968" t="s">
        <v>90</v>
      </c>
      <c r="P4968" t="s">
        <v>340</v>
      </c>
      <c r="Q4968" s="10" t="s">
        <v>24</v>
      </c>
    </row>
    <row r="4969" spans="1:18" hidden="1" x14ac:dyDescent="0.25">
      <c r="A4969" s="9" t="s">
        <v>2353</v>
      </c>
      <c r="B4969" s="3" t="s">
        <v>2381</v>
      </c>
      <c r="C4969" s="10">
        <v>22</v>
      </c>
      <c r="D4969" s="10">
        <v>2</v>
      </c>
      <c r="E4969" s="10">
        <v>20</v>
      </c>
      <c r="F4969" t="s">
        <v>2371</v>
      </c>
      <c r="G4969" t="s">
        <v>889</v>
      </c>
      <c r="H4969" t="s">
        <v>44</v>
      </c>
      <c r="I4969" t="s">
        <v>27</v>
      </c>
      <c r="J4969">
        <v>34.56</v>
      </c>
      <c r="K4969" s="10">
        <v>1</v>
      </c>
      <c r="L4969">
        <v>34.56</v>
      </c>
      <c r="M4969">
        <v>34.56</v>
      </c>
      <c r="N4969" s="5">
        <v>1.766871165644172</v>
      </c>
      <c r="O4969" t="s">
        <v>90</v>
      </c>
      <c r="P4969" t="s">
        <v>340</v>
      </c>
      <c r="Q4969" s="10" t="s">
        <v>24</v>
      </c>
    </row>
    <row r="4970" spans="1:18" hidden="1" x14ac:dyDescent="0.25">
      <c r="A4970" s="9" t="s">
        <v>2353</v>
      </c>
      <c r="B4970" s="3" t="s">
        <v>2381</v>
      </c>
      <c r="C4970" s="10">
        <v>22</v>
      </c>
      <c r="D4970" s="10">
        <v>2</v>
      </c>
      <c r="E4970" s="10">
        <v>20</v>
      </c>
      <c r="F4970" t="s">
        <v>124</v>
      </c>
      <c r="G4970" t="s">
        <v>404</v>
      </c>
      <c r="H4970" t="s">
        <v>54</v>
      </c>
      <c r="I4970" t="s">
        <v>27</v>
      </c>
      <c r="J4970">
        <v>42.6</v>
      </c>
      <c r="K4970" s="10">
        <v>0.6</v>
      </c>
      <c r="L4970">
        <v>42.6</v>
      </c>
      <c r="M4970">
        <v>25.56</v>
      </c>
      <c r="N4970" s="5">
        <v>1.3067484662576687</v>
      </c>
      <c r="O4970" t="s">
        <v>90</v>
      </c>
      <c r="P4970" t="s">
        <v>340</v>
      </c>
      <c r="Q4970" s="10" t="s">
        <v>24</v>
      </c>
    </row>
    <row r="4971" spans="1:18" hidden="1" x14ac:dyDescent="0.25">
      <c r="A4971" s="9" t="s">
        <v>2353</v>
      </c>
      <c r="B4971" s="3" t="s">
        <v>2381</v>
      </c>
      <c r="C4971" s="10">
        <v>22</v>
      </c>
      <c r="D4971" s="10">
        <v>2</v>
      </c>
      <c r="E4971" s="10">
        <v>20</v>
      </c>
      <c r="F4971" t="s">
        <v>2380</v>
      </c>
      <c r="G4971" t="s">
        <v>889</v>
      </c>
      <c r="H4971" t="s">
        <v>26</v>
      </c>
      <c r="I4971" t="s">
        <v>27</v>
      </c>
      <c r="J4971">
        <v>20.54</v>
      </c>
      <c r="K4971" s="10">
        <v>1</v>
      </c>
      <c r="L4971">
        <v>20.54</v>
      </c>
      <c r="M4971">
        <v>20.54</v>
      </c>
      <c r="N4971" s="5">
        <v>1.0501022494887526</v>
      </c>
      <c r="O4971" t="s">
        <v>90</v>
      </c>
      <c r="P4971" t="s">
        <v>340</v>
      </c>
      <c r="Q4971" s="10" t="s">
        <v>24</v>
      </c>
    </row>
    <row r="4972" spans="1:18" hidden="1" x14ac:dyDescent="0.25">
      <c r="A4972" s="9" t="s">
        <v>2353</v>
      </c>
      <c r="B4972" s="3" t="s">
        <v>2381</v>
      </c>
      <c r="C4972" s="10">
        <v>22</v>
      </c>
      <c r="D4972" s="10">
        <v>2</v>
      </c>
      <c r="E4972" s="10">
        <v>20</v>
      </c>
      <c r="F4972" t="s">
        <v>2048</v>
      </c>
      <c r="G4972" t="s">
        <v>708</v>
      </c>
      <c r="H4972" t="s">
        <v>131</v>
      </c>
      <c r="I4972" t="s">
        <v>27</v>
      </c>
      <c r="J4972">
        <v>44.54</v>
      </c>
      <c r="K4972" s="10">
        <v>2</v>
      </c>
      <c r="L4972">
        <v>44.54</v>
      </c>
      <c r="M4972">
        <v>89.08</v>
      </c>
      <c r="N4972" s="5">
        <v>4.554192229038855</v>
      </c>
      <c r="O4972" t="s">
        <v>90</v>
      </c>
      <c r="P4972" t="s">
        <v>340</v>
      </c>
      <c r="Q4972" s="10" t="s">
        <v>24</v>
      </c>
    </row>
    <row r="4973" spans="1:18" hidden="1" x14ac:dyDescent="0.25">
      <c r="A4973" s="9" t="s">
        <v>2353</v>
      </c>
      <c r="B4973" s="3" t="s">
        <v>2381</v>
      </c>
      <c r="C4973" s="10">
        <v>22</v>
      </c>
      <c r="D4973" s="10">
        <v>2</v>
      </c>
      <c r="E4973" s="10">
        <v>20</v>
      </c>
      <c r="F4973" t="s">
        <v>1464</v>
      </c>
      <c r="G4973" t="s">
        <v>889</v>
      </c>
      <c r="H4973" t="s">
        <v>131</v>
      </c>
      <c r="I4973" t="s">
        <v>27</v>
      </c>
      <c r="J4973">
        <v>44.35</v>
      </c>
      <c r="K4973" s="10">
        <v>1</v>
      </c>
      <c r="L4973">
        <v>44.35</v>
      </c>
      <c r="M4973">
        <v>44.35</v>
      </c>
      <c r="N4973" s="5">
        <v>2.267382413087935</v>
      </c>
      <c r="O4973" t="s">
        <v>90</v>
      </c>
      <c r="P4973" t="s">
        <v>340</v>
      </c>
      <c r="Q4973" s="10" t="s">
        <v>24</v>
      </c>
    </row>
    <row r="4974" spans="1:18" hidden="1" x14ac:dyDescent="0.25">
      <c r="A4974" s="9" t="s">
        <v>2353</v>
      </c>
      <c r="B4974" s="3" t="s">
        <v>2381</v>
      </c>
      <c r="C4974" s="10">
        <v>22</v>
      </c>
      <c r="D4974" s="10">
        <v>2</v>
      </c>
      <c r="E4974" s="10">
        <v>20</v>
      </c>
      <c r="F4974" t="s">
        <v>997</v>
      </c>
      <c r="G4974" t="s">
        <v>889</v>
      </c>
      <c r="H4974" t="s">
        <v>54</v>
      </c>
      <c r="I4974" t="s">
        <v>27</v>
      </c>
      <c r="J4974">
        <v>64.400000000000006</v>
      </c>
      <c r="K4974" s="10">
        <v>0.16</v>
      </c>
      <c r="L4974">
        <v>64.400000000000006</v>
      </c>
      <c r="M4974">
        <v>10.304</v>
      </c>
      <c r="N4974" s="5">
        <v>0.52678936605316973</v>
      </c>
      <c r="O4974" t="s">
        <v>90</v>
      </c>
      <c r="P4974" t="s">
        <v>340</v>
      </c>
      <c r="Q4974" s="10" t="s">
        <v>24</v>
      </c>
    </row>
    <row r="4975" spans="1:18" hidden="1" x14ac:dyDescent="0.25">
      <c r="A4975" s="9" t="s">
        <v>2353</v>
      </c>
      <c r="B4975" s="3" t="s">
        <v>2381</v>
      </c>
      <c r="C4975" s="10">
        <v>22</v>
      </c>
      <c r="D4975" s="10">
        <v>2</v>
      </c>
      <c r="E4975" s="10">
        <v>20</v>
      </c>
      <c r="F4975" t="s">
        <v>155</v>
      </c>
      <c r="G4975" t="s">
        <v>155</v>
      </c>
      <c r="H4975" t="s">
        <v>131</v>
      </c>
      <c r="I4975" t="s">
        <v>27</v>
      </c>
      <c r="J4975">
        <v>42.43</v>
      </c>
      <c r="K4975" s="10">
        <v>2</v>
      </c>
      <c r="L4975">
        <v>42.43</v>
      </c>
      <c r="M4975">
        <v>84.86</v>
      </c>
      <c r="N4975" s="5">
        <v>4.3384458077709613</v>
      </c>
      <c r="O4975" t="s">
        <v>90</v>
      </c>
      <c r="P4975" t="s">
        <v>340</v>
      </c>
      <c r="Q4975" s="10" t="s">
        <v>24</v>
      </c>
    </row>
    <row r="4976" spans="1:18" hidden="1" x14ac:dyDescent="0.25">
      <c r="A4976" s="9" t="s">
        <v>2353</v>
      </c>
      <c r="B4976" s="3" t="s">
        <v>2381</v>
      </c>
      <c r="C4976" s="10">
        <v>22</v>
      </c>
      <c r="D4976" s="10">
        <v>2</v>
      </c>
      <c r="E4976" s="10">
        <v>20</v>
      </c>
      <c r="F4976" t="s">
        <v>1645</v>
      </c>
      <c r="G4976" t="s">
        <v>889</v>
      </c>
      <c r="H4976" t="s">
        <v>425</v>
      </c>
      <c r="I4976" t="s">
        <v>27</v>
      </c>
      <c r="J4976">
        <v>20.74</v>
      </c>
      <c r="K4976" s="10">
        <v>2</v>
      </c>
      <c r="L4976">
        <v>20.74</v>
      </c>
      <c r="M4976">
        <v>41.48</v>
      </c>
      <c r="N4976" s="5">
        <v>2.1206543967280163</v>
      </c>
      <c r="O4976" t="s">
        <v>90</v>
      </c>
      <c r="P4976" t="s">
        <v>340</v>
      </c>
      <c r="Q4976" s="10" t="s">
        <v>24</v>
      </c>
    </row>
    <row r="4977" spans="1:18" hidden="1" x14ac:dyDescent="0.25">
      <c r="A4977" s="9" t="s">
        <v>2353</v>
      </c>
      <c r="B4977" s="3" t="s">
        <v>2381</v>
      </c>
      <c r="C4977" s="10">
        <v>22</v>
      </c>
      <c r="D4977" s="10">
        <v>2</v>
      </c>
      <c r="E4977" s="10">
        <v>20</v>
      </c>
      <c r="F4977" t="s">
        <v>1205</v>
      </c>
      <c r="G4977" t="s">
        <v>889</v>
      </c>
      <c r="H4977" t="s">
        <v>54</v>
      </c>
      <c r="I4977" t="s">
        <v>27</v>
      </c>
      <c r="J4977">
        <v>20.5</v>
      </c>
      <c r="K4977" s="10">
        <v>1</v>
      </c>
      <c r="L4977">
        <v>20.5</v>
      </c>
      <c r="M4977">
        <v>20.5</v>
      </c>
      <c r="N4977" s="5">
        <v>1.0480572597137015</v>
      </c>
      <c r="O4977" t="s">
        <v>90</v>
      </c>
      <c r="P4977" t="s">
        <v>340</v>
      </c>
      <c r="Q4977" s="10" t="s">
        <v>24</v>
      </c>
    </row>
    <row r="4978" spans="1:18" hidden="1" x14ac:dyDescent="0.25">
      <c r="A4978" s="9" t="s">
        <v>2353</v>
      </c>
      <c r="B4978" s="3" t="s">
        <v>2381</v>
      </c>
      <c r="C4978" s="10">
        <v>22</v>
      </c>
      <c r="D4978" s="10">
        <v>2</v>
      </c>
      <c r="E4978" s="10">
        <v>20</v>
      </c>
      <c r="F4978" t="s">
        <v>1378</v>
      </c>
      <c r="G4978" t="s">
        <v>889</v>
      </c>
      <c r="H4978" t="s">
        <v>40</v>
      </c>
      <c r="I4978" t="s">
        <v>27</v>
      </c>
      <c r="J4978">
        <v>17.95</v>
      </c>
      <c r="K4978" s="10">
        <v>1</v>
      </c>
      <c r="L4978">
        <v>17.95</v>
      </c>
      <c r="M4978">
        <v>17.95</v>
      </c>
      <c r="N4978" s="5">
        <v>0.91768916155419222</v>
      </c>
      <c r="O4978" t="s">
        <v>90</v>
      </c>
      <c r="P4978" t="s">
        <v>340</v>
      </c>
      <c r="Q4978" s="10" t="s">
        <v>24</v>
      </c>
    </row>
    <row r="4979" spans="1:18" hidden="1" x14ac:dyDescent="0.25">
      <c r="A4979" s="9" t="s">
        <v>980</v>
      </c>
      <c r="B4979" s="3" t="s">
        <v>2280</v>
      </c>
      <c r="C4979" s="10">
        <v>23</v>
      </c>
      <c r="D4979" s="10">
        <v>2</v>
      </c>
      <c r="E4979" s="10">
        <v>20</v>
      </c>
      <c r="F4979" t="s">
        <v>86</v>
      </c>
      <c r="G4979" t="s">
        <v>889</v>
      </c>
      <c r="H4979" t="s">
        <v>102</v>
      </c>
      <c r="I4979" t="s">
        <v>27</v>
      </c>
      <c r="J4979" s="4">
        <v>15</v>
      </c>
      <c r="K4979">
        <v>2</v>
      </c>
      <c r="L4979">
        <v>15</v>
      </c>
      <c r="M4979">
        <v>30</v>
      </c>
      <c r="N4979" s="5">
        <v>1.5205271160669032</v>
      </c>
      <c r="O4979" t="s">
        <v>39</v>
      </c>
      <c r="P4979" t="s">
        <v>340</v>
      </c>
      <c r="Q4979" s="10" t="s">
        <v>24</v>
      </c>
      <c r="R4979" t="s">
        <v>2278</v>
      </c>
    </row>
    <row r="4980" spans="1:18" hidden="1" x14ac:dyDescent="0.25">
      <c r="A4980" s="9" t="s">
        <v>980</v>
      </c>
      <c r="B4980" s="3" t="s">
        <v>2280</v>
      </c>
      <c r="C4980" s="10">
        <v>23</v>
      </c>
      <c r="D4980" s="10">
        <v>2</v>
      </c>
      <c r="E4980" s="10">
        <v>20</v>
      </c>
      <c r="F4980" t="s">
        <v>141</v>
      </c>
      <c r="G4980" t="s">
        <v>889</v>
      </c>
      <c r="H4980" t="s">
        <v>172</v>
      </c>
      <c r="I4980" t="s">
        <v>39</v>
      </c>
      <c r="J4980" s="4">
        <v>2</v>
      </c>
      <c r="K4980">
        <v>4</v>
      </c>
      <c r="L4980">
        <v>2</v>
      </c>
      <c r="M4980">
        <v>8</v>
      </c>
      <c r="N4980" s="5">
        <v>0.40547389761784086</v>
      </c>
      <c r="O4980" t="s">
        <v>39</v>
      </c>
      <c r="P4980" t="s">
        <v>340</v>
      </c>
      <c r="Q4980" s="10" t="s">
        <v>24</v>
      </c>
    </row>
    <row r="4981" spans="1:18" hidden="1" x14ac:dyDescent="0.25">
      <c r="A4981" s="9" t="s">
        <v>980</v>
      </c>
      <c r="B4981" s="3" t="s">
        <v>2280</v>
      </c>
      <c r="C4981" s="10">
        <v>23</v>
      </c>
      <c r="D4981" s="10">
        <v>2</v>
      </c>
      <c r="E4981" s="10">
        <v>20</v>
      </c>
      <c r="F4981" t="s">
        <v>141</v>
      </c>
      <c r="G4981" t="s">
        <v>889</v>
      </c>
      <c r="H4981" t="s">
        <v>172</v>
      </c>
      <c r="I4981" t="s">
        <v>39</v>
      </c>
      <c r="J4981" s="4">
        <v>3</v>
      </c>
      <c r="K4981">
        <v>1</v>
      </c>
      <c r="L4981">
        <v>3</v>
      </c>
      <c r="M4981">
        <v>3</v>
      </c>
      <c r="N4981" s="5">
        <v>0.15205271160669032</v>
      </c>
      <c r="O4981" t="s">
        <v>39</v>
      </c>
      <c r="P4981" t="s">
        <v>340</v>
      </c>
      <c r="Q4981" s="10" t="s">
        <v>24</v>
      </c>
    </row>
    <row r="4982" spans="1:18" hidden="1" x14ac:dyDescent="0.25">
      <c r="A4982" s="9" t="s">
        <v>980</v>
      </c>
      <c r="B4982" s="3" t="s">
        <v>2280</v>
      </c>
      <c r="C4982" s="10">
        <v>23</v>
      </c>
      <c r="D4982" s="10">
        <v>2</v>
      </c>
      <c r="E4982" s="10">
        <v>20</v>
      </c>
      <c r="F4982" t="s">
        <v>770</v>
      </c>
      <c r="G4982" t="s">
        <v>31</v>
      </c>
      <c r="H4982" t="s">
        <v>26</v>
      </c>
      <c r="I4982" t="s">
        <v>27</v>
      </c>
      <c r="J4982" s="4">
        <v>8.5</v>
      </c>
      <c r="K4982">
        <v>1</v>
      </c>
      <c r="L4982">
        <v>8.5</v>
      </c>
      <c r="M4982">
        <v>8.5</v>
      </c>
      <c r="N4982" s="5">
        <v>0.43081601621895588</v>
      </c>
      <c r="O4982" t="s">
        <v>101</v>
      </c>
      <c r="P4982" t="s">
        <v>340</v>
      </c>
      <c r="Q4982" s="10" t="s">
        <v>24</v>
      </c>
    </row>
    <row r="4983" spans="1:18" hidden="1" x14ac:dyDescent="0.25">
      <c r="A4983" s="9" t="s">
        <v>980</v>
      </c>
      <c r="B4983" s="3" t="s">
        <v>2280</v>
      </c>
      <c r="C4983" s="10">
        <v>23</v>
      </c>
      <c r="D4983" s="10">
        <v>2</v>
      </c>
      <c r="E4983" s="10">
        <v>20</v>
      </c>
      <c r="F4983" t="s">
        <v>86</v>
      </c>
      <c r="G4983" t="s">
        <v>889</v>
      </c>
      <c r="H4983" t="s">
        <v>102</v>
      </c>
      <c r="I4983" t="s">
        <v>27</v>
      </c>
      <c r="J4983" s="4">
        <v>19</v>
      </c>
      <c r="K4983">
        <v>2</v>
      </c>
      <c r="L4983">
        <v>19</v>
      </c>
      <c r="M4983">
        <v>38</v>
      </c>
      <c r="N4983" s="5">
        <v>1.9260010136847441</v>
      </c>
      <c r="O4983" t="s">
        <v>235</v>
      </c>
      <c r="P4983" t="s">
        <v>340</v>
      </c>
      <c r="Q4983" s="10" t="s">
        <v>24</v>
      </c>
    </row>
    <row r="4984" spans="1:18" hidden="1" x14ac:dyDescent="0.25">
      <c r="A4984" s="9" t="s">
        <v>2353</v>
      </c>
      <c r="B4984" s="3" t="s">
        <v>2280</v>
      </c>
      <c r="C4984" s="10">
        <v>23</v>
      </c>
      <c r="D4984" s="10">
        <v>2</v>
      </c>
      <c r="E4984" s="10">
        <v>20</v>
      </c>
      <c r="F4984" t="s">
        <v>60</v>
      </c>
      <c r="G4984" t="s">
        <v>31</v>
      </c>
      <c r="H4984" t="s">
        <v>26</v>
      </c>
      <c r="I4984" t="s">
        <v>27</v>
      </c>
      <c r="J4984">
        <v>8.1999999999999993</v>
      </c>
      <c r="K4984" s="10">
        <v>2</v>
      </c>
      <c r="L4984">
        <v>8.1999999999999993</v>
      </c>
      <c r="M4984">
        <v>16.399999999999999</v>
      </c>
      <c r="N4984" s="5">
        <v>0.83844580777096112</v>
      </c>
      <c r="O4984" t="s">
        <v>1472</v>
      </c>
      <c r="P4984" t="s">
        <v>340</v>
      </c>
      <c r="Q4984" s="10" t="s">
        <v>24</v>
      </c>
      <c r="R4984">
        <v>0</v>
      </c>
    </row>
    <row r="4985" spans="1:18" hidden="1" x14ac:dyDescent="0.25">
      <c r="A4985" s="9" t="s">
        <v>2353</v>
      </c>
      <c r="B4985" s="3" t="s">
        <v>2280</v>
      </c>
      <c r="C4985" s="10">
        <v>23</v>
      </c>
      <c r="D4985" s="10">
        <v>2</v>
      </c>
      <c r="E4985" s="10">
        <v>20</v>
      </c>
      <c r="F4985" t="s">
        <v>2386</v>
      </c>
      <c r="G4985" t="s">
        <v>889</v>
      </c>
      <c r="H4985" t="s">
        <v>26</v>
      </c>
      <c r="I4985" t="s">
        <v>27</v>
      </c>
      <c r="J4985">
        <v>12.4</v>
      </c>
      <c r="K4985" s="10">
        <v>1</v>
      </c>
      <c r="L4985">
        <v>12.4</v>
      </c>
      <c r="M4985">
        <v>12.4</v>
      </c>
      <c r="N4985" s="5">
        <v>0.63394683026584875</v>
      </c>
      <c r="O4985" t="s">
        <v>1472</v>
      </c>
      <c r="P4985" t="s">
        <v>340</v>
      </c>
      <c r="Q4985" s="10" t="s">
        <v>24</v>
      </c>
      <c r="R4985">
        <v>0</v>
      </c>
    </row>
    <row r="4986" spans="1:18" hidden="1" x14ac:dyDescent="0.25">
      <c r="A4986" s="9" t="s">
        <v>980</v>
      </c>
      <c r="B4986" s="3" t="s">
        <v>2296</v>
      </c>
      <c r="C4986" s="10">
        <v>24</v>
      </c>
      <c r="D4986" s="10">
        <v>2</v>
      </c>
      <c r="E4986" s="10">
        <v>20</v>
      </c>
      <c r="F4986" t="s">
        <v>1358</v>
      </c>
      <c r="G4986" t="s">
        <v>155</v>
      </c>
      <c r="H4986" t="s">
        <v>131</v>
      </c>
      <c r="I4986" t="s">
        <v>27</v>
      </c>
      <c r="J4986" s="4">
        <v>75</v>
      </c>
      <c r="K4986">
        <v>1</v>
      </c>
      <c r="L4986">
        <v>75</v>
      </c>
      <c r="M4986">
        <v>75</v>
      </c>
      <c r="N4986" s="5">
        <v>3.8013177901672579</v>
      </c>
      <c r="O4986" t="s">
        <v>100</v>
      </c>
      <c r="P4986" t="s">
        <v>340</v>
      </c>
      <c r="Q4986" s="10" t="s">
        <v>24</v>
      </c>
      <c r="R4986">
        <v>0</v>
      </c>
    </row>
    <row r="4987" spans="1:18" hidden="1" x14ac:dyDescent="0.25">
      <c r="A4987" s="9" t="s">
        <v>980</v>
      </c>
      <c r="B4987" s="3" t="s">
        <v>2296</v>
      </c>
      <c r="C4987" s="10">
        <v>24</v>
      </c>
      <c r="D4987" s="10">
        <v>2</v>
      </c>
      <c r="E4987" s="10">
        <v>20</v>
      </c>
      <c r="F4987" t="s">
        <v>2286</v>
      </c>
      <c r="G4987" t="s">
        <v>889</v>
      </c>
      <c r="H4987" t="s">
        <v>38</v>
      </c>
      <c r="I4987" t="s">
        <v>27</v>
      </c>
      <c r="J4987" s="4">
        <v>379.8</v>
      </c>
      <c r="K4987">
        <v>0.19</v>
      </c>
      <c r="L4987">
        <v>379.8</v>
      </c>
      <c r="M4987">
        <v>72.162000000000006</v>
      </c>
      <c r="N4987" s="5">
        <v>3.6574759249873292</v>
      </c>
      <c r="O4987" t="s">
        <v>100</v>
      </c>
      <c r="P4987" t="s">
        <v>340</v>
      </c>
      <c r="Q4987" s="10" t="s">
        <v>24</v>
      </c>
      <c r="R4987">
        <v>0</v>
      </c>
    </row>
    <row r="4988" spans="1:18" hidden="1" x14ac:dyDescent="0.25">
      <c r="A4988" s="9" t="s">
        <v>980</v>
      </c>
      <c r="B4988" s="3" t="s">
        <v>2296</v>
      </c>
      <c r="C4988" s="10">
        <v>24</v>
      </c>
      <c r="D4988" s="10">
        <v>2</v>
      </c>
      <c r="E4988" s="10">
        <v>20</v>
      </c>
      <c r="F4988" t="s">
        <v>1680</v>
      </c>
      <c r="G4988" t="s">
        <v>889</v>
      </c>
      <c r="H4988" t="s">
        <v>40</v>
      </c>
      <c r="I4988" t="s">
        <v>27</v>
      </c>
      <c r="J4988" s="4">
        <v>10</v>
      </c>
      <c r="K4988">
        <v>1</v>
      </c>
      <c r="L4988">
        <v>10</v>
      </c>
      <c r="M4988">
        <v>10</v>
      </c>
      <c r="N4988" s="5">
        <v>0.50684237202230109</v>
      </c>
      <c r="O4988" t="s">
        <v>100</v>
      </c>
      <c r="P4988" t="s">
        <v>340</v>
      </c>
      <c r="Q4988" s="10" t="s">
        <v>24</v>
      </c>
      <c r="R4988">
        <v>0</v>
      </c>
    </row>
    <row r="4989" spans="1:18" hidden="1" x14ac:dyDescent="0.25">
      <c r="A4989" s="9" t="s">
        <v>980</v>
      </c>
      <c r="B4989" s="3" t="s">
        <v>2296</v>
      </c>
      <c r="C4989" s="10">
        <v>24</v>
      </c>
      <c r="D4989" s="10">
        <v>2</v>
      </c>
      <c r="E4989" s="10">
        <v>20</v>
      </c>
      <c r="F4989" t="s">
        <v>146</v>
      </c>
      <c r="G4989" t="s">
        <v>889</v>
      </c>
      <c r="H4989" t="s">
        <v>49</v>
      </c>
      <c r="I4989" t="s">
        <v>50</v>
      </c>
      <c r="J4989" s="4">
        <v>2</v>
      </c>
      <c r="K4989">
        <v>1</v>
      </c>
      <c r="L4989">
        <v>2</v>
      </c>
      <c r="M4989">
        <v>2</v>
      </c>
      <c r="N4989" s="5">
        <v>0.10136847440446022</v>
      </c>
      <c r="O4989" t="s">
        <v>100</v>
      </c>
      <c r="P4989" t="s">
        <v>340</v>
      </c>
      <c r="Q4989" s="10" t="s">
        <v>24</v>
      </c>
      <c r="R4989">
        <v>0</v>
      </c>
    </row>
    <row r="4990" spans="1:18" hidden="1" x14ac:dyDescent="0.25">
      <c r="A4990" s="9" t="s">
        <v>980</v>
      </c>
      <c r="B4990" s="3" t="s">
        <v>2296</v>
      </c>
      <c r="C4990" s="10">
        <v>24</v>
      </c>
      <c r="D4990" s="10">
        <v>2</v>
      </c>
      <c r="E4990" s="10">
        <v>20</v>
      </c>
      <c r="F4990" t="s">
        <v>1357</v>
      </c>
      <c r="G4990" t="s">
        <v>889</v>
      </c>
      <c r="H4990" t="s">
        <v>35</v>
      </c>
      <c r="I4990" t="s">
        <v>27</v>
      </c>
      <c r="J4990" s="4">
        <v>182.6</v>
      </c>
      <c r="K4990">
        <v>0.156</v>
      </c>
      <c r="L4990">
        <v>182.6</v>
      </c>
      <c r="M4990">
        <v>28.485599999999998</v>
      </c>
      <c r="N4990" s="5">
        <v>1.4437709072478457</v>
      </c>
      <c r="O4990" t="s">
        <v>100</v>
      </c>
      <c r="P4990" t="s">
        <v>340</v>
      </c>
      <c r="Q4990" s="10" t="s">
        <v>24</v>
      </c>
      <c r="R4990">
        <v>0</v>
      </c>
    </row>
    <row r="4991" spans="1:18" hidden="1" x14ac:dyDescent="0.25">
      <c r="A4991" s="9" t="s">
        <v>980</v>
      </c>
      <c r="B4991" s="3" t="s">
        <v>2296</v>
      </c>
      <c r="C4991" s="10">
        <v>24</v>
      </c>
      <c r="D4991" s="10">
        <v>2</v>
      </c>
      <c r="E4991" s="10">
        <v>20</v>
      </c>
      <c r="F4991" t="s">
        <v>522</v>
      </c>
      <c r="G4991" t="s">
        <v>889</v>
      </c>
      <c r="H4991" t="s">
        <v>65</v>
      </c>
      <c r="I4991" t="s">
        <v>27</v>
      </c>
      <c r="J4991" s="4">
        <v>15.75</v>
      </c>
      <c r="K4991">
        <v>2</v>
      </c>
      <c r="L4991">
        <v>15.75</v>
      </c>
      <c r="M4991">
        <v>31.5</v>
      </c>
      <c r="N4991" s="5">
        <v>1.5965534718702483</v>
      </c>
      <c r="O4991" t="s">
        <v>100</v>
      </c>
      <c r="P4991" t="s">
        <v>340</v>
      </c>
      <c r="Q4991" s="10" t="s">
        <v>24</v>
      </c>
      <c r="R4991">
        <v>0</v>
      </c>
    </row>
    <row r="4992" spans="1:18" hidden="1" x14ac:dyDescent="0.25">
      <c r="A4992" s="9" t="s">
        <v>2353</v>
      </c>
      <c r="B4992" s="3" t="s">
        <v>2296</v>
      </c>
      <c r="C4992" s="10">
        <v>24</v>
      </c>
      <c r="D4992" s="10">
        <v>2</v>
      </c>
      <c r="E4992" s="10">
        <v>20</v>
      </c>
      <c r="F4992" t="s">
        <v>770</v>
      </c>
      <c r="G4992" t="s">
        <v>31</v>
      </c>
      <c r="H4992" t="s">
        <v>26</v>
      </c>
      <c r="I4992" t="s">
        <v>27</v>
      </c>
      <c r="J4992">
        <v>8.5</v>
      </c>
      <c r="K4992" s="10">
        <v>2</v>
      </c>
      <c r="L4992">
        <v>8.5</v>
      </c>
      <c r="M4992">
        <v>17</v>
      </c>
      <c r="N4992" s="5">
        <v>0.86912065439672803</v>
      </c>
      <c r="O4992" t="s">
        <v>101</v>
      </c>
      <c r="P4992" t="s">
        <v>340</v>
      </c>
      <c r="Q4992" s="10" t="s">
        <v>24</v>
      </c>
    </row>
    <row r="4993" spans="1:18" hidden="1" x14ac:dyDescent="0.25">
      <c r="A4993" s="9" t="s">
        <v>2353</v>
      </c>
      <c r="B4993" s="3" t="s">
        <v>2332</v>
      </c>
      <c r="C4993" s="10">
        <v>25</v>
      </c>
      <c r="D4993" s="10">
        <v>2</v>
      </c>
      <c r="E4993" s="10">
        <v>20</v>
      </c>
      <c r="F4993" t="s">
        <v>2324</v>
      </c>
      <c r="G4993" t="s">
        <v>889</v>
      </c>
      <c r="H4993" t="s">
        <v>889</v>
      </c>
      <c r="I4993" t="s">
        <v>39</v>
      </c>
      <c r="J4993">
        <v>550</v>
      </c>
      <c r="K4993">
        <v>1</v>
      </c>
      <c r="L4993">
        <v>550</v>
      </c>
      <c r="M4993">
        <v>550</v>
      </c>
      <c r="N4993" s="5">
        <v>27.876330461226559</v>
      </c>
      <c r="O4993" t="s">
        <v>39</v>
      </c>
      <c r="P4993" t="s">
        <v>340</v>
      </c>
      <c r="Q4993" s="10" t="s">
        <v>24</v>
      </c>
      <c r="R4993">
        <v>0</v>
      </c>
    </row>
    <row r="4994" spans="1:18" hidden="1" x14ac:dyDescent="0.25">
      <c r="A4994" s="9" t="s">
        <v>2353</v>
      </c>
      <c r="B4994" s="3" t="s">
        <v>2332</v>
      </c>
      <c r="C4994" s="10">
        <v>25</v>
      </c>
      <c r="D4994" s="10">
        <v>2</v>
      </c>
      <c r="E4994" s="10">
        <v>20</v>
      </c>
      <c r="F4994" t="s">
        <v>1695</v>
      </c>
      <c r="G4994" t="s">
        <v>304</v>
      </c>
      <c r="H4994" t="s">
        <v>1695</v>
      </c>
      <c r="I4994" t="s">
        <v>79</v>
      </c>
      <c r="J4994">
        <v>680</v>
      </c>
      <c r="K4994">
        <v>1</v>
      </c>
      <c r="L4994">
        <v>680</v>
      </c>
      <c r="M4994">
        <v>680</v>
      </c>
      <c r="N4994" s="5">
        <v>34.465281297516469</v>
      </c>
      <c r="O4994" t="s">
        <v>1034</v>
      </c>
      <c r="P4994" t="s">
        <v>340</v>
      </c>
      <c r="Q4994" s="10" t="s">
        <v>24</v>
      </c>
      <c r="R4994" t="s">
        <v>2337</v>
      </c>
    </row>
    <row r="4995" spans="1:18" hidden="1" x14ac:dyDescent="0.25">
      <c r="A4995" s="9" t="s">
        <v>2353</v>
      </c>
      <c r="B4995" s="3" t="s">
        <v>2332</v>
      </c>
      <c r="C4995" s="10">
        <v>25</v>
      </c>
      <c r="D4995" s="10">
        <v>2</v>
      </c>
      <c r="E4995" s="10">
        <v>20</v>
      </c>
      <c r="F4995" t="s">
        <v>657</v>
      </c>
      <c r="G4995" t="s">
        <v>889</v>
      </c>
      <c r="H4995" t="s">
        <v>40</v>
      </c>
      <c r="I4995" t="s">
        <v>27</v>
      </c>
      <c r="J4995">
        <v>14</v>
      </c>
      <c r="K4995" s="10">
        <v>1</v>
      </c>
      <c r="L4995">
        <v>14</v>
      </c>
      <c r="M4995">
        <v>14</v>
      </c>
      <c r="N4995" s="5">
        <v>0.71574642126789367</v>
      </c>
      <c r="O4995" t="s">
        <v>100</v>
      </c>
      <c r="P4995" t="s">
        <v>340</v>
      </c>
      <c r="Q4995" s="10" t="s">
        <v>24</v>
      </c>
    </row>
    <row r="4996" spans="1:18" hidden="1" x14ac:dyDescent="0.25">
      <c r="A4996" s="9" t="s">
        <v>2353</v>
      </c>
      <c r="B4996" s="3" t="s">
        <v>2332</v>
      </c>
      <c r="C4996" s="10">
        <v>25</v>
      </c>
      <c r="D4996" s="10">
        <v>2</v>
      </c>
      <c r="E4996" s="10">
        <v>20</v>
      </c>
      <c r="F4996" t="s">
        <v>974</v>
      </c>
      <c r="G4996" t="s">
        <v>25</v>
      </c>
      <c r="H4996" t="s">
        <v>26</v>
      </c>
      <c r="I4996" t="s">
        <v>27</v>
      </c>
      <c r="J4996">
        <v>212.5</v>
      </c>
      <c r="K4996" s="10">
        <v>0.34</v>
      </c>
      <c r="L4996">
        <v>212.5</v>
      </c>
      <c r="M4996">
        <v>72.25</v>
      </c>
      <c r="N4996" s="5">
        <v>3.6937627811860945</v>
      </c>
      <c r="O4996" t="s">
        <v>100</v>
      </c>
      <c r="P4996" t="s">
        <v>340</v>
      </c>
      <c r="Q4996" s="10" t="s">
        <v>24</v>
      </c>
    </row>
    <row r="4997" spans="1:18" hidden="1" x14ac:dyDescent="0.25">
      <c r="A4997" s="9" t="s">
        <v>2353</v>
      </c>
      <c r="B4997" s="3" t="s">
        <v>2332</v>
      </c>
      <c r="C4997" s="10">
        <v>25</v>
      </c>
      <c r="D4997" s="10">
        <v>2</v>
      </c>
      <c r="E4997" s="10">
        <v>20</v>
      </c>
      <c r="F4997" t="s">
        <v>2388</v>
      </c>
      <c r="G4997" t="s">
        <v>889</v>
      </c>
      <c r="H4997" t="s">
        <v>26</v>
      </c>
      <c r="I4997" t="s">
        <v>27</v>
      </c>
      <c r="J4997">
        <v>9.75</v>
      </c>
      <c r="K4997" s="10">
        <v>1</v>
      </c>
      <c r="L4997">
        <v>9.75</v>
      </c>
      <c r="M4997">
        <v>9.75</v>
      </c>
      <c r="N4997" s="5">
        <v>0.49846625766871167</v>
      </c>
      <c r="O4997" t="s">
        <v>1472</v>
      </c>
      <c r="P4997" t="s">
        <v>340</v>
      </c>
      <c r="Q4997" s="10" t="s">
        <v>24</v>
      </c>
      <c r="R4997">
        <v>0</v>
      </c>
    </row>
    <row r="4998" spans="1:18" hidden="1" x14ac:dyDescent="0.25">
      <c r="A4998" s="9" t="s">
        <v>2353</v>
      </c>
      <c r="B4998" s="3" t="s">
        <v>2332</v>
      </c>
      <c r="C4998" s="10">
        <v>25</v>
      </c>
      <c r="D4998" s="10">
        <v>2</v>
      </c>
      <c r="E4998" s="10">
        <v>20</v>
      </c>
      <c r="F4998" t="s">
        <v>2386</v>
      </c>
      <c r="G4998" t="s">
        <v>889</v>
      </c>
      <c r="H4998" t="s">
        <v>26</v>
      </c>
      <c r="I4998" t="s">
        <v>27</v>
      </c>
      <c r="J4998">
        <v>12.4</v>
      </c>
      <c r="K4998" s="10">
        <v>1</v>
      </c>
      <c r="L4998">
        <v>12.4</v>
      </c>
      <c r="M4998">
        <v>12.4</v>
      </c>
      <c r="N4998" s="5">
        <v>0.63394683026584875</v>
      </c>
      <c r="O4998" t="s">
        <v>1472</v>
      </c>
      <c r="P4998" t="s">
        <v>340</v>
      </c>
      <c r="Q4998" s="10" t="s">
        <v>24</v>
      </c>
      <c r="R4998">
        <v>0</v>
      </c>
    </row>
    <row r="4999" spans="1:18" hidden="1" x14ac:dyDescent="0.25">
      <c r="A4999" s="9" t="s">
        <v>2353</v>
      </c>
      <c r="B4999" s="3" t="s">
        <v>2332</v>
      </c>
      <c r="C4999" s="10">
        <v>25</v>
      </c>
      <c r="D4999" s="10">
        <v>2</v>
      </c>
      <c r="E4999" s="10">
        <v>20</v>
      </c>
      <c r="F4999" t="s">
        <v>2383</v>
      </c>
      <c r="G4999" t="s">
        <v>77</v>
      </c>
      <c r="H4999" t="s">
        <v>26</v>
      </c>
      <c r="I4999" t="s">
        <v>27</v>
      </c>
      <c r="J4999">
        <v>21.3</v>
      </c>
      <c r="K4999" s="10">
        <v>1</v>
      </c>
      <c r="L4999">
        <v>21.3</v>
      </c>
      <c r="M4999">
        <v>21.3</v>
      </c>
      <c r="N4999" s="5">
        <v>1.0889570552147241</v>
      </c>
      <c r="O4999" t="s">
        <v>1472</v>
      </c>
      <c r="P4999" t="s">
        <v>340</v>
      </c>
      <c r="Q4999" s="10" t="s">
        <v>24</v>
      </c>
      <c r="R4999">
        <v>0</v>
      </c>
    </row>
    <row r="5000" spans="1:18" hidden="1" x14ac:dyDescent="0.25">
      <c r="A5000" s="9" t="s">
        <v>2353</v>
      </c>
      <c r="B5000" s="3" t="s">
        <v>2332</v>
      </c>
      <c r="C5000" s="10">
        <v>25</v>
      </c>
      <c r="D5000" s="10">
        <v>2</v>
      </c>
      <c r="E5000" s="10">
        <v>20</v>
      </c>
      <c r="F5000" t="s">
        <v>676</v>
      </c>
      <c r="G5000" t="s">
        <v>39</v>
      </c>
      <c r="H5000" t="s">
        <v>131</v>
      </c>
      <c r="I5000" t="s">
        <v>27</v>
      </c>
      <c r="J5000">
        <v>5.3</v>
      </c>
      <c r="K5000" s="10">
        <v>2</v>
      </c>
      <c r="L5000">
        <v>5.3</v>
      </c>
      <c r="M5000">
        <v>10.6</v>
      </c>
      <c r="N5000" s="5">
        <v>0.54192229038854811</v>
      </c>
      <c r="O5000" t="s">
        <v>1472</v>
      </c>
      <c r="P5000" t="s">
        <v>340</v>
      </c>
      <c r="Q5000" s="10" t="s">
        <v>24</v>
      </c>
      <c r="R5000">
        <v>0</v>
      </c>
    </row>
    <row r="5001" spans="1:18" hidden="1" x14ac:dyDescent="0.25">
      <c r="A5001" s="9" t="s">
        <v>2353</v>
      </c>
      <c r="B5001" s="3" t="s">
        <v>2332</v>
      </c>
      <c r="C5001" s="10">
        <v>25</v>
      </c>
      <c r="D5001" s="10">
        <v>2</v>
      </c>
      <c r="E5001" s="10">
        <v>20</v>
      </c>
      <c r="F5001" t="s">
        <v>460</v>
      </c>
      <c r="G5001" t="s">
        <v>889</v>
      </c>
      <c r="H5001" t="s">
        <v>65</v>
      </c>
      <c r="I5001" t="s">
        <v>27</v>
      </c>
      <c r="J5001">
        <v>9.65</v>
      </c>
      <c r="K5001" s="10">
        <v>1</v>
      </c>
      <c r="L5001">
        <v>9.65</v>
      </c>
      <c r="M5001">
        <v>9.65</v>
      </c>
      <c r="N5001" s="5">
        <v>0.49335378323108392</v>
      </c>
      <c r="O5001" t="s">
        <v>1472</v>
      </c>
      <c r="P5001" t="s">
        <v>340</v>
      </c>
      <c r="Q5001" s="10" t="s">
        <v>24</v>
      </c>
      <c r="R5001">
        <v>0</v>
      </c>
    </row>
    <row r="5002" spans="1:18" hidden="1" x14ac:dyDescent="0.25">
      <c r="A5002" s="9" t="s">
        <v>2353</v>
      </c>
      <c r="B5002" s="3" t="s">
        <v>2332</v>
      </c>
      <c r="C5002" s="10">
        <v>25</v>
      </c>
      <c r="D5002" s="10">
        <v>2</v>
      </c>
      <c r="E5002" s="10">
        <v>20</v>
      </c>
      <c r="F5002" t="s">
        <v>923</v>
      </c>
      <c r="G5002" t="s">
        <v>708</v>
      </c>
      <c r="H5002" t="s">
        <v>131</v>
      </c>
      <c r="I5002" t="s">
        <v>27</v>
      </c>
      <c r="J5002">
        <v>14.99</v>
      </c>
      <c r="K5002" s="10">
        <v>1</v>
      </c>
      <c r="L5002">
        <v>14.99</v>
      </c>
      <c r="M5002">
        <v>14.99</v>
      </c>
      <c r="N5002" s="5">
        <v>0.76635991820040905</v>
      </c>
      <c r="O5002" t="s">
        <v>1472</v>
      </c>
      <c r="P5002" t="s">
        <v>340</v>
      </c>
      <c r="Q5002" s="10" t="s">
        <v>24</v>
      </c>
      <c r="R5002">
        <v>0</v>
      </c>
    </row>
    <row r="5003" spans="1:18" hidden="1" x14ac:dyDescent="0.25">
      <c r="A5003" s="9" t="s">
        <v>2353</v>
      </c>
      <c r="B5003" s="3" t="s">
        <v>2332</v>
      </c>
      <c r="C5003" s="10">
        <v>25</v>
      </c>
      <c r="D5003" s="10">
        <v>2</v>
      </c>
      <c r="E5003" s="10">
        <v>20</v>
      </c>
      <c r="F5003" t="s">
        <v>99</v>
      </c>
      <c r="G5003" t="s">
        <v>889</v>
      </c>
      <c r="H5003" t="s">
        <v>40</v>
      </c>
      <c r="I5003" t="s">
        <v>27</v>
      </c>
      <c r="J5003">
        <v>3.45</v>
      </c>
      <c r="K5003" s="10">
        <v>1</v>
      </c>
      <c r="L5003">
        <v>3.45</v>
      </c>
      <c r="M5003">
        <v>3.45</v>
      </c>
      <c r="N5003" s="5">
        <v>0.17638036809815952</v>
      </c>
      <c r="O5003" t="s">
        <v>1472</v>
      </c>
      <c r="P5003" t="s">
        <v>340</v>
      </c>
      <c r="Q5003" s="10" t="s">
        <v>24</v>
      </c>
      <c r="R5003">
        <v>0</v>
      </c>
    </row>
    <row r="5004" spans="1:18" hidden="1" x14ac:dyDescent="0.25">
      <c r="A5004" s="9" t="s">
        <v>980</v>
      </c>
      <c r="B5004" s="3" t="s">
        <v>2300</v>
      </c>
      <c r="C5004" s="10">
        <v>27</v>
      </c>
      <c r="D5004" s="10">
        <v>2</v>
      </c>
      <c r="E5004" s="10">
        <v>20</v>
      </c>
      <c r="F5004" t="s">
        <v>1036</v>
      </c>
      <c r="G5004" t="s">
        <v>889</v>
      </c>
      <c r="H5004" t="s">
        <v>38</v>
      </c>
      <c r="I5004" t="s">
        <v>27</v>
      </c>
      <c r="J5004" s="4">
        <v>126</v>
      </c>
      <c r="K5004">
        <v>0.252</v>
      </c>
      <c r="L5004">
        <v>126</v>
      </c>
      <c r="M5004">
        <v>31.751999999999999</v>
      </c>
      <c r="N5004" s="5">
        <v>1.6093258996452102</v>
      </c>
      <c r="O5004" t="s">
        <v>100</v>
      </c>
      <c r="P5004" t="s">
        <v>340</v>
      </c>
      <c r="Q5004" s="10" t="s">
        <v>24</v>
      </c>
      <c r="R5004">
        <v>0</v>
      </c>
    </row>
    <row r="5005" spans="1:18" hidden="1" x14ac:dyDescent="0.25">
      <c r="A5005" s="9" t="s">
        <v>980</v>
      </c>
      <c r="B5005" s="3" t="s">
        <v>2300</v>
      </c>
      <c r="C5005" s="10">
        <v>27</v>
      </c>
      <c r="D5005" s="10">
        <v>2</v>
      </c>
      <c r="E5005" s="10">
        <v>20</v>
      </c>
      <c r="F5005" t="s">
        <v>1466</v>
      </c>
      <c r="G5005" t="s">
        <v>31</v>
      </c>
      <c r="H5005" t="s">
        <v>26</v>
      </c>
      <c r="I5005" t="s">
        <v>27</v>
      </c>
      <c r="J5005" s="4">
        <v>38.6</v>
      </c>
      <c r="K5005">
        <v>2</v>
      </c>
      <c r="L5005">
        <v>36.6</v>
      </c>
      <c r="M5005">
        <v>73.2</v>
      </c>
      <c r="N5005" s="5">
        <v>3.7100861632032438</v>
      </c>
      <c r="O5005" t="s">
        <v>100</v>
      </c>
      <c r="P5005" t="s">
        <v>340</v>
      </c>
      <c r="Q5005" s="10" t="s">
        <v>24</v>
      </c>
      <c r="R5005">
        <v>0</v>
      </c>
    </row>
    <row r="5006" spans="1:18" hidden="1" x14ac:dyDescent="0.25">
      <c r="A5006" s="9" t="s">
        <v>980</v>
      </c>
      <c r="B5006" s="3" t="s">
        <v>2300</v>
      </c>
      <c r="C5006" s="10">
        <v>27</v>
      </c>
      <c r="D5006" s="10">
        <v>2</v>
      </c>
      <c r="E5006" s="10">
        <v>20</v>
      </c>
      <c r="F5006" t="s">
        <v>1205</v>
      </c>
      <c r="G5006" t="s">
        <v>889</v>
      </c>
      <c r="H5006" t="s">
        <v>54</v>
      </c>
      <c r="I5006" t="s">
        <v>27</v>
      </c>
      <c r="J5006" s="4">
        <v>30</v>
      </c>
      <c r="K5006">
        <v>1</v>
      </c>
      <c r="L5006">
        <v>30</v>
      </c>
      <c r="M5006">
        <v>30</v>
      </c>
      <c r="N5006" s="5">
        <v>1.5205271160669032</v>
      </c>
      <c r="O5006" t="s">
        <v>100</v>
      </c>
      <c r="P5006" t="s">
        <v>340</v>
      </c>
      <c r="Q5006" s="10" t="s">
        <v>24</v>
      </c>
      <c r="R5006">
        <v>0</v>
      </c>
    </row>
    <row r="5007" spans="1:18" hidden="1" x14ac:dyDescent="0.25">
      <c r="A5007" s="9" t="s">
        <v>980</v>
      </c>
      <c r="B5007" s="3" t="s">
        <v>2300</v>
      </c>
      <c r="C5007" s="10">
        <v>27</v>
      </c>
      <c r="D5007" s="10">
        <v>2</v>
      </c>
      <c r="E5007" s="10">
        <v>20</v>
      </c>
      <c r="F5007" t="s">
        <v>166</v>
      </c>
      <c r="G5007" t="s">
        <v>77</v>
      </c>
      <c r="H5007" t="s">
        <v>26</v>
      </c>
      <c r="I5007" t="s">
        <v>27</v>
      </c>
      <c r="J5007" s="4">
        <v>21.6</v>
      </c>
      <c r="K5007">
        <v>1</v>
      </c>
      <c r="L5007">
        <v>21.6</v>
      </c>
      <c r="M5007">
        <v>21.6</v>
      </c>
      <c r="N5007" s="5">
        <v>1.0947795235681703</v>
      </c>
      <c r="O5007" t="s">
        <v>100</v>
      </c>
      <c r="P5007" t="s">
        <v>340</v>
      </c>
      <c r="Q5007" s="10" t="s">
        <v>24</v>
      </c>
      <c r="R5007">
        <v>0</v>
      </c>
    </row>
    <row r="5008" spans="1:18" hidden="1" x14ac:dyDescent="0.25">
      <c r="A5008" s="9" t="s">
        <v>980</v>
      </c>
      <c r="B5008" s="3" t="s">
        <v>2300</v>
      </c>
      <c r="C5008" s="10">
        <v>27</v>
      </c>
      <c r="D5008" s="10">
        <v>2</v>
      </c>
      <c r="E5008" s="10">
        <v>20</v>
      </c>
      <c r="F5008" t="s">
        <v>2289</v>
      </c>
      <c r="G5008" t="s">
        <v>404</v>
      </c>
      <c r="H5008" t="s">
        <v>54</v>
      </c>
      <c r="I5008" t="s">
        <v>27</v>
      </c>
      <c r="J5008" s="4">
        <v>51.6</v>
      </c>
      <c r="K5008">
        <v>0.498</v>
      </c>
      <c r="L5008">
        <v>51.6</v>
      </c>
      <c r="M5008">
        <v>25.6968</v>
      </c>
      <c r="N5008" s="5">
        <v>1.3024227065382665</v>
      </c>
      <c r="O5008" t="s">
        <v>100</v>
      </c>
      <c r="P5008" t="s">
        <v>340</v>
      </c>
      <c r="Q5008" s="10" t="s">
        <v>24</v>
      </c>
      <c r="R5008">
        <v>0</v>
      </c>
    </row>
    <row r="5009" spans="1:18" hidden="1" x14ac:dyDescent="0.25">
      <c r="A5009" s="9" t="s">
        <v>980</v>
      </c>
      <c r="B5009" s="3" t="s">
        <v>2300</v>
      </c>
      <c r="C5009" s="10">
        <v>27</v>
      </c>
      <c r="D5009" s="10">
        <v>2</v>
      </c>
      <c r="E5009" s="10">
        <v>20</v>
      </c>
      <c r="F5009" t="s">
        <v>1265</v>
      </c>
      <c r="G5009" t="s">
        <v>31</v>
      </c>
      <c r="H5009" t="s">
        <v>26</v>
      </c>
      <c r="I5009" t="s">
        <v>27</v>
      </c>
      <c r="J5009" s="4">
        <v>11.6</v>
      </c>
      <c r="K5009">
        <v>4</v>
      </c>
      <c r="L5009">
        <v>11.6</v>
      </c>
      <c r="M5009">
        <v>46.4</v>
      </c>
      <c r="N5009" s="5">
        <v>2.3517486061834769</v>
      </c>
      <c r="O5009" t="s">
        <v>100</v>
      </c>
      <c r="P5009" t="s">
        <v>340</v>
      </c>
      <c r="Q5009" s="10" t="s">
        <v>24</v>
      </c>
      <c r="R5009">
        <v>0</v>
      </c>
    </row>
    <row r="5010" spans="1:18" hidden="1" x14ac:dyDescent="0.25">
      <c r="A5010" s="9" t="s">
        <v>980</v>
      </c>
      <c r="B5010" s="3" t="s">
        <v>2300</v>
      </c>
      <c r="C5010" s="10">
        <v>27</v>
      </c>
      <c r="D5010" s="10">
        <v>2</v>
      </c>
      <c r="E5010" s="10">
        <v>20</v>
      </c>
      <c r="F5010" t="s">
        <v>2290</v>
      </c>
      <c r="G5010" t="s">
        <v>889</v>
      </c>
      <c r="H5010" t="s">
        <v>35</v>
      </c>
      <c r="I5010" t="s">
        <v>27</v>
      </c>
      <c r="J5010" s="4">
        <v>104.6</v>
      </c>
      <c r="K5010">
        <v>0.622</v>
      </c>
      <c r="L5010">
        <v>104.6</v>
      </c>
      <c r="M5010">
        <v>65.061199999999999</v>
      </c>
      <c r="N5010" s="5">
        <v>3.2975772934617331</v>
      </c>
      <c r="O5010" t="s">
        <v>100</v>
      </c>
      <c r="P5010" t="s">
        <v>340</v>
      </c>
      <c r="Q5010" s="10" t="s">
        <v>24</v>
      </c>
      <c r="R5010">
        <v>0</v>
      </c>
    </row>
    <row r="5011" spans="1:18" hidden="1" x14ac:dyDescent="0.25">
      <c r="A5011" s="9" t="s">
        <v>980</v>
      </c>
      <c r="B5011" s="3" t="s">
        <v>2300</v>
      </c>
      <c r="C5011" s="10">
        <v>27</v>
      </c>
      <c r="D5011" s="10">
        <v>2</v>
      </c>
      <c r="E5011" s="10">
        <v>20</v>
      </c>
      <c r="F5011" t="s">
        <v>1624</v>
      </c>
      <c r="G5011" t="s">
        <v>889</v>
      </c>
      <c r="H5011" t="s">
        <v>131</v>
      </c>
      <c r="I5011" t="s">
        <v>27</v>
      </c>
      <c r="J5011" s="4">
        <v>64</v>
      </c>
      <c r="K5011">
        <v>1</v>
      </c>
      <c r="L5011">
        <v>64</v>
      </c>
      <c r="M5011">
        <v>64</v>
      </c>
      <c r="N5011" s="5">
        <v>3.2437911809427269</v>
      </c>
      <c r="O5011" t="s">
        <v>100</v>
      </c>
      <c r="P5011" t="s">
        <v>340</v>
      </c>
      <c r="Q5011" s="10" t="s">
        <v>24</v>
      </c>
      <c r="R5011">
        <v>0</v>
      </c>
    </row>
    <row r="5012" spans="1:18" hidden="1" x14ac:dyDescent="0.25">
      <c r="A5012" s="9" t="s">
        <v>980</v>
      </c>
      <c r="B5012" s="3" t="s">
        <v>2300</v>
      </c>
      <c r="C5012" s="10">
        <v>27</v>
      </c>
      <c r="D5012" s="10">
        <v>2</v>
      </c>
      <c r="E5012" s="10">
        <v>20</v>
      </c>
      <c r="F5012" t="s">
        <v>2291</v>
      </c>
      <c r="G5012" t="s">
        <v>889</v>
      </c>
      <c r="H5012" t="s">
        <v>35</v>
      </c>
      <c r="I5012" t="s">
        <v>27</v>
      </c>
      <c r="J5012" s="4">
        <v>178.6</v>
      </c>
      <c r="K5012">
        <v>0.14399999999999999</v>
      </c>
      <c r="L5012">
        <v>178.6</v>
      </c>
      <c r="M5012">
        <v>25.718399999999995</v>
      </c>
      <c r="N5012" s="5">
        <v>1.3035174860618346</v>
      </c>
      <c r="O5012" t="s">
        <v>100</v>
      </c>
      <c r="P5012" t="s">
        <v>340</v>
      </c>
      <c r="Q5012" s="10" t="s">
        <v>24</v>
      </c>
      <c r="R5012">
        <v>0</v>
      </c>
    </row>
    <row r="5013" spans="1:18" hidden="1" x14ac:dyDescent="0.25">
      <c r="A5013" s="9" t="s">
        <v>980</v>
      </c>
      <c r="B5013" s="3" t="s">
        <v>2300</v>
      </c>
      <c r="C5013" s="10">
        <v>27</v>
      </c>
      <c r="D5013" s="10">
        <v>2</v>
      </c>
      <c r="E5013" s="10">
        <v>20</v>
      </c>
      <c r="F5013" t="s">
        <v>292</v>
      </c>
      <c r="G5013" t="s">
        <v>889</v>
      </c>
      <c r="H5013" t="s">
        <v>40</v>
      </c>
      <c r="I5013" t="s">
        <v>27</v>
      </c>
      <c r="J5013" s="4">
        <v>17</v>
      </c>
      <c r="K5013">
        <v>1</v>
      </c>
      <c r="L5013">
        <v>17</v>
      </c>
      <c r="M5013">
        <v>17</v>
      </c>
      <c r="N5013" s="5">
        <v>0.86163203243791175</v>
      </c>
      <c r="O5013" t="s">
        <v>100</v>
      </c>
      <c r="P5013" t="s">
        <v>340</v>
      </c>
      <c r="Q5013" s="10" t="s">
        <v>24</v>
      </c>
      <c r="R5013">
        <v>0</v>
      </c>
    </row>
    <row r="5014" spans="1:18" hidden="1" x14ac:dyDescent="0.25">
      <c r="A5014" s="9" t="s">
        <v>2353</v>
      </c>
      <c r="B5014" s="3" t="s">
        <v>2333</v>
      </c>
      <c r="C5014" s="10">
        <v>28</v>
      </c>
      <c r="D5014" s="10">
        <v>2</v>
      </c>
      <c r="E5014" s="10">
        <v>20</v>
      </c>
      <c r="F5014" t="s">
        <v>94</v>
      </c>
      <c r="G5014" t="s">
        <v>889</v>
      </c>
      <c r="H5014" t="s">
        <v>889</v>
      </c>
      <c r="I5014" t="s">
        <v>87</v>
      </c>
      <c r="J5014">
        <v>450</v>
      </c>
      <c r="K5014">
        <v>1</v>
      </c>
      <c r="L5014">
        <v>450</v>
      </c>
      <c r="M5014">
        <v>450</v>
      </c>
      <c r="N5014" s="5">
        <v>22.807906741003546</v>
      </c>
      <c r="O5014" s="41" t="s">
        <v>2338</v>
      </c>
      <c r="P5014" t="s">
        <v>340</v>
      </c>
      <c r="Q5014" s="10" t="s">
        <v>24</v>
      </c>
      <c r="R5014" t="s">
        <v>2325</v>
      </c>
    </row>
    <row r="5015" spans="1:18" hidden="1" x14ac:dyDescent="0.25">
      <c r="A5015" s="9" t="s">
        <v>2353</v>
      </c>
      <c r="B5015" s="3" t="s">
        <v>2405</v>
      </c>
      <c r="C5015" s="10">
        <v>29</v>
      </c>
      <c r="D5015" s="10">
        <v>2</v>
      </c>
      <c r="E5015" s="10">
        <v>20</v>
      </c>
      <c r="F5015" t="s">
        <v>55</v>
      </c>
      <c r="G5015" t="s">
        <v>889</v>
      </c>
      <c r="H5015" t="s">
        <v>56</v>
      </c>
      <c r="I5015" t="s">
        <v>27</v>
      </c>
      <c r="J5015">
        <v>31</v>
      </c>
      <c r="K5015" s="10">
        <v>0.44600000000000001</v>
      </c>
      <c r="L5015">
        <v>31</v>
      </c>
      <c r="M5015">
        <v>13.826000000000001</v>
      </c>
      <c r="N5015" s="5">
        <v>0.70685071574642133</v>
      </c>
      <c r="O5015" t="s">
        <v>101</v>
      </c>
      <c r="P5015" t="s">
        <v>340</v>
      </c>
      <c r="Q5015" s="10" t="s">
        <v>24</v>
      </c>
    </row>
    <row r="5016" spans="1:18" hidden="1" x14ac:dyDescent="0.25">
      <c r="A5016" s="9" t="s">
        <v>2353</v>
      </c>
      <c r="B5016" s="3" t="s">
        <v>2405</v>
      </c>
      <c r="C5016" s="10">
        <v>29</v>
      </c>
      <c r="D5016" s="10">
        <v>2</v>
      </c>
      <c r="E5016" s="10">
        <v>20</v>
      </c>
      <c r="F5016" t="s">
        <v>166</v>
      </c>
      <c r="G5016" t="s">
        <v>77</v>
      </c>
      <c r="H5016" t="s">
        <v>26</v>
      </c>
      <c r="I5016" t="s">
        <v>27</v>
      </c>
      <c r="J5016">
        <v>20</v>
      </c>
      <c r="K5016" s="10">
        <v>1</v>
      </c>
      <c r="L5016">
        <v>20</v>
      </c>
      <c r="M5016">
        <v>20</v>
      </c>
      <c r="N5016" s="5">
        <v>1.0224948875255624</v>
      </c>
      <c r="O5016" t="s">
        <v>101</v>
      </c>
      <c r="P5016" t="s">
        <v>340</v>
      </c>
      <c r="Q5016" s="10" t="s">
        <v>24</v>
      </c>
    </row>
    <row r="5017" spans="1:18" hidden="1" x14ac:dyDescent="0.25">
      <c r="A5017" s="9" t="s">
        <v>2353</v>
      </c>
      <c r="B5017" s="3" t="s">
        <v>2405</v>
      </c>
      <c r="C5017" s="10">
        <v>29</v>
      </c>
      <c r="D5017" s="10">
        <v>2</v>
      </c>
      <c r="E5017" s="10">
        <v>20</v>
      </c>
      <c r="F5017" t="s">
        <v>770</v>
      </c>
      <c r="G5017" t="s">
        <v>31</v>
      </c>
      <c r="H5017" t="s">
        <v>26</v>
      </c>
      <c r="I5017" t="s">
        <v>27</v>
      </c>
      <c r="J5017">
        <v>8.1999999999999993</v>
      </c>
      <c r="K5017" s="10">
        <v>1</v>
      </c>
      <c r="L5017">
        <v>8.1999999999999993</v>
      </c>
      <c r="M5017">
        <v>8.1999999999999993</v>
      </c>
      <c r="N5017" s="5">
        <v>0.41922290388548056</v>
      </c>
      <c r="O5017" t="s">
        <v>101</v>
      </c>
      <c r="P5017" t="s">
        <v>340</v>
      </c>
      <c r="Q5017" s="10" t="s">
        <v>24</v>
      </c>
    </row>
    <row r="5018" spans="1:18" hidden="1" x14ac:dyDescent="0.25">
      <c r="A5018" s="9" t="s">
        <v>2353</v>
      </c>
      <c r="B5018" s="3" t="s">
        <v>2384</v>
      </c>
      <c r="C5018" s="10">
        <v>5</v>
      </c>
      <c r="D5018" s="10">
        <v>2</v>
      </c>
      <c r="E5018" s="10">
        <v>20</v>
      </c>
      <c r="F5018" t="s">
        <v>1466</v>
      </c>
      <c r="G5018" t="s">
        <v>31</v>
      </c>
      <c r="H5018" t="s">
        <v>26</v>
      </c>
      <c r="I5018" t="s">
        <v>27</v>
      </c>
      <c r="J5018">
        <v>33.22</v>
      </c>
      <c r="K5018" s="10">
        <v>3</v>
      </c>
      <c r="L5018">
        <v>33.22</v>
      </c>
      <c r="M5018">
        <v>99.66</v>
      </c>
      <c r="N5018" s="5">
        <v>5.0950920245398779</v>
      </c>
      <c r="O5018" t="s">
        <v>90</v>
      </c>
      <c r="P5018" t="s">
        <v>340</v>
      </c>
      <c r="Q5018" s="10" t="s">
        <v>24</v>
      </c>
    </row>
    <row r="5019" spans="1:18" hidden="1" x14ac:dyDescent="0.25">
      <c r="A5019" s="9" t="s">
        <v>2353</v>
      </c>
      <c r="B5019" s="3" t="s">
        <v>2384</v>
      </c>
      <c r="C5019" s="10">
        <v>5</v>
      </c>
      <c r="D5019" s="10">
        <v>2</v>
      </c>
      <c r="E5019" s="10">
        <v>20</v>
      </c>
      <c r="F5019" t="s">
        <v>2371</v>
      </c>
      <c r="G5019" t="s">
        <v>889</v>
      </c>
      <c r="H5019" t="s">
        <v>44</v>
      </c>
      <c r="I5019" t="s">
        <v>27</v>
      </c>
      <c r="J5019">
        <v>34.56</v>
      </c>
      <c r="K5019" s="10">
        <v>1</v>
      </c>
      <c r="L5019">
        <v>34.56</v>
      </c>
      <c r="M5019">
        <v>34.56</v>
      </c>
      <c r="N5019" s="5">
        <v>1.766871165644172</v>
      </c>
      <c r="O5019" t="s">
        <v>90</v>
      </c>
      <c r="P5019" t="s">
        <v>340</v>
      </c>
      <c r="Q5019" s="10" t="s">
        <v>24</v>
      </c>
    </row>
    <row r="5020" spans="1:18" hidden="1" x14ac:dyDescent="0.25">
      <c r="A5020" s="9" t="s">
        <v>2353</v>
      </c>
      <c r="B5020" s="3" t="s">
        <v>2384</v>
      </c>
      <c r="C5020" s="10">
        <v>5</v>
      </c>
      <c r="D5020" s="10">
        <v>2</v>
      </c>
      <c r="E5020" s="10">
        <v>20</v>
      </c>
      <c r="F5020" t="s">
        <v>770</v>
      </c>
      <c r="G5020" t="s">
        <v>31</v>
      </c>
      <c r="H5020" t="s">
        <v>26</v>
      </c>
      <c r="I5020" t="s">
        <v>27</v>
      </c>
      <c r="J5020">
        <v>7.39</v>
      </c>
      <c r="K5020" s="10">
        <v>2</v>
      </c>
      <c r="L5020">
        <v>7.39</v>
      </c>
      <c r="M5020">
        <v>14.78</v>
      </c>
      <c r="N5020" s="5">
        <v>0.7556237218813906</v>
      </c>
      <c r="O5020" t="s">
        <v>90</v>
      </c>
      <c r="P5020" t="s">
        <v>340</v>
      </c>
      <c r="Q5020" s="10" t="s">
        <v>24</v>
      </c>
    </row>
    <row r="5021" spans="1:18" hidden="1" x14ac:dyDescent="0.25">
      <c r="A5021" s="9" t="s">
        <v>2353</v>
      </c>
      <c r="B5021" s="3" t="s">
        <v>2384</v>
      </c>
      <c r="C5021" s="10">
        <v>5</v>
      </c>
      <c r="D5021" s="10">
        <v>2</v>
      </c>
      <c r="E5021" s="10">
        <v>20</v>
      </c>
      <c r="F5021" t="s">
        <v>2382</v>
      </c>
      <c r="G5021" t="s">
        <v>31</v>
      </c>
      <c r="H5021" t="s">
        <v>26</v>
      </c>
      <c r="I5021" t="s">
        <v>27</v>
      </c>
      <c r="J5021">
        <v>7.68</v>
      </c>
      <c r="K5021" s="10">
        <v>1</v>
      </c>
      <c r="L5021">
        <v>7.68</v>
      </c>
      <c r="M5021">
        <v>7.68</v>
      </c>
      <c r="N5021" s="5">
        <v>0.39263803680981596</v>
      </c>
      <c r="O5021" t="s">
        <v>90</v>
      </c>
      <c r="P5021" t="s">
        <v>340</v>
      </c>
      <c r="Q5021" s="10" t="s">
        <v>24</v>
      </c>
    </row>
    <row r="5022" spans="1:18" hidden="1" x14ac:dyDescent="0.25">
      <c r="A5022" s="9" t="s">
        <v>2353</v>
      </c>
      <c r="B5022" s="3" t="s">
        <v>2384</v>
      </c>
      <c r="C5022" s="10">
        <v>5</v>
      </c>
      <c r="D5022" s="10">
        <v>2</v>
      </c>
      <c r="E5022" s="10">
        <v>20</v>
      </c>
      <c r="F5022" t="s">
        <v>2383</v>
      </c>
      <c r="G5022" t="s">
        <v>77</v>
      </c>
      <c r="H5022" t="s">
        <v>26</v>
      </c>
      <c r="I5022" t="s">
        <v>27</v>
      </c>
      <c r="J5022">
        <v>20.059999999999999</v>
      </c>
      <c r="K5022" s="10">
        <v>1</v>
      </c>
      <c r="L5022">
        <v>20.059999999999999</v>
      </c>
      <c r="M5022">
        <v>20.059999999999999</v>
      </c>
      <c r="N5022" s="5">
        <v>1.0255623721881391</v>
      </c>
      <c r="O5022" t="s">
        <v>90</v>
      </c>
      <c r="P5022" t="s">
        <v>340</v>
      </c>
      <c r="Q5022" s="10" t="s">
        <v>24</v>
      </c>
    </row>
    <row r="5023" spans="1:18" hidden="1" x14ac:dyDescent="0.25">
      <c r="A5023" s="9" t="s">
        <v>2353</v>
      </c>
      <c r="B5023" s="3" t="s">
        <v>2384</v>
      </c>
      <c r="C5023" s="10">
        <v>5</v>
      </c>
      <c r="D5023" s="10">
        <v>2</v>
      </c>
      <c r="E5023" s="10">
        <v>20</v>
      </c>
      <c r="F5023" t="s">
        <v>98</v>
      </c>
      <c r="G5023" t="s">
        <v>889</v>
      </c>
      <c r="H5023" t="s">
        <v>26</v>
      </c>
      <c r="I5023" t="s">
        <v>27</v>
      </c>
      <c r="J5023">
        <v>66.91</v>
      </c>
      <c r="K5023" s="10">
        <v>1</v>
      </c>
      <c r="L5023">
        <v>66.91</v>
      </c>
      <c r="M5023">
        <v>66.91</v>
      </c>
      <c r="N5023" s="5">
        <v>3.4207566462167689</v>
      </c>
      <c r="O5023" t="s">
        <v>90</v>
      </c>
      <c r="P5023" t="s">
        <v>340</v>
      </c>
      <c r="Q5023" s="10" t="s">
        <v>24</v>
      </c>
    </row>
    <row r="5024" spans="1:18" hidden="1" x14ac:dyDescent="0.25">
      <c r="A5024" s="9" t="s">
        <v>2353</v>
      </c>
      <c r="B5024" s="3" t="s">
        <v>2384</v>
      </c>
      <c r="C5024" s="10">
        <v>5</v>
      </c>
      <c r="D5024" s="10">
        <v>2</v>
      </c>
      <c r="E5024" s="10">
        <v>20</v>
      </c>
      <c r="F5024" t="s">
        <v>1265</v>
      </c>
      <c r="G5024" t="s">
        <v>31</v>
      </c>
      <c r="H5024" t="s">
        <v>26</v>
      </c>
      <c r="I5024" t="s">
        <v>27</v>
      </c>
      <c r="J5024">
        <v>8.83</v>
      </c>
      <c r="K5024" s="10">
        <v>4</v>
      </c>
      <c r="L5024">
        <v>8.83</v>
      </c>
      <c r="M5024">
        <v>35.32</v>
      </c>
      <c r="N5024" s="5">
        <v>1.8057259713701432</v>
      </c>
      <c r="O5024" t="s">
        <v>90</v>
      </c>
      <c r="P5024" t="s">
        <v>340</v>
      </c>
      <c r="Q5024" s="10" t="s">
        <v>24</v>
      </c>
    </row>
    <row r="5025" spans="1:18" hidden="1" x14ac:dyDescent="0.25">
      <c r="A5025" s="9" t="s">
        <v>2353</v>
      </c>
      <c r="B5025" s="3" t="s">
        <v>2384</v>
      </c>
      <c r="C5025" s="10">
        <v>5</v>
      </c>
      <c r="D5025" s="10">
        <v>2</v>
      </c>
      <c r="E5025" s="10">
        <v>20</v>
      </c>
      <c r="F5025" t="s">
        <v>55</v>
      </c>
      <c r="G5025" t="s">
        <v>889</v>
      </c>
      <c r="H5025" t="s">
        <v>56</v>
      </c>
      <c r="I5025" t="s">
        <v>27</v>
      </c>
      <c r="J5025">
        <v>19</v>
      </c>
      <c r="K5025" s="10">
        <v>1.03</v>
      </c>
      <c r="L5025">
        <v>19</v>
      </c>
      <c r="M5025">
        <v>19.57</v>
      </c>
      <c r="N5025" s="5">
        <v>1.000511247443763</v>
      </c>
      <c r="O5025" t="s">
        <v>90</v>
      </c>
      <c r="P5025" t="s">
        <v>340</v>
      </c>
      <c r="Q5025" s="10" t="s">
        <v>24</v>
      </c>
    </row>
    <row r="5026" spans="1:18" hidden="1" x14ac:dyDescent="0.25">
      <c r="A5026" s="9" t="s">
        <v>2353</v>
      </c>
      <c r="B5026" s="3" t="s">
        <v>2384</v>
      </c>
      <c r="C5026" s="10">
        <v>5</v>
      </c>
      <c r="D5026" s="10">
        <v>2</v>
      </c>
      <c r="E5026" s="10">
        <v>20</v>
      </c>
      <c r="F5026" t="s">
        <v>2048</v>
      </c>
      <c r="G5026" t="s">
        <v>708</v>
      </c>
      <c r="H5026" t="s">
        <v>131</v>
      </c>
      <c r="I5026" t="s">
        <v>27</v>
      </c>
      <c r="J5026">
        <v>44.54</v>
      </c>
      <c r="K5026" s="10">
        <v>1</v>
      </c>
      <c r="L5026">
        <v>44.54</v>
      </c>
      <c r="M5026">
        <v>44.54</v>
      </c>
      <c r="N5026" s="5">
        <v>2.2770961145194275</v>
      </c>
      <c r="O5026" t="s">
        <v>90</v>
      </c>
      <c r="P5026" t="s">
        <v>340</v>
      </c>
      <c r="Q5026" s="10" t="s">
        <v>24</v>
      </c>
    </row>
    <row r="5027" spans="1:18" hidden="1" x14ac:dyDescent="0.25">
      <c r="A5027" s="9" t="s">
        <v>2353</v>
      </c>
      <c r="B5027" s="3" t="s">
        <v>2384</v>
      </c>
      <c r="C5027" s="10">
        <v>5</v>
      </c>
      <c r="D5027" s="10">
        <v>2</v>
      </c>
      <c r="E5027" s="10">
        <v>20</v>
      </c>
      <c r="F5027" t="s">
        <v>1051</v>
      </c>
      <c r="G5027" t="s">
        <v>889</v>
      </c>
      <c r="H5027" t="s">
        <v>56</v>
      </c>
      <c r="I5027" t="s">
        <v>27</v>
      </c>
      <c r="J5027">
        <v>26.5</v>
      </c>
      <c r="K5027" s="10">
        <v>0.496</v>
      </c>
      <c r="L5027">
        <v>26.5</v>
      </c>
      <c r="M5027">
        <v>13.144</v>
      </c>
      <c r="N5027" s="5">
        <v>0.67198364008179967</v>
      </c>
      <c r="O5027" t="s">
        <v>90</v>
      </c>
      <c r="P5027" t="s">
        <v>340</v>
      </c>
      <c r="Q5027" s="10" t="s">
        <v>24</v>
      </c>
    </row>
    <row r="5028" spans="1:18" hidden="1" x14ac:dyDescent="0.25">
      <c r="A5028" s="9" t="s">
        <v>2353</v>
      </c>
      <c r="B5028" s="3" t="s">
        <v>2384</v>
      </c>
      <c r="C5028" s="10">
        <v>5</v>
      </c>
      <c r="D5028" s="10">
        <v>2</v>
      </c>
      <c r="E5028" s="10">
        <v>20</v>
      </c>
      <c r="F5028" t="s">
        <v>202</v>
      </c>
      <c r="G5028" t="s">
        <v>889</v>
      </c>
      <c r="H5028" t="s">
        <v>54</v>
      </c>
      <c r="I5028" t="s">
        <v>27</v>
      </c>
      <c r="J5028">
        <v>109.3</v>
      </c>
      <c r="K5028" s="10">
        <v>0.222</v>
      </c>
      <c r="L5028">
        <v>109.3</v>
      </c>
      <c r="M5028">
        <v>24.264599999999998</v>
      </c>
      <c r="N5028" s="5">
        <v>1.2405214723926381</v>
      </c>
      <c r="O5028" t="s">
        <v>90</v>
      </c>
      <c r="P5028" t="s">
        <v>340</v>
      </c>
      <c r="Q5028" s="10" t="s">
        <v>24</v>
      </c>
    </row>
    <row r="5029" spans="1:18" hidden="1" x14ac:dyDescent="0.25">
      <c r="A5029" s="9" t="s">
        <v>2353</v>
      </c>
      <c r="B5029" s="3" t="s">
        <v>2384</v>
      </c>
      <c r="C5029" s="10">
        <v>5</v>
      </c>
      <c r="D5029" s="10">
        <v>2</v>
      </c>
      <c r="E5029" s="10">
        <v>20</v>
      </c>
      <c r="F5029" t="s">
        <v>2271</v>
      </c>
      <c r="G5029" t="s">
        <v>889</v>
      </c>
      <c r="H5029" t="s">
        <v>131</v>
      </c>
      <c r="I5029" t="s">
        <v>27</v>
      </c>
      <c r="J5029">
        <v>13.73</v>
      </c>
      <c r="K5029" s="10">
        <v>4</v>
      </c>
      <c r="L5029">
        <v>13.73</v>
      </c>
      <c r="M5029">
        <v>54.92</v>
      </c>
      <c r="N5029" s="5">
        <v>2.8077709611451946</v>
      </c>
      <c r="O5029" t="s">
        <v>90</v>
      </c>
      <c r="P5029" t="s">
        <v>340</v>
      </c>
      <c r="Q5029" s="10" t="s">
        <v>24</v>
      </c>
    </row>
    <row r="5030" spans="1:18" hidden="1" x14ac:dyDescent="0.25">
      <c r="A5030" s="9" t="s">
        <v>2353</v>
      </c>
      <c r="B5030" s="3" t="s">
        <v>2384</v>
      </c>
      <c r="C5030" s="10">
        <v>5</v>
      </c>
      <c r="D5030" s="10">
        <v>2</v>
      </c>
      <c r="E5030" s="10">
        <v>20</v>
      </c>
      <c r="F5030" t="s">
        <v>1721</v>
      </c>
      <c r="G5030" t="s">
        <v>889</v>
      </c>
      <c r="H5030" t="s">
        <v>39</v>
      </c>
      <c r="I5030" t="s">
        <v>27</v>
      </c>
      <c r="J5030">
        <v>61.45</v>
      </c>
      <c r="K5030" s="10">
        <v>0.2</v>
      </c>
      <c r="L5030">
        <v>61.45</v>
      </c>
      <c r="M5030">
        <v>12.290000000000001</v>
      </c>
      <c r="N5030" s="5">
        <v>0.62832310838445815</v>
      </c>
      <c r="O5030" t="s">
        <v>90</v>
      </c>
      <c r="P5030" t="s">
        <v>340</v>
      </c>
      <c r="Q5030" s="10" t="s">
        <v>24</v>
      </c>
    </row>
    <row r="5031" spans="1:18" hidden="1" x14ac:dyDescent="0.25">
      <c r="A5031" s="9" t="s">
        <v>2353</v>
      </c>
      <c r="B5031" s="3" t="s">
        <v>2384</v>
      </c>
      <c r="C5031" s="10">
        <v>5</v>
      </c>
      <c r="D5031" s="10">
        <v>2</v>
      </c>
      <c r="E5031" s="10">
        <v>20</v>
      </c>
      <c r="F5031" t="s">
        <v>208</v>
      </c>
      <c r="G5031" t="s">
        <v>889</v>
      </c>
      <c r="H5031" t="s">
        <v>56</v>
      </c>
      <c r="I5031" t="s">
        <v>27</v>
      </c>
      <c r="J5031">
        <v>69</v>
      </c>
      <c r="K5031" s="10">
        <v>0.16600000000000001</v>
      </c>
      <c r="L5031">
        <v>69</v>
      </c>
      <c r="M5031">
        <v>11.454000000000001</v>
      </c>
      <c r="N5031" s="5">
        <v>0.58558282208588963</v>
      </c>
      <c r="O5031" t="s">
        <v>90</v>
      </c>
      <c r="P5031" t="s">
        <v>340</v>
      </c>
      <c r="Q5031" s="10" t="s">
        <v>24</v>
      </c>
    </row>
    <row r="5032" spans="1:18" hidden="1" x14ac:dyDescent="0.25">
      <c r="A5032" s="9" t="s">
        <v>2353</v>
      </c>
      <c r="B5032" s="3" t="s">
        <v>2384</v>
      </c>
      <c r="C5032" s="10">
        <v>5</v>
      </c>
      <c r="D5032" s="10">
        <v>2</v>
      </c>
      <c r="E5032" s="10">
        <v>20</v>
      </c>
      <c r="F5032" t="s">
        <v>945</v>
      </c>
      <c r="G5032" t="s">
        <v>889</v>
      </c>
      <c r="H5032" t="s">
        <v>54</v>
      </c>
      <c r="I5032" t="s">
        <v>27</v>
      </c>
      <c r="J5032">
        <v>46</v>
      </c>
      <c r="K5032" s="10">
        <v>0.21</v>
      </c>
      <c r="L5032">
        <v>46</v>
      </c>
      <c r="M5032">
        <v>9.66</v>
      </c>
      <c r="N5032" s="5">
        <v>0.49386503067484666</v>
      </c>
      <c r="O5032" t="s">
        <v>90</v>
      </c>
      <c r="P5032" t="s">
        <v>340</v>
      </c>
      <c r="Q5032" s="10" t="s">
        <v>24</v>
      </c>
    </row>
    <row r="5033" spans="1:18" hidden="1" x14ac:dyDescent="0.25">
      <c r="A5033" s="9" t="s">
        <v>2353</v>
      </c>
      <c r="B5033" s="3" t="s">
        <v>2384</v>
      </c>
      <c r="C5033" s="10">
        <v>5</v>
      </c>
      <c r="D5033" s="10">
        <v>2</v>
      </c>
      <c r="E5033" s="10">
        <v>20</v>
      </c>
      <c r="F5033" t="s">
        <v>2377</v>
      </c>
      <c r="G5033" t="s">
        <v>889</v>
      </c>
      <c r="H5033" t="s">
        <v>26</v>
      </c>
      <c r="I5033" t="s">
        <v>27</v>
      </c>
      <c r="J5033">
        <v>6.34</v>
      </c>
      <c r="K5033" s="10">
        <v>1</v>
      </c>
      <c r="L5033">
        <v>6.34</v>
      </c>
      <c r="M5033">
        <v>6.34</v>
      </c>
      <c r="N5033" s="5">
        <v>0.32413087934560331</v>
      </c>
      <c r="O5033" t="s">
        <v>90</v>
      </c>
      <c r="P5033" t="s">
        <v>340</v>
      </c>
      <c r="Q5033" s="10" t="s">
        <v>24</v>
      </c>
    </row>
    <row r="5034" spans="1:18" hidden="1" x14ac:dyDescent="0.25">
      <c r="A5034" s="9" t="s">
        <v>2353</v>
      </c>
      <c r="B5034" s="3" t="s">
        <v>2384</v>
      </c>
      <c r="C5034" s="10">
        <v>5</v>
      </c>
      <c r="D5034" s="10">
        <v>2</v>
      </c>
      <c r="E5034" s="10">
        <v>20</v>
      </c>
      <c r="F5034" t="s">
        <v>1378</v>
      </c>
      <c r="G5034" t="s">
        <v>889</v>
      </c>
      <c r="H5034" t="s">
        <v>40</v>
      </c>
      <c r="I5034" t="s">
        <v>27</v>
      </c>
      <c r="J5034">
        <v>17.95</v>
      </c>
      <c r="K5034" s="10">
        <v>1</v>
      </c>
      <c r="L5034">
        <v>17.95</v>
      </c>
      <c r="M5034">
        <v>17.95</v>
      </c>
      <c r="N5034" s="5">
        <v>0.91768916155419222</v>
      </c>
      <c r="O5034" t="s">
        <v>90</v>
      </c>
      <c r="P5034" t="s">
        <v>340</v>
      </c>
      <c r="Q5034" s="10" t="s">
        <v>24</v>
      </c>
    </row>
    <row r="5035" spans="1:18" hidden="1" x14ac:dyDescent="0.25">
      <c r="A5035" s="9" t="s">
        <v>2353</v>
      </c>
      <c r="B5035" s="3" t="s">
        <v>2384</v>
      </c>
      <c r="C5035" s="10">
        <v>5</v>
      </c>
      <c r="D5035" s="10">
        <v>2</v>
      </c>
      <c r="E5035" s="10">
        <v>20</v>
      </c>
      <c r="F5035" t="s">
        <v>104</v>
      </c>
      <c r="G5035" t="s">
        <v>889</v>
      </c>
      <c r="H5035" t="s">
        <v>2400</v>
      </c>
      <c r="I5035" t="s">
        <v>72</v>
      </c>
      <c r="J5035">
        <v>123.74</v>
      </c>
      <c r="K5035" s="10">
        <v>1</v>
      </c>
      <c r="L5035">
        <v>123.74</v>
      </c>
      <c r="M5035">
        <v>123.74</v>
      </c>
      <c r="N5035" s="5">
        <v>6.3261758691206547</v>
      </c>
      <c r="O5035" t="s">
        <v>233</v>
      </c>
      <c r="P5035" t="s">
        <v>340</v>
      </c>
      <c r="Q5035" s="10" t="s">
        <v>24</v>
      </c>
      <c r="R5035" t="s">
        <v>2403</v>
      </c>
    </row>
    <row r="5036" spans="1:18" hidden="1" x14ac:dyDescent="0.25">
      <c r="A5036" s="9" t="s">
        <v>2353</v>
      </c>
      <c r="B5036" s="3" t="s">
        <v>2384</v>
      </c>
      <c r="C5036" s="10">
        <v>5</v>
      </c>
      <c r="D5036" s="10">
        <v>2</v>
      </c>
      <c r="E5036" s="10">
        <v>20</v>
      </c>
      <c r="F5036" t="s">
        <v>2401</v>
      </c>
      <c r="G5036" t="s">
        <v>889</v>
      </c>
      <c r="H5036" t="s">
        <v>2404</v>
      </c>
      <c r="I5036" t="s">
        <v>72</v>
      </c>
      <c r="J5036">
        <v>27.13</v>
      </c>
      <c r="K5036" s="10">
        <v>1</v>
      </c>
      <c r="L5036">
        <v>27.13</v>
      </c>
      <c r="M5036">
        <v>27.13</v>
      </c>
      <c r="N5036" s="5">
        <v>1.3870143149284253</v>
      </c>
      <c r="O5036" t="s">
        <v>233</v>
      </c>
      <c r="P5036" t="s">
        <v>340</v>
      </c>
      <c r="Q5036" s="10" t="s">
        <v>24</v>
      </c>
      <c r="R5036">
        <v>0</v>
      </c>
    </row>
    <row r="5037" spans="1:18" hidden="1" x14ac:dyDescent="0.25">
      <c r="A5037" s="9" t="s">
        <v>2353</v>
      </c>
      <c r="B5037" s="3" t="s">
        <v>2384</v>
      </c>
      <c r="C5037" s="10">
        <v>5</v>
      </c>
      <c r="D5037" s="10">
        <v>2</v>
      </c>
      <c r="E5037" s="10">
        <v>20</v>
      </c>
      <c r="F5037" t="s">
        <v>104</v>
      </c>
      <c r="G5037" t="s">
        <v>889</v>
      </c>
      <c r="H5037" t="s">
        <v>2406</v>
      </c>
      <c r="I5037" t="s">
        <v>72</v>
      </c>
      <c r="J5037">
        <v>102.8</v>
      </c>
      <c r="K5037" s="10">
        <v>1</v>
      </c>
      <c r="L5037">
        <v>102.8</v>
      </c>
      <c r="M5037">
        <v>102.8</v>
      </c>
      <c r="N5037" s="5">
        <v>5.255623721881391</v>
      </c>
      <c r="O5037" t="s">
        <v>283</v>
      </c>
      <c r="P5037" t="s">
        <v>340</v>
      </c>
      <c r="Q5037" s="10" t="s">
        <v>24</v>
      </c>
      <c r="R5037" t="s">
        <v>2414</v>
      </c>
    </row>
    <row r="5038" spans="1:18" hidden="1" x14ac:dyDescent="0.25">
      <c r="A5038" s="9" t="s">
        <v>2353</v>
      </c>
      <c r="B5038" s="3" t="s">
        <v>2384</v>
      </c>
      <c r="C5038" s="10">
        <v>5</v>
      </c>
      <c r="D5038" s="10">
        <v>2</v>
      </c>
      <c r="E5038" s="10">
        <v>20</v>
      </c>
      <c r="F5038" t="s">
        <v>104</v>
      </c>
      <c r="G5038" t="s">
        <v>889</v>
      </c>
      <c r="H5038" t="s">
        <v>2406</v>
      </c>
      <c r="I5038" t="s">
        <v>72</v>
      </c>
      <c r="J5038">
        <v>48.5</v>
      </c>
      <c r="K5038" s="10">
        <v>1</v>
      </c>
      <c r="L5038">
        <v>48.5</v>
      </c>
      <c r="M5038">
        <v>48.5</v>
      </c>
      <c r="N5038" s="5">
        <v>2.479550102249489</v>
      </c>
      <c r="O5038" t="s">
        <v>283</v>
      </c>
      <c r="P5038" t="s">
        <v>340</v>
      </c>
      <c r="Q5038" s="10" t="s">
        <v>24</v>
      </c>
      <c r="R5038" t="s">
        <v>1218</v>
      </c>
    </row>
    <row r="5039" spans="1:18" hidden="1" x14ac:dyDescent="0.25">
      <c r="A5039" s="9" t="s">
        <v>2353</v>
      </c>
      <c r="B5039" s="3" t="s">
        <v>2384</v>
      </c>
      <c r="C5039" s="10">
        <v>5</v>
      </c>
      <c r="D5039" s="10">
        <v>2</v>
      </c>
      <c r="E5039" s="10">
        <v>20</v>
      </c>
      <c r="F5039" t="s">
        <v>39</v>
      </c>
      <c r="G5039" t="s">
        <v>889</v>
      </c>
      <c r="H5039" t="s">
        <v>39</v>
      </c>
      <c r="I5039" t="s">
        <v>72</v>
      </c>
      <c r="J5039">
        <v>61.5</v>
      </c>
      <c r="K5039" s="10">
        <v>0.14000000000000001</v>
      </c>
      <c r="L5039">
        <v>61.5</v>
      </c>
      <c r="M5039">
        <v>8.6100000000000012</v>
      </c>
      <c r="N5039" s="5">
        <v>0.44018404907975467</v>
      </c>
      <c r="O5039" t="s">
        <v>283</v>
      </c>
      <c r="P5039" t="s">
        <v>340</v>
      </c>
      <c r="Q5039" s="10" t="s">
        <v>24</v>
      </c>
      <c r="R5039" t="s">
        <v>2413</v>
      </c>
    </row>
    <row r="5040" spans="1:18" hidden="1" x14ac:dyDescent="0.25">
      <c r="A5040" s="9" t="s">
        <v>2353</v>
      </c>
      <c r="B5040" s="3" t="s">
        <v>2384</v>
      </c>
      <c r="C5040" s="10">
        <v>5</v>
      </c>
      <c r="D5040" s="10">
        <v>2</v>
      </c>
      <c r="E5040" s="10">
        <v>20</v>
      </c>
      <c r="F5040" t="s">
        <v>1846</v>
      </c>
      <c r="G5040" t="s">
        <v>889</v>
      </c>
      <c r="H5040" t="s">
        <v>102</v>
      </c>
      <c r="I5040" t="s">
        <v>27</v>
      </c>
      <c r="J5040">
        <v>15</v>
      </c>
      <c r="K5040" s="10">
        <v>1</v>
      </c>
      <c r="L5040">
        <v>15</v>
      </c>
      <c r="M5040">
        <v>15</v>
      </c>
      <c r="N5040" s="5">
        <v>0.76687116564417179</v>
      </c>
      <c r="O5040" t="s">
        <v>1055</v>
      </c>
      <c r="P5040" t="s">
        <v>340</v>
      </c>
      <c r="Q5040" s="10" t="s">
        <v>24</v>
      </c>
    </row>
    <row r="5041" spans="1:18" hidden="1" x14ac:dyDescent="0.25">
      <c r="A5041" s="9" t="s">
        <v>2353</v>
      </c>
      <c r="B5041" s="3" t="s">
        <v>2384</v>
      </c>
      <c r="C5041" s="10">
        <v>5</v>
      </c>
      <c r="D5041" s="10">
        <v>2</v>
      </c>
      <c r="E5041" s="10">
        <v>20</v>
      </c>
      <c r="F5041" t="s">
        <v>1846</v>
      </c>
      <c r="G5041" t="s">
        <v>889</v>
      </c>
      <c r="H5041" t="s">
        <v>102</v>
      </c>
      <c r="I5041" t="s">
        <v>27</v>
      </c>
      <c r="J5041">
        <v>15</v>
      </c>
      <c r="K5041" s="10">
        <v>1</v>
      </c>
      <c r="L5041">
        <v>15</v>
      </c>
      <c r="M5041">
        <v>15</v>
      </c>
      <c r="N5041" s="5">
        <v>0.76687116564417179</v>
      </c>
      <c r="O5041" t="s">
        <v>1055</v>
      </c>
      <c r="P5041" t="s">
        <v>340</v>
      </c>
      <c r="Q5041" s="10" t="s">
        <v>24</v>
      </c>
    </row>
    <row r="5042" spans="1:18" hidden="1" x14ac:dyDescent="0.25">
      <c r="A5042" s="9" t="s">
        <v>2353</v>
      </c>
      <c r="B5042" s="3" t="s">
        <v>2335</v>
      </c>
      <c r="C5042" s="10">
        <v>6</v>
      </c>
      <c r="D5042" s="10">
        <v>2</v>
      </c>
      <c r="E5042" s="10">
        <v>20</v>
      </c>
      <c r="F5042" t="s">
        <v>2327</v>
      </c>
      <c r="G5042" t="s">
        <v>889</v>
      </c>
      <c r="H5042" t="s">
        <v>889</v>
      </c>
      <c r="I5042" t="s">
        <v>72</v>
      </c>
      <c r="J5042">
        <v>100</v>
      </c>
      <c r="K5042">
        <v>1</v>
      </c>
      <c r="L5042">
        <v>100</v>
      </c>
      <c r="M5042">
        <v>100</v>
      </c>
      <c r="N5042" s="5">
        <v>5.0684237202230102</v>
      </c>
      <c r="O5042" t="s">
        <v>39</v>
      </c>
      <c r="P5042" t="s">
        <v>340</v>
      </c>
      <c r="Q5042" s="10" t="s">
        <v>24</v>
      </c>
      <c r="R5042" t="s">
        <v>2328</v>
      </c>
    </row>
    <row r="5043" spans="1:18" hidden="1" x14ac:dyDescent="0.25">
      <c r="A5043" s="9" t="s">
        <v>2353</v>
      </c>
      <c r="B5043" s="3" t="s">
        <v>2385</v>
      </c>
      <c r="C5043" s="10">
        <v>8</v>
      </c>
      <c r="D5043" s="10">
        <v>2</v>
      </c>
      <c r="E5043" s="10">
        <v>20</v>
      </c>
      <c r="F5043" t="s">
        <v>2371</v>
      </c>
      <c r="G5043" t="s">
        <v>889</v>
      </c>
      <c r="H5043" t="s">
        <v>44</v>
      </c>
      <c r="I5043" t="s">
        <v>27</v>
      </c>
      <c r="J5043">
        <v>36</v>
      </c>
      <c r="K5043" s="10">
        <v>1</v>
      </c>
      <c r="L5043">
        <v>36</v>
      </c>
      <c r="M5043">
        <v>36</v>
      </c>
      <c r="N5043" s="5">
        <v>1.8404907975460123</v>
      </c>
      <c r="O5043" t="s">
        <v>90</v>
      </c>
      <c r="P5043" t="s">
        <v>340</v>
      </c>
      <c r="Q5043" s="10" t="s">
        <v>24</v>
      </c>
    </row>
    <row r="5044" spans="1:18" hidden="1" x14ac:dyDescent="0.25">
      <c r="A5044" s="9" t="s">
        <v>2353</v>
      </c>
      <c r="B5044" s="3" t="s">
        <v>2385</v>
      </c>
      <c r="C5044" s="10">
        <v>8</v>
      </c>
      <c r="D5044" s="10">
        <v>2</v>
      </c>
      <c r="E5044" s="10">
        <v>20</v>
      </c>
      <c r="F5044" t="s">
        <v>1466</v>
      </c>
      <c r="G5044" t="s">
        <v>31</v>
      </c>
      <c r="H5044" t="s">
        <v>26</v>
      </c>
      <c r="I5044" t="s">
        <v>27</v>
      </c>
      <c r="J5044">
        <v>34.6</v>
      </c>
      <c r="K5044" s="10">
        <v>2</v>
      </c>
      <c r="L5044">
        <v>34.6</v>
      </c>
      <c r="M5044">
        <v>69.2</v>
      </c>
      <c r="N5044" s="5">
        <v>3.5378323108384464</v>
      </c>
      <c r="O5044" t="s">
        <v>90</v>
      </c>
      <c r="P5044" t="s">
        <v>340</v>
      </c>
      <c r="Q5044" s="10" t="s">
        <v>24</v>
      </c>
    </row>
    <row r="5045" spans="1:18" hidden="1" x14ac:dyDescent="0.25">
      <c r="A5045" s="9" t="s">
        <v>2353</v>
      </c>
      <c r="B5045" s="3" t="s">
        <v>2385</v>
      </c>
      <c r="C5045" s="10">
        <v>8</v>
      </c>
      <c r="D5045" s="10">
        <v>2</v>
      </c>
      <c r="E5045" s="10">
        <v>20</v>
      </c>
      <c r="F5045" t="s">
        <v>2382</v>
      </c>
      <c r="G5045" t="s">
        <v>31</v>
      </c>
      <c r="H5045" t="s">
        <v>26</v>
      </c>
      <c r="I5045" t="s">
        <v>27</v>
      </c>
      <c r="J5045">
        <v>8</v>
      </c>
      <c r="K5045" s="10">
        <v>2</v>
      </c>
      <c r="L5045">
        <v>8</v>
      </c>
      <c r="M5045">
        <v>16</v>
      </c>
      <c r="N5045" s="5">
        <v>0.81799591002044991</v>
      </c>
      <c r="O5045" t="s">
        <v>90</v>
      </c>
      <c r="P5045" t="s">
        <v>340</v>
      </c>
      <c r="Q5045" s="10" t="s">
        <v>24</v>
      </c>
    </row>
    <row r="5046" spans="1:18" hidden="1" x14ac:dyDescent="0.25">
      <c r="A5046" s="9" t="s">
        <v>2353</v>
      </c>
      <c r="B5046" s="3" t="s">
        <v>2385</v>
      </c>
      <c r="C5046" s="10">
        <v>8</v>
      </c>
      <c r="D5046" s="10">
        <v>2</v>
      </c>
      <c r="E5046" s="10">
        <v>20</v>
      </c>
      <c r="F5046" t="s">
        <v>55</v>
      </c>
      <c r="G5046" t="s">
        <v>889</v>
      </c>
      <c r="H5046" t="s">
        <v>56</v>
      </c>
      <c r="I5046" t="s">
        <v>27</v>
      </c>
      <c r="J5046">
        <v>19</v>
      </c>
      <c r="K5046" s="10">
        <v>1.31</v>
      </c>
      <c r="L5046">
        <v>19</v>
      </c>
      <c r="M5046">
        <v>24.89</v>
      </c>
      <c r="N5046" s="5">
        <v>1.2724948875255624</v>
      </c>
      <c r="O5046" t="s">
        <v>90</v>
      </c>
      <c r="P5046" t="s">
        <v>340</v>
      </c>
      <c r="Q5046" s="10" t="s">
        <v>24</v>
      </c>
    </row>
    <row r="5047" spans="1:18" hidden="1" x14ac:dyDescent="0.25">
      <c r="A5047" s="9" t="s">
        <v>2353</v>
      </c>
      <c r="B5047" s="3" t="s">
        <v>2385</v>
      </c>
      <c r="C5047" s="10">
        <v>8</v>
      </c>
      <c r="D5047" s="10">
        <v>2</v>
      </c>
      <c r="E5047" s="10">
        <v>20</v>
      </c>
      <c r="F5047" t="s">
        <v>74</v>
      </c>
      <c r="G5047" t="s">
        <v>889</v>
      </c>
      <c r="H5047" t="s">
        <v>56</v>
      </c>
      <c r="I5047" t="s">
        <v>27</v>
      </c>
      <c r="J5047">
        <v>26.5</v>
      </c>
      <c r="K5047" s="10">
        <v>1</v>
      </c>
      <c r="L5047">
        <v>26.5</v>
      </c>
      <c r="M5047">
        <v>26.5</v>
      </c>
      <c r="N5047" s="5">
        <v>1.3548057259713702</v>
      </c>
      <c r="O5047" t="s">
        <v>90</v>
      </c>
      <c r="P5047" t="s">
        <v>340</v>
      </c>
      <c r="Q5047" s="10" t="s">
        <v>24</v>
      </c>
    </row>
    <row r="5048" spans="1:18" hidden="1" x14ac:dyDescent="0.25">
      <c r="A5048" s="9" t="s">
        <v>2353</v>
      </c>
      <c r="B5048" s="3" t="s">
        <v>2385</v>
      </c>
      <c r="C5048" s="10">
        <v>8</v>
      </c>
      <c r="D5048" s="10">
        <v>2</v>
      </c>
      <c r="E5048" s="10">
        <v>20</v>
      </c>
      <c r="F5048" t="s">
        <v>1051</v>
      </c>
      <c r="G5048" t="s">
        <v>889</v>
      </c>
      <c r="H5048" t="s">
        <v>56</v>
      </c>
      <c r="I5048" t="s">
        <v>27</v>
      </c>
      <c r="J5048">
        <v>25.9</v>
      </c>
      <c r="K5048" s="10">
        <v>0.28000000000000003</v>
      </c>
      <c r="L5048">
        <v>25.9</v>
      </c>
      <c r="M5048">
        <v>7.2520000000000007</v>
      </c>
      <c r="N5048" s="5">
        <v>0.37075664621676896</v>
      </c>
      <c r="O5048" t="s">
        <v>90</v>
      </c>
      <c r="P5048" t="s">
        <v>340</v>
      </c>
      <c r="Q5048" s="10" t="s">
        <v>24</v>
      </c>
    </row>
    <row r="5049" spans="1:18" hidden="1" x14ac:dyDescent="0.25">
      <c r="A5049" s="9" t="s">
        <v>2353</v>
      </c>
      <c r="B5049" s="3" t="s">
        <v>2385</v>
      </c>
      <c r="C5049" s="10">
        <v>8</v>
      </c>
      <c r="D5049" s="10">
        <v>2</v>
      </c>
      <c r="E5049" s="10">
        <v>20</v>
      </c>
      <c r="F5049" t="s">
        <v>202</v>
      </c>
      <c r="G5049" t="s">
        <v>889</v>
      </c>
      <c r="H5049" t="s">
        <v>54</v>
      </c>
      <c r="I5049" t="s">
        <v>27</v>
      </c>
      <c r="J5049">
        <v>97.8</v>
      </c>
      <c r="K5049" s="10">
        <v>0.53200000000000003</v>
      </c>
      <c r="L5049">
        <v>97.8</v>
      </c>
      <c r="M5049">
        <v>52.029600000000002</v>
      </c>
      <c r="N5049" s="5">
        <v>2.66</v>
      </c>
      <c r="O5049" t="s">
        <v>90</v>
      </c>
      <c r="P5049" t="s">
        <v>340</v>
      </c>
      <c r="Q5049" s="10" t="s">
        <v>24</v>
      </c>
    </row>
    <row r="5050" spans="1:18" hidden="1" x14ac:dyDescent="0.25">
      <c r="A5050" s="9" t="s">
        <v>2353</v>
      </c>
      <c r="B5050" s="3" t="s">
        <v>2385</v>
      </c>
      <c r="C5050" s="10">
        <v>8</v>
      </c>
      <c r="D5050" s="10">
        <v>2</v>
      </c>
      <c r="E5050" s="10">
        <v>20</v>
      </c>
      <c r="F5050" t="s">
        <v>204</v>
      </c>
      <c r="G5050" t="s">
        <v>889</v>
      </c>
      <c r="H5050" t="s">
        <v>54</v>
      </c>
      <c r="I5050" t="s">
        <v>27</v>
      </c>
      <c r="J5050">
        <v>63.3</v>
      </c>
      <c r="K5050" s="10">
        <v>0.09</v>
      </c>
      <c r="L5050">
        <v>63.3</v>
      </c>
      <c r="M5050">
        <v>5.6969999999999992</v>
      </c>
      <c r="N5050" s="5">
        <v>0.29125766871165643</v>
      </c>
      <c r="O5050" t="s">
        <v>90</v>
      </c>
      <c r="P5050" t="s">
        <v>340</v>
      </c>
      <c r="Q5050" s="10" t="s">
        <v>24</v>
      </c>
    </row>
    <row r="5051" spans="1:18" hidden="1" x14ac:dyDescent="0.25">
      <c r="A5051" s="9" t="s">
        <v>2353</v>
      </c>
      <c r="B5051" s="3" t="s">
        <v>2385</v>
      </c>
      <c r="C5051" s="10">
        <v>8</v>
      </c>
      <c r="D5051" s="10">
        <v>2</v>
      </c>
      <c r="E5051" s="10">
        <v>20</v>
      </c>
      <c r="F5051" t="s">
        <v>2048</v>
      </c>
      <c r="G5051" t="s">
        <v>708</v>
      </c>
      <c r="H5051" t="s">
        <v>131</v>
      </c>
      <c r="I5051" t="s">
        <v>27</v>
      </c>
      <c r="J5051">
        <v>46.4</v>
      </c>
      <c r="K5051" s="10">
        <v>2</v>
      </c>
      <c r="L5051">
        <v>46.4</v>
      </c>
      <c r="M5051">
        <v>92.8</v>
      </c>
      <c r="N5051" s="5">
        <v>4.7443762781186098</v>
      </c>
      <c r="O5051" t="s">
        <v>90</v>
      </c>
      <c r="P5051" t="s">
        <v>340</v>
      </c>
      <c r="Q5051" s="10" t="s">
        <v>24</v>
      </c>
    </row>
    <row r="5052" spans="1:18" hidden="1" x14ac:dyDescent="0.25">
      <c r="A5052" s="9" t="s">
        <v>2353</v>
      </c>
      <c r="B5052" s="3" t="s">
        <v>2385</v>
      </c>
      <c r="C5052" s="10">
        <v>8</v>
      </c>
      <c r="D5052" s="10">
        <v>2</v>
      </c>
      <c r="E5052" s="10">
        <v>20</v>
      </c>
      <c r="F5052" t="s">
        <v>155</v>
      </c>
      <c r="G5052" t="s">
        <v>155</v>
      </c>
      <c r="H5052" t="s">
        <v>131</v>
      </c>
      <c r="I5052" t="s">
        <v>27</v>
      </c>
      <c r="J5052">
        <v>44.2</v>
      </c>
      <c r="K5052" s="10">
        <v>1</v>
      </c>
      <c r="L5052">
        <v>44.2</v>
      </c>
      <c r="M5052">
        <v>44.2</v>
      </c>
      <c r="N5052" s="5">
        <v>2.259713701431493</v>
      </c>
      <c r="O5052" t="s">
        <v>90</v>
      </c>
      <c r="P5052" t="s">
        <v>340</v>
      </c>
      <c r="Q5052" s="10" t="s">
        <v>24</v>
      </c>
    </row>
    <row r="5053" spans="1:18" hidden="1" x14ac:dyDescent="0.25">
      <c r="A5053" s="9" t="s">
        <v>2353</v>
      </c>
      <c r="B5053" s="3" t="s">
        <v>2385</v>
      </c>
      <c r="C5053" s="10">
        <v>8</v>
      </c>
      <c r="D5053" s="10">
        <v>2</v>
      </c>
      <c r="E5053" s="10">
        <v>20</v>
      </c>
      <c r="F5053" t="s">
        <v>155</v>
      </c>
      <c r="G5053" t="s">
        <v>155</v>
      </c>
      <c r="H5053" t="s">
        <v>131</v>
      </c>
      <c r="I5053" t="s">
        <v>27</v>
      </c>
      <c r="J5053">
        <v>33.6</v>
      </c>
      <c r="K5053" s="10">
        <v>1</v>
      </c>
      <c r="L5053">
        <v>33.6</v>
      </c>
      <c r="M5053">
        <v>33.6</v>
      </c>
      <c r="N5053" s="5">
        <v>1.7177914110429449</v>
      </c>
      <c r="O5053" t="s">
        <v>90</v>
      </c>
      <c r="P5053" t="s">
        <v>340</v>
      </c>
      <c r="Q5053" s="10" t="s">
        <v>24</v>
      </c>
    </row>
    <row r="5054" spans="1:18" hidden="1" x14ac:dyDescent="0.25">
      <c r="A5054" s="9" t="s">
        <v>2353</v>
      </c>
      <c r="B5054" s="3" t="s">
        <v>2385</v>
      </c>
      <c r="C5054" s="10">
        <v>8</v>
      </c>
      <c r="D5054" s="10">
        <v>2</v>
      </c>
      <c r="E5054" s="10">
        <v>20</v>
      </c>
      <c r="F5054" t="s">
        <v>1378</v>
      </c>
      <c r="G5054" t="s">
        <v>889</v>
      </c>
      <c r="H5054" t="s">
        <v>40</v>
      </c>
      <c r="I5054" t="s">
        <v>27</v>
      </c>
      <c r="J5054">
        <v>18.7</v>
      </c>
      <c r="K5054" s="10">
        <v>1</v>
      </c>
      <c r="L5054">
        <v>18.7</v>
      </c>
      <c r="M5054">
        <v>18.7</v>
      </c>
      <c r="N5054" s="5">
        <v>0.95603271983640081</v>
      </c>
      <c r="O5054" t="s">
        <v>90</v>
      </c>
      <c r="P5054" t="s">
        <v>340</v>
      </c>
      <c r="Q5054" s="10" t="s">
        <v>24</v>
      </c>
    </row>
    <row r="5055" spans="1:18" hidden="1" x14ac:dyDescent="0.25">
      <c r="A5055" s="9" t="s">
        <v>2353</v>
      </c>
      <c r="B5055" s="3" t="s">
        <v>2385</v>
      </c>
      <c r="C5055" s="10">
        <v>8</v>
      </c>
      <c r="D5055" s="10">
        <v>2</v>
      </c>
      <c r="E5055" s="10">
        <v>20</v>
      </c>
      <c r="F5055" t="s">
        <v>39</v>
      </c>
      <c r="G5055" t="s">
        <v>889</v>
      </c>
      <c r="H5055" t="s">
        <v>2093</v>
      </c>
      <c r="I5055" t="s">
        <v>72</v>
      </c>
      <c r="J5055">
        <v>20.69</v>
      </c>
      <c r="K5055" s="10">
        <v>1</v>
      </c>
      <c r="L5055">
        <v>82.815173333333348</v>
      </c>
      <c r="M5055">
        <v>82.815173333333348</v>
      </c>
      <c r="N5055" s="5">
        <v>4.2339045671438322</v>
      </c>
      <c r="O5055" t="s">
        <v>39</v>
      </c>
      <c r="P5055" t="s">
        <v>148</v>
      </c>
      <c r="Q5055" s="10" t="s">
        <v>24</v>
      </c>
      <c r="R5055" t="s">
        <v>2433</v>
      </c>
    </row>
    <row r="5056" spans="1:18" hidden="1" x14ac:dyDescent="0.25">
      <c r="A5056" s="9" t="s">
        <v>2353</v>
      </c>
      <c r="B5056" s="3" t="s">
        <v>2385</v>
      </c>
      <c r="C5056" s="10">
        <v>8</v>
      </c>
      <c r="D5056" s="10">
        <v>2</v>
      </c>
      <c r="E5056" s="10">
        <v>20</v>
      </c>
      <c r="F5056" t="s">
        <v>39</v>
      </c>
      <c r="G5056" t="s">
        <v>889</v>
      </c>
      <c r="H5056" t="s">
        <v>2093</v>
      </c>
      <c r="I5056" t="s">
        <v>72</v>
      </c>
      <c r="J5056">
        <v>53.98</v>
      </c>
      <c r="K5056" s="10">
        <v>1</v>
      </c>
      <c r="L5056">
        <v>216.06394666666668</v>
      </c>
      <c r="M5056">
        <v>216.06394666666668</v>
      </c>
      <c r="N5056" s="5">
        <v>11.046214042263124</v>
      </c>
      <c r="O5056" t="s">
        <v>39</v>
      </c>
      <c r="P5056" t="s">
        <v>148</v>
      </c>
      <c r="Q5056" s="10" t="s">
        <v>24</v>
      </c>
      <c r="R5056" t="s">
        <v>2174</v>
      </c>
    </row>
    <row r="5057" spans="1:18" hidden="1" x14ac:dyDescent="0.25">
      <c r="A5057" s="9" t="s">
        <v>980</v>
      </c>
      <c r="B5057" s="3" t="s">
        <v>2299</v>
      </c>
      <c r="C5057" s="10">
        <v>9</v>
      </c>
      <c r="D5057" s="10">
        <v>2</v>
      </c>
      <c r="E5057" s="10">
        <v>20</v>
      </c>
      <c r="F5057" t="s">
        <v>656</v>
      </c>
      <c r="G5057" t="s">
        <v>33</v>
      </c>
      <c r="H5057" t="s">
        <v>35</v>
      </c>
      <c r="I5057" t="s">
        <v>27</v>
      </c>
      <c r="J5057" s="4">
        <v>111.6</v>
      </c>
      <c r="K5057">
        <v>1.024</v>
      </c>
      <c r="L5057">
        <v>111.6</v>
      </c>
      <c r="M5057">
        <v>114.27839999999999</v>
      </c>
      <c r="N5057" s="5">
        <v>5.7921135326913324</v>
      </c>
      <c r="O5057" t="s">
        <v>100</v>
      </c>
      <c r="P5057" t="s">
        <v>340</v>
      </c>
      <c r="Q5057" s="10" t="s">
        <v>24</v>
      </c>
      <c r="R5057">
        <v>0</v>
      </c>
    </row>
    <row r="5058" spans="1:18" hidden="1" x14ac:dyDescent="0.25">
      <c r="A5058" s="9" t="s">
        <v>980</v>
      </c>
      <c r="B5058" s="3" t="s">
        <v>2299</v>
      </c>
      <c r="C5058" s="10">
        <v>9</v>
      </c>
      <c r="D5058" s="10">
        <v>2</v>
      </c>
      <c r="E5058" s="10">
        <v>20</v>
      </c>
      <c r="F5058" t="s">
        <v>44</v>
      </c>
      <c r="G5058" t="s">
        <v>889</v>
      </c>
      <c r="H5058" t="s">
        <v>44</v>
      </c>
      <c r="I5058" t="s">
        <v>27</v>
      </c>
      <c r="J5058" s="4">
        <v>31.6</v>
      </c>
      <c r="K5058">
        <v>1</v>
      </c>
      <c r="L5058">
        <v>31.6</v>
      </c>
      <c r="M5058">
        <v>31.6</v>
      </c>
      <c r="N5058" s="5">
        <v>1.6016218955904713</v>
      </c>
      <c r="O5058" t="s">
        <v>100</v>
      </c>
      <c r="P5058" t="s">
        <v>340</v>
      </c>
      <c r="Q5058" s="10" t="s">
        <v>24</v>
      </c>
      <c r="R5058">
        <v>0</v>
      </c>
    </row>
    <row r="5059" spans="1:18" hidden="1" x14ac:dyDescent="0.25">
      <c r="A5059" s="9" t="s">
        <v>980</v>
      </c>
      <c r="B5059" s="3" t="s">
        <v>2299</v>
      </c>
      <c r="C5059" s="10">
        <v>9</v>
      </c>
      <c r="D5059" s="10">
        <v>2</v>
      </c>
      <c r="E5059" s="10">
        <v>20</v>
      </c>
      <c r="F5059" t="s">
        <v>426</v>
      </c>
      <c r="G5059" t="s">
        <v>889</v>
      </c>
      <c r="H5059" t="s">
        <v>54</v>
      </c>
      <c r="I5059" t="s">
        <v>27</v>
      </c>
      <c r="J5059" s="4">
        <v>19.600000000000001</v>
      </c>
      <c r="K5059">
        <v>0.74399999999999999</v>
      </c>
      <c r="L5059">
        <v>19.600000000000001</v>
      </c>
      <c r="M5059">
        <v>14.582400000000002</v>
      </c>
      <c r="N5059" s="5">
        <v>0.73909782057780038</v>
      </c>
      <c r="O5059" t="s">
        <v>100</v>
      </c>
      <c r="P5059" t="s">
        <v>340</v>
      </c>
      <c r="Q5059" s="10" t="s">
        <v>24</v>
      </c>
      <c r="R5059">
        <v>0</v>
      </c>
    </row>
    <row r="5060" spans="1:18" hidden="1" x14ac:dyDescent="0.25">
      <c r="A5060" s="9" t="s">
        <v>980</v>
      </c>
      <c r="B5060" s="3" t="s">
        <v>2299</v>
      </c>
      <c r="C5060" s="10">
        <v>9</v>
      </c>
      <c r="D5060" s="10">
        <v>2</v>
      </c>
      <c r="E5060" s="10">
        <v>20</v>
      </c>
      <c r="F5060" t="s">
        <v>173</v>
      </c>
      <c r="G5060" t="s">
        <v>174</v>
      </c>
      <c r="H5060" t="s">
        <v>54</v>
      </c>
      <c r="I5060" t="s">
        <v>27</v>
      </c>
      <c r="J5060" s="4">
        <v>19.600000000000001</v>
      </c>
      <c r="K5060">
        <v>0.42799999999999999</v>
      </c>
      <c r="L5060">
        <v>19.600000000000001</v>
      </c>
      <c r="M5060">
        <v>8.3887999999999998</v>
      </c>
      <c r="N5060" s="5">
        <v>0.42517992904206792</v>
      </c>
      <c r="O5060" t="s">
        <v>100</v>
      </c>
      <c r="P5060" t="s">
        <v>340</v>
      </c>
      <c r="Q5060" s="10" t="s">
        <v>24</v>
      </c>
      <c r="R5060">
        <v>0</v>
      </c>
    </row>
    <row r="5061" spans="1:18" hidden="1" x14ac:dyDescent="0.25">
      <c r="A5061" s="9" t="s">
        <v>980</v>
      </c>
      <c r="B5061" s="3" t="s">
        <v>2299</v>
      </c>
      <c r="C5061" s="10">
        <v>9</v>
      </c>
      <c r="D5061" s="10">
        <v>2</v>
      </c>
      <c r="E5061" s="10">
        <v>20</v>
      </c>
      <c r="F5061" t="s">
        <v>2289</v>
      </c>
      <c r="G5061" t="s">
        <v>404</v>
      </c>
      <c r="H5061" t="s">
        <v>54</v>
      </c>
      <c r="I5061" t="s">
        <v>27</v>
      </c>
      <c r="J5061" s="4">
        <v>83.6</v>
      </c>
      <c r="K5061">
        <v>0.28599999999999998</v>
      </c>
      <c r="L5061">
        <v>83.6</v>
      </c>
      <c r="M5061">
        <v>23.909599999999998</v>
      </c>
      <c r="N5061" s="5">
        <v>1.2118398378104409</v>
      </c>
      <c r="O5061" t="s">
        <v>100</v>
      </c>
      <c r="P5061" t="s">
        <v>340</v>
      </c>
      <c r="Q5061" s="10" t="s">
        <v>24</v>
      </c>
      <c r="R5061">
        <v>0</v>
      </c>
    </row>
    <row r="5062" spans="1:18" hidden="1" x14ac:dyDescent="0.25">
      <c r="A5062" s="9" t="s">
        <v>980</v>
      </c>
      <c r="B5062" s="3" t="s">
        <v>2299</v>
      </c>
      <c r="C5062" s="10">
        <v>9</v>
      </c>
      <c r="D5062" s="10">
        <v>2</v>
      </c>
      <c r="E5062" s="10">
        <v>20</v>
      </c>
      <c r="F5062" t="s">
        <v>1036</v>
      </c>
      <c r="G5062" t="s">
        <v>889</v>
      </c>
      <c r="H5062" t="s">
        <v>38</v>
      </c>
      <c r="I5062" t="s">
        <v>27</v>
      </c>
      <c r="J5062" s="4">
        <v>126</v>
      </c>
      <c r="K5062">
        <v>0.29199999999999998</v>
      </c>
      <c r="L5062">
        <v>126</v>
      </c>
      <c r="M5062">
        <v>36.791999999999994</v>
      </c>
      <c r="N5062" s="5">
        <v>1.8647744551444498</v>
      </c>
      <c r="O5062" t="s">
        <v>100</v>
      </c>
      <c r="P5062" t="s">
        <v>340</v>
      </c>
      <c r="Q5062" s="10" t="s">
        <v>24</v>
      </c>
      <c r="R5062">
        <v>0</v>
      </c>
    </row>
    <row r="5063" spans="1:18" hidden="1" x14ac:dyDescent="0.25">
      <c r="A5063" s="9" t="s">
        <v>980</v>
      </c>
      <c r="B5063" s="3" t="s">
        <v>2299</v>
      </c>
      <c r="C5063" s="10">
        <v>9</v>
      </c>
      <c r="D5063" s="10">
        <v>2</v>
      </c>
      <c r="E5063" s="10">
        <v>20</v>
      </c>
      <c r="F5063" t="s">
        <v>2041</v>
      </c>
      <c r="G5063" t="s">
        <v>889</v>
      </c>
      <c r="H5063" t="s">
        <v>35</v>
      </c>
      <c r="I5063" t="s">
        <v>27</v>
      </c>
      <c r="J5063" s="4">
        <v>148.6</v>
      </c>
      <c r="K5063">
        <v>0.23599999999999999</v>
      </c>
      <c r="L5063">
        <v>148.6</v>
      </c>
      <c r="M5063">
        <v>35.069599999999994</v>
      </c>
      <c r="N5063" s="5">
        <v>1.7774759249873286</v>
      </c>
      <c r="O5063" t="s">
        <v>100</v>
      </c>
      <c r="P5063" t="s">
        <v>340</v>
      </c>
      <c r="Q5063" s="10" t="s">
        <v>24</v>
      </c>
      <c r="R5063">
        <v>0</v>
      </c>
    </row>
    <row r="5064" spans="1:18" hidden="1" x14ac:dyDescent="0.25">
      <c r="A5064" s="9" t="s">
        <v>980</v>
      </c>
      <c r="B5064" s="3" t="s">
        <v>2299</v>
      </c>
      <c r="C5064" s="10">
        <v>9</v>
      </c>
      <c r="D5064" s="10">
        <v>2</v>
      </c>
      <c r="E5064" s="10">
        <v>20</v>
      </c>
      <c r="F5064" t="s">
        <v>1171</v>
      </c>
      <c r="G5064" t="s">
        <v>889</v>
      </c>
      <c r="H5064" t="s">
        <v>35</v>
      </c>
      <c r="I5064" t="s">
        <v>27</v>
      </c>
      <c r="J5064" s="4">
        <v>336.6</v>
      </c>
      <c r="K5064">
        <v>0.156</v>
      </c>
      <c r="L5064">
        <v>336.6</v>
      </c>
      <c r="M5064">
        <v>52.509600000000006</v>
      </c>
      <c r="N5064" s="5">
        <v>2.6614090217942223</v>
      </c>
      <c r="O5064" t="s">
        <v>100</v>
      </c>
      <c r="P5064" t="s">
        <v>340</v>
      </c>
      <c r="Q5064" s="10" t="s">
        <v>24</v>
      </c>
      <c r="R5064">
        <v>0</v>
      </c>
    </row>
    <row r="5065" spans="1:18" hidden="1" x14ac:dyDescent="0.25">
      <c r="A5065" s="9" t="s">
        <v>980</v>
      </c>
      <c r="B5065" s="3" t="s">
        <v>2299</v>
      </c>
      <c r="C5065" s="10">
        <v>9</v>
      </c>
      <c r="D5065" s="10">
        <v>2</v>
      </c>
      <c r="E5065" s="10">
        <v>20</v>
      </c>
      <c r="F5065" t="s">
        <v>1624</v>
      </c>
      <c r="G5065" t="s">
        <v>889</v>
      </c>
      <c r="H5065" t="s">
        <v>131</v>
      </c>
      <c r="I5065" t="s">
        <v>27</v>
      </c>
      <c r="J5065" s="4">
        <v>64</v>
      </c>
      <c r="K5065">
        <v>1</v>
      </c>
      <c r="L5065">
        <v>64</v>
      </c>
      <c r="M5065">
        <v>64</v>
      </c>
      <c r="N5065" s="5">
        <v>3.2437911809427269</v>
      </c>
      <c r="O5065" t="s">
        <v>100</v>
      </c>
      <c r="P5065" t="s">
        <v>340</v>
      </c>
      <c r="Q5065" s="10" t="s">
        <v>24</v>
      </c>
      <c r="R5065">
        <v>0</v>
      </c>
    </row>
    <row r="5066" spans="1:18" hidden="1" x14ac:dyDescent="0.25">
      <c r="A5066" s="9" t="s">
        <v>980</v>
      </c>
      <c r="B5066" s="3" t="s">
        <v>2299</v>
      </c>
      <c r="C5066" s="10">
        <v>9</v>
      </c>
      <c r="D5066" s="10">
        <v>2</v>
      </c>
      <c r="E5066" s="10">
        <v>20</v>
      </c>
      <c r="F5066" t="s">
        <v>1205</v>
      </c>
      <c r="G5066" t="s">
        <v>889</v>
      </c>
      <c r="H5066" t="s">
        <v>54</v>
      </c>
      <c r="I5066" t="s">
        <v>27</v>
      </c>
      <c r="J5066" s="4">
        <v>29.6</v>
      </c>
      <c r="K5066">
        <v>1</v>
      </c>
      <c r="L5066">
        <v>29.6</v>
      </c>
      <c r="M5066">
        <v>29.6</v>
      </c>
      <c r="N5066" s="5">
        <v>1.5002534211860112</v>
      </c>
      <c r="O5066" t="s">
        <v>100</v>
      </c>
      <c r="P5066" t="s">
        <v>340</v>
      </c>
      <c r="Q5066" s="10" t="s">
        <v>24</v>
      </c>
      <c r="R5066">
        <v>0</v>
      </c>
    </row>
    <row r="5067" spans="1:18" hidden="1" x14ac:dyDescent="0.25">
      <c r="A5067" s="9" t="s">
        <v>980</v>
      </c>
      <c r="B5067" s="3" t="s">
        <v>2299</v>
      </c>
      <c r="C5067" s="10">
        <v>9</v>
      </c>
      <c r="D5067" s="10">
        <v>2</v>
      </c>
      <c r="E5067" s="10">
        <v>20</v>
      </c>
      <c r="F5067" t="s">
        <v>1680</v>
      </c>
      <c r="G5067" t="s">
        <v>889</v>
      </c>
      <c r="H5067" t="s">
        <v>40</v>
      </c>
      <c r="I5067" t="s">
        <v>27</v>
      </c>
      <c r="J5067" s="4">
        <v>10</v>
      </c>
      <c r="K5067">
        <v>1</v>
      </c>
      <c r="L5067">
        <v>10</v>
      </c>
      <c r="M5067">
        <v>10</v>
      </c>
      <c r="N5067" s="5">
        <v>0.50684237202230109</v>
      </c>
      <c r="O5067" t="s">
        <v>100</v>
      </c>
      <c r="P5067" t="s">
        <v>340</v>
      </c>
      <c r="Q5067" s="10" t="s">
        <v>24</v>
      </c>
      <c r="R5067">
        <v>0</v>
      </c>
    </row>
    <row r="5068" spans="1:18" hidden="1" x14ac:dyDescent="0.25">
      <c r="A5068" s="9" t="s">
        <v>2352</v>
      </c>
      <c r="B5068" s="3" t="s">
        <v>2316</v>
      </c>
      <c r="C5068" s="10">
        <v>1</v>
      </c>
      <c r="D5068" s="10">
        <v>3</v>
      </c>
      <c r="E5068" s="10">
        <v>20</v>
      </c>
      <c r="F5068" t="s">
        <v>1214</v>
      </c>
      <c r="G5068" t="s">
        <v>889</v>
      </c>
      <c r="H5068" t="s">
        <v>53</v>
      </c>
      <c r="I5068" t="s">
        <v>27</v>
      </c>
      <c r="J5068" s="4">
        <v>10.488333333333333</v>
      </c>
      <c r="K5068">
        <v>12</v>
      </c>
      <c r="L5068">
        <v>10.488333333333333</v>
      </c>
      <c r="M5068">
        <v>125.86</v>
      </c>
      <c r="N5068" s="5">
        <v>6.3791180942726813</v>
      </c>
      <c r="O5068" t="s">
        <v>51</v>
      </c>
      <c r="P5068" t="s">
        <v>340</v>
      </c>
      <c r="Q5068" s="10" t="s">
        <v>24</v>
      </c>
      <c r="R5068">
        <v>0</v>
      </c>
    </row>
    <row r="5069" spans="1:18" hidden="1" x14ac:dyDescent="0.25">
      <c r="A5069" s="9" t="s">
        <v>2352</v>
      </c>
      <c r="B5069" s="3" t="s">
        <v>2316</v>
      </c>
      <c r="C5069" s="10">
        <v>1</v>
      </c>
      <c r="D5069" s="10">
        <v>3</v>
      </c>
      <c r="E5069" s="10">
        <v>20</v>
      </c>
      <c r="F5069" t="s">
        <v>1383</v>
      </c>
      <c r="G5069" t="s">
        <v>889</v>
      </c>
      <c r="H5069" t="s">
        <v>53</v>
      </c>
      <c r="I5069" t="s">
        <v>27</v>
      </c>
      <c r="J5069" s="4">
        <v>18.989999999999998</v>
      </c>
      <c r="K5069">
        <v>12</v>
      </c>
      <c r="L5069">
        <v>18.989999999999998</v>
      </c>
      <c r="M5069">
        <v>227.88</v>
      </c>
      <c r="N5069" s="5">
        <v>11.549923973644196</v>
      </c>
      <c r="O5069" t="s">
        <v>51</v>
      </c>
      <c r="P5069" t="s">
        <v>340</v>
      </c>
      <c r="Q5069" s="10" t="s">
        <v>24</v>
      </c>
      <c r="R5069">
        <v>0</v>
      </c>
    </row>
    <row r="5070" spans="1:18" hidden="1" x14ac:dyDescent="0.25">
      <c r="A5070" s="9" t="s">
        <v>2352</v>
      </c>
      <c r="B5070" s="3" t="s">
        <v>2316</v>
      </c>
      <c r="C5070" s="10">
        <v>1</v>
      </c>
      <c r="D5070" s="10">
        <v>3</v>
      </c>
      <c r="E5070" s="10">
        <v>20</v>
      </c>
      <c r="F5070" t="s">
        <v>386</v>
      </c>
      <c r="G5070" t="s">
        <v>889</v>
      </c>
      <c r="H5070" t="s">
        <v>53</v>
      </c>
      <c r="I5070" t="s">
        <v>27</v>
      </c>
      <c r="J5070" s="4">
        <v>10.9</v>
      </c>
      <c r="K5070">
        <v>6</v>
      </c>
      <c r="L5070">
        <v>10.9</v>
      </c>
      <c r="M5070">
        <v>65.400000000000006</v>
      </c>
      <c r="N5070" s="5">
        <v>3.3147491130258491</v>
      </c>
      <c r="O5070" t="s">
        <v>51</v>
      </c>
      <c r="P5070" t="s">
        <v>340</v>
      </c>
      <c r="Q5070" s="10" t="s">
        <v>24</v>
      </c>
      <c r="R5070">
        <v>0</v>
      </c>
    </row>
    <row r="5071" spans="1:18" hidden="1" x14ac:dyDescent="0.25">
      <c r="A5071" s="9" t="s">
        <v>2352</v>
      </c>
      <c r="B5071" s="3" t="s">
        <v>2316</v>
      </c>
      <c r="C5071" s="10">
        <v>1</v>
      </c>
      <c r="D5071" s="10">
        <v>3</v>
      </c>
      <c r="E5071" s="10">
        <v>20</v>
      </c>
      <c r="F5071" t="s">
        <v>2344</v>
      </c>
      <c r="G5071" t="s">
        <v>889</v>
      </c>
      <c r="H5071" t="s">
        <v>59</v>
      </c>
      <c r="I5071" t="s">
        <v>27</v>
      </c>
      <c r="J5071" s="4">
        <v>18.899999999999999</v>
      </c>
      <c r="K5071">
        <v>6</v>
      </c>
      <c r="L5071">
        <v>18.899999999999999</v>
      </c>
      <c r="M5071">
        <v>113.39999999999999</v>
      </c>
      <c r="N5071" s="5">
        <v>5.7475924987328932</v>
      </c>
      <c r="O5071" t="s">
        <v>51</v>
      </c>
      <c r="P5071" t="s">
        <v>340</v>
      </c>
      <c r="Q5071" s="10" t="s">
        <v>24</v>
      </c>
    </row>
    <row r="5072" spans="1:18" hidden="1" x14ac:dyDescent="0.25">
      <c r="A5072" s="9" t="s">
        <v>2352</v>
      </c>
      <c r="B5072" s="3" t="s">
        <v>2316</v>
      </c>
      <c r="C5072" s="10">
        <v>1</v>
      </c>
      <c r="D5072" s="10">
        <v>3</v>
      </c>
      <c r="E5072" s="10">
        <v>20</v>
      </c>
      <c r="F5072" t="s">
        <v>2310</v>
      </c>
      <c r="G5072" t="s">
        <v>889</v>
      </c>
      <c r="H5072" t="s">
        <v>53</v>
      </c>
      <c r="I5072" t="s">
        <v>27</v>
      </c>
      <c r="J5072" s="4">
        <v>8.9939999999999998</v>
      </c>
      <c r="K5072">
        <v>12</v>
      </c>
      <c r="L5072">
        <v>8.9939999999999998</v>
      </c>
      <c r="M5072">
        <v>107.928</v>
      </c>
      <c r="N5072" s="5">
        <v>5.4702483527622903</v>
      </c>
      <c r="O5072" t="s">
        <v>51</v>
      </c>
      <c r="P5072" t="s">
        <v>340</v>
      </c>
      <c r="Q5072" s="10" t="s">
        <v>24</v>
      </c>
      <c r="R5072">
        <v>0</v>
      </c>
    </row>
    <row r="5073" spans="1:18" hidden="1" x14ac:dyDescent="0.25">
      <c r="A5073" s="9" t="s">
        <v>2352</v>
      </c>
      <c r="B5073" s="3" t="s">
        <v>2316</v>
      </c>
      <c r="C5073" s="10">
        <v>1</v>
      </c>
      <c r="D5073" s="10">
        <v>3</v>
      </c>
      <c r="E5073" s="10">
        <v>20</v>
      </c>
      <c r="F5073" t="s">
        <v>2346</v>
      </c>
      <c r="G5073" t="s">
        <v>889</v>
      </c>
      <c r="H5073" t="s">
        <v>49</v>
      </c>
      <c r="I5073" t="s">
        <v>50</v>
      </c>
      <c r="J5073" s="4">
        <v>54.9</v>
      </c>
      <c r="K5073">
        <v>1</v>
      </c>
      <c r="L5073">
        <v>54.9</v>
      </c>
      <c r="M5073">
        <v>54.9</v>
      </c>
      <c r="N5073" s="5">
        <v>2.7825646224024325</v>
      </c>
      <c r="O5073" t="s">
        <v>51</v>
      </c>
      <c r="P5073" t="s">
        <v>340</v>
      </c>
      <c r="Q5073" s="10" t="s">
        <v>24</v>
      </c>
      <c r="R5073">
        <v>0</v>
      </c>
    </row>
    <row r="5074" spans="1:18" hidden="1" x14ac:dyDescent="0.25">
      <c r="A5074" s="9" t="s">
        <v>2352</v>
      </c>
      <c r="B5074" s="3" t="s">
        <v>2316</v>
      </c>
      <c r="C5074" s="10">
        <v>1</v>
      </c>
      <c r="D5074" s="10">
        <v>3</v>
      </c>
      <c r="E5074" s="10">
        <v>20</v>
      </c>
      <c r="F5074" t="s">
        <v>962</v>
      </c>
      <c r="G5074" t="s">
        <v>889</v>
      </c>
      <c r="H5074" t="s">
        <v>49</v>
      </c>
      <c r="I5074" t="s">
        <v>50</v>
      </c>
      <c r="J5074" s="4">
        <v>128.9</v>
      </c>
      <c r="K5074">
        <v>1</v>
      </c>
      <c r="L5074">
        <v>128.9</v>
      </c>
      <c r="M5074">
        <v>128.9</v>
      </c>
      <c r="N5074" s="5">
        <v>6.5331981753674606</v>
      </c>
      <c r="O5074" t="s">
        <v>51</v>
      </c>
      <c r="P5074" t="s">
        <v>340</v>
      </c>
      <c r="Q5074" s="10" t="s">
        <v>84</v>
      </c>
      <c r="R5074">
        <v>0</v>
      </c>
    </row>
    <row r="5075" spans="1:18" hidden="1" x14ac:dyDescent="0.25">
      <c r="A5075" s="9" t="s">
        <v>2352</v>
      </c>
      <c r="B5075" s="3" t="s">
        <v>2316</v>
      </c>
      <c r="C5075" s="10">
        <v>1</v>
      </c>
      <c r="D5075" s="10">
        <v>3</v>
      </c>
      <c r="E5075" s="10">
        <v>20</v>
      </c>
      <c r="F5075" t="s">
        <v>44</v>
      </c>
      <c r="G5075" t="s">
        <v>889</v>
      </c>
      <c r="H5075" t="s">
        <v>44</v>
      </c>
      <c r="I5075" t="s">
        <v>27</v>
      </c>
      <c r="J5075">
        <v>24.79</v>
      </c>
      <c r="K5075">
        <v>2</v>
      </c>
      <c r="L5075">
        <v>24.79</v>
      </c>
      <c r="M5075">
        <v>49.58</v>
      </c>
      <c r="N5075" s="5">
        <v>2.5129244804865687</v>
      </c>
      <c r="O5075" t="s">
        <v>51</v>
      </c>
      <c r="P5075" t="s">
        <v>340</v>
      </c>
      <c r="Q5075" s="10" t="s">
        <v>24</v>
      </c>
      <c r="R5075">
        <v>0</v>
      </c>
    </row>
    <row r="5076" spans="1:18" hidden="1" x14ac:dyDescent="0.25">
      <c r="A5076" s="9" t="s">
        <v>2352</v>
      </c>
      <c r="B5076" s="3" t="s">
        <v>2316</v>
      </c>
      <c r="C5076" s="10">
        <v>1</v>
      </c>
      <c r="D5076" s="10">
        <v>3</v>
      </c>
      <c r="E5076" s="10">
        <v>20</v>
      </c>
      <c r="F5076" t="s">
        <v>165</v>
      </c>
      <c r="H5076" t="s">
        <v>165</v>
      </c>
      <c r="I5076" t="s">
        <v>27</v>
      </c>
      <c r="J5076">
        <v>84.9</v>
      </c>
      <c r="K5076">
        <v>1</v>
      </c>
      <c r="L5076">
        <v>84.9</v>
      </c>
      <c r="M5076">
        <v>84.9</v>
      </c>
      <c r="N5076" s="5">
        <v>4.3030917384693366</v>
      </c>
      <c r="O5076" t="s">
        <v>51</v>
      </c>
      <c r="P5076" t="s">
        <v>340</v>
      </c>
      <c r="Q5076" s="10" t="s">
        <v>24</v>
      </c>
      <c r="R5076">
        <v>0</v>
      </c>
    </row>
    <row r="5077" spans="1:18" hidden="1" x14ac:dyDescent="0.25">
      <c r="A5077" s="9" t="s">
        <v>2352</v>
      </c>
      <c r="B5077" s="3" t="s">
        <v>2316</v>
      </c>
      <c r="C5077" s="10">
        <v>1</v>
      </c>
      <c r="D5077" s="10">
        <v>3</v>
      </c>
      <c r="E5077" s="10">
        <v>20</v>
      </c>
      <c r="F5077" t="s">
        <v>44</v>
      </c>
      <c r="G5077" t="s">
        <v>889</v>
      </c>
      <c r="H5077" t="s">
        <v>44</v>
      </c>
      <c r="I5077" t="s">
        <v>27</v>
      </c>
      <c r="J5077">
        <v>26.59</v>
      </c>
      <c r="K5077">
        <v>2</v>
      </c>
      <c r="L5077">
        <v>26.59</v>
      </c>
      <c r="M5077">
        <v>53.18</v>
      </c>
      <c r="N5077" s="5">
        <v>2.6953877344145969</v>
      </c>
      <c r="O5077" t="s">
        <v>51</v>
      </c>
      <c r="P5077" t="s">
        <v>340</v>
      </c>
      <c r="Q5077" s="10" t="s">
        <v>24</v>
      </c>
      <c r="R5077">
        <v>0</v>
      </c>
    </row>
    <row r="5078" spans="1:18" hidden="1" x14ac:dyDescent="0.25">
      <c r="A5078" s="9" t="s">
        <v>2352</v>
      </c>
      <c r="B5078" s="3" t="s">
        <v>2316</v>
      </c>
      <c r="C5078" s="10">
        <v>1</v>
      </c>
      <c r="D5078" s="10">
        <v>3</v>
      </c>
      <c r="E5078" s="10">
        <v>20</v>
      </c>
      <c r="F5078" t="s">
        <v>177</v>
      </c>
      <c r="G5078" t="s">
        <v>889</v>
      </c>
      <c r="H5078" t="s">
        <v>56</v>
      </c>
      <c r="I5078" t="s">
        <v>27</v>
      </c>
      <c r="J5078">
        <v>18.39</v>
      </c>
      <c r="K5078">
        <v>0.51</v>
      </c>
      <c r="L5078">
        <v>18.39</v>
      </c>
      <c r="M5078">
        <v>9.3788999999999998</v>
      </c>
      <c r="N5078" s="5">
        <v>0.47536239229599592</v>
      </c>
      <c r="O5078" t="s">
        <v>51</v>
      </c>
      <c r="P5078" t="s">
        <v>340</v>
      </c>
      <c r="Q5078" s="10" t="s">
        <v>24</v>
      </c>
      <c r="R5078">
        <v>0</v>
      </c>
    </row>
    <row r="5079" spans="1:18" hidden="1" x14ac:dyDescent="0.25">
      <c r="A5079" s="9" t="s">
        <v>2352</v>
      </c>
      <c r="B5079" s="3" t="s">
        <v>2316</v>
      </c>
      <c r="C5079" s="10">
        <v>1</v>
      </c>
      <c r="D5079" s="10">
        <v>3</v>
      </c>
      <c r="E5079" s="10">
        <v>20</v>
      </c>
      <c r="F5079" t="s">
        <v>1642</v>
      </c>
      <c r="G5079" t="s">
        <v>889</v>
      </c>
      <c r="H5079" t="s">
        <v>62</v>
      </c>
      <c r="I5079" t="s">
        <v>27</v>
      </c>
      <c r="J5079">
        <v>13.3</v>
      </c>
      <c r="K5079">
        <v>1</v>
      </c>
      <c r="L5079">
        <v>13.3</v>
      </c>
      <c r="M5079">
        <v>13.3</v>
      </c>
      <c r="N5079" s="5">
        <v>0.67410035478966046</v>
      </c>
      <c r="O5079" t="s">
        <v>51</v>
      </c>
      <c r="P5079" t="s">
        <v>340</v>
      </c>
      <c r="Q5079" s="10" t="s">
        <v>24</v>
      </c>
      <c r="R5079">
        <v>0</v>
      </c>
    </row>
    <row r="5080" spans="1:18" hidden="1" x14ac:dyDescent="0.25">
      <c r="A5080" s="9" t="s">
        <v>2352</v>
      </c>
      <c r="B5080" s="3" t="s">
        <v>2316</v>
      </c>
      <c r="C5080" s="10">
        <v>1</v>
      </c>
      <c r="D5080" s="10">
        <v>3</v>
      </c>
      <c r="E5080" s="10">
        <v>20</v>
      </c>
      <c r="F5080" t="s">
        <v>2311</v>
      </c>
      <c r="G5080" t="s">
        <v>889</v>
      </c>
      <c r="H5080" t="s">
        <v>62</v>
      </c>
      <c r="I5080" t="s">
        <v>27</v>
      </c>
      <c r="J5080">
        <v>8.69</v>
      </c>
      <c r="K5080">
        <v>1</v>
      </c>
      <c r="L5080">
        <v>8.69</v>
      </c>
      <c r="M5080">
        <v>8.69</v>
      </c>
      <c r="N5080" s="5">
        <v>0.44044602128737959</v>
      </c>
      <c r="O5080" t="s">
        <v>51</v>
      </c>
      <c r="P5080" t="s">
        <v>340</v>
      </c>
      <c r="Q5080" s="10" t="s">
        <v>24</v>
      </c>
      <c r="R5080">
        <v>0</v>
      </c>
    </row>
    <row r="5081" spans="1:18" hidden="1" x14ac:dyDescent="0.25">
      <c r="A5081" s="9" t="s">
        <v>2352</v>
      </c>
      <c r="B5081" s="3" t="s">
        <v>2316</v>
      </c>
      <c r="C5081" s="10">
        <v>1</v>
      </c>
      <c r="D5081" s="10">
        <v>3</v>
      </c>
      <c r="E5081" s="10">
        <v>20</v>
      </c>
      <c r="F5081" t="s">
        <v>55</v>
      </c>
      <c r="G5081" t="s">
        <v>889</v>
      </c>
      <c r="H5081" t="s">
        <v>56</v>
      </c>
      <c r="I5081" t="s">
        <v>27</v>
      </c>
      <c r="J5081">
        <v>24.29</v>
      </c>
      <c r="K5081">
        <v>1.556</v>
      </c>
      <c r="L5081">
        <v>24.29</v>
      </c>
      <c r="M5081">
        <v>37.79524</v>
      </c>
      <c r="N5081" s="5">
        <v>1.9156229092752153</v>
      </c>
      <c r="O5081" t="s">
        <v>51</v>
      </c>
      <c r="P5081" t="s">
        <v>340</v>
      </c>
      <c r="Q5081" s="10" t="s">
        <v>24</v>
      </c>
      <c r="R5081">
        <v>0</v>
      </c>
    </row>
    <row r="5082" spans="1:18" hidden="1" x14ac:dyDescent="0.25">
      <c r="A5082" s="9" t="s">
        <v>2352</v>
      </c>
      <c r="B5082" s="3" t="s">
        <v>2316</v>
      </c>
      <c r="C5082" s="10">
        <v>1</v>
      </c>
      <c r="D5082" s="10">
        <v>3</v>
      </c>
      <c r="E5082" s="10">
        <v>20</v>
      </c>
      <c r="F5082" t="s">
        <v>177</v>
      </c>
      <c r="G5082" t="s">
        <v>889</v>
      </c>
      <c r="H5082" t="s">
        <v>56</v>
      </c>
      <c r="I5082" t="s">
        <v>27</v>
      </c>
      <c r="J5082">
        <v>17.190000000000001</v>
      </c>
      <c r="K5082">
        <v>0.29199999999999998</v>
      </c>
      <c r="L5082">
        <v>17.190000000000001</v>
      </c>
      <c r="M5082">
        <v>5.0194799999999997</v>
      </c>
      <c r="N5082" s="5">
        <v>0.25440851495184996</v>
      </c>
      <c r="O5082" t="s">
        <v>51</v>
      </c>
      <c r="P5082" t="s">
        <v>340</v>
      </c>
      <c r="Q5082" s="10" t="s">
        <v>24</v>
      </c>
      <c r="R5082">
        <v>0</v>
      </c>
    </row>
    <row r="5083" spans="1:18" hidden="1" x14ac:dyDescent="0.25">
      <c r="A5083" s="9" t="s">
        <v>2352</v>
      </c>
      <c r="B5083" s="3" t="s">
        <v>2316</v>
      </c>
      <c r="C5083" s="10">
        <v>1</v>
      </c>
      <c r="D5083" s="10">
        <v>3</v>
      </c>
      <c r="E5083" s="10">
        <v>20</v>
      </c>
      <c r="F5083" t="s">
        <v>58</v>
      </c>
      <c r="G5083" t="s">
        <v>889</v>
      </c>
      <c r="H5083" t="s">
        <v>59</v>
      </c>
      <c r="I5083" t="s">
        <v>27</v>
      </c>
      <c r="J5083">
        <v>92.9</v>
      </c>
      <c r="K5083">
        <v>2</v>
      </c>
      <c r="L5083">
        <v>92.9</v>
      </c>
      <c r="M5083">
        <v>185.8</v>
      </c>
      <c r="N5083" s="5">
        <v>9.4171312721743536</v>
      </c>
      <c r="O5083" t="s">
        <v>51</v>
      </c>
      <c r="P5083" t="s">
        <v>340</v>
      </c>
      <c r="Q5083" s="10" t="s">
        <v>24</v>
      </c>
      <c r="R5083" t="s">
        <v>2312</v>
      </c>
    </row>
    <row r="5084" spans="1:18" hidden="1" x14ac:dyDescent="0.25">
      <c r="A5084" s="9" t="s">
        <v>2352</v>
      </c>
      <c r="B5084" s="3" t="s">
        <v>2316</v>
      </c>
      <c r="C5084" s="10">
        <v>1</v>
      </c>
      <c r="D5084" s="10">
        <v>3</v>
      </c>
      <c r="E5084" s="10">
        <v>20</v>
      </c>
      <c r="F5084" t="s">
        <v>1358</v>
      </c>
      <c r="G5084" t="s">
        <v>155</v>
      </c>
      <c r="H5084" t="s">
        <v>131</v>
      </c>
      <c r="I5084" t="s">
        <v>27</v>
      </c>
      <c r="J5084">
        <v>53.9</v>
      </c>
      <c r="K5084">
        <v>3</v>
      </c>
      <c r="L5084">
        <v>53.9</v>
      </c>
      <c r="M5084">
        <v>152.69999999999999</v>
      </c>
      <c r="N5084" s="5">
        <v>7.7394830207805363</v>
      </c>
      <c r="O5084" t="s">
        <v>51</v>
      </c>
      <c r="P5084" t="s">
        <v>340</v>
      </c>
      <c r="Q5084" s="10" t="s">
        <v>24</v>
      </c>
      <c r="R5084">
        <v>0</v>
      </c>
    </row>
    <row r="5085" spans="1:18" hidden="1" x14ac:dyDescent="0.25">
      <c r="A5085" s="9" t="s">
        <v>2352</v>
      </c>
      <c r="B5085" s="3" t="s">
        <v>2316</v>
      </c>
      <c r="C5085" s="10">
        <v>1</v>
      </c>
      <c r="D5085" s="10">
        <v>3</v>
      </c>
      <c r="E5085" s="10">
        <v>20</v>
      </c>
      <c r="F5085" t="s">
        <v>2124</v>
      </c>
      <c r="G5085" t="s">
        <v>889</v>
      </c>
      <c r="H5085" t="s">
        <v>131</v>
      </c>
      <c r="I5085" t="s">
        <v>27</v>
      </c>
      <c r="J5085">
        <v>24.59</v>
      </c>
      <c r="K5085">
        <v>3</v>
      </c>
      <c r="L5085">
        <v>24.59</v>
      </c>
      <c r="M5085">
        <v>71.319999999999993</v>
      </c>
      <c r="N5085" s="5">
        <v>3.6147997972630508</v>
      </c>
      <c r="O5085" t="s">
        <v>51</v>
      </c>
      <c r="P5085" t="s">
        <v>340</v>
      </c>
      <c r="Q5085" s="10" t="s">
        <v>24</v>
      </c>
      <c r="R5085">
        <v>0</v>
      </c>
    </row>
    <row r="5086" spans="1:18" hidden="1" x14ac:dyDescent="0.25">
      <c r="A5086" s="9" t="s">
        <v>2352</v>
      </c>
      <c r="B5086" s="3" t="s">
        <v>2316</v>
      </c>
      <c r="C5086" s="10">
        <v>1</v>
      </c>
      <c r="D5086" s="10">
        <v>3</v>
      </c>
      <c r="E5086" s="10">
        <v>20</v>
      </c>
      <c r="F5086" t="s">
        <v>2124</v>
      </c>
      <c r="G5086" t="s">
        <v>889</v>
      </c>
      <c r="H5086" t="s">
        <v>131</v>
      </c>
      <c r="I5086" t="s">
        <v>27</v>
      </c>
      <c r="J5086">
        <v>24.9</v>
      </c>
      <c r="K5086">
        <v>1</v>
      </c>
      <c r="L5086">
        <v>24.9</v>
      </c>
      <c r="M5086">
        <v>24.9</v>
      </c>
      <c r="N5086" s="5">
        <v>1.2620375063355296</v>
      </c>
      <c r="O5086" t="s">
        <v>51</v>
      </c>
      <c r="P5086" t="s">
        <v>340</v>
      </c>
      <c r="Q5086" s="10" t="s">
        <v>24</v>
      </c>
      <c r="R5086">
        <v>0</v>
      </c>
    </row>
    <row r="5087" spans="1:18" hidden="1" x14ac:dyDescent="0.25">
      <c r="A5087" s="9" t="s">
        <v>2352</v>
      </c>
      <c r="B5087" s="3" t="s">
        <v>2316</v>
      </c>
      <c r="C5087" s="10">
        <v>1</v>
      </c>
      <c r="D5087" s="10">
        <v>3</v>
      </c>
      <c r="E5087" s="10">
        <v>20</v>
      </c>
      <c r="F5087" t="s">
        <v>1466</v>
      </c>
      <c r="G5087" t="s">
        <v>31</v>
      </c>
      <c r="H5087" t="s">
        <v>26</v>
      </c>
      <c r="I5087" t="s">
        <v>27</v>
      </c>
      <c r="J5087">
        <v>34.5</v>
      </c>
      <c r="K5087">
        <v>2</v>
      </c>
      <c r="L5087">
        <v>34.5</v>
      </c>
      <c r="M5087">
        <v>69</v>
      </c>
      <c r="N5087" s="5">
        <v>3.4972123669538773</v>
      </c>
      <c r="O5087" t="s">
        <v>51</v>
      </c>
      <c r="P5087" t="s">
        <v>340</v>
      </c>
      <c r="Q5087" s="10" t="s">
        <v>24</v>
      </c>
      <c r="R5087">
        <v>0</v>
      </c>
    </row>
    <row r="5088" spans="1:18" hidden="1" x14ac:dyDescent="0.25">
      <c r="A5088" s="9" t="s">
        <v>2352</v>
      </c>
      <c r="B5088" s="3" t="s">
        <v>2316</v>
      </c>
      <c r="C5088" s="10">
        <v>1</v>
      </c>
      <c r="D5088" s="10">
        <v>3</v>
      </c>
      <c r="E5088" s="10">
        <v>20</v>
      </c>
      <c r="F5088" t="s">
        <v>67</v>
      </c>
      <c r="G5088" t="s">
        <v>67</v>
      </c>
      <c r="H5088" t="s">
        <v>59</v>
      </c>
      <c r="I5088" t="s">
        <v>27</v>
      </c>
      <c r="J5088">
        <v>232.9</v>
      </c>
      <c r="K5088">
        <v>1</v>
      </c>
      <c r="L5088">
        <v>232.9</v>
      </c>
      <c r="M5088">
        <v>232.9</v>
      </c>
      <c r="N5088" s="5">
        <v>11.804358844399392</v>
      </c>
      <c r="O5088" t="s">
        <v>51</v>
      </c>
      <c r="P5088" t="s">
        <v>340</v>
      </c>
      <c r="Q5088" s="10" t="s">
        <v>24</v>
      </c>
      <c r="R5088">
        <v>0</v>
      </c>
    </row>
    <row r="5089" spans="1:18" hidden="1" x14ac:dyDescent="0.25">
      <c r="A5089" s="9" t="s">
        <v>2352</v>
      </c>
      <c r="B5089" s="3" t="s">
        <v>2316</v>
      </c>
      <c r="C5089" s="10">
        <v>1</v>
      </c>
      <c r="D5089" s="10">
        <v>3</v>
      </c>
      <c r="E5089" s="10">
        <v>20</v>
      </c>
      <c r="F5089" t="s">
        <v>48</v>
      </c>
      <c r="G5089" t="s">
        <v>889</v>
      </c>
      <c r="H5089" t="s">
        <v>49</v>
      </c>
      <c r="I5089" t="s">
        <v>50</v>
      </c>
      <c r="J5089">
        <v>39.35</v>
      </c>
      <c r="K5089">
        <v>1</v>
      </c>
      <c r="L5089">
        <v>39.35</v>
      </c>
      <c r="M5089">
        <v>39.35</v>
      </c>
      <c r="N5089" s="5">
        <v>1.9944247339077548</v>
      </c>
      <c r="O5089" t="s">
        <v>51</v>
      </c>
      <c r="P5089" t="s">
        <v>340</v>
      </c>
      <c r="Q5089" s="10" t="s">
        <v>24</v>
      </c>
      <c r="R5089">
        <v>0</v>
      </c>
    </row>
    <row r="5090" spans="1:18" hidden="1" x14ac:dyDescent="0.25">
      <c r="A5090" s="9" t="s">
        <v>2352</v>
      </c>
      <c r="B5090" s="3" t="s">
        <v>2316</v>
      </c>
      <c r="C5090" s="10">
        <v>1</v>
      </c>
      <c r="D5090" s="10">
        <v>3</v>
      </c>
      <c r="E5090" s="10">
        <v>20</v>
      </c>
      <c r="F5090" t="s">
        <v>415</v>
      </c>
      <c r="G5090" t="s">
        <v>889</v>
      </c>
      <c r="H5090" t="s">
        <v>49</v>
      </c>
      <c r="I5090" t="s">
        <v>50</v>
      </c>
      <c r="J5090">
        <v>41.9</v>
      </c>
      <c r="K5090">
        <v>1</v>
      </c>
      <c r="L5090">
        <v>41.9</v>
      </c>
      <c r="M5090">
        <v>41.9</v>
      </c>
      <c r="N5090" s="5">
        <v>2.1236695387734414</v>
      </c>
      <c r="O5090" t="s">
        <v>51</v>
      </c>
      <c r="P5090" t="s">
        <v>340</v>
      </c>
      <c r="Q5090" s="10" t="s">
        <v>24</v>
      </c>
      <c r="R5090">
        <v>0</v>
      </c>
    </row>
    <row r="5091" spans="1:18" hidden="1" x14ac:dyDescent="0.25">
      <c r="A5091" s="9" t="s">
        <v>2352</v>
      </c>
      <c r="B5091" s="3" t="s">
        <v>2316</v>
      </c>
      <c r="C5091" s="10">
        <v>1</v>
      </c>
      <c r="D5091" s="10">
        <v>3</v>
      </c>
      <c r="E5091" s="10">
        <v>20</v>
      </c>
      <c r="F5091" t="s">
        <v>2313</v>
      </c>
      <c r="G5091" t="s">
        <v>889</v>
      </c>
      <c r="H5091" t="s">
        <v>63</v>
      </c>
      <c r="I5091" t="s">
        <v>50</v>
      </c>
      <c r="J5091">
        <v>132.9</v>
      </c>
      <c r="K5091">
        <v>2</v>
      </c>
      <c r="L5091">
        <v>132.9</v>
      </c>
      <c r="M5091">
        <v>265.8</v>
      </c>
      <c r="N5091" s="5">
        <v>13.471870248352763</v>
      </c>
      <c r="O5091" t="s">
        <v>51</v>
      </c>
      <c r="P5091" t="s">
        <v>340</v>
      </c>
      <c r="Q5091" s="10" t="s">
        <v>24</v>
      </c>
      <c r="R5091" t="s">
        <v>2315</v>
      </c>
    </row>
    <row r="5092" spans="1:18" hidden="1" x14ac:dyDescent="0.25">
      <c r="A5092" s="9" t="s">
        <v>2352</v>
      </c>
      <c r="B5092" s="3" t="s">
        <v>2316</v>
      </c>
      <c r="C5092" s="10">
        <v>1</v>
      </c>
      <c r="D5092" s="10">
        <v>3</v>
      </c>
      <c r="E5092" s="10">
        <v>20</v>
      </c>
      <c r="F5092" t="s">
        <v>2339</v>
      </c>
      <c r="G5092" t="s">
        <v>889</v>
      </c>
      <c r="H5092" t="s">
        <v>65</v>
      </c>
      <c r="I5092" t="s">
        <v>27</v>
      </c>
      <c r="J5092">
        <v>29.9</v>
      </c>
      <c r="K5092">
        <v>3</v>
      </c>
      <c r="L5092">
        <v>29.9</v>
      </c>
      <c r="M5092">
        <v>89.699999999999989</v>
      </c>
      <c r="N5092" s="5">
        <v>4.5463760770400397</v>
      </c>
      <c r="O5092" t="s">
        <v>51</v>
      </c>
      <c r="P5092" t="s">
        <v>340</v>
      </c>
      <c r="Q5092" s="10" t="s">
        <v>24</v>
      </c>
      <c r="R5092">
        <v>0</v>
      </c>
    </row>
    <row r="5093" spans="1:18" hidden="1" x14ac:dyDescent="0.25">
      <c r="A5093" s="9" t="s">
        <v>2352</v>
      </c>
      <c r="B5093" s="3" t="s">
        <v>2316</v>
      </c>
      <c r="C5093" s="10">
        <v>1</v>
      </c>
      <c r="D5093" s="10">
        <v>3</v>
      </c>
      <c r="E5093" s="10">
        <v>20</v>
      </c>
      <c r="F5093" t="s">
        <v>188</v>
      </c>
      <c r="G5093" t="s">
        <v>77</v>
      </c>
      <c r="H5093" t="s">
        <v>26</v>
      </c>
      <c r="I5093" t="s">
        <v>27</v>
      </c>
      <c r="J5093">
        <v>26.35</v>
      </c>
      <c r="K5093">
        <v>1</v>
      </c>
      <c r="L5093">
        <v>26.35</v>
      </c>
      <c r="M5093">
        <v>26.35</v>
      </c>
      <c r="N5093" s="5">
        <v>1.3355296502787632</v>
      </c>
      <c r="O5093" t="s">
        <v>51</v>
      </c>
      <c r="P5093" t="s">
        <v>340</v>
      </c>
      <c r="Q5093" s="10" t="s">
        <v>24</v>
      </c>
      <c r="R5093">
        <v>0</v>
      </c>
    </row>
    <row r="5094" spans="1:18" hidden="1" x14ac:dyDescent="0.25">
      <c r="A5094" s="9" t="s">
        <v>2352</v>
      </c>
      <c r="B5094" s="3" t="s">
        <v>2316</v>
      </c>
      <c r="C5094" s="10">
        <v>1</v>
      </c>
      <c r="D5094" s="10">
        <v>3</v>
      </c>
      <c r="E5094" s="10">
        <v>20</v>
      </c>
      <c r="F5094" t="s">
        <v>202</v>
      </c>
      <c r="G5094" t="s">
        <v>889</v>
      </c>
      <c r="H5094" t="s">
        <v>54</v>
      </c>
      <c r="I5094" t="s">
        <v>27</v>
      </c>
      <c r="J5094">
        <v>129</v>
      </c>
      <c r="K5094">
        <v>0.52400000000000002</v>
      </c>
      <c r="L5094">
        <v>129</v>
      </c>
      <c r="M5094">
        <v>67.596000000000004</v>
      </c>
      <c r="N5094" s="5">
        <v>3.4260516979219462</v>
      </c>
      <c r="O5094" t="s">
        <v>51</v>
      </c>
      <c r="P5094" t="s">
        <v>340</v>
      </c>
      <c r="Q5094" s="10" t="s">
        <v>24</v>
      </c>
      <c r="R5094">
        <v>0</v>
      </c>
    </row>
    <row r="5095" spans="1:18" hidden="1" x14ac:dyDescent="0.25">
      <c r="A5095" s="9" t="s">
        <v>2352</v>
      </c>
      <c r="B5095" s="3" t="s">
        <v>2316</v>
      </c>
      <c r="C5095" s="10">
        <v>1</v>
      </c>
      <c r="D5095" s="10">
        <v>3</v>
      </c>
      <c r="E5095" s="10">
        <v>20</v>
      </c>
      <c r="F5095" t="s">
        <v>208</v>
      </c>
      <c r="G5095" t="s">
        <v>889</v>
      </c>
      <c r="H5095" t="s">
        <v>56</v>
      </c>
      <c r="I5095" t="s">
        <v>27</v>
      </c>
      <c r="J5095">
        <v>75</v>
      </c>
      <c r="K5095">
        <v>0.222</v>
      </c>
      <c r="L5095">
        <v>75</v>
      </c>
      <c r="M5095">
        <v>16.649999999999999</v>
      </c>
      <c r="N5095" s="5">
        <v>0.84389254941713121</v>
      </c>
      <c r="O5095" t="s">
        <v>51</v>
      </c>
      <c r="P5095" t="s">
        <v>340</v>
      </c>
      <c r="Q5095" s="10" t="s">
        <v>24</v>
      </c>
      <c r="R5095">
        <v>0</v>
      </c>
    </row>
    <row r="5096" spans="1:18" hidden="1" x14ac:dyDescent="0.25">
      <c r="A5096" s="9" t="s">
        <v>2352</v>
      </c>
      <c r="B5096" s="3" t="s">
        <v>2316</v>
      </c>
      <c r="C5096" s="10">
        <v>1</v>
      </c>
      <c r="D5096" s="10">
        <v>3</v>
      </c>
      <c r="E5096" s="10">
        <v>20</v>
      </c>
      <c r="F5096" t="s">
        <v>1051</v>
      </c>
      <c r="G5096" t="s">
        <v>889</v>
      </c>
      <c r="H5096" t="s">
        <v>56</v>
      </c>
      <c r="I5096" t="s">
        <v>27</v>
      </c>
      <c r="J5096">
        <v>28.9</v>
      </c>
      <c r="K5096">
        <v>0.47</v>
      </c>
      <c r="L5096">
        <v>28.9</v>
      </c>
      <c r="M5096">
        <v>13.582999999999998</v>
      </c>
      <c r="N5096" s="5">
        <v>0.68844399391789146</v>
      </c>
      <c r="O5096" t="s">
        <v>51</v>
      </c>
      <c r="P5096" t="s">
        <v>340</v>
      </c>
      <c r="Q5096" s="10" t="s">
        <v>24</v>
      </c>
      <c r="R5096">
        <v>0</v>
      </c>
    </row>
    <row r="5097" spans="1:18" hidden="1" x14ac:dyDescent="0.25">
      <c r="A5097" s="9" t="s">
        <v>2352</v>
      </c>
      <c r="B5097" s="3" t="s">
        <v>2316</v>
      </c>
      <c r="C5097" s="10">
        <v>1</v>
      </c>
      <c r="D5097" s="10">
        <v>3</v>
      </c>
      <c r="E5097" s="10">
        <v>20</v>
      </c>
      <c r="F5097" t="s">
        <v>112</v>
      </c>
      <c r="G5097" t="s">
        <v>889</v>
      </c>
      <c r="H5097" t="s">
        <v>56</v>
      </c>
      <c r="I5097" t="s">
        <v>27</v>
      </c>
      <c r="J5097">
        <v>17.899999999999999</v>
      </c>
      <c r="K5097">
        <v>0.872</v>
      </c>
      <c r="L5097">
        <v>17.899999999999999</v>
      </c>
      <c r="M5097">
        <v>15.608799999999999</v>
      </c>
      <c r="N5097" s="5">
        <v>0.79112012164216916</v>
      </c>
      <c r="O5097" t="s">
        <v>51</v>
      </c>
      <c r="P5097" t="s">
        <v>340</v>
      </c>
      <c r="Q5097" s="10" t="s">
        <v>24</v>
      </c>
      <c r="R5097">
        <v>0</v>
      </c>
    </row>
    <row r="5098" spans="1:18" hidden="1" x14ac:dyDescent="0.25">
      <c r="A5098" s="9" t="s">
        <v>2352</v>
      </c>
      <c r="B5098" s="3" t="s">
        <v>2316</v>
      </c>
      <c r="C5098" s="10">
        <v>1</v>
      </c>
      <c r="D5098" s="10">
        <v>3</v>
      </c>
      <c r="E5098" s="10">
        <v>20</v>
      </c>
      <c r="F5098" t="s">
        <v>2314</v>
      </c>
      <c r="G5098" t="s">
        <v>889</v>
      </c>
      <c r="H5098" t="s">
        <v>63</v>
      </c>
      <c r="I5098" t="s">
        <v>50</v>
      </c>
      <c r="J5098">
        <v>97.3</v>
      </c>
      <c r="K5098">
        <v>1</v>
      </c>
      <c r="L5098">
        <v>97.3</v>
      </c>
      <c r="M5098">
        <v>97.3</v>
      </c>
      <c r="N5098" s="5">
        <v>4.9315762797769889</v>
      </c>
      <c r="O5098" t="s">
        <v>51</v>
      </c>
      <c r="P5098" t="s">
        <v>340</v>
      </c>
      <c r="Q5098" s="10" t="s">
        <v>24</v>
      </c>
      <c r="R5098">
        <v>0</v>
      </c>
    </row>
    <row r="5099" spans="1:18" hidden="1" x14ac:dyDescent="0.25">
      <c r="A5099" s="9" t="s">
        <v>2352</v>
      </c>
      <c r="B5099" s="3" t="s">
        <v>2316</v>
      </c>
      <c r="C5099" s="10">
        <v>1</v>
      </c>
      <c r="D5099" s="10">
        <v>3</v>
      </c>
      <c r="E5099" s="10">
        <v>20</v>
      </c>
      <c r="F5099" t="s">
        <v>48</v>
      </c>
      <c r="G5099" t="s">
        <v>889</v>
      </c>
      <c r="H5099" t="s">
        <v>49</v>
      </c>
      <c r="I5099" t="s">
        <v>50</v>
      </c>
      <c r="J5099">
        <v>41.6</v>
      </c>
      <c r="K5099">
        <v>1</v>
      </c>
      <c r="L5099">
        <v>41.6</v>
      </c>
      <c r="M5099">
        <v>41.6</v>
      </c>
      <c r="N5099" s="5">
        <v>2.1084642676127725</v>
      </c>
      <c r="O5099" t="s">
        <v>51</v>
      </c>
      <c r="P5099" t="s">
        <v>340</v>
      </c>
      <c r="Q5099" s="10" t="s">
        <v>24</v>
      </c>
      <c r="R5099">
        <v>0</v>
      </c>
    </row>
    <row r="5100" spans="1:18" hidden="1" x14ac:dyDescent="0.25">
      <c r="A5100" s="9" t="s">
        <v>2352</v>
      </c>
      <c r="B5100" s="3" t="s">
        <v>2316</v>
      </c>
      <c r="C5100" s="10">
        <v>1</v>
      </c>
      <c r="D5100" s="10">
        <v>3</v>
      </c>
      <c r="E5100" s="10">
        <v>20</v>
      </c>
      <c r="F5100" t="s">
        <v>2347</v>
      </c>
      <c r="G5100" t="s">
        <v>889</v>
      </c>
      <c r="H5100" t="s">
        <v>49</v>
      </c>
      <c r="I5100" t="s">
        <v>50</v>
      </c>
      <c r="J5100">
        <v>30.9</v>
      </c>
      <c r="K5100">
        <v>2</v>
      </c>
      <c r="L5100">
        <v>30.9</v>
      </c>
      <c r="M5100">
        <v>61.8</v>
      </c>
      <c r="N5100" s="5">
        <v>3.1322858590978204</v>
      </c>
      <c r="O5100" t="s">
        <v>51</v>
      </c>
      <c r="P5100" t="s">
        <v>340</v>
      </c>
      <c r="Q5100" s="10" t="s">
        <v>24</v>
      </c>
      <c r="R5100">
        <v>0</v>
      </c>
    </row>
    <row r="5101" spans="1:18" hidden="1" x14ac:dyDescent="0.25">
      <c r="A5101" s="9" t="s">
        <v>2352</v>
      </c>
      <c r="B5101" s="3" t="s">
        <v>2316</v>
      </c>
      <c r="C5101" s="10">
        <v>1</v>
      </c>
      <c r="D5101" s="10">
        <v>3</v>
      </c>
      <c r="E5101" s="10">
        <v>20</v>
      </c>
      <c r="F5101" t="s">
        <v>460</v>
      </c>
      <c r="G5101" t="s">
        <v>889</v>
      </c>
      <c r="H5101" t="s">
        <v>65</v>
      </c>
      <c r="I5101" t="s">
        <v>27</v>
      </c>
      <c r="J5101">
        <v>7.99</v>
      </c>
      <c r="K5101">
        <v>2</v>
      </c>
      <c r="L5101">
        <v>7.99</v>
      </c>
      <c r="M5101">
        <v>15.98</v>
      </c>
      <c r="N5101" s="5">
        <v>0.8099341104916371</v>
      </c>
      <c r="O5101" t="s">
        <v>51</v>
      </c>
      <c r="P5101" t="s">
        <v>340</v>
      </c>
      <c r="Q5101" s="10" t="s">
        <v>24</v>
      </c>
      <c r="R5101">
        <v>0</v>
      </c>
    </row>
    <row r="5102" spans="1:18" hidden="1" x14ac:dyDescent="0.25">
      <c r="A5102" s="9" t="s">
        <v>2352</v>
      </c>
      <c r="B5102" s="3" t="s">
        <v>2316</v>
      </c>
      <c r="C5102" s="10">
        <v>1</v>
      </c>
      <c r="D5102" s="10">
        <v>3</v>
      </c>
      <c r="E5102" s="10">
        <v>20</v>
      </c>
      <c r="F5102" t="s">
        <v>388</v>
      </c>
      <c r="G5102" t="s">
        <v>889</v>
      </c>
      <c r="H5102" t="s">
        <v>49</v>
      </c>
      <c r="I5102" t="s">
        <v>50</v>
      </c>
      <c r="J5102">
        <v>42.9</v>
      </c>
      <c r="K5102">
        <v>2</v>
      </c>
      <c r="L5102">
        <v>42.9</v>
      </c>
      <c r="M5102">
        <v>85.8</v>
      </c>
      <c r="N5102" s="5">
        <v>4.3487075519513425</v>
      </c>
      <c r="O5102" t="s">
        <v>51</v>
      </c>
      <c r="P5102" t="s">
        <v>340</v>
      </c>
      <c r="Q5102" s="10" t="s">
        <v>24</v>
      </c>
      <c r="R5102">
        <v>0</v>
      </c>
    </row>
    <row r="5103" spans="1:18" hidden="1" x14ac:dyDescent="0.25">
      <c r="A5103" s="9" t="s">
        <v>2352</v>
      </c>
      <c r="B5103" s="3" t="s">
        <v>2316</v>
      </c>
      <c r="C5103" s="10">
        <v>1</v>
      </c>
      <c r="D5103" s="10">
        <v>3</v>
      </c>
      <c r="E5103" s="10">
        <v>20</v>
      </c>
      <c r="F5103" t="s">
        <v>1465</v>
      </c>
      <c r="G5103" t="s">
        <v>889</v>
      </c>
      <c r="H5103" t="s">
        <v>131</v>
      </c>
      <c r="I5103" t="s">
        <v>27</v>
      </c>
      <c r="J5103">
        <v>7.09</v>
      </c>
      <c r="K5103">
        <v>24</v>
      </c>
      <c r="L5103">
        <v>7.09</v>
      </c>
      <c r="M5103">
        <v>170.16</v>
      </c>
      <c r="N5103" s="5">
        <v>8.6244298023314752</v>
      </c>
      <c r="O5103" t="s">
        <v>51</v>
      </c>
      <c r="P5103" t="s">
        <v>340</v>
      </c>
      <c r="Q5103" s="10" t="s">
        <v>24</v>
      </c>
      <c r="R5103">
        <v>0</v>
      </c>
    </row>
    <row r="5104" spans="1:18" hidden="1" x14ac:dyDescent="0.25">
      <c r="A5104" s="9" t="s">
        <v>2352</v>
      </c>
      <c r="B5104" s="3" t="s">
        <v>2316</v>
      </c>
      <c r="C5104" s="10">
        <v>1</v>
      </c>
      <c r="D5104" s="10">
        <v>3</v>
      </c>
      <c r="E5104" s="10">
        <v>20</v>
      </c>
      <c r="F5104" t="s">
        <v>398</v>
      </c>
      <c r="G5104" t="s">
        <v>889</v>
      </c>
      <c r="H5104" t="s">
        <v>40</v>
      </c>
      <c r="I5104" t="s">
        <v>27</v>
      </c>
      <c r="J5104">
        <v>14.6</v>
      </c>
      <c r="K5104">
        <v>1</v>
      </c>
      <c r="L5104">
        <v>14.6</v>
      </c>
      <c r="M5104">
        <v>14.6</v>
      </c>
      <c r="N5104" s="5">
        <v>0.73998986315255955</v>
      </c>
      <c r="O5104" t="s">
        <v>100</v>
      </c>
      <c r="P5104" t="s">
        <v>340</v>
      </c>
      <c r="Q5104" s="10" t="s">
        <v>24</v>
      </c>
      <c r="R5104">
        <v>0</v>
      </c>
    </row>
    <row r="5105" spans="1:18" hidden="1" x14ac:dyDescent="0.25">
      <c r="A5105" s="9" t="s">
        <v>2352</v>
      </c>
      <c r="B5105" s="3" t="s">
        <v>2316</v>
      </c>
      <c r="C5105" s="10">
        <v>1</v>
      </c>
      <c r="D5105" s="10">
        <v>3</v>
      </c>
      <c r="E5105" s="10">
        <v>20</v>
      </c>
      <c r="F5105" t="s">
        <v>2287</v>
      </c>
      <c r="G5105" t="s">
        <v>77</v>
      </c>
      <c r="H5105" t="s">
        <v>26</v>
      </c>
      <c r="I5105" t="s">
        <v>27</v>
      </c>
      <c r="J5105">
        <v>23.5</v>
      </c>
      <c r="K5105">
        <v>1</v>
      </c>
      <c r="L5105">
        <v>23.5</v>
      </c>
      <c r="M5105">
        <v>23.5</v>
      </c>
      <c r="N5105" s="5">
        <v>1.1910795742524074</v>
      </c>
      <c r="O5105" t="s">
        <v>1472</v>
      </c>
      <c r="P5105" t="s">
        <v>340</v>
      </c>
      <c r="Q5105" s="10" t="s">
        <v>24</v>
      </c>
      <c r="R5105" t="s">
        <v>2317</v>
      </c>
    </row>
    <row r="5106" spans="1:18" hidden="1" x14ac:dyDescent="0.25">
      <c r="A5106" s="9" t="s">
        <v>2352</v>
      </c>
      <c r="B5106" s="3" t="s">
        <v>2316</v>
      </c>
      <c r="C5106" s="10">
        <v>1</v>
      </c>
      <c r="D5106" s="10">
        <v>3</v>
      </c>
      <c r="E5106" s="10">
        <v>20</v>
      </c>
      <c r="F5106" t="s">
        <v>923</v>
      </c>
      <c r="G5106" t="s">
        <v>708</v>
      </c>
      <c r="H5106" t="s">
        <v>131</v>
      </c>
      <c r="I5106" t="s">
        <v>27</v>
      </c>
      <c r="J5106">
        <v>31</v>
      </c>
      <c r="K5106">
        <v>1</v>
      </c>
      <c r="L5106">
        <v>31</v>
      </c>
      <c r="M5106">
        <v>31</v>
      </c>
      <c r="N5106" s="5">
        <v>1.5712113532691332</v>
      </c>
      <c r="O5106" t="s">
        <v>1472</v>
      </c>
      <c r="P5106" t="s">
        <v>340</v>
      </c>
      <c r="Q5106" s="10" t="s">
        <v>24</v>
      </c>
      <c r="R5106" t="s">
        <v>2318</v>
      </c>
    </row>
    <row r="5107" spans="1:18" hidden="1" x14ac:dyDescent="0.25">
      <c r="A5107" s="9" t="s">
        <v>2352</v>
      </c>
      <c r="B5107" s="3" t="s">
        <v>2316</v>
      </c>
      <c r="C5107" s="10">
        <v>1</v>
      </c>
      <c r="D5107" s="10">
        <v>3</v>
      </c>
      <c r="E5107" s="10">
        <v>20</v>
      </c>
      <c r="F5107" t="s">
        <v>708</v>
      </c>
      <c r="G5107" t="s">
        <v>708</v>
      </c>
      <c r="H5107" t="s">
        <v>131</v>
      </c>
      <c r="I5107" t="s">
        <v>27</v>
      </c>
      <c r="J5107">
        <v>32</v>
      </c>
      <c r="K5107">
        <v>1</v>
      </c>
      <c r="L5107">
        <v>32</v>
      </c>
      <c r="M5107">
        <v>32</v>
      </c>
      <c r="N5107" s="5">
        <v>1.6218955904713634</v>
      </c>
      <c r="O5107" t="s">
        <v>1472</v>
      </c>
      <c r="P5107" t="s">
        <v>340</v>
      </c>
      <c r="Q5107" s="10" t="s">
        <v>24</v>
      </c>
      <c r="R5107" t="s">
        <v>2319</v>
      </c>
    </row>
    <row r="5108" spans="1:18" hidden="1" x14ac:dyDescent="0.25">
      <c r="A5108" s="9" t="s">
        <v>2352</v>
      </c>
      <c r="B5108" s="3" t="s">
        <v>2316</v>
      </c>
      <c r="C5108" s="10">
        <v>1</v>
      </c>
      <c r="D5108" s="10">
        <v>3</v>
      </c>
      <c r="E5108" s="10">
        <v>20</v>
      </c>
      <c r="F5108" t="s">
        <v>708</v>
      </c>
      <c r="G5108" t="s">
        <v>708</v>
      </c>
      <c r="H5108" t="s">
        <v>131</v>
      </c>
      <c r="I5108" t="s">
        <v>27</v>
      </c>
      <c r="J5108">
        <v>32</v>
      </c>
      <c r="K5108">
        <v>1</v>
      </c>
      <c r="L5108">
        <v>32</v>
      </c>
      <c r="M5108">
        <v>32</v>
      </c>
      <c r="N5108" s="5">
        <v>1.6218955904713634</v>
      </c>
      <c r="O5108" t="s">
        <v>1472</v>
      </c>
      <c r="P5108" t="s">
        <v>340</v>
      </c>
      <c r="Q5108" s="10" t="s">
        <v>24</v>
      </c>
      <c r="R5108" t="s">
        <v>2319</v>
      </c>
    </row>
    <row r="5109" spans="1:18" hidden="1" x14ac:dyDescent="0.25">
      <c r="A5109" s="9" t="s">
        <v>2352</v>
      </c>
      <c r="B5109" s="3" t="s">
        <v>2316</v>
      </c>
      <c r="C5109" s="10">
        <v>1</v>
      </c>
      <c r="D5109" s="10">
        <v>3</v>
      </c>
      <c r="E5109" s="10">
        <v>20</v>
      </c>
      <c r="F5109" t="s">
        <v>2242</v>
      </c>
      <c r="G5109" t="s">
        <v>889</v>
      </c>
      <c r="H5109" t="s">
        <v>26</v>
      </c>
      <c r="I5109" t="s">
        <v>27</v>
      </c>
      <c r="J5109">
        <v>6.75</v>
      </c>
      <c r="K5109">
        <v>1</v>
      </c>
      <c r="L5109">
        <v>6.75</v>
      </c>
      <c r="M5109">
        <v>6.75</v>
      </c>
      <c r="N5109" s="5">
        <v>0.34211860111505321</v>
      </c>
      <c r="O5109" t="s">
        <v>1472</v>
      </c>
      <c r="P5109" t="s">
        <v>340</v>
      </c>
      <c r="Q5109" s="10" t="s">
        <v>24</v>
      </c>
      <c r="R5109" t="s">
        <v>2318</v>
      </c>
    </row>
    <row r="5110" spans="1:18" hidden="1" x14ac:dyDescent="0.25">
      <c r="A5110" s="9" t="s">
        <v>2352</v>
      </c>
      <c r="B5110" s="3" t="s">
        <v>2316</v>
      </c>
      <c r="C5110" s="10">
        <v>1</v>
      </c>
      <c r="D5110" s="10">
        <v>3</v>
      </c>
      <c r="E5110" s="10">
        <v>20</v>
      </c>
      <c r="F5110" t="s">
        <v>1258</v>
      </c>
      <c r="G5110" t="s">
        <v>889</v>
      </c>
      <c r="H5110" t="s">
        <v>26</v>
      </c>
      <c r="I5110" t="s">
        <v>27</v>
      </c>
      <c r="J5110">
        <v>49</v>
      </c>
      <c r="K5110">
        <v>1</v>
      </c>
      <c r="L5110">
        <v>49</v>
      </c>
      <c r="M5110">
        <v>49</v>
      </c>
      <c r="N5110" s="5">
        <v>2.4835276229092753</v>
      </c>
      <c r="O5110" t="s">
        <v>1472</v>
      </c>
      <c r="P5110" t="s">
        <v>340</v>
      </c>
      <c r="Q5110" s="10" t="s">
        <v>24</v>
      </c>
      <c r="R5110" t="s">
        <v>2320</v>
      </c>
    </row>
    <row r="5111" spans="1:18" hidden="1" x14ac:dyDescent="0.25">
      <c r="A5111" s="9" t="s">
        <v>2352</v>
      </c>
      <c r="B5111" s="3" t="s">
        <v>2316</v>
      </c>
      <c r="C5111" s="10">
        <v>1</v>
      </c>
      <c r="D5111" s="10">
        <v>3</v>
      </c>
      <c r="E5111" s="10">
        <v>20</v>
      </c>
      <c r="F5111" t="s">
        <v>141</v>
      </c>
      <c r="G5111" t="s">
        <v>889</v>
      </c>
      <c r="H5111" t="s">
        <v>172</v>
      </c>
      <c r="I5111" t="s">
        <v>39</v>
      </c>
      <c r="J5111">
        <v>2</v>
      </c>
      <c r="K5111">
        <v>3</v>
      </c>
      <c r="L5111">
        <v>2</v>
      </c>
      <c r="M5111">
        <v>6</v>
      </c>
      <c r="N5111" s="5">
        <v>0.30410542321338063</v>
      </c>
      <c r="O5111" t="s">
        <v>39</v>
      </c>
      <c r="P5111" t="s">
        <v>340</v>
      </c>
      <c r="Q5111" s="10" t="s">
        <v>24</v>
      </c>
      <c r="R5111">
        <v>0</v>
      </c>
    </row>
    <row r="5112" spans="1:18" hidden="1" x14ac:dyDescent="0.25">
      <c r="A5112" s="9" t="s">
        <v>2352</v>
      </c>
      <c r="B5112" s="3" t="s">
        <v>2316</v>
      </c>
      <c r="C5112" s="10">
        <v>1</v>
      </c>
      <c r="D5112" s="10">
        <v>3</v>
      </c>
      <c r="E5112" s="10">
        <v>20</v>
      </c>
      <c r="F5112" t="s">
        <v>174</v>
      </c>
      <c r="G5112" t="s">
        <v>889</v>
      </c>
      <c r="H5112" t="s">
        <v>54</v>
      </c>
      <c r="I5112" t="s">
        <v>27</v>
      </c>
      <c r="J5112">
        <v>10</v>
      </c>
      <c r="K5112">
        <v>1</v>
      </c>
      <c r="L5112">
        <v>10</v>
      </c>
      <c r="M5112">
        <v>10</v>
      </c>
      <c r="N5112" s="5">
        <v>0.50684237202230109</v>
      </c>
      <c r="O5112" t="s">
        <v>593</v>
      </c>
      <c r="P5112" t="s">
        <v>340</v>
      </c>
      <c r="Q5112" s="10" t="s">
        <v>24</v>
      </c>
      <c r="R5112">
        <v>0</v>
      </c>
    </row>
    <row r="5113" spans="1:18" hidden="1" x14ac:dyDescent="0.25">
      <c r="A5113" s="9" t="s">
        <v>2352</v>
      </c>
      <c r="B5113" s="3" t="s">
        <v>2316</v>
      </c>
      <c r="C5113" s="10">
        <v>1</v>
      </c>
      <c r="D5113" s="10">
        <v>3</v>
      </c>
      <c r="E5113" s="10">
        <v>20</v>
      </c>
      <c r="F5113" t="s">
        <v>744</v>
      </c>
      <c r="G5113" t="s">
        <v>889</v>
      </c>
      <c r="H5113" t="s">
        <v>54</v>
      </c>
      <c r="I5113" t="s">
        <v>27</v>
      </c>
      <c r="J5113">
        <v>10</v>
      </c>
      <c r="K5113">
        <v>1</v>
      </c>
      <c r="L5113">
        <v>10</v>
      </c>
      <c r="M5113">
        <v>10</v>
      </c>
      <c r="N5113" s="5">
        <v>0.50684237202230109</v>
      </c>
      <c r="O5113" t="s">
        <v>593</v>
      </c>
      <c r="P5113" t="s">
        <v>340</v>
      </c>
      <c r="Q5113" s="10" t="s">
        <v>24</v>
      </c>
      <c r="R5113">
        <v>0</v>
      </c>
    </row>
    <row r="5114" spans="1:18" hidden="1" x14ac:dyDescent="0.25">
      <c r="A5114" s="9" t="s">
        <v>2352</v>
      </c>
      <c r="B5114" s="3" t="s">
        <v>2316</v>
      </c>
      <c r="C5114" s="10">
        <v>1</v>
      </c>
      <c r="D5114" s="10">
        <v>3</v>
      </c>
      <c r="E5114" s="10">
        <v>20</v>
      </c>
      <c r="F5114" t="s">
        <v>203</v>
      </c>
      <c r="G5114" t="s">
        <v>889</v>
      </c>
      <c r="H5114" t="s">
        <v>54</v>
      </c>
      <c r="I5114" t="s">
        <v>27</v>
      </c>
      <c r="J5114">
        <v>8</v>
      </c>
      <c r="K5114">
        <v>2.5</v>
      </c>
      <c r="L5114">
        <v>8</v>
      </c>
      <c r="M5114">
        <v>20</v>
      </c>
      <c r="N5114" s="5">
        <v>1.0136847440446022</v>
      </c>
      <c r="O5114" t="s">
        <v>593</v>
      </c>
      <c r="P5114" t="s">
        <v>340</v>
      </c>
      <c r="Q5114" s="10" t="s">
        <v>24</v>
      </c>
      <c r="R5114">
        <v>0</v>
      </c>
    </row>
    <row r="5115" spans="1:18" hidden="1" x14ac:dyDescent="0.25">
      <c r="A5115" s="9" t="s">
        <v>2352</v>
      </c>
      <c r="B5115" s="3" t="s">
        <v>2417</v>
      </c>
      <c r="C5115" s="10">
        <v>11</v>
      </c>
      <c r="D5115" s="10">
        <v>3</v>
      </c>
      <c r="E5115" s="10">
        <v>20</v>
      </c>
      <c r="F5115" t="s">
        <v>104</v>
      </c>
      <c r="G5115" t="s">
        <v>889</v>
      </c>
      <c r="H5115" t="s">
        <v>2406</v>
      </c>
      <c r="I5115" t="s">
        <v>72</v>
      </c>
      <c r="J5115">
        <v>13.2</v>
      </c>
      <c r="K5115" s="10">
        <v>1</v>
      </c>
      <c r="L5115">
        <v>13.2</v>
      </c>
      <c r="M5115">
        <v>13.2</v>
      </c>
      <c r="N5115" s="5">
        <v>0.67484662576687116</v>
      </c>
      <c r="O5115" t="s">
        <v>629</v>
      </c>
      <c r="P5115" t="s">
        <v>340</v>
      </c>
      <c r="Q5115" s="10" t="s">
        <v>24</v>
      </c>
      <c r="R5115" t="s">
        <v>2407</v>
      </c>
    </row>
    <row r="5116" spans="1:18" hidden="1" x14ac:dyDescent="0.25">
      <c r="A5116" s="9" t="s">
        <v>2352</v>
      </c>
      <c r="B5116" s="3" t="s">
        <v>2417</v>
      </c>
      <c r="C5116" s="10">
        <v>11</v>
      </c>
      <c r="D5116" s="10">
        <v>3</v>
      </c>
      <c r="E5116" s="10">
        <v>20</v>
      </c>
      <c r="F5116" t="s">
        <v>39</v>
      </c>
      <c r="G5116" t="s">
        <v>889</v>
      </c>
      <c r="H5116" t="s">
        <v>2093</v>
      </c>
      <c r="I5116" t="s">
        <v>72</v>
      </c>
      <c r="J5116">
        <v>117.33</v>
      </c>
      <c r="K5116" s="10">
        <v>7.0000000000000007E-2</v>
      </c>
      <c r="L5116">
        <v>117.33</v>
      </c>
      <c r="M5116">
        <v>8.2131000000000007</v>
      </c>
      <c r="N5116" s="5">
        <v>0.41989263803680987</v>
      </c>
      <c r="O5116" t="s">
        <v>629</v>
      </c>
      <c r="P5116" t="s">
        <v>340</v>
      </c>
      <c r="Q5116" s="10" t="s">
        <v>24</v>
      </c>
      <c r="R5116" t="s">
        <v>2408</v>
      </c>
    </row>
    <row r="5117" spans="1:18" hidden="1" x14ac:dyDescent="0.25">
      <c r="A5117" s="9" t="s">
        <v>2352</v>
      </c>
      <c r="B5117" s="3" t="s">
        <v>2417</v>
      </c>
      <c r="C5117" s="10">
        <v>11</v>
      </c>
      <c r="D5117" s="10">
        <v>3</v>
      </c>
      <c r="E5117" s="10">
        <v>20</v>
      </c>
      <c r="F5117" t="s">
        <v>39</v>
      </c>
      <c r="G5117" t="s">
        <v>889</v>
      </c>
      <c r="H5117" t="s">
        <v>889</v>
      </c>
      <c r="I5117" t="s">
        <v>39</v>
      </c>
      <c r="J5117">
        <v>12</v>
      </c>
      <c r="K5117" s="10">
        <v>1</v>
      </c>
      <c r="L5117">
        <v>12</v>
      </c>
      <c r="M5117">
        <v>12</v>
      </c>
      <c r="N5117" s="5">
        <v>0.61349693251533743</v>
      </c>
      <c r="O5117" t="s">
        <v>39</v>
      </c>
      <c r="P5117" t="s">
        <v>340</v>
      </c>
      <c r="Q5117" s="10" t="s">
        <v>24</v>
      </c>
      <c r="R5117" t="s">
        <v>2412</v>
      </c>
    </row>
    <row r="5118" spans="1:18" hidden="1" x14ac:dyDescent="0.25">
      <c r="A5118" s="9" t="s">
        <v>2352</v>
      </c>
      <c r="B5118" s="3" t="s">
        <v>2330</v>
      </c>
      <c r="C5118" s="10">
        <v>12</v>
      </c>
      <c r="D5118" s="10">
        <v>3</v>
      </c>
      <c r="E5118" s="10">
        <v>20</v>
      </c>
      <c r="F5118" t="s">
        <v>2321</v>
      </c>
      <c r="G5118" t="s">
        <v>889</v>
      </c>
      <c r="H5118" t="s">
        <v>889</v>
      </c>
      <c r="I5118" t="s">
        <v>39</v>
      </c>
      <c r="J5118">
        <v>100</v>
      </c>
      <c r="K5118">
        <v>1</v>
      </c>
      <c r="L5118">
        <v>100</v>
      </c>
      <c r="M5118">
        <v>100</v>
      </c>
      <c r="N5118" s="5">
        <v>5.0684237202230102</v>
      </c>
      <c r="O5118" t="s">
        <v>39</v>
      </c>
      <c r="P5118" t="s">
        <v>340</v>
      </c>
      <c r="Q5118" s="10" t="s">
        <v>24</v>
      </c>
      <c r="R5118">
        <v>0</v>
      </c>
    </row>
    <row r="5119" spans="1:18" hidden="1" x14ac:dyDescent="0.25">
      <c r="A5119" s="9" t="s">
        <v>2352</v>
      </c>
      <c r="B5119" s="3" t="s">
        <v>2330</v>
      </c>
      <c r="C5119" s="10">
        <v>12</v>
      </c>
      <c r="D5119" s="10">
        <v>3</v>
      </c>
      <c r="E5119" s="10">
        <v>20</v>
      </c>
      <c r="F5119" t="s">
        <v>1721</v>
      </c>
      <c r="G5119" t="s">
        <v>889</v>
      </c>
      <c r="H5119" t="s">
        <v>39</v>
      </c>
      <c r="I5119" t="s">
        <v>27</v>
      </c>
      <c r="J5119">
        <v>66.63</v>
      </c>
      <c r="K5119" s="10">
        <v>0.4</v>
      </c>
      <c r="L5119">
        <v>66.63</v>
      </c>
      <c r="M5119">
        <v>26.652000000000001</v>
      </c>
      <c r="N5119" s="5">
        <v>1.3625766871165645</v>
      </c>
      <c r="O5119" t="s">
        <v>100</v>
      </c>
      <c r="P5119" t="s">
        <v>340</v>
      </c>
      <c r="Q5119" s="10" t="s">
        <v>24</v>
      </c>
    </row>
    <row r="5120" spans="1:18" hidden="1" x14ac:dyDescent="0.25">
      <c r="A5120" s="9" t="s">
        <v>2352</v>
      </c>
      <c r="B5120" s="3" t="s">
        <v>2330</v>
      </c>
      <c r="C5120" s="10">
        <v>12</v>
      </c>
      <c r="D5120" s="10">
        <v>3</v>
      </c>
      <c r="E5120" s="10">
        <v>20</v>
      </c>
      <c r="F5120" t="s">
        <v>60</v>
      </c>
      <c r="G5120" t="s">
        <v>31</v>
      </c>
      <c r="H5120" t="s">
        <v>26</v>
      </c>
      <c r="I5120" t="s">
        <v>27</v>
      </c>
      <c r="J5120">
        <v>8.6</v>
      </c>
      <c r="K5120" s="10">
        <v>2</v>
      </c>
      <c r="L5120">
        <v>8.6</v>
      </c>
      <c r="M5120">
        <v>17.2</v>
      </c>
      <c r="N5120" s="5">
        <v>0.87934560327198363</v>
      </c>
      <c r="O5120" t="s">
        <v>100</v>
      </c>
      <c r="P5120" t="s">
        <v>340</v>
      </c>
      <c r="Q5120" s="10" t="s">
        <v>24</v>
      </c>
    </row>
    <row r="5121" spans="1:18" hidden="1" x14ac:dyDescent="0.25">
      <c r="A5121" s="9" t="s">
        <v>2352</v>
      </c>
      <c r="B5121" s="3" t="s">
        <v>2330</v>
      </c>
      <c r="C5121" s="10">
        <v>12</v>
      </c>
      <c r="D5121" s="10">
        <v>3</v>
      </c>
      <c r="E5121" s="10">
        <v>20</v>
      </c>
      <c r="F5121" t="s">
        <v>188</v>
      </c>
      <c r="G5121" t="s">
        <v>77</v>
      </c>
      <c r="H5121" t="s">
        <v>26</v>
      </c>
      <c r="I5121" t="s">
        <v>27</v>
      </c>
      <c r="J5121">
        <v>42.6</v>
      </c>
      <c r="K5121" s="10">
        <v>1</v>
      </c>
      <c r="L5121">
        <v>42.6</v>
      </c>
      <c r="M5121">
        <v>42.6</v>
      </c>
      <c r="N5121" s="5">
        <v>2.1779141104294482</v>
      </c>
      <c r="O5121" t="s">
        <v>100</v>
      </c>
      <c r="P5121" t="s">
        <v>340</v>
      </c>
      <c r="Q5121" s="10" t="s">
        <v>24</v>
      </c>
    </row>
    <row r="5122" spans="1:18" hidden="1" x14ac:dyDescent="0.25">
      <c r="A5122" s="9" t="s">
        <v>2352</v>
      </c>
      <c r="B5122" s="3" t="s">
        <v>2330</v>
      </c>
      <c r="C5122" s="10">
        <v>12</v>
      </c>
      <c r="D5122" s="10">
        <v>3</v>
      </c>
      <c r="E5122" s="10">
        <v>20</v>
      </c>
      <c r="F5122" t="s">
        <v>1357</v>
      </c>
      <c r="G5122" t="s">
        <v>889</v>
      </c>
      <c r="H5122" t="s">
        <v>35</v>
      </c>
      <c r="I5122" t="s">
        <v>27</v>
      </c>
      <c r="J5122">
        <v>191.6</v>
      </c>
      <c r="K5122" s="10">
        <v>0.222</v>
      </c>
      <c r="L5122">
        <v>191.6</v>
      </c>
      <c r="M5122">
        <v>42.535199999999996</v>
      </c>
      <c r="N5122" s="5">
        <v>2.174601226993865</v>
      </c>
      <c r="O5122" t="s">
        <v>100</v>
      </c>
      <c r="P5122" t="s">
        <v>340</v>
      </c>
      <c r="Q5122" s="10" t="s">
        <v>24</v>
      </c>
    </row>
    <row r="5123" spans="1:18" hidden="1" x14ac:dyDescent="0.25">
      <c r="A5123" s="9" t="s">
        <v>2352</v>
      </c>
      <c r="B5123" s="3" t="s">
        <v>2330</v>
      </c>
      <c r="C5123" s="10">
        <v>12</v>
      </c>
      <c r="D5123" s="10">
        <v>3</v>
      </c>
      <c r="E5123" s="10">
        <v>20</v>
      </c>
      <c r="F5123" t="s">
        <v>2041</v>
      </c>
      <c r="G5123" t="s">
        <v>889</v>
      </c>
      <c r="H5123" t="s">
        <v>35</v>
      </c>
      <c r="I5123" t="s">
        <v>27</v>
      </c>
      <c r="J5123">
        <v>152.6</v>
      </c>
      <c r="K5123" s="10">
        <v>0.14399999999999999</v>
      </c>
      <c r="L5123">
        <v>152.6</v>
      </c>
      <c r="M5123">
        <v>21.974399999999999</v>
      </c>
      <c r="N5123" s="5">
        <v>1.1234355828220859</v>
      </c>
      <c r="O5123" t="s">
        <v>100</v>
      </c>
      <c r="P5123" t="s">
        <v>340</v>
      </c>
      <c r="Q5123" s="10" t="s">
        <v>24</v>
      </c>
    </row>
    <row r="5124" spans="1:18" hidden="1" x14ac:dyDescent="0.25">
      <c r="A5124" s="9" t="s">
        <v>2352</v>
      </c>
      <c r="B5124" s="3" t="s">
        <v>2330</v>
      </c>
      <c r="C5124" s="10">
        <v>12</v>
      </c>
      <c r="D5124" s="10">
        <v>3</v>
      </c>
      <c r="E5124" s="10">
        <v>20</v>
      </c>
      <c r="F5124" t="s">
        <v>294</v>
      </c>
      <c r="G5124" t="s">
        <v>155</v>
      </c>
      <c r="H5124" t="s">
        <v>131</v>
      </c>
      <c r="I5124" t="s">
        <v>27</v>
      </c>
      <c r="J5124">
        <v>16.600000000000001</v>
      </c>
      <c r="K5124" s="10">
        <v>4</v>
      </c>
      <c r="L5124">
        <v>16.600000000000001</v>
      </c>
      <c r="M5124">
        <v>66.400000000000006</v>
      </c>
      <c r="N5124" s="5">
        <v>3.3946830265848678</v>
      </c>
      <c r="O5124" t="s">
        <v>100</v>
      </c>
      <c r="P5124" t="s">
        <v>340</v>
      </c>
      <c r="Q5124" s="10" t="s">
        <v>24</v>
      </c>
    </row>
    <row r="5125" spans="1:18" hidden="1" x14ac:dyDescent="0.25">
      <c r="A5125" s="9" t="s">
        <v>2352</v>
      </c>
      <c r="B5125" s="3" t="s">
        <v>2330</v>
      </c>
      <c r="C5125" s="10">
        <v>12</v>
      </c>
      <c r="D5125" s="10">
        <v>3</v>
      </c>
      <c r="E5125" s="10">
        <v>20</v>
      </c>
      <c r="F5125" t="s">
        <v>1205</v>
      </c>
      <c r="G5125" t="s">
        <v>889</v>
      </c>
      <c r="H5125" t="s">
        <v>54</v>
      </c>
      <c r="I5125" t="s">
        <v>27</v>
      </c>
      <c r="J5125">
        <v>30</v>
      </c>
      <c r="K5125" s="10">
        <v>1</v>
      </c>
      <c r="L5125">
        <v>30</v>
      </c>
      <c r="M5125">
        <v>30</v>
      </c>
      <c r="N5125" s="5">
        <v>1.5337423312883436</v>
      </c>
      <c r="O5125" t="s">
        <v>100</v>
      </c>
      <c r="P5125" t="s">
        <v>340</v>
      </c>
      <c r="Q5125" s="10" t="s">
        <v>24</v>
      </c>
    </row>
    <row r="5126" spans="1:18" hidden="1" x14ac:dyDescent="0.25">
      <c r="A5126" s="9" t="s">
        <v>2352</v>
      </c>
      <c r="B5126" s="3" t="s">
        <v>2330</v>
      </c>
      <c r="C5126" s="10">
        <v>12</v>
      </c>
      <c r="D5126" s="10">
        <v>3</v>
      </c>
      <c r="E5126" s="10">
        <v>20</v>
      </c>
      <c r="F5126" t="s">
        <v>124</v>
      </c>
      <c r="G5126" t="s">
        <v>404</v>
      </c>
      <c r="H5126" t="s">
        <v>54</v>
      </c>
      <c r="I5126" t="s">
        <v>27</v>
      </c>
      <c r="J5126">
        <v>128</v>
      </c>
      <c r="K5126" s="10">
        <v>0.41</v>
      </c>
      <c r="L5126">
        <v>128</v>
      </c>
      <c r="M5126">
        <v>52.48</v>
      </c>
      <c r="N5126" s="5">
        <v>2.6830265848670756</v>
      </c>
      <c r="O5126" t="s">
        <v>100</v>
      </c>
      <c r="P5126" t="s">
        <v>340</v>
      </c>
      <c r="Q5126" s="10" t="s">
        <v>24</v>
      </c>
    </row>
    <row r="5127" spans="1:18" hidden="1" x14ac:dyDescent="0.25">
      <c r="A5127" s="9" t="s">
        <v>2352</v>
      </c>
      <c r="B5127" s="3" t="s">
        <v>2330</v>
      </c>
      <c r="C5127" s="10">
        <v>12</v>
      </c>
      <c r="D5127" s="10">
        <v>3</v>
      </c>
      <c r="E5127" s="10">
        <v>20</v>
      </c>
      <c r="F5127" t="s">
        <v>1036</v>
      </c>
      <c r="G5127" t="s">
        <v>889</v>
      </c>
      <c r="H5127" t="s">
        <v>38</v>
      </c>
      <c r="I5127" t="s">
        <v>27</v>
      </c>
      <c r="J5127">
        <v>126</v>
      </c>
      <c r="K5127" s="10">
        <v>0.25600000000000001</v>
      </c>
      <c r="L5127">
        <v>126</v>
      </c>
      <c r="M5127">
        <v>32.256</v>
      </c>
      <c r="N5127" s="5">
        <v>1.649079754601227</v>
      </c>
      <c r="O5127" t="s">
        <v>100</v>
      </c>
      <c r="P5127" t="s">
        <v>340</v>
      </c>
      <c r="Q5127" s="10" t="s">
        <v>24</v>
      </c>
    </row>
    <row r="5128" spans="1:18" hidden="1" x14ac:dyDescent="0.25">
      <c r="A5128" s="9" t="s">
        <v>2352</v>
      </c>
      <c r="B5128" s="3" t="s">
        <v>2330</v>
      </c>
      <c r="C5128" s="10">
        <v>12</v>
      </c>
      <c r="D5128" s="10">
        <v>3</v>
      </c>
      <c r="E5128" s="10">
        <v>20</v>
      </c>
      <c r="F5128" t="s">
        <v>475</v>
      </c>
      <c r="G5128" t="s">
        <v>889</v>
      </c>
      <c r="H5128" t="s">
        <v>62</v>
      </c>
      <c r="I5128" t="s">
        <v>27</v>
      </c>
      <c r="J5128">
        <v>28.75</v>
      </c>
      <c r="K5128" s="10">
        <v>1</v>
      </c>
      <c r="L5128">
        <v>28.75</v>
      </c>
      <c r="M5128">
        <v>28.75</v>
      </c>
      <c r="N5128" s="5">
        <v>1.469836400817996</v>
      </c>
      <c r="O5128" t="s">
        <v>100</v>
      </c>
      <c r="P5128" t="s">
        <v>340</v>
      </c>
      <c r="Q5128" s="10" t="s">
        <v>24</v>
      </c>
    </row>
    <row r="5129" spans="1:18" hidden="1" x14ac:dyDescent="0.25">
      <c r="A5129" s="9" t="s">
        <v>2352</v>
      </c>
      <c r="B5129" s="3" t="s">
        <v>2330</v>
      </c>
      <c r="C5129" s="10">
        <v>12</v>
      </c>
      <c r="D5129" s="10">
        <v>3</v>
      </c>
      <c r="E5129" s="10">
        <v>20</v>
      </c>
      <c r="F5129" t="s">
        <v>1466</v>
      </c>
      <c r="G5129" t="s">
        <v>31</v>
      </c>
      <c r="H5129" t="s">
        <v>26</v>
      </c>
      <c r="I5129" t="s">
        <v>27</v>
      </c>
      <c r="J5129">
        <v>38.6</v>
      </c>
      <c r="K5129" s="10">
        <v>1</v>
      </c>
      <c r="L5129">
        <v>38.6</v>
      </c>
      <c r="M5129">
        <v>38.6</v>
      </c>
      <c r="N5129" s="5">
        <v>1.9734151329243357</v>
      </c>
      <c r="O5129" t="s">
        <v>100</v>
      </c>
      <c r="P5129" t="s">
        <v>340</v>
      </c>
      <c r="Q5129" s="10" t="s">
        <v>24</v>
      </c>
    </row>
    <row r="5130" spans="1:18" hidden="1" x14ac:dyDescent="0.25">
      <c r="A5130" s="9" t="s">
        <v>2352</v>
      </c>
      <c r="B5130" s="3" t="s">
        <v>2330</v>
      </c>
      <c r="C5130" s="10">
        <v>12</v>
      </c>
      <c r="D5130" s="10">
        <v>3</v>
      </c>
      <c r="E5130" s="10">
        <v>20</v>
      </c>
      <c r="F5130" t="s">
        <v>126</v>
      </c>
      <c r="G5130" t="s">
        <v>889</v>
      </c>
      <c r="H5130" t="s">
        <v>63</v>
      </c>
      <c r="I5130" t="s">
        <v>27</v>
      </c>
      <c r="J5130">
        <v>60</v>
      </c>
      <c r="K5130" s="10">
        <v>1</v>
      </c>
      <c r="L5130">
        <v>60</v>
      </c>
      <c r="M5130">
        <v>60</v>
      </c>
      <c r="N5130" s="5">
        <v>3.0674846625766872</v>
      </c>
      <c r="O5130" t="s">
        <v>100</v>
      </c>
      <c r="P5130" t="s">
        <v>340</v>
      </c>
      <c r="Q5130" s="10" t="s">
        <v>24</v>
      </c>
    </row>
    <row r="5131" spans="1:18" hidden="1" x14ac:dyDescent="0.25">
      <c r="A5131" s="9" t="s">
        <v>2352</v>
      </c>
      <c r="B5131" s="3" t="s">
        <v>2330</v>
      </c>
      <c r="C5131" s="10">
        <v>12</v>
      </c>
      <c r="D5131" s="10">
        <v>3</v>
      </c>
      <c r="E5131" s="10">
        <v>20</v>
      </c>
      <c r="F5131" t="s">
        <v>398</v>
      </c>
      <c r="G5131" t="s">
        <v>889</v>
      </c>
      <c r="H5131" t="s">
        <v>40</v>
      </c>
      <c r="I5131" t="s">
        <v>27</v>
      </c>
      <c r="J5131">
        <v>14.6</v>
      </c>
      <c r="K5131" s="10">
        <v>1</v>
      </c>
      <c r="L5131">
        <v>14.6</v>
      </c>
      <c r="M5131">
        <v>14.6</v>
      </c>
      <c r="N5131" s="5">
        <v>0.74642126789366059</v>
      </c>
      <c r="O5131" t="s">
        <v>100</v>
      </c>
      <c r="P5131" t="s">
        <v>340</v>
      </c>
      <c r="Q5131" s="10" t="s">
        <v>24</v>
      </c>
    </row>
    <row r="5132" spans="1:18" hidden="1" x14ac:dyDescent="0.25">
      <c r="A5132" s="9" t="s">
        <v>2352</v>
      </c>
      <c r="B5132" s="3" t="s">
        <v>2330</v>
      </c>
      <c r="C5132" s="10">
        <v>12</v>
      </c>
      <c r="D5132" s="10">
        <v>3</v>
      </c>
      <c r="E5132" s="10">
        <v>20</v>
      </c>
      <c r="F5132" t="s">
        <v>369</v>
      </c>
      <c r="G5132" t="s">
        <v>210</v>
      </c>
      <c r="H5132" t="s">
        <v>131</v>
      </c>
      <c r="I5132" t="s">
        <v>27</v>
      </c>
      <c r="J5132">
        <v>64</v>
      </c>
      <c r="K5132" s="10">
        <v>1</v>
      </c>
      <c r="L5132">
        <v>64</v>
      </c>
      <c r="M5132">
        <v>64</v>
      </c>
      <c r="N5132" s="5">
        <v>3.2719836400817996</v>
      </c>
      <c r="O5132" t="s">
        <v>100</v>
      </c>
      <c r="P5132" t="s">
        <v>340</v>
      </c>
      <c r="Q5132" s="10" t="s">
        <v>24</v>
      </c>
    </row>
    <row r="5133" spans="1:18" hidden="1" x14ac:dyDescent="0.25">
      <c r="A5133" s="9" t="s">
        <v>2352</v>
      </c>
      <c r="B5133" s="3" t="s">
        <v>2376</v>
      </c>
      <c r="C5133" s="10">
        <v>13</v>
      </c>
      <c r="D5133" s="10">
        <v>3</v>
      </c>
      <c r="E5133" s="10">
        <v>20</v>
      </c>
      <c r="F5133" t="s">
        <v>2046</v>
      </c>
      <c r="G5133" t="s">
        <v>889</v>
      </c>
      <c r="H5133" t="s">
        <v>131</v>
      </c>
      <c r="I5133" t="s">
        <v>27</v>
      </c>
      <c r="J5133">
        <v>59.62</v>
      </c>
      <c r="K5133" s="10">
        <v>1</v>
      </c>
      <c r="L5133">
        <v>59.62</v>
      </c>
      <c r="M5133">
        <v>59.62</v>
      </c>
      <c r="N5133" s="5">
        <v>3.0480572597137017</v>
      </c>
      <c r="O5133" t="s">
        <v>90</v>
      </c>
      <c r="P5133" t="s">
        <v>340</v>
      </c>
      <c r="Q5133" s="10" t="s">
        <v>24</v>
      </c>
      <c r="R5133">
        <v>0</v>
      </c>
    </row>
    <row r="5134" spans="1:18" hidden="1" x14ac:dyDescent="0.25">
      <c r="A5134" s="9" t="s">
        <v>2352</v>
      </c>
      <c r="B5134" s="3" t="s">
        <v>2376</v>
      </c>
      <c r="C5134" s="10">
        <v>13</v>
      </c>
      <c r="D5134" s="10">
        <v>3</v>
      </c>
      <c r="E5134" s="10">
        <v>20</v>
      </c>
      <c r="F5134" t="s">
        <v>202</v>
      </c>
      <c r="G5134" t="s">
        <v>889</v>
      </c>
      <c r="H5134" t="s">
        <v>54</v>
      </c>
      <c r="I5134" t="s">
        <v>27</v>
      </c>
      <c r="J5134">
        <v>96.6</v>
      </c>
      <c r="K5134" s="10">
        <v>0.64800000000000002</v>
      </c>
      <c r="L5134">
        <v>96.6</v>
      </c>
      <c r="M5134">
        <v>62.596800000000002</v>
      </c>
      <c r="N5134" s="5">
        <v>3.2002453987730064</v>
      </c>
      <c r="O5134" t="s">
        <v>90</v>
      </c>
      <c r="P5134" t="s">
        <v>340</v>
      </c>
      <c r="Q5134" s="10" t="s">
        <v>24</v>
      </c>
      <c r="R5134">
        <v>0</v>
      </c>
    </row>
    <row r="5135" spans="1:18" hidden="1" x14ac:dyDescent="0.25">
      <c r="A5135" s="9" t="s">
        <v>2352</v>
      </c>
      <c r="B5135" s="3" t="s">
        <v>2376</v>
      </c>
      <c r="C5135" s="10">
        <v>13</v>
      </c>
      <c r="D5135" s="10">
        <v>3</v>
      </c>
      <c r="E5135" s="10">
        <v>20</v>
      </c>
      <c r="F5135" t="s">
        <v>74</v>
      </c>
      <c r="G5135" t="s">
        <v>889</v>
      </c>
      <c r="H5135" t="s">
        <v>56</v>
      </c>
      <c r="I5135" t="s">
        <v>27</v>
      </c>
      <c r="J5135">
        <v>28.8</v>
      </c>
      <c r="K5135" s="10">
        <v>1.524</v>
      </c>
      <c r="L5135">
        <v>28.8</v>
      </c>
      <c r="M5135">
        <v>43.891200000000005</v>
      </c>
      <c r="N5135" s="5">
        <v>2.2439263803680984</v>
      </c>
      <c r="O5135" t="s">
        <v>90</v>
      </c>
      <c r="P5135" t="s">
        <v>340</v>
      </c>
      <c r="Q5135" s="10" t="s">
        <v>24</v>
      </c>
      <c r="R5135">
        <v>0</v>
      </c>
    </row>
    <row r="5136" spans="1:18" hidden="1" x14ac:dyDescent="0.25">
      <c r="A5136" s="9" t="s">
        <v>2352</v>
      </c>
      <c r="B5136" s="3" t="s">
        <v>2376</v>
      </c>
      <c r="C5136" s="10">
        <v>13</v>
      </c>
      <c r="D5136" s="10">
        <v>3</v>
      </c>
      <c r="E5136" s="10">
        <v>20</v>
      </c>
      <c r="F5136" t="s">
        <v>177</v>
      </c>
      <c r="G5136" t="s">
        <v>889</v>
      </c>
      <c r="H5136" t="s">
        <v>56</v>
      </c>
      <c r="I5136" t="s">
        <v>27</v>
      </c>
      <c r="J5136">
        <v>17.3</v>
      </c>
      <c r="K5136" s="10">
        <v>1.01</v>
      </c>
      <c r="L5136">
        <v>17.3</v>
      </c>
      <c r="M5136">
        <v>17.473000000000003</v>
      </c>
      <c r="N5136" s="5">
        <v>0.89330265848670776</v>
      </c>
      <c r="O5136" t="s">
        <v>90</v>
      </c>
      <c r="P5136" t="s">
        <v>340</v>
      </c>
      <c r="Q5136" s="10" t="s">
        <v>24</v>
      </c>
      <c r="R5136">
        <v>0</v>
      </c>
    </row>
    <row r="5137" spans="1:18" hidden="1" x14ac:dyDescent="0.25">
      <c r="A5137" s="9" t="s">
        <v>2352</v>
      </c>
      <c r="B5137" s="3" t="s">
        <v>2376</v>
      </c>
      <c r="C5137" s="10">
        <v>13</v>
      </c>
      <c r="D5137" s="10">
        <v>3</v>
      </c>
      <c r="E5137" s="10">
        <v>20</v>
      </c>
      <c r="F5137" t="s">
        <v>1051</v>
      </c>
      <c r="G5137" t="s">
        <v>889</v>
      </c>
      <c r="H5137" t="s">
        <v>56</v>
      </c>
      <c r="I5137" t="s">
        <v>27</v>
      </c>
      <c r="J5137">
        <v>29.1</v>
      </c>
      <c r="K5137" s="10">
        <v>0.746</v>
      </c>
      <c r="L5137">
        <v>29.1</v>
      </c>
      <c r="M5137">
        <v>21.708600000000001</v>
      </c>
      <c r="N5137" s="5">
        <v>1.1098466257668713</v>
      </c>
      <c r="O5137" t="s">
        <v>90</v>
      </c>
      <c r="P5137" t="s">
        <v>340</v>
      </c>
      <c r="Q5137" s="10" t="s">
        <v>24</v>
      </c>
      <c r="R5137">
        <v>0</v>
      </c>
    </row>
    <row r="5138" spans="1:18" hidden="1" x14ac:dyDescent="0.25">
      <c r="A5138" s="9" t="s">
        <v>2352</v>
      </c>
      <c r="B5138" s="3" t="s">
        <v>2376</v>
      </c>
      <c r="C5138" s="10">
        <v>13</v>
      </c>
      <c r="D5138" s="10">
        <v>3</v>
      </c>
      <c r="E5138" s="10">
        <v>20</v>
      </c>
      <c r="F5138" t="s">
        <v>55</v>
      </c>
      <c r="G5138" t="s">
        <v>889</v>
      </c>
      <c r="H5138" t="s">
        <v>56</v>
      </c>
      <c r="I5138" t="s">
        <v>27</v>
      </c>
      <c r="J5138">
        <v>26.5</v>
      </c>
      <c r="K5138" s="10">
        <v>1.3460000000000001</v>
      </c>
      <c r="L5138">
        <v>26.5</v>
      </c>
      <c r="M5138">
        <v>35.669000000000004</v>
      </c>
      <c r="N5138" s="5">
        <v>1.8235685071574645</v>
      </c>
      <c r="O5138" t="s">
        <v>90</v>
      </c>
      <c r="P5138" t="s">
        <v>340</v>
      </c>
      <c r="Q5138" s="10" t="s">
        <v>24</v>
      </c>
      <c r="R5138">
        <v>0</v>
      </c>
    </row>
    <row r="5139" spans="1:18" hidden="1" x14ac:dyDescent="0.25">
      <c r="A5139" s="9" t="s">
        <v>2352</v>
      </c>
      <c r="B5139" s="3" t="s">
        <v>2376</v>
      </c>
      <c r="C5139" s="10">
        <v>13</v>
      </c>
      <c r="D5139" s="10">
        <v>3</v>
      </c>
      <c r="E5139" s="10">
        <v>20</v>
      </c>
      <c r="F5139" t="s">
        <v>981</v>
      </c>
      <c r="G5139" t="s">
        <v>31</v>
      </c>
      <c r="H5139" t="s">
        <v>26</v>
      </c>
      <c r="I5139" t="s">
        <v>27</v>
      </c>
      <c r="J5139">
        <v>11.14</v>
      </c>
      <c r="K5139" s="10">
        <v>1</v>
      </c>
      <c r="L5139">
        <v>11.14</v>
      </c>
      <c r="M5139">
        <v>11.14</v>
      </c>
      <c r="N5139" s="5">
        <v>0.56952965235173836</v>
      </c>
      <c r="O5139" t="s">
        <v>90</v>
      </c>
      <c r="P5139" t="s">
        <v>340</v>
      </c>
      <c r="Q5139" s="10" t="s">
        <v>24</v>
      </c>
      <c r="R5139">
        <v>0</v>
      </c>
    </row>
    <row r="5140" spans="1:18" hidden="1" x14ac:dyDescent="0.25">
      <c r="A5140" s="9" t="s">
        <v>2352</v>
      </c>
      <c r="B5140" s="3" t="s">
        <v>2376</v>
      </c>
      <c r="C5140" s="10">
        <v>13</v>
      </c>
      <c r="D5140" s="10">
        <v>3</v>
      </c>
      <c r="E5140" s="10">
        <v>20</v>
      </c>
      <c r="F5140" t="s">
        <v>2344</v>
      </c>
      <c r="G5140" t="s">
        <v>889</v>
      </c>
      <c r="H5140" t="s">
        <v>59</v>
      </c>
      <c r="I5140" t="s">
        <v>27</v>
      </c>
      <c r="J5140">
        <v>22.08</v>
      </c>
      <c r="K5140" s="10">
        <v>3</v>
      </c>
      <c r="L5140">
        <v>22.08</v>
      </c>
      <c r="M5140">
        <v>66.239999999999995</v>
      </c>
      <c r="N5140" s="5">
        <v>3.3865030674846626</v>
      </c>
      <c r="O5140" t="s">
        <v>90</v>
      </c>
      <c r="P5140" t="s">
        <v>340</v>
      </c>
      <c r="Q5140" s="10" t="s">
        <v>24</v>
      </c>
      <c r="R5140">
        <v>0</v>
      </c>
    </row>
    <row r="5141" spans="1:18" hidden="1" x14ac:dyDescent="0.25">
      <c r="A5141" s="9" t="s">
        <v>2352</v>
      </c>
      <c r="B5141" s="3" t="s">
        <v>2376</v>
      </c>
      <c r="C5141" s="10">
        <v>13</v>
      </c>
      <c r="D5141" s="10">
        <v>3</v>
      </c>
      <c r="E5141" s="10">
        <v>20</v>
      </c>
      <c r="F5141" t="s">
        <v>388</v>
      </c>
      <c r="G5141" t="s">
        <v>889</v>
      </c>
      <c r="H5141" t="s">
        <v>49</v>
      </c>
      <c r="I5141" t="s">
        <v>50</v>
      </c>
      <c r="J5141">
        <v>65.760000000000005</v>
      </c>
      <c r="K5141" s="10">
        <v>1</v>
      </c>
      <c r="L5141">
        <v>65.760000000000005</v>
      </c>
      <c r="M5141">
        <v>65.760000000000005</v>
      </c>
      <c r="N5141" s="5">
        <v>3.3619631901840497</v>
      </c>
      <c r="O5141" t="s">
        <v>90</v>
      </c>
      <c r="P5141" t="s">
        <v>340</v>
      </c>
      <c r="Q5141" s="10" t="s">
        <v>24</v>
      </c>
      <c r="R5141" t="s">
        <v>1512</v>
      </c>
    </row>
    <row r="5142" spans="1:18" hidden="1" x14ac:dyDescent="0.25">
      <c r="A5142" s="9" t="s">
        <v>2352</v>
      </c>
      <c r="B5142" s="3" t="s">
        <v>2376</v>
      </c>
      <c r="C5142" s="10">
        <v>13</v>
      </c>
      <c r="D5142" s="10">
        <v>3</v>
      </c>
      <c r="E5142" s="10">
        <v>20</v>
      </c>
      <c r="F5142" t="s">
        <v>1378</v>
      </c>
      <c r="G5142" t="s">
        <v>889</v>
      </c>
      <c r="H5142" t="s">
        <v>40</v>
      </c>
      <c r="I5142" t="s">
        <v>27</v>
      </c>
      <c r="J5142">
        <v>17.95</v>
      </c>
      <c r="K5142" s="10">
        <v>1</v>
      </c>
      <c r="L5142">
        <v>17.95</v>
      </c>
      <c r="M5142">
        <v>17.95</v>
      </c>
      <c r="N5142" s="5">
        <v>0.91768916155419222</v>
      </c>
      <c r="O5142" t="s">
        <v>90</v>
      </c>
      <c r="P5142" t="s">
        <v>340</v>
      </c>
      <c r="Q5142" s="10" t="s">
        <v>24</v>
      </c>
      <c r="R5142">
        <v>0</v>
      </c>
    </row>
    <row r="5143" spans="1:18" hidden="1" x14ac:dyDescent="0.25">
      <c r="A5143" s="9" t="s">
        <v>2352</v>
      </c>
      <c r="B5143" s="3" t="s">
        <v>2376</v>
      </c>
      <c r="C5143" s="10">
        <v>13</v>
      </c>
      <c r="D5143" s="10">
        <v>3</v>
      </c>
      <c r="E5143" s="10">
        <v>20</v>
      </c>
      <c r="F5143" t="s">
        <v>2339</v>
      </c>
      <c r="G5143" t="s">
        <v>889</v>
      </c>
      <c r="H5143" t="s">
        <v>65</v>
      </c>
      <c r="I5143" t="s">
        <v>27</v>
      </c>
      <c r="J5143">
        <v>36.479999999999997</v>
      </c>
      <c r="K5143" s="10">
        <v>2</v>
      </c>
      <c r="L5143">
        <v>36.479999999999997</v>
      </c>
      <c r="M5143">
        <v>72.959999999999994</v>
      </c>
      <c r="N5143" s="5">
        <v>3.7300613496932513</v>
      </c>
      <c r="O5143" t="s">
        <v>90</v>
      </c>
      <c r="P5143" t="s">
        <v>340</v>
      </c>
      <c r="Q5143" s="10" t="s">
        <v>24</v>
      </c>
      <c r="R5143">
        <v>0</v>
      </c>
    </row>
    <row r="5144" spans="1:18" hidden="1" x14ac:dyDescent="0.25">
      <c r="A5144" s="9" t="s">
        <v>2352</v>
      </c>
      <c r="B5144" s="3" t="s">
        <v>2376</v>
      </c>
      <c r="C5144" s="10">
        <v>13</v>
      </c>
      <c r="D5144" s="10">
        <v>3</v>
      </c>
      <c r="E5144" s="10">
        <v>20</v>
      </c>
      <c r="F5144" t="s">
        <v>2121</v>
      </c>
      <c r="G5144" t="s">
        <v>889</v>
      </c>
      <c r="H5144" t="s">
        <v>62</v>
      </c>
      <c r="I5144" t="s">
        <v>27</v>
      </c>
      <c r="J5144">
        <v>45.79</v>
      </c>
      <c r="K5144" s="10">
        <v>1</v>
      </c>
      <c r="L5144">
        <v>45.79</v>
      </c>
      <c r="M5144">
        <v>45.79</v>
      </c>
      <c r="N5144" s="5">
        <v>2.341002044989775</v>
      </c>
      <c r="O5144" t="s">
        <v>90</v>
      </c>
      <c r="P5144" t="s">
        <v>340</v>
      </c>
      <c r="Q5144" s="10" t="s">
        <v>24</v>
      </c>
      <c r="R5144" t="s">
        <v>2375</v>
      </c>
    </row>
    <row r="5145" spans="1:18" hidden="1" x14ac:dyDescent="0.25">
      <c r="A5145" s="9" t="s">
        <v>2352</v>
      </c>
      <c r="B5145" s="3" t="s">
        <v>2376</v>
      </c>
      <c r="C5145" s="10">
        <v>13</v>
      </c>
      <c r="D5145" s="10">
        <v>3</v>
      </c>
      <c r="E5145" s="10">
        <v>20</v>
      </c>
      <c r="F5145" t="s">
        <v>61</v>
      </c>
      <c r="G5145" t="s">
        <v>889</v>
      </c>
      <c r="H5145" t="s">
        <v>62</v>
      </c>
      <c r="I5145" t="s">
        <v>27</v>
      </c>
      <c r="J5145">
        <v>17.66</v>
      </c>
      <c r="K5145" s="10">
        <v>1</v>
      </c>
      <c r="L5145">
        <v>17.66</v>
      </c>
      <c r="M5145">
        <v>17.66</v>
      </c>
      <c r="N5145" s="5">
        <v>0.90286298568507162</v>
      </c>
      <c r="O5145" t="s">
        <v>90</v>
      </c>
      <c r="P5145" t="s">
        <v>340</v>
      </c>
      <c r="Q5145" s="10" t="s">
        <v>24</v>
      </c>
      <c r="R5145" t="s">
        <v>2374</v>
      </c>
    </row>
    <row r="5146" spans="1:18" hidden="1" x14ac:dyDescent="0.25">
      <c r="A5146" s="9" t="s">
        <v>2352</v>
      </c>
      <c r="B5146" s="3" t="s">
        <v>2376</v>
      </c>
      <c r="C5146" s="10">
        <v>13</v>
      </c>
      <c r="D5146" s="10">
        <v>3</v>
      </c>
      <c r="E5146" s="10">
        <v>20</v>
      </c>
      <c r="F5146" t="s">
        <v>1645</v>
      </c>
      <c r="G5146" t="s">
        <v>889</v>
      </c>
      <c r="H5146" t="s">
        <v>425</v>
      </c>
      <c r="I5146" t="s">
        <v>27</v>
      </c>
      <c r="J5146">
        <v>21.89</v>
      </c>
      <c r="K5146" s="10">
        <v>2</v>
      </c>
      <c r="L5146">
        <v>21.89</v>
      </c>
      <c r="M5146">
        <v>43.78</v>
      </c>
      <c r="N5146" s="5">
        <v>2.2382413087934561</v>
      </c>
      <c r="O5146" t="s">
        <v>90</v>
      </c>
      <c r="P5146" t="s">
        <v>340</v>
      </c>
      <c r="Q5146" s="10" t="s">
        <v>24</v>
      </c>
      <c r="R5146">
        <v>0</v>
      </c>
    </row>
    <row r="5147" spans="1:18" x14ac:dyDescent="0.25">
      <c r="A5147" s="9" t="s">
        <v>2352</v>
      </c>
      <c r="B5147" s="3" t="s">
        <v>2362</v>
      </c>
      <c r="C5147" s="10">
        <v>19</v>
      </c>
      <c r="D5147" s="10">
        <v>3</v>
      </c>
      <c r="E5147" s="10">
        <v>20</v>
      </c>
      <c r="F5147" t="s">
        <v>2356</v>
      </c>
      <c r="G5147" t="s">
        <v>889</v>
      </c>
      <c r="H5147" t="s">
        <v>39</v>
      </c>
      <c r="I5147" t="s">
        <v>39</v>
      </c>
      <c r="J5147">
        <v>45</v>
      </c>
      <c r="K5147" s="10">
        <v>1</v>
      </c>
      <c r="L5147">
        <v>45</v>
      </c>
      <c r="M5147">
        <v>45</v>
      </c>
      <c r="N5147" s="5">
        <v>2.3006134969325154</v>
      </c>
      <c r="O5147" t="s">
        <v>100</v>
      </c>
      <c r="P5147" t="s">
        <v>340</v>
      </c>
      <c r="Q5147" s="10" t="s">
        <v>2468</v>
      </c>
    </row>
    <row r="5148" spans="1:18" x14ac:dyDescent="0.25">
      <c r="A5148" s="9" t="s">
        <v>2352</v>
      </c>
      <c r="B5148" s="3" t="s">
        <v>2362</v>
      </c>
      <c r="C5148" s="10">
        <v>19</v>
      </c>
      <c r="D5148" s="10">
        <v>3</v>
      </c>
      <c r="E5148" s="10">
        <v>20</v>
      </c>
      <c r="F5148" t="s">
        <v>2357</v>
      </c>
      <c r="G5148" t="s">
        <v>345</v>
      </c>
      <c r="H5148" t="s">
        <v>26</v>
      </c>
      <c r="I5148" t="s">
        <v>27</v>
      </c>
      <c r="J5148">
        <v>20</v>
      </c>
      <c r="K5148" s="10">
        <v>1</v>
      </c>
      <c r="L5148">
        <v>20</v>
      </c>
      <c r="M5148">
        <v>20</v>
      </c>
      <c r="N5148" s="5">
        <v>1.0224948875255624</v>
      </c>
      <c r="O5148" t="s">
        <v>100</v>
      </c>
      <c r="P5148" t="s">
        <v>340</v>
      </c>
      <c r="Q5148" s="10" t="s">
        <v>2468</v>
      </c>
    </row>
    <row r="5149" spans="1:18" x14ac:dyDescent="0.25">
      <c r="A5149" s="9" t="s">
        <v>2352</v>
      </c>
      <c r="B5149" s="3" t="s">
        <v>2362</v>
      </c>
      <c r="C5149" s="10">
        <v>19</v>
      </c>
      <c r="D5149" s="10">
        <v>3</v>
      </c>
      <c r="E5149" s="10">
        <v>20</v>
      </c>
      <c r="F5149" t="s">
        <v>1363</v>
      </c>
      <c r="G5149" t="s">
        <v>889</v>
      </c>
      <c r="H5149" t="s">
        <v>35</v>
      </c>
      <c r="I5149" t="s">
        <v>27</v>
      </c>
      <c r="J5149">
        <v>94.6</v>
      </c>
      <c r="K5149" s="10">
        <v>1.8440000000000001</v>
      </c>
      <c r="L5149">
        <v>94.6</v>
      </c>
      <c r="M5149">
        <v>174.44239999999999</v>
      </c>
      <c r="N5149" s="5">
        <v>8.9183231083844579</v>
      </c>
      <c r="O5149" t="s">
        <v>100</v>
      </c>
      <c r="P5149" t="s">
        <v>340</v>
      </c>
      <c r="Q5149" s="10" t="s">
        <v>2468</v>
      </c>
    </row>
    <row r="5150" spans="1:18" x14ac:dyDescent="0.25">
      <c r="A5150" s="9" t="s">
        <v>2352</v>
      </c>
      <c r="B5150" s="3" t="s">
        <v>2362</v>
      </c>
      <c r="C5150" s="10">
        <v>19</v>
      </c>
      <c r="D5150" s="10">
        <v>3</v>
      </c>
      <c r="E5150" s="10">
        <v>20</v>
      </c>
      <c r="F5150" t="s">
        <v>997</v>
      </c>
      <c r="G5150" t="s">
        <v>889</v>
      </c>
      <c r="H5150" t="s">
        <v>54</v>
      </c>
      <c r="I5150" t="s">
        <v>27</v>
      </c>
      <c r="J5150">
        <v>115.6</v>
      </c>
      <c r="K5150" s="10">
        <v>0.34599999999999997</v>
      </c>
      <c r="L5150">
        <v>115.6</v>
      </c>
      <c r="M5150">
        <v>39.997599999999998</v>
      </c>
      <c r="N5150" s="5">
        <v>2.0448670756646217</v>
      </c>
      <c r="O5150" t="s">
        <v>100</v>
      </c>
      <c r="P5150" t="s">
        <v>340</v>
      </c>
      <c r="Q5150" s="10" t="s">
        <v>2468</v>
      </c>
    </row>
    <row r="5151" spans="1:18" x14ac:dyDescent="0.25">
      <c r="A5151" s="9" t="s">
        <v>2352</v>
      </c>
      <c r="B5151" s="3" t="s">
        <v>2362</v>
      </c>
      <c r="C5151" s="10">
        <v>19</v>
      </c>
      <c r="D5151" s="10">
        <v>3</v>
      </c>
      <c r="E5151" s="10">
        <v>20</v>
      </c>
      <c r="F5151" t="s">
        <v>112</v>
      </c>
      <c r="G5151" t="s">
        <v>889</v>
      </c>
      <c r="H5151" t="s">
        <v>56</v>
      </c>
      <c r="I5151" t="s">
        <v>27</v>
      </c>
      <c r="J5151">
        <v>35.85</v>
      </c>
      <c r="K5151" s="10">
        <v>0.752</v>
      </c>
      <c r="L5151">
        <v>35.85</v>
      </c>
      <c r="M5151">
        <v>26.959200000000003</v>
      </c>
      <c r="N5151" s="5">
        <v>1.3782822085889572</v>
      </c>
      <c r="O5151" t="s">
        <v>100</v>
      </c>
      <c r="P5151" t="s">
        <v>340</v>
      </c>
      <c r="Q5151" s="10" t="s">
        <v>2468</v>
      </c>
    </row>
    <row r="5152" spans="1:18" x14ac:dyDescent="0.25">
      <c r="A5152" s="9" t="s">
        <v>2352</v>
      </c>
      <c r="B5152" s="3" t="s">
        <v>2362</v>
      </c>
      <c r="C5152" s="10">
        <v>19</v>
      </c>
      <c r="D5152" s="10">
        <v>3</v>
      </c>
      <c r="E5152" s="10">
        <v>20</v>
      </c>
      <c r="F5152" t="s">
        <v>945</v>
      </c>
      <c r="G5152" t="s">
        <v>889</v>
      </c>
      <c r="H5152" t="s">
        <v>54</v>
      </c>
      <c r="I5152" t="s">
        <v>27</v>
      </c>
      <c r="J5152">
        <v>63</v>
      </c>
      <c r="K5152" s="10">
        <v>0.4</v>
      </c>
      <c r="L5152">
        <v>63</v>
      </c>
      <c r="M5152">
        <v>25.200000000000003</v>
      </c>
      <c r="N5152" s="5">
        <v>1.2883435582822089</v>
      </c>
      <c r="O5152" t="s">
        <v>100</v>
      </c>
      <c r="P5152" t="s">
        <v>340</v>
      </c>
      <c r="Q5152" s="10" t="s">
        <v>2468</v>
      </c>
    </row>
    <row r="5153" spans="1:18" x14ac:dyDescent="0.25">
      <c r="A5153" s="9" t="s">
        <v>2352</v>
      </c>
      <c r="B5153" s="3" t="s">
        <v>2362</v>
      </c>
      <c r="C5153" s="10">
        <v>19</v>
      </c>
      <c r="D5153" s="10">
        <v>3</v>
      </c>
      <c r="E5153" s="10">
        <v>20</v>
      </c>
      <c r="F5153" t="s">
        <v>2358</v>
      </c>
      <c r="G5153" t="s">
        <v>404</v>
      </c>
      <c r="H5153" t="s">
        <v>54</v>
      </c>
      <c r="I5153" t="s">
        <v>27</v>
      </c>
      <c r="J5153">
        <v>128</v>
      </c>
      <c r="K5153" s="10">
        <v>0.25800000000000001</v>
      </c>
      <c r="L5153">
        <v>128</v>
      </c>
      <c r="M5153">
        <v>33.024000000000001</v>
      </c>
      <c r="N5153" s="5">
        <v>1.6883435582822088</v>
      </c>
      <c r="O5153" t="s">
        <v>100</v>
      </c>
      <c r="P5153" t="s">
        <v>340</v>
      </c>
      <c r="Q5153" s="10" t="s">
        <v>2468</v>
      </c>
    </row>
    <row r="5154" spans="1:18" x14ac:dyDescent="0.25">
      <c r="A5154" s="9" t="s">
        <v>2352</v>
      </c>
      <c r="B5154" s="3" t="s">
        <v>2362</v>
      </c>
      <c r="C5154" s="10">
        <v>19</v>
      </c>
      <c r="D5154" s="10">
        <v>3</v>
      </c>
      <c r="E5154" s="10">
        <v>20</v>
      </c>
      <c r="F5154" t="s">
        <v>1721</v>
      </c>
      <c r="G5154" t="s">
        <v>889</v>
      </c>
      <c r="H5154" t="s">
        <v>39</v>
      </c>
      <c r="I5154" t="s">
        <v>27</v>
      </c>
      <c r="J5154">
        <v>66.63</v>
      </c>
      <c r="K5154" s="10">
        <v>0.4</v>
      </c>
      <c r="L5154">
        <v>66.63</v>
      </c>
      <c r="M5154">
        <v>26.6</v>
      </c>
      <c r="N5154" s="5">
        <v>1.359918200408998</v>
      </c>
      <c r="O5154" t="s">
        <v>100</v>
      </c>
      <c r="P5154" t="s">
        <v>340</v>
      </c>
      <c r="Q5154" s="10" t="s">
        <v>2468</v>
      </c>
    </row>
    <row r="5155" spans="1:18" x14ac:dyDescent="0.25">
      <c r="A5155" s="9" t="s">
        <v>2352</v>
      </c>
      <c r="B5155" s="3" t="s">
        <v>2362</v>
      </c>
      <c r="C5155" s="10">
        <v>19</v>
      </c>
      <c r="D5155" s="10">
        <v>3</v>
      </c>
      <c r="E5155" s="10">
        <v>20</v>
      </c>
      <c r="F5155" t="s">
        <v>1624</v>
      </c>
      <c r="G5155" t="s">
        <v>889</v>
      </c>
      <c r="H5155" t="s">
        <v>131</v>
      </c>
      <c r="I5155" t="s">
        <v>27</v>
      </c>
      <c r="J5155">
        <v>64</v>
      </c>
      <c r="K5155" s="10">
        <v>1</v>
      </c>
      <c r="L5155">
        <v>64</v>
      </c>
      <c r="M5155">
        <v>64</v>
      </c>
      <c r="N5155" s="5">
        <v>3.2719836400817996</v>
      </c>
      <c r="O5155" t="s">
        <v>100</v>
      </c>
      <c r="P5155" t="s">
        <v>340</v>
      </c>
      <c r="Q5155" s="10" t="s">
        <v>2468</v>
      </c>
    </row>
    <row r="5156" spans="1:18" x14ac:dyDescent="0.25">
      <c r="A5156" s="9" t="s">
        <v>2352</v>
      </c>
      <c r="B5156" s="3" t="s">
        <v>2362</v>
      </c>
      <c r="C5156" s="10">
        <v>19</v>
      </c>
      <c r="D5156" s="10">
        <v>3</v>
      </c>
      <c r="E5156" s="10">
        <v>20</v>
      </c>
      <c r="F5156" t="s">
        <v>146</v>
      </c>
      <c r="G5156" t="s">
        <v>889</v>
      </c>
      <c r="H5156" t="s">
        <v>49</v>
      </c>
      <c r="I5156" t="s">
        <v>50</v>
      </c>
      <c r="J5156">
        <v>3</v>
      </c>
      <c r="K5156" s="10">
        <v>2</v>
      </c>
      <c r="L5156">
        <v>3</v>
      </c>
      <c r="M5156">
        <v>6</v>
      </c>
      <c r="N5156" s="5">
        <v>0.30674846625766872</v>
      </c>
      <c r="O5156" t="s">
        <v>100</v>
      </c>
      <c r="P5156" t="s">
        <v>340</v>
      </c>
      <c r="Q5156" s="10" t="s">
        <v>2468</v>
      </c>
    </row>
    <row r="5157" spans="1:18" x14ac:dyDescent="0.25">
      <c r="A5157" s="9" t="s">
        <v>2352</v>
      </c>
      <c r="B5157" s="3" t="s">
        <v>2362</v>
      </c>
      <c r="C5157" s="10">
        <v>19</v>
      </c>
      <c r="D5157" s="10">
        <v>3</v>
      </c>
      <c r="E5157" s="10">
        <v>20</v>
      </c>
      <c r="F5157" t="s">
        <v>2359</v>
      </c>
      <c r="G5157" t="s">
        <v>889</v>
      </c>
      <c r="H5157" t="s">
        <v>59</v>
      </c>
      <c r="I5157" t="s">
        <v>27</v>
      </c>
      <c r="J5157">
        <v>28.6</v>
      </c>
      <c r="K5157" s="10">
        <v>2</v>
      </c>
      <c r="L5157">
        <v>28.6</v>
      </c>
      <c r="M5157">
        <v>57.2</v>
      </c>
      <c r="N5157" s="5">
        <v>2.9243353783231085</v>
      </c>
      <c r="O5157" t="s">
        <v>100</v>
      </c>
      <c r="P5157" t="s">
        <v>340</v>
      </c>
      <c r="Q5157" s="10" t="s">
        <v>2468</v>
      </c>
    </row>
    <row r="5158" spans="1:18" x14ac:dyDescent="0.25">
      <c r="A5158" s="9" t="s">
        <v>2352</v>
      </c>
      <c r="B5158" s="3" t="s">
        <v>2362</v>
      </c>
      <c r="C5158" s="10">
        <v>19</v>
      </c>
      <c r="D5158" s="10">
        <v>3</v>
      </c>
      <c r="E5158" s="10">
        <v>20</v>
      </c>
      <c r="F5158" t="s">
        <v>2360</v>
      </c>
      <c r="G5158" t="s">
        <v>889</v>
      </c>
      <c r="H5158" t="s">
        <v>59</v>
      </c>
      <c r="I5158" t="s">
        <v>27</v>
      </c>
      <c r="J5158">
        <v>38.700000000000003</v>
      </c>
      <c r="K5158" s="10">
        <v>1</v>
      </c>
      <c r="L5158">
        <v>38.700000000000003</v>
      </c>
      <c r="M5158">
        <v>38.700000000000003</v>
      </c>
      <c r="N5158" s="5">
        <v>1.9785276073619635</v>
      </c>
      <c r="O5158" t="s">
        <v>100</v>
      </c>
      <c r="P5158" t="s">
        <v>340</v>
      </c>
      <c r="Q5158" s="10" t="s">
        <v>2468</v>
      </c>
    </row>
    <row r="5159" spans="1:18" x14ac:dyDescent="0.25">
      <c r="A5159" s="9" t="s">
        <v>2352</v>
      </c>
      <c r="B5159" s="3" t="s">
        <v>2362</v>
      </c>
      <c r="C5159" s="10">
        <v>19</v>
      </c>
      <c r="D5159" s="10">
        <v>3</v>
      </c>
      <c r="E5159" s="10">
        <v>20</v>
      </c>
      <c r="F5159" t="s">
        <v>2361</v>
      </c>
      <c r="G5159" t="s">
        <v>889</v>
      </c>
      <c r="H5159" t="s">
        <v>59</v>
      </c>
      <c r="I5159" t="s">
        <v>27</v>
      </c>
      <c r="J5159">
        <v>41.6</v>
      </c>
      <c r="K5159" s="10">
        <v>1</v>
      </c>
      <c r="L5159">
        <v>41.6</v>
      </c>
      <c r="M5159">
        <v>41.6</v>
      </c>
      <c r="N5159" s="5">
        <v>2.12678936605317</v>
      </c>
      <c r="O5159" t="s">
        <v>100</v>
      </c>
      <c r="P5159" t="s">
        <v>340</v>
      </c>
      <c r="Q5159" s="10" t="s">
        <v>2468</v>
      </c>
    </row>
    <row r="5160" spans="1:18" x14ac:dyDescent="0.25">
      <c r="A5160" s="9" t="s">
        <v>2352</v>
      </c>
      <c r="B5160" s="3" t="s">
        <v>2362</v>
      </c>
      <c r="C5160" s="10">
        <v>19</v>
      </c>
      <c r="D5160" s="10">
        <v>3</v>
      </c>
      <c r="E5160" s="10">
        <v>20</v>
      </c>
      <c r="F5160" t="s">
        <v>2488</v>
      </c>
      <c r="G5160" t="s">
        <v>889</v>
      </c>
      <c r="H5160" t="s">
        <v>35</v>
      </c>
      <c r="I5160" t="s">
        <v>27</v>
      </c>
      <c r="J5160">
        <v>121.6</v>
      </c>
      <c r="K5160" s="10">
        <v>0.51800000000000002</v>
      </c>
      <c r="L5160">
        <v>121.6</v>
      </c>
      <c r="M5160">
        <v>62.988799999999998</v>
      </c>
      <c r="N5160" s="5">
        <v>3.2202862985685075</v>
      </c>
      <c r="O5160" t="s">
        <v>100</v>
      </c>
      <c r="P5160" t="s">
        <v>340</v>
      </c>
      <c r="Q5160" s="10" t="s">
        <v>2468</v>
      </c>
    </row>
    <row r="5161" spans="1:18" x14ac:dyDescent="0.25">
      <c r="A5161" s="9" t="s">
        <v>2352</v>
      </c>
      <c r="B5161" s="3" t="s">
        <v>2362</v>
      </c>
      <c r="C5161" s="10">
        <v>19</v>
      </c>
      <c r="D5161" s="10">
        <v>3</v>
      </c>
      <c r="E5161" s="10">
        <v>20</v>
      </c>
      <c r="F5161" t="s">
        <v>2295</v>
      </c>
      <c r="G5161" t="s">
        <v>889</v>
      </c>
      <c r="H5161" t="s">
        <v>35</v>
      </c>
      <c r="I5161" t="s">
        <v>27</v>
      </c>
      <c r="J5161">
        <v>152.6</v>
      </c>
      <c r="K5161" s="10">
        <v>0.5</v>
      </c>
      <c r="L5161">
        <v>152.6</v>
      </c>
      <c r="M5161">
        <v>76.3</v>
      </c>
      <c r="N5161" s="5">
        <v>3.9008179959100207</v>
      </c>
      <c r="O5161" t="s">
        <v>100</v>
      </c>
      <c r="P5161" t="s">
        <v>340</v>
      </c>
      <c r="Q5161" s="10" t="s">
        <v>2468</v>
      </c>
    </row>
    <row r="5162" spans="1:18" x14ac:dyDescent="0.25">
      <c r="A5162" s="9" t="s">
        <v>2352</v>
      </c>
      <c r="B5162" s="3" t="s">
        <v>2362</v>
      </c>
      <c r="C5162" s="10">
        <v>19</v>
      </c>
      <c r="D5162" s="10">
        <v>3</v>
      </c>
      <c r="E5162" s="10">
        <v>20</v>
      </c>
      <c r="F5162" t="s">
        <v>398</v>
      </c>
      <c r="G5162" t="s">
        <v>889</v>
      </c>
      <c r="H5162" t="s">
        <v>40</v>
      </c>
      <c r="I5162" t="s">
        <v>27</v>
      </c>
      <c r="J5162">
        <v>14.6</v>
      </c>
      <c r="K5162" s="10">
        <v>1</v>
      </c>
      <c r="L5162">
        <v>14.6</v>
      </c>
      <c r="M5162">
        <v>14.6</v>
      </c>
      <c r="N5162" s="5">
        <v>0.74642126789366059</v>
      </c>
      <c r="O5162" t="s">
        <v>100</v>
      </c>
      <c r="P5162" t="s">
        <v>340</v>
      </c>
      <c r="Q5162" s="10" t="s">
        <v>2468</v>
      </c>
    </row>
    <row r="5163" spans="1:18" hidden="1" x14ac:dyDescent="0.25">
      <c r="A5163" s="9" t="s">
        <v>2352</v>
      </c>
      <c r="B5163" s="3" t="s">
        <v>2418</v>
      </c>
      <c r="C5163" s="10">
        <v>2</v>
      </c>
      <c r="D5163" s="10">
        <v>3</v>
      </c>
      <c r="E5163" s="10">
        <v>20</v>
      </c>
      <c r="F5163" t="s">
        <v>802</v>
      </c>
      <c r="G5163" t="s">
        <v>708</v>
      </c>
      <c r="H5163" t="s">
        <v>1612</v>
      </c>
      <c r="I5163" t="s">
        <v>27</v>
      </c>
      <c r="J5163">
        <v>129.05000000000001</v>
      </c>
      <c r="K5163" s="10">
        <v>0.08</v>
      </c>
      <c r="L5163">
        <v>129.05000000000001</v>
      </c>
      <c r="M5163">
        <v>10.324000000000002</v>
      </c>
      <c r="N5163" s="5">
        <v>0.52781186094069543</v>
      </c>
      <c r="O5163" t="s">
        <v>88</v>
      </c>
      <c r="P5163" t="s">
        <v>340</v>
      </c>
      <c r="Q5163" s="10" t="s">
        <v>24</v>
      </c>
    </row>
    <row r="5164" spans="1:18" hidden="1" x14ac:dyDescent="0.25">
      <c r="A5164" s="9" t="s">
        <v>2352</v>
      </c>
      <c r="B5164" s="3" t="s">
        <v>2418</v>
      </c>
      <c r="C5164" s="10">
        <v>2</v>
      </c>
      <c r="D5164" s="10">
        <v>3</v>
      </c>
      <c r="E5164" s="10">
        <v>20</v>
      </c>
      <c r="F5164" t="s">
        <v>1376</v>
      </c>
      <c r="G5164" t="s">
        <v>889</v>
      </c>
      <c r="H5164" t="s">
        <v>131</v>
      </c>
      <c r="I5164" t="s">
        <v>27</v>
      </c>
      <c r="J5164">
        <v>144.19999999999999</v>
      </c>
      <c r="K5164" s="10">
        <v>0.08</v>
      </c>
      <c r="L5164">
        <v>144.19999999999999</v>
      </c>
      <c r="M5164">
        <v>11.536</v>
      </c>
      <c r="N5164" s="5">
        <v>0.58977505112474438</v>
      </c>
      <c r="O5164" t="s">
        <v>88</v>
      </c>
      <c r="P5164" t="s">
        <v>340</v>
      </c>
      <c r="Q5164" s="10" t="s">
        <v>24</v>
      </c>
    </row>
    <row r="5165" spans="1:18" hidden="1" x14ac:dyDescent="0.25">
      <c r="A5165" s="9" t="s">
        <v>2352</v>
      </c>
      <c r="B5165" s="3" t="s">
        <v>2418</v>
      </c>
      <c r="C5165" s="10">
        <v>2</v>
      </c>
      <c r="D5165" s="10">
        <v>3</v>
      </c>
      <c r="E5165" s="10">
        <v>20</v>
      </c>
      <c r="F5165" t="s">
        <v>1846</v>
      </c>
      <c r="G5165" t="s">
        <v>889</v>
      </c>
      <c r="H5165" t="s">
        <v>102</v>
      </c>
      <c r="I5165" t="s">
        <v>27</v>
      </c>
      <c r="J5165">
        <v>48</v>
      </c>
      <c r="K5165" s="10">
        <v>1</v>
      </c>
      <c r="L5165">
        <v>48</v>
      </c>
      <c r="M5165">
        <v>48</v>
      </c>
      <c r="N5165" s="5">
        <v>2.4539877300613497</v>
      </c>
      <c r="O5165" t="s">
        <v>88</v>
      </c>
      <c r="P5165" t="s">
        <v>340</v>
      </c>
      <c r="Q5165" s="10" t="s">
        <v>24</v>
      </c>
    </row>
    <row r="5166" spans="1:18" hidden="1" x14ac:dyDescent="0.25">
      <c r="A5166" s="9" t="s">
        <v>2352</v>
      </c>
      <c r="B5166" s="3" t="s">
        <v>2418</v>
      </c>
      <c r="C5166" s="10">
        <v>2</v>
      </c>
      <c r="D5166" s="10">
        <v>3</v>
      </c>
      <c r="E5166" s="10">
        <v>20</v>
      </c>
      <c r="F5166" t="s">
        <v>41</v>
      </c>
      <c r="G5166" t="s">
        <v>889</v>
      </c>
      <c r="H5166" t="s">
        <v>39</v>
      </c>
      <c r="I5166" t="s">
        <v>27</v>
      </c>
      <c r="J5166">
        <v>615</v>
      </c>
      <c r="K5166" s="10">
        <v>1</v>
      </c>
      <c r="L5166">
        <v>615</v>
      </c>
      <c r="M5166">
        <v>615</v>
      </c>
      <c r="N5166" s="5">
        <v>31.441717791411044</v>
      </c>
      <c r="O5166" t="s">
        <v>42</v>
      </c>
      <c r="P5166" t="s">
        <v>340</v>
      </c>
      <c r="Q5166" s="10" t="s">
        <v>24</v>
      </c>
      <c r="R5166" t="s">
        <v>2411</v>
      </c>
    </row>
    <row r="5167" spans="1:18" x14ac:dyDescent="0.25">
      <c r="A5167" s="9" t="s">
        <v>2352</v>
      </c>
      <c r="B5167" s="3" t="s">
        <v>2368</v>
      </c>
      <c r="C5167" s="10">
        <v>20</v>
      </c>
      <c r="D5167" s="10">
        <v>3</v>
      </c>
      <c r="E5167" s="10">
        <v>20</v>
      </c>
      <c r="F5167" t="s">
        <v>203</v>
      </c>
      <c r="G5167" t="s">
        <v>889</v>
      </c>
      <c r="H5167" t="s">
        <v>54</v>
      </c>
      <c r="I5167" t="s">
        <v>27</v>
      </c>
      <c r="J5167">
        <v>12</v>
      </c>
      <c r="K5167" s="10">
        <v>1.6479999999999999</v>
      </c>
      <c r="L5167">
        <v>12</v>
      </c>
      <c r="M5167">
        <v>19.776</v>
      </c>
      <c r="N5167" s="5">
        <v>1.0110429447852762</v>
      </c>
      <c r="O5167" t="s">
        <v>101</v>
      </c>
      <c r="P5167" t="s">
        <v>340</v>
      </c>
      <c r="Q5167" s="10" t="s">
        <v>2468</v>
      </c>
    </row>
    <row r="5168" spans="1:18" x14ac:dyDescent="0.25">
      <c r="A5168" s="9" t="s">
        <v>2352</v>
      </c>
      <c r="B5168" s="3" t="s">
        <v>2368</v>
      </c>
      <c r="C5168" s="10">
        <v>20</v>
      </c>
      <c r="D5168" s="10">
        <v>3</v>
      </c>
      <c r="E5168" s="10">
        <v>20</v>
      </c>
      <c r="F5168" t="s">
        <v>125</v>
      </c>
      <c r="G5168" t="s">
        <v>889</v>
      </c>
      <c r="H5168" t="s">
        <v>54</v>
      </c>
      <c r="I5168" t="s">
        <v>27</v>
      </c>
      <c r="J5168">
        <v>7.5</v>
      </c>
      <c r="K5168" s="10">
        <v>0.748</v>
      </c>
      <c r="L5168">
        <v>7.5</v>
      </c>
      <c r="M5168">
        <v>5.61</v>
      </c>
      <c r="N5168" s="5">
        <v>0.28680981595092025</v>
      </c>
      <c r="O5168" t="s">
        <v>101</v>
      </c>
      <c r="P5168" t="s">
        <v>340</v>
      </c>
      <c r="Q5168" s="10" t="s">
        <v>2468</v>
      </c>
    </row>
    <row r="5169" spans="1:17" x14ac:dyDescent="0.25">
      <c r="A5169" s="9" t="s">
        <v>2352</v>
      </c>
      <c r="B5169" s="3" t="s">
        <v>2368</v>
      </c>
      <c r="C5169" s="10">
        <v>20</v>
      </c>
      <c r="D5169" s="10">
        <v>3</v>
      </c>
      <c r="E5169" s="10">
        <v>20</v>
      </c>
      <c r="F5169" t="s">
        <v>744</v>
      </c>
      <c r="G5169" t="s">
        <v>889</v>
      </c>
      <c r="H5169" t="s">
        <v>54</v>
      </c>
      <c r="I5169" t="s">
        <v>27</v>
      </c>
      <c r="J5169">
        <v>11</v>
      </c>
      <c r="K5169" s="10">
        <v>0.86</v>
      </c>
      <c r="L5169">
        <v>11</v>
      </c>
      <c r="M5169">
        <v>9.4599999999999991</v>
      </c>
      <c r="N5169" s="5">
        <v>0.483640081799591</v>
      </c>
      <c r="O5169" t="s">
        <v>101</v>
      </c>
      <c r="P5169" t="s">
        <v>340</v>
      </c>
      <c r="Q5169" s="10" t="s">
        <v>2468</v>
      </c>
    </row>
    <row r="5170" spans="1:17" x14ac:dyDescent="0.25">
      <c r="A5170" s="9" t="s">
        <v>2352</v>
      </c>
      <c r="B5170" s="3" t="s">
        <v>2368</v>
      </c>
      <c r="C5170" s="10">
        <v>20</v>
      </c>
      <c r="D5170" s="10">
        <v>3</v>
      </c>
      <c r="E5170" s="10">
        <v>20</v>
      </c>
      <c r="F5170" t="s">
        <v>174</v>
      </c>
      <c r="G5170" t="s">
        <v>889</v>
      </c>
      <c r="H5170" t="s">
        <v>54</v>
      </c>
      <c r="I5170" t="s">
        <v>27</v>
      </c>
      <c r="J5170">
        <v>15</v>
      </c>
      <c r="K5170" s="10">
        <v>0.78800000000000003</v>
      </c>
      <c r="L5170">
        <v>15</v>
      </c>
      <c r="M5170">
        <v>11.82</v>
      </c>
      <c r="N5170" s="5">
        <v>0.60429447852760743</v>
      </c>
      <c r="O5170" t="s">
        <v>101</v>
      </c>
      <c r="P5170" t="s">
        <v>340</v>
      </c>
      <c r="Q5170" s="10" t="s">
        <v>2468</v>
      </c>
    </row>
    <row r="5171" spans="1:17" x14ac:dyDescent="0.25">
      <c r="A5171" s="9" t="s">
        <v>2352</v>
      </c>
      <c r="B5171" s="3" t="s">
        <v>2368</v>
      </c>
      <c r="C5171" s="10">
        <v>20</v>
      </c>
      <c r="D5171" s="10">
        <v>3</v>
      </c>
      <c r="E5171" s="10">
        <v>20</v>
      </c>
      <c r="F5171" t="s">
        <v>2367</v>
      </c>
      <c r="G5171" t="s">
        <v>889</v>
      </c>
      <c r="H5171" t="s">
        <v>49</v>
      </c>
      <c r="I5171" t="s">
        <v>50</v>
      </c>
      <c r="J5171">
        <v>22</v>
      </c>
      <c r="K5171" s="10">
        <v>1</v>
      </c>
      <c r="L5171">
        <v>22</v>
      </c>
      <c r="M5171">
        <v>22</v>
      </c>
      <c r="N5171" s="5">
        <v>1.1247443762781186</v>
      </c>
      <c r="O5171" t="s">
        <v>101</v>
      </c>
      <c r="P5171" t="s">
        <v>340</v>
      </c>
      <c r="Q5171" s="10" t="s">
        <v>2468</v>
      </c>
    </row>
    <row r="5172" spans="1:17" x14ac:dyDescent="0.25">
      <c r="A5172" s="9" t="s">
        <v>2352</v>
      </c>
      <c r="B5172" s="3" t="s">
        <v>2368</v>
      </c>
      <c r="C5172" s="10">
        <v>20</v>
      </c>
      <c r="D5172" s="10">
        <v>3</v>
      </c>
      <c r="E5172" s="10">
        <v>20</v>
      </c>
      <c r="F5172" t="s">
        <v>770</v>
      </c>
      <c r="G5172" t="s">
        <v>31</v>
      </c>
      <c r="H5172" t="s">
        <v>26</v>
      </c>
      <c r="I5172" t="s">
        <v>27</v>
      </c>
      <c r="J5172">
        <v>8.1999999999999993</v>
      </c>
      <c r="K5172" s="10">
        <v>1</v>
      </c>
      <c r="L5172">
        <v>8.1999999999999993</v>
      </c>
      <c r="M5172">
        <v>8.1999999999999993</v>
      </c>
      <c r="N5172" s="5">
        <v>0.41922290388548056</v>
      </c>
      <c r="O5172" t="s">
        <v>101</v>
      </c>
      <c r="P5172" t="s">
        <v>340</v>
      </c>
      <c r="Q5172" s="10" t="s">
        <v>2468</v>
      </c>
    </row>
    <row r="5173" spans="1:17" x14ac:dyDescent="0.25">
      <c r="A5173" s="9" t="s">
        <v>2352</v>
      </c>
      <c r="B5173" s="3" t="s">
        <v>2368</v>
      </c>
      <c r="C5173" s="10">
        <v>20</v>
      </c>
      <c r="D5173" s="10">
        <v>3</v>
      </c>
      <c r="E5173" s="10">
        <v>20</v>
      </c>
      <c r="F5173" t="s">
        <v>1793</v>
      </c>
      <c r="G5173" t="s">
        <v>889</v>
      </c>
      <c r="H5173" t="s">
        <v>65</v>
      </c>
      <c r="I5173" t="s">
        <v>27</v>
      </c>
      <c r="J5173">
        <v>25.5</v>
      </c>
      <c r="K5173" s="10">
        <v>2</v>
      </c>
      <c r="L5173">
        <v>25.5</v>
      </c>
      <c r="M5173">
        <v>51</v>
      </c>
      <c r="N5173" s="5">
        <v>2.6073619631901841</v>
      </c>
      <c r="O5173" t="s">
        <v>101</v>
      </c>
      <c r="P5173" t="s">
        <v>340</v>
      </c>
      <c r="Q5173" s="10" t="s">
        <v>2468</v>
      </c>
    </row>
    <row r="5174" spans="1:17" x14ac:dyDescent="0.25">
      <c r="A5174" s="9" t="s">
        <v>2352</v>
      </c>
      <c r="B5174" s="3" t="s">
        <v>2368</v>
      </c>
      <c r="C5174" s="10">
        <v>20</v>
      </c>
      <c r="D5174" s="10">
        <v>3</v>
      </c>
      <c r="E5174" s="10">
        <v>20</v>
      </c>
      <c r="F5174" t="s">
        <v>2366</v>
      </c>
      <c r="G5174" t="s">
        <v>889</v>
      </c>
      <c r="H5174" t="s">
        <v>65</v>
      </c>
      <c r="I5174" t="s">
        <v>27</v>
      </c>
      <c r="J5174">
        <v>25.5</v>
      </c>
      <c r="K5174" s="10">
        <v>2</v>
      </c>
      <c r="L5174">
        <v>25.5</v>
      </c>
      <c r="M5174">
        <v>51</v>
      </c>
      <c r="N5174" s="5">
        <v>2.6073619631901841</v>
      </c>
      <c r="O5174" t="s">
        <v>101</v>
      </c>
      <c r="P5174" t="s">
        <v>340</v>
      </c>
      <c r="Q5174" s="10" t="s">
        <v>2468</v>
      </c>
    </row>
    <row r="5175" spans="1:17" x14ac:dyDescent="0.25">
      <c r="A5175" s="9" t="s">
        <v>2352</v>
      </c>
      <c r="B5175" s="3" t="s">
        <v>2368</v>
      </c>
      <c r="C5175" s="10">
        <v>20</v>
      </c>
      <c r="D5175" s="10">
        <v>3</v>
      </c>
      <c r="E5175" s="10">
        <v>20</v>
      </c>
      <c r="F5175" t="s">
        <v>2363</v>
      </c>
      <c r="G5175" t="s">
        <v>889</v>
      </c>
      <c r="H5175" t="s">
        <v>65</v>
      </c>
      <c r="I5175" t="s">
        <v>27</v>
      </c>
      <c r="J5175">
        <v>22</v>
      </c>
      <c r="K5175" s="10">
        <v>1</v>
      </c>
      <c r="L5175">
        <v>22</v>
      </c>
      <c r="M5175">
        <v>22</v>
      </c>
      <c r="N5175" s="5">
        <v>1.1247443762781186</v>
      </c>
      <c r="O5175" t="s">
        <v>101</v>
      </c>
      <c r="P5175" t="s">
        <v>340</v>
      </c>
      <c r="Q5175" s="10" t="s">
        <v>2468</v>
      </c>
    </row>
    <row r="5176" spans="1:17" x14ac:dyDescent="0.25">
      <c r="A5176" s="9" t="s">
        <v>2352</v>
      </c>
      <c r="B5176" s="3" t="s">
        <v>2368</v>
      </c>
      <c r="C5176" s="10">
        <v>20</v>
      </c>
      <c r="D5176" s="10">
        <v>3</v>
      </c>
      <c r="E5176" s="10">
        <v>20</v>
      </c>
      <c r="F5176" t="s">
        <v>2364</v>
      </c>
      <c r="G5176" t="s">
        <v>889</v>
      </c>
      <c r="H5176" t="s">
        <v>65</v>
      </c>
      <c r="I5176" t="s">
        <v>27</v>
      </c>
      <c r="J5176">
        <v>8</v>
      </c>
      <c r="K5176" s="10">
        <v>1</v>
      </c>
      <c r="L5176">
        <v>8</v>
      </c>
      <c r="M5176">
        <v>8</v>
      </c>
      <c r="N5176" s="5">
        <v>0.40899795501022496</v>
      </c>
      <c r="O5176" t="s">
        <v>101</v>
      </c>
      <c r="P5176" t="s">
        <v>340</v>
      </c>
      <c r="Q5176" s="10" t="s">
        <v>2468</v>
      </c>
    </row>
    <row r="5177" spans="1:17" x14ac:dyDescent="0.25">
      <c r="A5177" s="9" t="s">
        <v>2352</v>
      </c>
      <c r="B5177" s="3" t="s">
        <v>2368</v>
      </c>
      <c r="C5177" s="10">
        <v>20</v>
      </c>
      <c r="D5177" s="10">
        <v>3</v>
      </c>
      <c r="E5177" s="10">
        <v>20</v>
      </c>
      <c r="F5177" t="s">
        <v>2365</v>
      </c>
      <c r="G5177" t="s">
        <v>889</v>
      </c>
      <c r="H5177" t="s">
        <v>65</v>
      </c>
      <c r="I5177" t="s">
        <v>27</v>
      </c>
      <c r="J5177">
        <v>15.75</v>
      </c>
      <c r="K5177" s="10">
        <v>1</v>
      </c>
      <c r="L5177">
        <v>15.75</v>
      </c>
      <c r="M5177">
        <v>15.75</v>
      </c>
      <c r="N5177" s="5">
        <v>0.80521472392638038</v>
      </c>
      <c r="O5177" t="s">
        <v>101</v>
      </c>
      <c r="P5177" t="s">
        <v>340</v>
      </c>
      <c r="Q5177" s="10" t="s">
        <v>2468</v>
      </c>
    </row>
    <row r="5178" spans="1:17" x14ac:dyDescent="0.25">
      <c r="A5178" s="9" t="s">
        <v>2352</v>
      </c>
      <c r="B5178" s="3" t="s">
        <v>2368</v>
      </c>
      <c r="C5178" s="10">
        <v>20</v>
      </c>
      <c r="D5178" s="10">
        <v>3</v>
      </c>
      <c r="E5178" s="10">
        <v>20</v>
      </c>
      <c r="F5178" t="s">
        <v>166</v>
      </c>
      <c r="G5178" t="s">
        <v>77</v>
      </c>
      <c r="H5178" t="s">
        <v>26</v>
      </c>
      <c r="I5178" t="s">
        <v>27</v>
      </c>
      <c r="J5178">
        <v>21</v>
      </c>
      <c r="K5178" s="10">
        <v>1</v>
      </c>
      <c r="L5178">
        <v>21</v>
      </c>
      <c r="M5178">
        <v>21</v>
      </c>
      <c r="N5178" s="5">
        <v>1.0736196319018405</v>
      </c>
      <c r="O5178" t="s">
        <v>101</v>
      </c>
      <c r="P5178" t="s">
        <v>340</v>
      </c>
      <c r="Q5178" s="10" t="s">
        <v>2468</v>
      </c>
    </row>
    <row r="5179" spans="1:17" hidden="1" x14ac:dyDescent="0.25">
      <c r="A5179" s="9" t="s">
        <v>2352</v>
      </c>
      <c r="B5179" s="3" t="s">
        <v>2373</v>
      </c>
      <c r="C5179" s="10">
        <v>4</v>
      </c>
      <c r="D5179" s="10">
        <v>3</v>
      </c>
      <c r="E5179" s="10">
        <v>20</v>
      </c>
      <c r="F5179" t="s">
        <v>2371</v>
      </c>
      <c r="G5179" t="s">
        <v>889</v>
      </c>
      <c r="H5179" t="s">
        <v>44</v>
      </c>
      <c r="I5179" t="s">
        <v>27</v>
      </c>
      <c r="J5179">
        <v>35.28</v>
      </c>
      <c r="K5179" s="10">
        <v>1</v>
      </c>
      <c r="L5179">
        <v>35.28</v>
      </c>
      <c r="M5179">
        <v>35.28</v>
      </c>
      <c r="N5179" s="5">
        <v>1.8036809815950923</v>
      </c>
      <c r="O5179" t="s">
        <v>90</v>
      </c>
      <c r="P5179" t="s">
        <v>340</v>
      </c>
      <c r="Q5179" s="10" t="s">
        <v>24</v>
      </c>
    </row>
    <row r="5180" spans="1:17" hidden="1" x14ac:dyDescent="0.25">
      <c r="A5180" s="9" t="s">
        <v>2352</v>
      </c>
      <c r="B5180" s="3" t="s">
        <v>2373</v>
      </c>
      <c r="C5180" s="10">
        <v>4</v>
      </c>
      <c r="D5180" s="10">
        <v>3</v>
      </c>
      <c r="E5180" s="10">
        <v>20</v>
      </c>
      <c r="F5180" t="s">
        <v>1466</v>
      </c>
      <c r="G5180" t="s">
        <v>31</v>
      </c>
      <c r="H5180" t="s">
        <v>26</v>
      </c>
      <c r="I5180" t="s">
        <v>27</v>
      </c>
      <c r="J5180">
        <v>33.909999999999997</v>
      </c>
      <c r="K5180" s="10">
        <v>2</v>
      </c>
      <c r="L5180">
        <v>33.909999999999997</v>
      </c>
      <c r="M5180">
        <v>67.819999999999993</v>
      </c>
      <c r="N5180" s="5">
        <v>3.4672801635991819</v>
      </c>
      <c r="O5180" t="s">
        <v>90</v>
      </c>
      <c r="P5180" t="s">
        <v>340</v>
      </c>
      <c r="Q5180" s="10" t="s">
        <v>24</v>
      </c>
    </row>
    <row r="5181" spans="1:17" hidden="1" x14ac:dyDescent="0.25">
      <c r="A5181" s="9" t="s">
        <v>2352</v>
      </c>
      <c r="B5181" s="3" t="s">
        <v>2373</v>
      </c>
      <c r="C5181" s="10">
        <v>4</v>
      </c>
      <c r="D5181" s="10">
        <v>3</v>
      </c>
      <c r="E5181" s="10">
        <v>20</v>
      </c>
      <c r="F5181" t="s">
        <v>2372</v>
      </c>
      <c r="G5181" t="s">
        <v>889</v>
      </c>
      <c r="H5181" t="s">
        <v>63</v>
      </c>
      <c r="I5181" t="s">
        <v>27</v>
      </c>
      <c r="J5181">
        <v>28.71</v>
      </c>
      <c r="K5181" s="10">
        <v>1</v>
      </c>
      <c r="L5181">
        <v>28.71</v>
      </c>
      <c r="M5181">
        <v>28.71</v>
      </c>
      <c r="N5181" s="5">
        <v>1.4677914110429449</v>
      </c>
      <c r="O5181" t="s">
        <v>90</v>
      </c>
      <c r="P5181" t="s">
        <v>340</v>
      </c>
      <c r="Q5181" s="10" t="s">
        <v>24</v>
      </c>
    </row>
    <row r="5182" spans="1:17" hidden="1" x14ac:dyDescent="0.25">
      <c r="A5182" s="9" t="s">
        <v>2352</v>
      </c>
      <c r="B5182" s="3" t="s">
        <v>2373</v>
      </c>
      <c r="C5182" s="10">
        <v>4</v>
      </c>
      <c r="D5182" s="10">
        <v>3</v>
      </c>
      <c r="E5182" s="10">
        <v>20</v>
      </c>
      <c r="F5182" t="s">
        <v>1378</v>
      </c>
      <c r="G5182" t="s">
        <v>889</v>
      </c>
      <c r="H5182" t="s">
        <v>40</v>
      </c>
      <c r="I5182" t="s">
        <v>27</v>
      </c>
      <c r="J5182">
        <v>18.329999999999998</v>
      </c>
      <c r="K5182" s="10">
        <v>1</v>
      </c>
      <c r="L5182">
        <v>18.329999999999998</v>
      </c>
      <c r="M5182">
        <v>18.329999999999998</v>
      </c>
      <c r="N5182" s="5">
        <v>0.93711656441717783</v>
      </c>
      <c r="O5182" t="s">
        <v>90</v>
      </c>
      <c r="P5182" t="s">
        <v>340</v>
      </c>
      <c r="Q5182" s="10" t="s">
        <v>24</v>
      </c>
    </row>
    <row r="5183" spans="1:17" hidden="1" x14ac:dyDescent="0.25">
      <c r="A5183" s="9" t="s">
        <v>2352</v>
      </c>
      <c r="B5183" s="3" t="s">
        <v>2373</v>
      </c>
      <c r="C5183" s="10">
        <v>4</v>
      </c>
      <c r="D5183" s="10">
        <v>3</v>
      </c>
      <c r="E5183" s="10">
        <v>20</v>
      </c>
      <c r="F5183" t="s">
        <v>1645</v>
      </c>
      <c r="G5183" t="s">
        <v>889</v>
      </c>
      <c r="H5183" t="s">
        <v>425</v>
      </c>
      <c r="I5183" t="s">
        <v>27</v>
      </c>
      <c r="J5183">
        <v>21.17</v>
      </c>
      <c r="K5183" s="10">
        <v>2</v>
      </c>
      <c r="L5183">
        <v>21.17</v>
      </c>
      <c r="M5183">
        <v>42.34</v>
      </c>
      <c r="N5183" s="5">
        <v>2.164621676891616</v>
      </c>
      <c r="O5183" t="s">
        <v>90</v>
      </c>
      <c r="P5183" t="s">
        <v>340</v>
      </c>
      <c r="Q5183" s="10" t="s">
        <v>24</v>
      </c>
    </row>
    <row r="5184" spans="1:17" hidden="1" x14ac:dyDescent="0.25">
      <c r="A5184" s="9" t="s">
        <v>2352</v>
      </c>
      <c r="B5184" s="3" t="s">
        <v>2373</v>
      </c>
      <c r="C5184" s="10">
        <v>4</v>
      </c>
      <c r="D5184" s="10">
        <v>3</v>
      </c>
      <c r="E5184" s="10">
        <v>20</v>
      </c>
      <c r="F5184" t="s">
        <v>146</v>
      </c>
      <c r="G5184" t="s">
        <v>889</v>
      </c>
      <c r="H5184" t="s">
        <v>49</v>
      </c>
      <c r="I5184" t="s">
        <v>50</v>
      </c>
      <c r="J5184">
        <v>1.85</v>
      </c>
      <c r="K5184" s="10">
        <v>1</v>
      </c>
      <c r="L5184">
        <v>1.85</v>
      </c>
      <c r="M5184">
        <v>1.85</v>
      </c>
      <c r="N5184" s="5">
        <v>9.4580777096114524E-2</v>
      </c>
      <c r="O5184" t="s">
        <v>90</v>
      </c>
      <c r="P5184" t="s">
        <v>340</v>
      </c>
      <c r="Q5184" s="10" t="s">
        <v>24</v>
      </c>
    </row>
    <row r="5185" spans="1:18" hidden="1" x14ac:dyDescent="0.25">
      <c r="A5185" s="9" t="s">
        <v>2352</v>
      </c>
      <c r="B5185" s="3" t="s">
        <v>2355</v>
      </c>
      <c r="C5185" s="10">
        <v>5</v>
      </c>
      <c r="D5185" s="10">
        <v>3</v>
      </c>
      <c r="E5185" s="10">
        <v>20</v>
      </c>
      <c r="F5185" t="s">
        <v>1363</v>
      </c>
      <c r="G5185" t="s">
        <v>889</v>
      </c>
      <c r="H5185" t="s">
        <v>35</v>
      </c>
      <c r="I5185" t="s">
        <v>27</v>
      </c>
      <c r="J5185">
        <v>116.7</v>
      </c>
      <c r="K5185" s="10">
        <v>0.91</v>
      </c>
      <c r="L5185">
        <v>116.7</v>
      </c>
      <c r="M5185">
        <v>106.197</v>
      </c>
      <c r="N5185" s="5">
        <v>5.4292944785276083</v>
      </c>
      <c r="O5185" t="s">
        <v>100</v>
      </c>
      <c r="P5185" t="s">
        <v>340</v>
      </c>
      <c r="Q5185" s="10" t="s">
        <v>24</v>
      </c>
    </row>
    <row r="5186" spans="1:18" hidden="1" x14ac:dyDescent="0.25">
      <c r="A5186" s="9" t="s">
        <v>2352</v>
      </c>
      <c r="B5186" s="3" t="s">
        <v>2355</v>
      </c>
      <c r="C5186" s="10">
        <v>5</v>
      </c>
      <c r="D5186" s="10">
        <v>3</v>
      </c>
      <c r="E5186" s="10">
        <v>20</v>
      </c>
      <c r="F5186" t="s">
        <v>1036</v>
      </c>
      <c r="G5186" t="s">
        <v>889</v>
      </c>
      <c r="H5186" t="s">
        <v>38</v>
      </c>
      <c r="I5186" t="s">
        <v>27</v>
      </c>
      <c r="J5186">
        <v>126</v>
      </c>
      <c r="K5186" s="10">
        <v>0.248</v>
      </c>
      <c r="L5186">
        <v>126</v>
      </c>
      <c r="M5186">
        <v>31.248000000000001</v>
      </c>
      <c r="N5186" s="5">
        <v>1.5975460122699388</v>
      </c>
      <c r="O5186" t="s">
        <v>100</v>
      </c>
      <c r="P5186" t="s">
        <v>340</v>
      </c>
      <c r="Q5186" s="10" t="s">
        <v>24</v>
      </c>
    </row>
    <row r="5187" spans="1:18" hidden="1" x14ac:dyDescent="0.25">
      <c r="A5187" s="9" t="s">
        <v>2352</v>
      </c>
      <c r="B5187" s="3" t="s">
        <v>2355</v>
      </c>
      <c r="C5187" s="10">
        <v>5</v>
      </c>
      <c r="D5187" s="10">
        <v>3</v>
      </c>
      <c r="E5187" s="10">
        <v>20</v>
      </c>
      <c r="F5187" t="s">
        <v>1205</v>
      </c>
      <c r="G5187" t="s">
        <v>889</v>
      </c>
      <c r="H5187" t="s">
        <v>54</v>
      </c>
      <c r="I5187" t="s">
        <v>27</v>
      </c>
      <c r="J5187">
        <v>26.9</v>
      </c>
      <c r="K5187" s="10">
        <v>1</v>
      </c>
      <c r="L5187">
        <v>26.9</v>
      </c>
      <c r="M5187">
        <v>26.9</v>
      </c>
      <c r="N5187" s="5">
        <v>1.3752556237218814</v>
      </c>
      <c r="O5187" t="s">
        <v>100</v>
      </c>
      <c r="P5187" t="s">
        <v>340</v>
      </c>
      <c r="Q5187" s="10" t="s">
        <v>24</v>
      </c>
    </row>
    <row r="5188" spans="1:18" hidden="1" x14ac:dyDescent="0.25">
      <c r="A5188" s="9" t="s">
        <v>2352</v>
      </c>
      <c r="B5188" s="3" t="s">
        <v>2355</v>
      </c>
      <c r="C5188" s="10">
        <v>5</v>
      </c>
      <c r="D5188" s="10">
        <v>3</v>
      </c>
      <c r="E5188" s="10">
        <v>20</v>
      </c>
      <c r="F5188" t="s">
        <v>60</v>
      </c>
      <c r="G5188" t="s">
        <v>31</v>
      </c>
      <c r="H5188" t="s">
        <v>26</v>
      </c>
      <c r="I5188" t="s">
        <v>27</v>
      </c>
      <c r="J5188">
        <v>8.6</v>
      </c>
      <c r="K5188" s="10">
        <v>1</v>
      </c>
      <c r="L5188">
        <v>8.6</v>
      </c>
      <c r="M5188">
        <v>8.6</v>
      </c>
      <c r="N5188" s="5">
        <v>0.43967280163599182</v>
      </c>
      <c r="O5188" t="s">
        <v>100</v>
      </c>
      <c r="P5188" t="s">
        <v>340</v>
      </c>
      <c r="Q5188" s="10" t="s">
        <v>24</v>
      </c>
    </row>
    <row r="5189" spans="1:18" hidden="1" x14ac:dyDescent="0.25">
      <c r="A5189" s="9" t="s">
        <v>2352</v>
      </c>
      <c r="B5189" s="3" t="s">
        <v>2355</v>
      </c>
      <c r="C5189" s="10">
        <v>5</v>
      </c>
      <c r="D5189" s="10">
        <v>3</v>
      </c>
      <c r="E5189" s="10">
        <v>20</v>
      </c>
      <c r="F5189" t="s">
        <v>1721</v>
      </c>
      <c r="G5189" t="s">
        <v>889</v>
      </c>
      <c r="H5189" t="s">
        <v>39</v>
      </c>
      <c r="I5189" t="s">
        <v>27</v>
      </c>
      <c r="J5189">
        <v>66.63</v>
      </c>
      <c r="K5189" s="10">
        <v>0.4</v>
      </c>
      <c r="L5189">
        <v>66.63</v>
      </c>
      <c r="M5189">
        <v>26.652000000000001</v>
      </c>
      <c r="N5189" s="5">
        <v>1.3625766871165645</v>
      </c>
      <c r="O5189" t="s">
        <v>100</v>
      </c>
      <c r="P5189" t="s">
        <v>340</v>
      </c>
      <c r="Q5189" s="10" t="s">
        <v>24</v>
      </c>
    </row>
    <row r="5190" spans="1:18" hidden="1" x14ac:dyDescent="0.25">
      <c r="A5190" s="9" t="s">
        <v>2352</v>
      </c>
      <c r="B5190" s="3" t="s">
        <v>2355</v>
      </c>
      <c r="C5190" s="10">
        <v>5</v>
      </c>
      <c r="D5190" s="10">
        <v>3</v>
      </c>
      <c r="E5190" s="10">
        <v>20</v>
      </c>
      <c r="F5190" t="s">
        <v>1172</v>
      </c>
      <c r="G5190" t="s">
        <v>889</v>
      </c>
      <c r="H5190" t="s">
        <v>39</v>
      </c>
      <c r="I5190" t="s">
        <v>27</v>
      </c>
      <c r="J5190">
        <v>11</v>
      </c>
      <c r="K5190" s="10">
        <v>1</v>
      </c>
      <c r="L5190">
        <v>11</v>
      </c>
      <c r="M5190">
        <v>11</v>
      </c>
      <c r="N5190" s="5">
        <v>0.56237218813905931</v>
      </c>
      <c r="O5190" t="s">
        <v>100</v>
      </c>
      <c r="P5190" t="s">
        <v>340</v>
      </c>
      <c r="Q5190" s="10" t="s">
        <v>24</v>
      </c>
    </row>
    <row r="5191" spans="1:18" hidden="1" x14ac:dyDescent="0.25">
      <c r="A5191" s="9" t="s">
        <v>2352</v>
      </c>
      <c r="B5191" s="3" t="s">
        <v>2355</v>
      </c>
      <c r="C5191" s="10">
        <v>5</v>
      </c>
      <c r="D5191" s="10">
        <v>3</v>
      </c>
      <c r="E5191" s="10">
        <v>20</v>
      </c>
      <c r="F5191" t="s">
        <v>974</v>
      </c>
      <c r="G5191" t="s">
        <v>25</v>
      </c>
      <c r="H5191" t="s">
        <v>26</v>
      </c>
      <c r="I5191" t="s">
        <v>27</v>
      </c>
      <c r="J5191">
        <v>211.6</v>
      </c>
      <c r="K5191" s="10">
        <v>0.41399999999999998</v>
      </c>
      <c r="L5191">
        <v>211.6</v>
      </c>
      <c r="M5191">
        <v>87.602399999999989</v>
      </c>
      <c r="N5191" s="5">
        <v>4.4786503067484658</v>
      </c>
      <c r="O5191" t="s">
        <v>100</v>
      </c>
      <c r="P5191" t="s">
        <v>340</v>
      </c>
      <c r="Q5191" s="10" t="s">
        <v>24</v>
      </c>
    </row>
    <row r="5192" spans="1:18" hidden="1" x14ac:dyDescent="0.25">
      <c r="A5192" s="9" t="s">
        <v>2352</v>
      </c>
      <c r="B5192" s="3" t="s">
        <v>2355</v>
      </c>
      <c r="C5192" s="10">
        <v>5</v>
      </c>
      <c r="D5192" s="10">
        <v>3</v>
      </c>
      <c r="E5192" s="10">
        <v>20</v>
      </c>
      <c r="F5192" t="s">
        <v>2295</v>
      </c>
      <c r="G5192" t="s">
        <v>889</v>
      </c>
      <c r="H5192" t="s">
        <v>35</v>
      </c>
      <c r="I5192" t="s">
        <v>27</v>
      </c>
      <c r="J5192">
        <v>152.6</v>
      </c>
      <c r="K5192" s="10">
        <v>0.16600000000000001</v>
      </c>
      <c r="L5192">
        <v>152.6</v>
      </c>
      <c r="M5192">
        <v>25.331600000000002</v>
      </c>
      <c r="N5192" s="5">
        <v>1.2950715746421269</v>
      </c>
      <c r="O5192" t="s">
        <v>100</v>
      </c>
      <c r="P5192" t="s">
        <v>340</v>
      </c>
      <c r="Q5192" s="10" t="s">
        <v>24</v>
      </c>
    </row>
    <row r="5193" spans="1:18" hidden="1" x14ac:dyDescent="0.25">
      <c r="A5193" s="9" t="s">
        <v>2352</v>
      </c>
      <c r="B5193" s="3" t="s">
        <v>2355</v>
      </c>
      <c r="C5193" s="10">
        <v>5</v>
      </c>
      <c r="D5193" s="10">
        <v>3</v>
      </c>
      <c r="E5193" s="10">
        <v>20</v>
      </c>
      <c r="F5193" t="s">
        <v>124</v>
      </c>
      <c r="G5193" t="s">
        <v>404</v>
      </c>
      <c r="H5193" t="s">
        <v>54</v>
      </c>
      <c r="I5193" t="s">
        <v>27</v>
      </c>
      <c r="J5193">
        <v>128</v>
      </c>
      <c r="K5193" s="10">
        <v>0.31</v>
      </c>
      <c r="L5193">
        <v>128</v>
      </c>
      <c r="M5193">
        <v>39.68</v>
      </c>
      <c r="N5193" s="5">
        <v>2.0286298568507157</v>
      </c>
      <c r="O5193" t="s">
        <v>100</v>
      </c>
      <c r="P5193" t="s">
        <v>340</v>
      </c>
      <c r="Q5193" s="10" t="s">
        <v>24</v>
      </c>
    </row>
    <row r="5194" spans="1:18" hidden="1" x14ac:dyDescent="0.25">
      <c r="A5194" s="9" t="s">
        <v>2352</v>
      </c>
      <c r="B5194" s="3" t="s">
        <v>2350</v>
      </c>
      <c r="C5194" s="10">
        <v>7</v>
      </c>
      <c r="D5194" s="10">
        <v>3</v>
      </c>
      <c r="E5194" s="10">
        <v>20</v>
      </c>
      <c r="F5194" t="s">
        <v>2339</v>
      </c>
      <c r="G5194" t="s">
        <v>889</v>
      </c>
      <c r="H5194" t="s">
        <v>65</v>
      </c>
      <c r="I5194" t="s">
        <v>27</v>
      </c>
      <c r="J5194">
        <v>29.9</v>
      </c>
      <c r="K5194" s="10">
        <v>1</v>
      </c>
      <c r="L5194">
        <v>29.9</v>
      </c>
      <c r="M5194">
        <v>29.9</v>
      </c>
      <c r="N5194" s="5">
        <v>1.5154586923466802</v>
      </c>
      <c r="O5194" t="s">
        <v>51</v>
      </c>
      <c r="P5194" t="s">
        <v>340</v>
      </c>
      <c r="Q5194" s="10" t="s">
        <v>24</v>
      </c>
      <c r="R5194">
        <v>0</v>
      </c>
    </row>
    <row r="5195" spans="1:18" hidden="1" x14ac:dyDescent="0.25">
      <c r="A5195" s="9" t="s">
        <v>2352</v>
      </c>
      <c r="B5195" s="3" t="s">
        <v>2350</v>
      </c>
      <c r="C5195" s="10">
        <v>7</v>
      </c>
      <c r="D5195" s="10">
        <v>3</v>
      </c>
      <c r="E5195" s="10">
        <v>20</v>
      </c>
      <c r="F5195" t="s">
        <v>460</v>
      </c>
      <c r="G5195" t="s">
        <v>889</v>
      </c>
      <c r="H5195" t="s">
        <v>65</v>
      </c>
      <c r="I5195" t="s">
        <v>27</v>
      </c>
      <c r="J5195">
        <v>8.39</v>
      </c>
      <c r="K5195" s="10">
        <v>1</v>
      </c>
      <c r="L5195">
        <v>8.39</v>
      </c>
      <c r="M5195">
        <v>8.39</v>
      </c>
      <c r="N5195" s="5">
        <v>0.42524075012671059</v>
      </c>
      <c r="O5195" t="s">
        <v>51</v>
      </c>
      <c r="P5195" t="s">
        <v>340</v>
      </c>
      <c r="Q5195" s="10" t="s">
        <v>24</v>
      </c>
      <c r="R5195">
        <v>0</v>
      </c>
    </row>
    <row r="5196" spans="1:18" hidden="1" x14ac:dyDescent="0.25">
      <c r="A5196" s="9" t="s">
        <v>2352</v>
      </c>
      <c r="B5196" s="3" t="s">
        <v>2350</v>
      </c>
      <c r="C5196" s="10">
        <v>7</v>
      </c>
      <c r="D5196" s="10">
        <v>3</v>
      </c>
      <c r="E5196" s="10">
        <v>20</v>
      </c>
      <c r="F5196" t="s">
        <v>44</v>
      </c>
      <c r="G5196" t="s">
        <v>889</v>
      </c>
      <c r="H5196" t="s">
        <v>44</v>
      </c>
      <c r="I5196" t="s">
        <v>27</v>
      </c>
      <c r="J5196">
        <v>26.59</v>
      </c>
      <c r="K5196" s="10">
        <v>1</v>
      </c>
      <c r="L5196">
        <v>26.59</v>
      </c>
      <c r="M5196">
        <v>26.59</v>
      </c>
      <c r="N5196" s="5">
        <v>1.3476938672072984</v>
      </c>
      <c r="O5196" t="s">
        <v>51</v>
      </c>
      <c r="P5196" t="s">
        <v>340</v>
      </c>
      <c r="Q5196" s="10" t="s">
        <v>24</v>
      </c>
      <c r="R5196">
        <v>0</v>
      </c>
    </row>
    <row r="5197" spans="1:18" hidden="1" x14ac:dyDescent="0.25">
      <c r="A5197" s="9" t="s">
        <v>2352</v>
      </c>
      <c r="B5197" s="3" t="s">
        <v>2350</v>
      </c>
      <c r="C5197" s="10">
        <v>7</v>
      </c>
      <c r="D5197" s="10">
        <v>3</v>
      </c>
      <c r="E5197" s="10">
        <v>20</v>
      </c>
      <c r="F5197" t="s">
        <v>2072</v>
      </c>
      <c r="G5197" t="s">
        <v>328</v>
      </c>
      <c r="H5197" t="s">
        <v>49</v>
      </c>
      <c r="I5197" t="s">
        <v>50</v>
      </c>
      <c r="J5197">
        <v>13.19</v>
      </c>
      <c r="K5197" s="10">
        <v>2</v>
      </c>
      <c r="L5197">
        <v>13.19</v>
      </c>
      <c r="M5197">
        <v>26.38</v>
      </c>
      <c r="N5197" s="5">
        <v>1.3370501773948302</v>
      </c>
      <c r="O5197" t="s">
        <v>51</v>
      </c>
      <c r="P5197" t="s">
        <v>340</v>
      </c>
      <c r="Q5197" s="10" t="s">
        <v>24</v>
      </c>
      <c r="R5197">
        <v>0</v>
      </c>
    </row>
    <row r="5198" spans="1:18" hidden="1" x14ac:dyDescent="0.25">
      <c r="A5198" s="9" t="s">
        <v>2352</v>
      </c>
      <c r="B5198" s="3" t="s">
        <v>2350</v>
      </c>
      <c r="C5198" s="10">
        <v>7</v>
      </c>
      <c r="D5198" s="10">
        <v>3</v>
      </c>
      <c r="E5198" s="10">
        <v>20</v>
      </c>
      <c r="F5198" t="s">
        <v>1385</v>
      </c>
      <c r="G5198" t="s">
        <v>889</v>
      </c>
      <c r="H5198" t="s">
        <v>59</v>
      </c>
      <c r="I5198" t="s">
        <v>27</v>
      </c>
      <c r="J5198">
        <v>84.9</v>
      </c>
      <c r="K5198" s="10">
        <v>1</v>
      </c>
      <c r="L5198">
        <v>84.9</v>
      </c>
      <c r="M5198">
        <v>84.9</v>
      </c>
      <c r="N5198" s="5">
        <v>4.3030917384693366</v>
      </c>
      <c r="O5198" t="s">
        <v>51</v>
      </c>
      <c r="P5198" t="s">
        <v>340</v>
      </c>
      <c r="Q5198" s="10" t="s">
        <v>84</v>
      </c>
      <c r="R5198" t="s">
        <v>2351</v>
      </c>
    </row>
    <row r="5199" spans="1:18" hidden="1" x14ac:dyDescent="0.25">
      <c r="A5199" s="9" t="s">
        <v>2352</v>
      </c>
      <c r="B5199" s="3" t="s">
        <v>2350</v>
      </c>
      <c r="C5199" s="10">
        <v>7</v>
      </c>
      <c r="D5199" s="10">
        <v>3</v>
      </c>
      <c r="E5199" s="10">
        <v>20</v>
      </c>
      <c r="F5199" t="s">
        <v>264</v>
      </c>
      <c r="G5199" t="s">
        <v>889</v>
      </c>
      <c r="H5199" t="s">
        <v>59</v>
      </c>
      <c r="I5199" t="s">
        <v>27</v>
      </c>
      <c r="J5199">
        <v>232.9</v>
      </c>
      <c r="K5199" s="10">
        <v>1</v>
      </c>
      <c r="L5199">
        <v>232.9</v>
      </c>
      <c r="M5199">
        <v>232.9</v>
      </c>
      <c r="N5199" s="5">
        <v>11.804358844399392</v>
      </c>
      <c r="O5199" t="s">
        <v>51</v>
      </c>
      <c r="P5199" t="s">
        <v>340</v>
      </c>
      <c r="Q5199" s="10" t="s">
        <v>24</v>
      </c>
      <c r="R5199">
        <v>0</v>
      </c>
    </row>
    <row r="5200" spans="1:18" hidden="1" x14ac:dyDescent="0.25">
      <c r="A5200" s="9" t="s">
        <v>2352</v>
      </c>
      <c r="B5200" s="3" t="s">
        <v>2350</v>
      </c>
      <c r="C5200" s="10">
        <v>7</v>
      </c>
      <c r="D5200" s="10">
        <v>3</v>
      </c>
      <c r="E5200" s="10">
        <v>20</v>
      </c>
      <c r="F5200" t="s">
        <v>386</v>
      </c>
      <c r="G5200" t="s">
        <v>889</v>
      </c>
      <c r="H5200" t="s">
        <v>53</v>
      </c>
      <c r="I5200" t="s">
        <v>27</v>
      </c>
      <c r="J5200">
        <v>10.9</v>
      </c>
      <c r="K5200" s="10">
        <v>6</v>
      </c>
      <c r="L5200">
        <v>10.9</v>
      </c>
      <c r="M5200">
        <v>65.400000000000006</v>
      </c>
      <c r="N5200" s="5">
        <v>3.3147491130258491</v>
      </c>
      <c r="O5200" t="s">
        <v>51</v>
      </c>
      <c r="P5200" t="s">
        <v>340</v>
      </c>
      <c r="Q5200" s="10" t="s">
        <v>24</v>
      </c>
      <c r="R5200">
        <v>0</v>
      </c>
    </row>
    <row r="5201" spans="1:18" hidden="1" x14ac:dyDescent="0.25">
      <c r="A5201" s="9" t="s">
        <v>2352</v>
      </c>
      <c r="B5201" s="3" t="s">
        <v>2350</v>
      </c>
      <c r="C5201" s="10">
        <v>7</v>
      </c>
      <c r="D5201" s="10">
        <v>3</v>
      </c>
      <c r="E5201" s="10">
        <v>20</v>
      </c>
      <c r="F5201" t="s">
        <v>1214</v>
      </c>
      <c r="G5201" t="s">
        <v>889</v>
      </c>
      <c r="H5201" t="s">
        <v>53</v>
      </c>
      <c r="I5201" t="s">
        <v>27</v>
      </c>
      <c r="J5201">
        <v>10.49</v>
      </c>
      <c r="K5201" s="10">
        <v>6</v>
      </c>
      <c r="L5201">
        <v>10.49</v>
      </c>
      <c r="M5201">
        <v>62.94</v>
      </c>
      <c r="N5201" s="5">
        <v>3.1900658895083627</v>
      </c>
      <c r="O5201" t="s">
        <v>51</v>
      </c>
      <c r="P5201" t="s">
        <v>340</v>
      </c>
      <c r="Q5201" s="10" t="s">
        <v>24</v>
      </c>
      <c r="R5201">
        <v>0</v>
      </c>
    </row>
    <row r="5202" spans="1:18" hidden="1" x14ac:dyDescent="0.25">
      <c r="A5202" s="9" t="s">
        <v>2352</v>
      </c>
      <c r="B5202" s="3" t="s">
        <v>2350</v>
      </c>
      <c r="C5202" s="10">
        <v>7</v>
      </c>
      <c r="D5202" s="10">
        <v>3</v>
      </c>
      <c r="E5202" s="10">
        <v>20</v>
      </c>
      <c r="F5202" t="s">
        <v>1383</v>
      </c>
      <c r="G5202" t="s">
        <v>889</v>
      </c>
      <c r="H5202" t="s">
        <v>53</v>
      </c>
      <c r="I5202" t="s">
        <v>27</v>
      </c>
      <c r="J5202">
        <v>18.989999999999998</v>
      </c>
      <c r="K5202" s="10">
        <v>6</v>
      </c>
      <c r="L5202">
        <v>18.989999999999998</v>
      </c>
      <c r="M5202">
        <v>113.94</v>
      </c>
      <c r="N5202" s="5">
        <v>5.774961986822098</v>
      </c>
      <c r="O5202" t="s">
        <v>51</v>
      </c>
      <c r="P5202" t="s">
        <v>340</v>
      </c>
      <c r="Q5202" s="10" t="s">
        <v>24</v>
      </c>
      <c r="R5202">
        <v>0</v>
      </c>
    </row>
    <row r="5203" spans="1:18" hidden="1" x14ac:dyDescent="0.25">
      <c r="A5203" s="9" t="s">
        <v>2352</v>
      </c>
      <c r="B5203" s="3" t="s">
        <v>2350</v>
      </c>
      <c r="C5203" s="10">
        <v>7</v>
      </c>
      <c r="D5203" s="10">
        <v>3</v>
      </c>
      <c r="E5203" s="10">
        <v>20</v>
      </c>
      <c r="F5203" t="s">
        <v>2349</v>
      </c>
      <c r="G5203" t="s">
        <v>889</v>
      </c>
      <c r="H5203" t="s">
        <v>49</v>
      </c>
      <c r="I5203" t="s">
        <v>50</v>
      </c>
      <c r="J5203">
        <v>94.9</v>
      </c>
      <c r="K5203" s="10">
        <v>1</v>
      </c>
      <c r="L5203">
        <v>94.9</v>
      </c>
      <c r="M5203">
        <v>94.9</v>
      </c>
      <c r="N5203" s="5">
        <v>4.8099341104916373</v>
      </c>
      <c r="O5203" t="s">
        <v>51</v>
      </c>
      <c r="P5203" t="s">
        <v>340</v>
      </c>
      <c r="Q5203" s="10" t="s">
        <v>24</v>
      </c>
      <c r="R5203">
        <v>0</v>
      </c>
    </row>
    <row r="5204" spans="1:18" hidden="1" x14ac:dyDescent="0.25">
      <c r="A5204" s="9" t="s">
        <v>2352</v>
      </c>
      <c r="B5204" s="3" t="s">
        <v>2350</v>
      </c>
      <c r="C5204" s="10">
        <v>7</v>
      </c>
      <c r="D5204" s="10">
        <v>3</v>
      </c>
      <c r="E5204" s="10">
        <v>20</v>
      </c>
      <c r="F5204" t="s">
        <v>2345</v>
      </c>
      <c r="G5204" t="s">
        <v>889</v>
      </c>
      <c r="H5204" t="s">
        <v>59</v>
      </c>
      <c r="I5204" t="s">
        <v>27</v>
      </c>
      <c r="J5204">
        <v>18.899999999999999</v>
      </c>
      <c r="K5204" s="10">
        <v>4</v>
      </c>
      <c r="L5204">
        <v>18.899999999999999</v>
      </c>
      <c r="M5204">
        <v>75.599999999999994</v>
      </c>
      <c r="N5204" s="5">
        <v>3.8317283324885958</v>
      </c>
      <c r="O5204" t="s">
        <v>51</v>
      </c>
      <c r="P5204" t="s">
        <v>340</v>
      </c>
      <c r="Q5204" s="10" t="s">
        <v>24</v>
      </c>
      <c r="R5204">
        <v>0</v>
      </c>
    </row>
    <row r="5205" spans="1:18" hidden="1" x14ac:dyDescent="0.25">
      <c r="A5205" s="9" t="s">
        <v>2352</v>
      </c>
      <c r="B5205" s="3" t="s">
        <v>2350</v>
      </c>
      <c r="C5205" s="10">
        <v>7</v>
      </c>
      <c r="D5205" s="10">
        <v>3</v>
      </c>
      <c r="E5205" s="10">
        <v>20</v>
      </c>
      <c r="F5205" t="s">
        <v>2343</v>
      </c>
      <c r="G5205" t="s">
        <v>889</v>
      </c>
      <c r="H5205" t="s">
        <v>49</v>
      </c>
      <c r="I5205" t="s">
        <v>50</v>
      </c>
      <c r="J5205">
        <v>10.69</v>
      </c>
      <c r="K5205" s="10">
        <v>1</v>
      </c>
      <c r="L5205">
        <v>10.69</v>
      </c>
      <c r="M5205">
        <v>10.69</v>
      </c>
      <c r="N5205" s="5">
        <v>0.54181449569183981</v>
      </c>
      <c r="O5205" t="s">
        <v>51</v>
      </c>
      <c r="P5205" t="s">
        <v>340</v>
      </c>
      <c r="Q5205" s="10" t="s">
        <v>24</v>
      </c>
      <c r="R5205">
        <v>0</v>
      </c>
    </row>
    <row r="5206" spans="1:18" hidden="1" x14ac:dyDescent="0.25">
      <c r="A5206" s="9" t="s">
        <v>2352</v>
      </c>
      <c r="B5206" s="3" t="s">
        <v>2350</v>
      </c>
      <c r="C5206" s="10">
        <v>7</v>
      </c>
      <c r="D5206" s="10">
        <v>3</v>
      </c>
      <c r="E5206" s="10">
        <v>20</v>
      </c>
      <c r="F5206" t="s">
        <v>44</v>
      </c>
      <c r="G5206" t="s">
        <v>889</v>
      </c>
      <c r="H5206" t="s">
        <v>44</v>
      </c>
      <c r="I5206" t="s">
        <v>27</v>
      </c>
      <c r="J5206">
        <v>26.59</v>
      </c>
      <c r="K5206" s="10">
        <v>1</v>
      </c>
      <c r="L5206">
        <v>26.59</v>
      </c>
      <c r="M5206">
        <v>26.59</v>
      </c>
      <c r="N5206" s="5">
        <v>1.3476938672072984</v>
      </c>
      <c r="O5206" t="s">
        <v>51</v>
      </c>
      <c r="P5206" t="s">
        <v>340</v>
      </c>
      <c r="Q5206" s="10" t="s">
        <v>24</v>
      </c>
      <c r="R5206">
        <v>0</v>
      </c>
    </row>
    <row r="5207" spans="1:18" hidden="1" x14ac:dyDescent="0.25">
      <c r="A5207" s="9" t="s">
        <v>2352</v>
      </c>
      <c r="B5207" s="3" t="s">
        <v>2350</v>
      </c>
      <c r="C5207" s="10">
        <v>7</v>
      </c>
      <c r="D5207" s="10">
        <v>3</v>
      </c>
      <c r="E5207" s="10">
        <v>20</v>
      </c>
      <c r="F5207" t="s">
        <v>848</v>
      </c>
      <c r="G5207" t="s">
        <v>889</v>
      </c>
      <c r="H5207" t="s">
        <v>889</v>
      </c>
      <c r="I5207" t="s">
        <v>431</v>
      </c>
      <c r="J5207">
        <v>44.9</v>
      </c>
      <c r="K5207" s="10">
        <v>5</v>
      </c>
      <c r="L5207">
        <v>44.9</v>
      </c>
      <c r="M5207">
        <v>224.5</v>
      </c>
      <c r="N5207" s="5">
        <v>11.378611251900658</v>
      </c>
      <c r="O5207" t="s">
        <v>51</v>
      </c>
      <c r="P5207" t="s">
        <v>340</v>
      </c>
      <c r="Q5207" s="10" t="s">
        <v>24</v>
      </c>
      <c r="R5207">
        <v>0</v>
      </c>
    </row>
    <row r="5208" spans="1:18" hidden="1" x14ac:dyDescent="0.25">
      <c r="A5208" s="9" t="s">
        <v>2352</v>
      </c>
      <c r="B5208" s="3" t="s">
        <v>2350</v>
      </c>
      <c r="C5208" s="10">
        <v>7</v>
      </c>
      <c r="D5208" s="10">
        <v>3</v>
      </c>
      <c r="E5208" s="10">
        <v>20</v>
      </c>
      <c r="F5208" t="s">
        <v>848</v>
      </c>
      <c r="G5208" t="s">
        <v>889</v>
      </c>
      <c r="H5208" t="s">
        <v>889</v>
      </c>
      <c r="I5208" t="s">
        <v>431</v>
      </c>
      <c r="J5208">
        <v>54.9</v>
      </c>
      <c r="K5208" s="10">
        <v>1</v>
      </c>
      <c r="L5208">
        <v>54.9</v>
      </c>
      <c r="M5208">
        <v>54.9</v>
      </c>
      <c r="N5208" s="5">
        <v>2.7825646224024325</v>
      </c>
      <c r="O5208" t="s">
        <v>51</v>
      </c>
      <c r="P5208" t="s">
        <v>340</v>
      </c>
      <c r="Q5208" s="10" t="s">
        <v>24</v>
      </c>
      <c r="R5208">
        <v>0</v>
      </c>
    </row>
    <row r="5209" spans="1:18" hidden="1" x14ac:dyDescent="0.25">
      <c r="A5209" s="9" t="s">
        <v>2352</v>
      </c>
      <c r="B5209" s="3" t="s">
        <v>2350</v>
      </c>
      <c r="C5209" s="10">
        <v>7</v>
      </c>
      <c r="D5209" s="10">
        <v>3</v>
      </c>
      <c r="E5209" s="10">
        <v>20</v>
      </c>
      <c r="F5209" t="s">
        <v>140</v>
      </c>
      <c r="G5209" t="s">
        <v>889</v>
      </c>
      <c r="H5209" t="s">
        <v>49</v>
      </c>
      <c r="I5209" t="s">
        <v>50</v>
      </c>
      <c r="J5209">
        <v>12.9</v>
      </c>
      <c r="K5209" s="10">
        <v>1</v>
      </c>
      <c r="L5209">
        <v>12.9</v>
      </c>
      <c r="M5209">
        <v>12.9</v>
      </c>
      <c r="N5209" s="5">
        <v>0.65382665990876843</v>
      </c>
      <c r="O5209" t="s">
        <v>51</v>
      </c>
      <c r="P5209" t="s">
        <v>340</v>
      </c>
      <c r="Q5209" s="10" t="s">
        <v>24</v>
      </c>
      <c r="R5209">
        <v>0</v>
      </c>
    </row>
    <row r="5210" spans="1:18" hidden="1" x14ac:dyDescent="0.25">
      <c r="A5210" s="9" t="s">
        <v>2352</v>
      </c>
      <c r="B5210" s="3" t="s">
        <v>2350</v>
      </c>
      <c r="C5210" s="10">
        <v>7</v>
      </c>
      <c r="D5210" s="10">
        <v>3</v>
      </c>
      <c r="E5210" s="10">
        <v>20</v>
      </c>
      <c r="F5210" t="s">
        <v>39</v>
      </c>
      <c r="G5210" t="s">
        <v>889</v>
      </c>
      <c r="H5210" t="s">
        <v>889</v>
      </c>
      <c r="I5210" t="s">
        <v>39</v>
      </c>
      <c r="J5210">
        <v>62.9</v>
      </c>
      <c r="K5210" s="10">
        <v>1</v>
      </c>
      <c r="L5210">
        <v>62.9</v>
      </c>
      <c r="M5210">
        <v>62.9</v>
      </c>
      <c r="N5210" s="5">
        <v>3.1880385200202737</v>
      </c>
      <c r="O5210" t="s">
        <v>51</v>
      </c>
      <c r="P5210" t="s">
        <v>340</v>
      </c>
      <c r="Q5210" s="10" t="s">
        <v>84</v>
      </c>
      <c r="R5210" t="s">
        <v>2340</v>
      </c>
    </row>
    <row r="5211" spans="1:18" hidden="1" x14ac:dyDescent="0.25">
      <c r="A5211" s="9" t="s">
        <v>2352</v>
      </c>
      <c r="B5211" s="3" t="s">
        <v>2350</v>
      </c>
      <c r="C5211" s="10">
        <v>7</v>
      </c>
      <c r="D5211" s="10">
        <v>3</v>
      </c>
      <c r="E5211" s="10">
        <v>20</v>
      </c>
      <c r="F5211" t="s">
        <v>86</v>
      </c>
      <c r="G5211" t="s">
        <v>889</v>
      </c>
      <c r="H5211" t="s">
        <v>102</v>
      </c>
      <c r="I5211" t="s">
        <v>27</v>
      </c>
      <c r="J5211">
        <v>90.9</v>
      </c>
      <c r="K5211" s="10">
        <v>1</v>
      </c>
      <c r="L5211">
        <v>90.9</v>
      </c>
      <c r="M5211">
        <v>90.9</v>
      </c>
      <c r="N5211" s="5">
        <v>4.6071971616827172</v>
      </c>
      <c r="O5211" t="s">
        <v>51</v>
      </c>
      <c r="P5211" t="s">
        <v>340</v>
      </c>
      <c r="Q5211" s="10" t="s">
        <v>84</v>
      </c>
      <c r="R5211">
        <v>0</v>
      </c>
    </row>
    <row r="5212" spans="1:18" hidden="1" x14ac:dyDescent="0.25">
      <c r="A5212" s="9" t="s">
        <v>2352</v>
      </c>
      <c r="B5212" s="3" t="s">
        <v>2350</v>
      </c>
      <c r="C5212" s="10">
        <v>7</v>
      </c>
      <c r="D5212" s="10">
        <v>3</v>
      </c>
      <c r="E5212" s="10">
        <v>20</v>
      </c>
      <c r="F5212" t="s">
        <v>1358</v>
      </c>
      <c r="G5212" t="s">
        <v>155</v>
      </c>
      <c r="H5212" t="s">
        <v>131</v>
      </c>
      <c r="I5212" t="s">
        <v>27</v>
      </c>
      <c r="J5212">
        <v>53.9</v>
      </c>
      <c r="K5212" s="10">
        <v>7</v>
      </c>
      <c r="L5212">
        <v>53.9</v>
      </c>
      <c r="M5212">
        <v>356.3</v>
      </c>
      <c r="N5212" s="5">
        <v>18.058793715154586</v>
      </c>
      <c r="O5212" t="s">
        <v>51</v>
      </c>
      <c r="P5212" t="s">
        <v>340</v>
      </c>
      <c r="Q5212" s="10" t="s">
        <v>24</v>
      </c>
      <c r="R5212">
        <v>0</v>
      </c>
    </row>
    <row r="5213" spans="1:18" hidden="1" x14ac:dyDescent="0.25">
      <c r="A5213" s="9" t="s">
        <v>2352</v>
      </c>
      <c r="B5213" s="3" t="s">
        <v>2350</v>
      </c>
      <c r="C5213" s="10">
        <v>7</v>
      </c>
      <c r="D5213" s="10">
        <v>3</v>
      </c>
      <c r="E5213" s="10">
        <v>20</v>
      </c>
      <c r="F5213" t="s">
        <v>55</v>
      </c>
      <c r="G5213" t="s">
        <v>889</v>
      </c>
      <c r="H5213" t="s">
        <v>56</v>
      </c>
      <c r="I5213" t="s">
        <v>27</v>
      </c>
      <c r="J5213">
        <v>23.99</v>
      </c>
      <c r="K5213" s="10">
        <v>1.234</v>
      </c>
      <c r="L5213">
        <v>23.99</v>
      </c>
      <c r="M5213">
        <v>29.603659999999998</v>
      </c>
      <c r="N5213" s="5">
        <v>1.5004389254941712</v>
      </c>
      <c r="O5213" t="s">
        <v>51</v>
      </c>
      <c r="P5213" t="s">
        <v>340</v>
      </c>
      <c r="Q5213" s="10" t="s">
        <v>24</v>
      </c>
      <c r="R5213">
        <v>0</v>
      </c>
    </row>
    <row r="5214" spans="1:18" hidden="1" x14ac:dyDescent="0.25">
      <c r="A5214" s="9" t="s">
        <v>2352</v>
      </c>
      <c r="B5214" s="3" t="s">
        <v>2350</v>
      </c>
      <c r="C5214" s="10">
        <v>7</v>
      </c>
      <c r="D5214" s="10">
        <v>3</v>
      </c>
      <c r="E5214" s="10">
        <v>20</v>
      </c>
      <c r="F5214" t="s">
        <v>1466</v>
      </c>
      <c r="G5214" t="s">
        <v>31</v>
      </c>
      <c r="H5214" t="s">
        <v>26</v>
      </c>
      <c r="I5214" t="s">
        <v>27</v>
      </c>
      <c r="J5214">
        <v>34.5</v>
      </c>
      <c r="K5214" s="10">
        <v>1</v>
      </c>
      <c r="L5214">
        <v>34.5</v>
      </c>
      <c r="M5214">
        <v>34.5</v>
      </c>
      <c r="N5214" s="5">
        <v>1.7486061834769386</v>
      </c>
      <c r="O5214" t="s">
        <v>51</v>
      </c>
      <c r="P5214" t="s">
        <v>340</v>
      </c>
      <c r="Q5214" s="10" t="s">
        <v>24</v>
      </c>
      <c r="R5214">
        <v>0</v>
      </c>
    </row>
    <row r="5215" spans="1:18" hidden="1" x14ac:dyDescent="0.25">
      <c r="A5215" s="9" t="s">
        <v>2352</v>
      </c>
      <c r="B5215" s="3" t="s">
        <v>2350</v>
      </c>
      <c r="C5215" s="10">
        <v>7</v>
      </c>
      <c r="D5215" s="10">
        <v>3</v>
      </c>
      <c r="E5215" s="10">
        <v>20</v>
      </c>
      <c r="F5215" t="s">
        <v>206</v>
      </c>
      <c r="G5215" t="s">
        <v>889</v>
      </c>
      <c r="H5215" t="s">
        <v>56</v>
      </c>
      <c r="I5215" t="s">
        <v>27</v>
      </c>
      <c r="J5215">
        <v>27.9</v>
      </c>
      <c r="K5215" s="10">
        <v>0.34799999999999998</v>
      </c>
      <c r="L5215">
        <v>27.9</v>
      </c>
      <c r="M5215">
        <v>9.7091999999999992</v>
      </c>
      <c r="N5215" s="5">
        <v>0.49210339584389251</v>
      </c>
      <c r="O5215" t="s">
        <v>51</v>
      </c>
      <c r="P5215" t="s">
        <v>340</v>
      </c>
      <c r="Q5215" s="10" t="s">
        <v>24</v>
      </c>
      <c r="R5215">
        <v>0</v>
      </c>
    </row>
    <row r="5216" spans="1:18" hidden="1" x14ac:dyDescent="0.25">
      <c r="A5216" s="9" t="s">
        <v>2352</v>
      </c>
      <c r="B5216" s="3" t="s">
        <v>2350</v>
      </c>
      <c r="C5216" s="10">
        <v>7</v>
      </c>
      <c r="D5216" s="10">
        <v>3</v>
      </c>
      <c r="E5216" s="10">
        <v>20</v>
      </c>
      <c r="F5216" t="s">
        <v>202</v>
      </c>
      <c r="G5216" t="s">
        <v>889</v>
      </c>
      <c r="H5216" t="s">
        <v>54</v>
      </c>
      <c r="I5216" t="s">
        <v>27</v>
      </c>
      <c r="J5216">
        <v>129</v>
      </c>
      <c r="K5216" s="10">
        <v>0.254</v>
      </c>
      <c r="L5216">
        <v>129</v>
      </c>
      <c r="M5216">
        <v>32.765999999999998</v>
      </c>
      <c r="N5216" s="5">
        <v>1.6607197161682716</v>
      </c>
      <c r="O5216" t="s">
        <v>51</v>
      </c>
      <c r="P5216" t="s">
        <v>340</v>
      </c>
      <c r="Q5216" s="10" t="s">
        <v>24</v>
      </c>
      <c r="R5216">
        <v>0</v>
      </c>
    </row>
    <row r="5217" spans="1:18" hidden="1" x14ac:dyDescent="0.25">
      <c r="A5217" s="9" t="s">
        <v>2352</v>
      </c>
      <c r="B5217" s="3" t="s">
        <v>2350</v>
      </c>
      <c r="C5217" s="10">
        <v>7</v>
      </c>
      <c r="D5217" s="10">
        <v>3</v>
      </c>
      <c r="E5217" s="10">
        <v>20</v>
      </c>
      <c r="F5217" t="s">
        <v>112</v>
      </c>
      <c r="G5217" t="s">
        <v>889</v>
      </c>
      <c r="H5217" t="s">
        <v>56</v>
      </c>
      <c r="I5217" t="s">
        <v>27</v>
      </c>
      <c r="J5217">
        <v>19.899999999999999</v>
      </c>
      <c r="K5217" s="10">
        <v>0.93799999999999994</v>
      </c>
      <c r="L5217">
        <v>19.899999999999999</v>
      </c>
      <c r="M5217">
        <v>18.666199999999996</v>
      </c>
      <c r="N5217" s="5">
        <v>0.94608210846426744</v>
      </c>
      <c r="O5217" t="s">
        <v>51</v>
      </c>
      <c r="P5217" t="s">
        <v>340</v>
      </c>
      <c r="Q5217" s="10" t="s">
        <v>24</v>
      </c>
      <c r="R5217">
        <v>0</v>
      </c>
    </row>
    <row r="5218" spans="1:18" hidden="1" x14ac:dyDescent="0.25">
      <c r="A5218" s="9" t="s">
        <v>2352</v>
      </c>
      <c r="B5218" s="3" t="s">
        <v>2350</v>
      </c>
      <c r="C5218" s="10">
        <v>7</v>
      </c>
      <c r="D5218" s="10">
        <v>3</v>
      </c>
      <c r="E5218" s="10">
        <v>20</v>
      </c>
      <c r="F5218" t="s">
        <v>166</v>
      </c>
      <c r="G5218" t="s">
        <v>77</v>
      </c>
      <c r="H5218" t="s">
        <v>26</v>
      </c>
      <c r="I5218" t="s">
        <v>27</v>
      </c>
      <c r="J5218">
        <v>19.59</v>
      </c>
      <c r="K5218" s="10">
        <v>1</v>
      </c>
      <c r="L5218">
        <v>19.59</v>
      </c>
      <c r="M5218">
        <v>19.59</v>
      </c>
      <c r="N5218" s="5">
        <v>0.99290420679168778</v>
      </c>
      <c r="O5218" t="s">
        <v>51</v>
      </c>
      <c r="P5218" t="s">
        <v>340</v>
      </c>
      <c r="Q5218" s="10" t="s">
        <v>24</v>
      </c>
      <c r="R5218">
        <v>0</v>
      </c>
    </row>
    <row r="5219" spans="1:18" hidden="1" x14ac:dyDescent="0.25">
      <c r="A5219" s="9" t="s">
        <v>2352</v>
      </c>
      <c r="B5219" s="3" t="s">
        <v>2350</v>
      </c>
      <c r="C5219" s="10">
        <v>7</v>
      </c>
      <c r="D5219" s="10">
        <v>3</v>
      </c>
      <c r="E5219" s="10">
        <v>20</v>
      </c>
      <c r="F5219" t="s">
        <v>508</v>
      </c>
      <c r="G5219" t="s">
        <v>889</v>
      </c>
      <c r="H5219" t="s">
        <v>73</v>
      </c>
      <c r="I5219" t="s">
        <v>27</v>
      </c>
      <c r="J5219">
        <v>27.6</v>
      </c>
      <c r="K5219" s="10">
        <v>1</v>
      </c>
      <c r="L5219">
        <v>27.6</v>
      </c>
      <c r="M5219">
        <v>27.6</v>
      </c>
      <c r="N5219" s="5">
        <v>1.398884946781551</v>
      </c>
      <c r="O5219" t="s">
        <v>51</v>
      </c>
      <c r="P5219" t="s">
        <v>340</v>
      </c>
      <c r="Q5219" s="10" t="s">
        <v>24</v>
      </c>
      <c r="R5219">
        <v>0</v>
      </c>
    </row>
    <row r="5220" spans="1:18" hidden="1" x14ac:dyDescent="0.25">
      <c r="A5220" s="9" t="s">
        <v>2352</v>
      </c>
      <c r="B5220" s="3" t="s">
        <v>2350</v>
      </c>
      <c r="C5220" s="10">
        <v>7</v>
      </c>
      <c r="D5220" s="10">
        <v>3</v>
      </c>
      <c r="E5220" s="10">
        <v>20</v>
      </c>
      <c r="F5220" t="s">
        <v>523</v>
      </c>
      <c r="G5220" t="s">
        <v>889</v>
      </c>
      <c r="H5220" t="s">
        <v>73</v>
      </c>
      <c r="I5220" t="s">
        <v>27</v>
      </c>
      <c r="J5220">
        <v>27.5</v>
      </c>
      <c r="K5220" s="10">
        <v>1</v>
      </c>
      <c r="L5220">
        <v>27.5</v>
      </c>
      <c r="M5220">
        <v>27.5</v>
      </c>
      <c r="N5220" s="5">
        <v>1.393816523061328</v>
      </c>
      <c r="O5220" t="s">
        <v>51</v>
      </c>
      <c r="P5220" t="s">
        <v>340</v>
      </c>
      <c r="Q5220" s="10" t="s">
        <v>24</v>
      </c>
      <c r="R5220">
        <v>0</v>
      </c>
    </row>
    <row r="5221" spans="1:18" hidden="1" x14ac:dyDescent="0.25">
      <c r="A5221" s="9" t="s">
        <v>2352</v>
      </c>
      <c r="B5221" s="3" t="s">
        <v>2350</v>
      </c>
      <c r="C5221" s="10">
        <v>7</v>
      </c>
      <c r="D5221" s="10">
        <v>3</v>
      </c>
      <c r="E5221" s="10">
        <v>20</v>
      </c>
      <c r="F5221" t="s">
        <v>1205</v>
      </c>
      <c r="G5221" t="s">
        <v>889</v>
      </c>
      <c r="H5221" t="s">
        <v>54</v>
      </c>
      <c r="I5221" t="s">
        <v>27</v>
      </c>
      <c r="J5221">
        <v>19.899999999999999</v>
      </c>
      <c r="K5221" s="10">
        <v>1</v>
      </c>
      <c r="L5221">
        <v>19.899999999999999</v>
      </c>
      <c r="M5221">
        <v>19.899999999999999</v>
      </c>
      <c r="N5221" s="5">
        <v>1.008616320324379</v>
      </c>
      <c r="O5221" t="s">
        <v>51</v>
      </c>
      <c r="P5221" t="s">
        <v>340</v>
      </c>
      <c r="Q5221" s="10" t="s">
        <v>24</v>
      </c>
      <c r="R5221">
        <v>0</v>
      </c>
    </row>
    <row r="5222" spans="1:18" hidden="1" x14ac:dyDescent="0.25">
      <c r="A5222" s="9" t="s">
        <v>2352</v>
      </c>
      <c r="B5222" s="3" t="s">
        <v>2350</v>
      </c>
      <c r="C5222" s="10">
        <v>7</v>
      </c>
      <c r="D5222" s="10">
        <v>3</v>
      </c>
      <c r="E5222" s="10">
        <v>20</v>
      </c>
      <c r="F5222" t="s">
        <v>94</v>
      </c>
      <c r="G5222" t="s">
        <v>889</v>
      </c>
      <c r="H5222" t="s">
        <v>889</v>
      </c>
      <c r="I5222" t="s">
        <v>87</v>
      </c>
      <c r="J5222">
        <v>158</v>
      </c>
      <c r="K5222" s="10">
        <v>1</v>
      </c>
      <c r="L5222">
        <v>158</v>
      </c>
      <c r="M5222">
        <v>158</v>
      </c>
      <c r="N5222" s="5">
        <v>8.0777096114519438</v>
      </c>
      <c r="O5222" t="s">
        <v>143</v>
      </c>
      <c r="P5222" t="s">
        <v>340</v>
      </c>
      <c r="Q5222" s="10" t="s">
        <v>24</v>
      </c>
      <c r="R5222" t="s">
        <v>2410</v>
      </c>
    </row>
    <row r="5223" spans="1:18" hidden="1" x14ac:dyDescent="0.25">
      <c r="A5223" s="9" t="s">
        <v>2352</v>
      </c>
      <c r="B5223" s="3" t="s">
        <v>2331</v>
      </c>
      <c r="C5223" s="10">
        <v>9</v>
      </c>
      <c r="D5223" s="10">
        <v>3</v>
      </c>
      <c r="E5223" s="10">
        <v>20</v>
      </c>
      <c r="F5223" t="s">
        <v>2322</v>
      </c>
      <c r="G5223" t="s">
        <v>889</v>
      </c>
      <c r="H5223" t="s">
        <v>889</v>
      </c>
      <c r="I5223" t="s">
        <v>39</v>
      </c>
      <c r="J5223">
        <v>120</v>
      </c>
      <c r="K5223">
        <v>2</v>
      </c>
      <c r="L5223">
        <v>120</v>
      </c>
      <c r="M5223">
        <v>240</v>
      </c>
      <c r="N5223" s="5">
        <v>12.164216928535225</v>
      </c>
      <c r="O5223" t="s">
        <v>39</v>
      </c>
      <c r="P5223" t="s">
        <v>340</v>
      </c>
      <c r="Q5223" s="10" t="s">
        <v>24</v>
      </c>
      <c r="R5223">
        <v>0</v>
      </c>
    </row>
    <row r="5224" spans="1:18" hidden="1" x14ac:dyDescent="0.25">
      <c r="A5224" s="9" t="s">
        <v>2352</v>
      </c>
      <c r="B5224" s="3" t="s">
        <v>2331</v>
      </c>
      <c r="C5224" s="10">
        <v>9</v>
      </c>
      <c r="D5224" s="10">
        <v>3</v>
      </c>
      <c r="E5224" s="10">
        <v>20</v>
      </c>
      <c r="F5224" t="s">
        <v>2444</v>
      </c>
      <c r="G5224" t="s">
        <v>889</v>
      </c>
      <c r="H5224" t="s">
        <v>889</v>
      </c>
      <c r="I5224" t="s">
        <v>39</v>
      </c>
      <c r="J5224">
        <v>10</v>
      </c>
      <c r="K5224">
        <v>1</v>
      </c>
      <c r="L5224">
        <v>10</v>
      </c>
      <c r="M5224">
        <v>10</v>
      </c>
      <c r="N5224" s="5">
        <v>0.50684237202230109</v>
      </c>
      <c r="O5224" t="s">
        <v>39</v>
      </c>
      <c r="P5224" t="s">
        <v>340</v>
      </c>
      <c r="Q5224" s="10" t="s">
        <v>24</v>
      </c>
      <c r="R5224" t="s">
        <v>2323</v>
      </c>
    </row>
    <row r="5225" spans="1:18" hidden="1" x14ac:dyDescent="0.25">
      <c r="A5225" s="9" t="s">
        <v>2352</v>
      </c>
      <c r="B5225" s="3" t="s">
        <v>2331</v>
      </c>
      <c r="C5225" s="10">
        <v>9</v>
      </c>
      <c r="D5225" s="10">
        <v>3</v>
      </c>
      <c r="E5225" s="10">
        <v>20</v>
      </c>
      <c r="F5225" t="s">
        <v>923</v>
      </c>
      <c r="G5225" t="s">
        <v>708</v>
      </c>
      <c r="H5225" t="s">
        <v>131</v>
      </c>
      <c r="I5225" t="s">
        <v>27</v>
      </c>
      <c r="J5225">
        <v>24.99</v>
      </c>
      <c r="K5225" s="10">
        <v>1</v>
      </c>
      <c r="L5225">
        <v>24.99</v>
      </c>
      <c r="M5225">
        <v>24.99</v>
      </c>
      <c r="N5225" s="5">
        <v>1.2776073619631902</v>
      </c>
      <c r="O5225" t="s">
        <v>1472</v>
      </c>
      <c r="P5225" t="s">
        <v>340</v>
      </c>
      <c r="Q5225" s="10" t="s">
        <v>24</v>
      </c>
    </row>
    <row r="5226" spans="1:18" hidden="1" x14ac:dyDescent="0.25">
      <c r="A5226" s="9" t="s">
        <v>2352</v>
      </c>
      <c r="B5226" s="3" t="s">
        <v>2331</v>
      </c>
      <c r="C5226" s="10">
        <v>9</v>
      </c>
      <c r="D5226" s="10">
        <v>3</v>
      </c>
      <c r="E5226" s="10">
        <v>20</v>
      </c>
      <c r="F5226" t="s">
        <v>2369</v>
      </c>
      <c r="G5226" t="s">
        <v>889</v>
      </c>
      <c r="H5226" t="s">
        <v>26</v>
      </c>
      <c r="I5226" t="s">
        <v>27</v>
      </c>
      <c r="J5226">
        <v>9.9</v>
      </c>
      <c r="K5226" s="10">
        <v>1</v>
      </c>
      <c r="L5226">
        <v>9.9</v>
      </c>
      <c r="M5226">
        <v>9.9</v>
      </c>
      <c r="N5226" s="5">
        <v>0.50613496932515345</v>
      </c>
      <c r="O5226" t="s">
        <v>1472</v>
      </c>
      <c r="P5226" t="s">
        <v>340</v>
      </c>
      <c r="Q5226" s="10" t="s">
        <v>24</v>
      </c>
    </row>
    <row r="5227" spans="1:18" hidden="1" x14ac:dyDescent="0.25">
      <c r="A5227" s="9" t="s">
        <v>2352</v>
      </c>
      <c r="B5227" s="3" t="s">
        <v>2331</v>
      </c>
      <c r="C5227" s="10">
        <v>9</v>
      </c>
      <c r="D5227" s="10">
        <v>3</v>
      </c>
      <c r="E5227" s="10">
        <v>20</v>
      </c>
      <c r="F5227" t="s">
        <v>770</v>
      </c>
      <c r="G5227" t="s">
        <v>31</v>
      </c>
      <c r="H5227" t="s">
        <v>26</v>
      </c>
      <c r="I5227" t="s">
        <v>27</v>
      </c>
      <c r="J5227">
        <v>7.9</v>
      </c>
      <c r="K5227" s="10">
        <v>1</v>
      </c>
      <c r="L5227">
        <v>7.9</v>
      </c>
      <c r="M5227">
        <v>7.9</v>
      </c>
      <c r="N5227" s="5">
        <v>0.40388548057259716</v>
      </c>
      <c r="O5227" t="s">
        <v>1472</v>
      </c>
      <c r="P5227" t="s">
        <v>340</v>
      </c>
      <c r="Q5227" s="10" t="s">
        <v>24</v>
      </c>
    </row>
    <row r="5228" spans="1:18" hidden="1" x14ac:dyDescent="0.25">
      <c r="A5228" s="9" t="s">
        <v>2352</v>
      </c>
      <c r="B5228" s="3" t="s">
        <v>2331</v>
      </c>
      <c r="C5228" s="10">
        <v>9</v>
      </c>
      <c r="D5228" s="10">
        <v>3</v>
      </c>
      <c r="E5228" s="10">
        <v>20</v>
      </c>
      <c r="F5228" t="s">
        <v>2242</v>
      </c>
      <c r="G5228" t="s">
        <v>889</v>
      </c>
      <c r="H5228" t="s">
        <v>26</v>
      </c>
      <c r="I5228" t="s">
        <v>27</v>
      </c>
      <c r="J5228">
        <v>6.7</v>
      </c>
      <c r="K5228" s="10">
        <v>1</v>
      </c>
      <c r="L5228">
        <v>6.7</v>
      </c>
      <c r="M5228">
        <v>6.7</v>
      </c>
      <c r="N5228" s="5">
        <v>0.34253578732106343</v>
      </c>
      <c r="O5228" t="s">
        <v>1472</v>
      </c>
      <c r="P5228" t="s">
        <v>340</v>
      </c>
      <c r="Q5228" s="10" t="s">
        <v>24</v>
      </c>
    </row>
    <row r="5229" spans="1:18" hidden="1" x14ac:dyDescent="0.25">
      <c r="A5229" s="9" t="s">
        <v>2352</v>
      </c>
      <c r="B5229" s="3" t="s">
        <v>2331</v>
      </c>
      <c r="C5229" s="10">
        <v>9</v>
      </c>
      <c r="D5229" s="10">
        <v>3</v>
      </c>
      <c r="E5229" s="10">
        <v>20</v>
      </c>
      <c r="F5229" t="s">
        <v>676</v>
      </c>
      <c r="G5229" t="s">
        <v>39</v>
      </c>
      <c r="H5229" t="s">
        <v>131</v>
      </c>
      <c r="I5229" t="s">
        <v>27</v>
      </c>
      <c r="J5229">
        <v>5.3</v>
      </c>
      <c r="K5229" s="10">
        <v>2</v>
      </c>
      <c r="L5229">
        <v>5.3</v>
      </c>
      <c r="M5229">
        <v>10.6</v>
      </c>
      <c r="N5229" s="5">
        <v>0.54192229038854811</v>
      </c>
      <c r="O5229" t="s">
        <v>1472</v>
      </c>
      <c r="P5229" t="s">
        <v>340</v>
      </c>
      <c r="Q5229" s="10" t="s">
        <v>24</v>
      </c>
    </row>
    <row r="5230" spans="1:18" hidden="1" x14ac:dyDescent="0.25">
      <c r="A5230" s="9" t="s">
        <v>2352</v>
      </c>
      <c r="B5230" s="3" t="s">
        <v>2331</v>
      </c>
      <c r="C5230" s="10">
        <v>9</v>
      </c>
      <c r="D5230" s="10">
        <v>3</v>
      </c>
      <c r="E5230" s="10">
        <v>20</v>
      </c>
      <c r="F5230" t="s">
        <v>126</v>
      </c>
      <c r="G5230" t="s">
        <v>889</v>
      </c>
      <c r="H5230" t="s">
        <v>63</v>
      </c>
      <c r="I5230" t="s">
        <v>27</v>
      </c>
      <c r="J5230">
        <v>55</v>
      </c>
      <c r="K5230" s="10">
        <v>1</v>
      </c>
      <c r="L5230">
        <v>55</v>
      </c>
      <c r="M5230">
        <v>55</v>
      </c>
      <c r="N5230" s="5">
        <v>2.8118609406952966</v>
      </c>
      <c r="O5230" t="s">
        <v>1472</v>
      </c>
      <c r="P5230" t="s">
        <v>340</v>
      </c>
      <c r="Q5230" s="10" t="s">
        <v>24</v>
      </c>
    </row>
    <row r="5231" spans="1:18" hidden="1" x14ac:dyDescent="0.25">
      <c r="A5231" s="9" t="s">
        <v>2352</v>
      </c>
      <c r="B5231" s="3" t="s">
        <v>2331</v>
      </c>
      <c r="C5231" s="10">
        <v>9</v>
      </c>
      <c r="D5231" s="10">
        <v>3</v>
      </c>
      <c r="E5231" s="10">
        <v>20</v>
      </c>
      <c r="F5231" t="s">
        <v>99</v>
      </c>
      <c r="G5231" t="s">
        <v>889</v>
      </c>
      <c r="H5231" t="s">
        <v>40</v>
      </c>
      <c r="I5231" t="s">
        <v>27</v>
      </c>
      <c r="J5231">
        <v>6.95</v>
      </c>
      <c r="K5231" s="10">
        <v>1</v>
      </c>
      <c r="L5231">
        <v>6.95</v>
      </c>
      <c r="M5231">
        <v>6.95</v>
      </c>
      <c r="N5231" s="5">
        <v>0.35531697341513296</v>
      </c>
      <c r="O5231" t="s">
        <v>1472</v>
      </c>
      <c r="P5231" t="s">
        <v>340</v>
      </c>
      <c r="Q5231" s="10" t="s">
        <v>24</v>
      </c>
    </row>
    <row r="5232" spans="1:18" hidden="1" x14ac:dyDescent="0.25">
      <c r="A5232" s="9" t="s">
        <v>2352</v>
      </c>
      <c r="B5232" s="3" t="s">
        <v>2331</v>
      </c>
      <c r="C5232" s="10">
        <v>9</v>
      </c>
      <c r="D5232" s="10">
        <v>3</v>
      </c>
      <c r="E5232" s="10">
        <v>20</v>
      </c>
      <c r="F5232" t="s">
        <v>2369</v>
      </c>
      <c r="G5232" t="s">
        <v>889</v>
      </c>
      <c r="H5232" t="s">
        <v>26</v>
      </c>
      <c r="I5232" t="s">
        <v>27</v>
      </c>
      <c r="J5232">
        <v>9.9</v>
      </c>
      <c r="K5232" s="10">
        <v>1</v>
      </c>
      <c r="L5232">
        <v>9.9</v>
      </c>
      <c r="M5232">
        <v>9.9</v>
      </c>
      <c r="N5232" s="5">
        <v>0.50613496932515345</v>
      </c>
      <c r="O5232" t="s">
        <v>1472</v>
      </c>
      <c r="P5232" t="s">
        <v>340</v>
      </c>
      <c r="Q5232" s="10" t="s">
        <v>24</v>
      </c>
    </row>
    <row r="5233" spans="1:18" hidden="1" x14ac:dyDescent="0.25">
      <c r="A5233" s="9" t="s">
        <v>2352</v>
      </c>
      <c r="B5233" s="3" t="s">
        <v>2331</v>
      </c>
      <c r="C5233" s="10">
        <v>9</v>
      </c>
      <c r="D5233" s="10">
        <v>3</v>
      </c>
      <c r="E5233" s="10">
        <v>20</v>
      </c>
      <c r="F5233" t="s">
        <v>1464</v>
      </c>
      <c r="G5233" t="s">
        <v>889</v>
      </c>
      <c r="H5233" t="s">
        <v>131</v>
      </c>
      <c r="I5233" t="s">
        <v>27</v>
      </c>
      <c r="J5233">
        <v>46.25</v>
      </c>
      <c r="K5233" s="10">
        <v>1</v>
      </c>
      <c r="L5233">
        <v>46.25</v>
      </c>
      <c r="M5233">
        <v>46.25</v>
      </c>
      <c r="N5233" s="5">
        <v>2.3645194274028634</v>
      </c>
      <c r="O5233" t="s">
        <v>1472</v>
      </c>
      <c r="P5233" t="s">
        <v>340</v>
      </c>
      <c r="Q5233" s="10" t="s">
        <v>24</v>
      </c>
    </row>
    <row r="5234" spans="1:18" hidden="1" x14ac:dyDescent="0.25">
      <c r="A5234" s="9" t="s">
        <v>2352</v>
      </c>
      <c r="B5234" s="3" t="s">
        <v>2331</v>
      </c>
      <c r="C5234" s="10">
        <v>9</v>
      </c>
      <c r="D5234" s="10">
        <v>3</v>
      </c>
      <c r="E5234" s="10">
        <v>20</v>
      </c>
      <c r="F5234" t="s">
        <v>2370</v>
      </c>
      <c r="G5234" t="s">
        <v>889</v>
      </c>
      <c r="H5234" t="s">
        <v>131</v>
      </c>
      <c r="I5234" t="s">
        <v>27</v>
      </c>
      <c r="J5234">
        <v>11.15</v>
      </c>
      <c r="K5234" s="10">
        <v>1</v>
      </c>
      <c r="L5234">
        <v>11.15</v>
      </c>
      <c r="M5234">
        <v>11.15</v>
      </c>
      <c r="N5234" s="5">
        <v>0.5700408997955011</v>
      </c>
      <c r="O5234" t="s">
        <v>1472</v>
      </c>
      <c r="P5234" t="s">
        <v>340</v>
      </c>
      <c r="Q5234" s="10" t="s">
        <v>24</v>
      </c>
    </row>
    <row r="5235" spans="1:18" hidden="1" x14ac:dyDescent="0.25">
      <c r="A5235" s="9" t="s">
        <v>2352</v>
      </c>
      <c r="B5235" s="3" t="s">
        <v>2331</v>
      </c>
      <c r="C5235" s="10">
        <v>9</v>
      </c>
      <c r="D5235" s="10">
        <v>3</v>
      </c>
      <c r="E5235" s="10">
        <v>20</v>
      </c>
      <c r="F5235" t="s">
        <v>1470</v>
      </c>
      <c r="G5235" t="s">
        <v>889</v>
      </c>
      <c r="H5235" t="s">
        <v>131</v>
      </c>
      <c r="I5235" t="s">
        <v>27</v>
      </c>
      <c r="J5235">
        <v>12.6</v>
      </c>
      <c r="K5235" s="10">
        <v>1</v>
      </c>
      <c r="L5235">
        <v>12.6</v>
      </c>
      <c r="M5235">
        <v>12.6</v>
      </c>
      <c r="N5235" s="5">
        <v>0.64417177914110435</v>
      </c>
      <c r="O5235" t="s">
        <v>1472</v>
      </c>
      <c r="P5235" t="s">
        <v>340</v>
      </c>
      <c r="Q5235" s="10" t="s">
        <v>24</v>
      </c>
    </row>
    <row r="5236" spans="1:18" hidden="1" x14ac:dyDescent="0.25">
      <c r="A5236" s="9" t="s">
        <v>2352</v>
      </c>
      <c r="B5236" s="3" t="s">
        <v>2331</v>
      </c>
      <c r="C5236" s="10">
        <v>9</v>
      </c>
      <c r="D5236" s="10">
        <v>3</v>
      </c>
      <c r="E5236" s="10">
        <v>20</v>
      </c>
      <c r="F5236" t="s">
        <v>200</v>
      </c>
      <c r="G5236" t="s">
        <v>77</v>
      </c>
      <c r="H5236" t="s">
        <v>26</v>
      </c>
      <c r="I5236" t="s">
        <v>27</v>
      </c>
      <c r="J5236">
        <v>21.3</v>
      </c>
      <c r="K5236" s="10">
        <v>1</v>
      </c>
      <c r="L5236">
        <v>21.3</v>
      </c>
      <c r="M5236">
        <v>21.3</v>
      </c>
      <c r="N5236" s="5">
        <v>1.0889570552147241</v>
      </c>
      <c r="O5236" t="s">
        <v>1472</v>
      </c>
      <c r="P5236" t="s">
        <v>340</v>
      </c>
      <c r="Q5236" s="10" t="s">
        <v>24</v>
      </c>
    </row>
    <row r="5237" spans="1:18" hidden="1" x14ac:dyDescent="0.25">
      <c r="A5237" s="9" t="s">
        <v>2352</v>
      </c>
      <c r="B5237" s="3" t="s">
        <v>2331</v>
      </c>
      <c r="C5237" s="10">
        <v>9</v>
      </c>
      <c r="D5237" s="10">
        <v>3</v>
      </c>
      <c r="E5237" s="10">
        <v>20</v>
      </c>
      <c r="F5237" t="s">
        <v>676</v>
      </c>
      <c r="G5237" t="s">
        <v>39</v>
      </c>
      <c r="H5237" t="s">
        <v>131</v>
      </c>
      <c r="I5237" t="s">
        <v>27</v>
      </c>
      <c r="J5237">
        <v>5.3</v>
      </c>
      <c r="K5237" s="10">
        <v>3</v>
      </c>
      <c r="L5237">
        <v>5.3</v>
      </c>
      <c r="M5237">
        <v>15.899999999999999</v>
      </c>
      <c r="N5237" s="5">
        <v>0.81288343558282206</v>
      </c>
      <c r="O5237" t="s">
        <v>1472</v>
      </c>
      <c r="P5237" t="s">
        <v>340</v>
      </c>
      <c r="Q5237" s="10" t="s">
        <v>24</v>
      </c>
    </row>
    <row r="5238" spans="1:18" hidden="1" x14ac:dyDescent="0.25">
      <c r="A5238" s="9" t="s">
        <v>2352</v>
      </c>
      <c r="B5238" s="3" t="s">
        <v>2331</v>
      </c>
      <c r="C5238" s="10">
        <v>9</v>
      </c>
      <c r="D5238" s="10">
        <v>3</v>
      </c>
      <c r="E5238" s="10">
        <v>20</v>
      </c>
      <c r="F5238" t="s">
        <v>2242</v>
      </c>
      <c r="G5238" t="s">
        <v>889</v>
      </c>
      <c r="H5238" t="s">
        <v>26</v>
      </c>
      <c r="I5238" t="s">
        <v>27</v>
      </c>
      <c r="J5238">
        <v>6.7</v>
      </c>
      <c r="K5238" s="10">
        <v>1</v>
      </c>
      <c r="L5238">
        <v>6.7</v>
      </c>
      <c r="M5238">
        <v>6.7</v>
      </c>
      <c r="N5238" s="5">
        <v>0.34253578732106343</v>
      </c>
      <c r="O5238" t="s">
        <v>1472</v>
      </c>
      <c r="P5238" t="s">
        <v>340</v>
      </c>
      <c r="Q5238" s="10" t="s">
        <v>24</v>
      </c>
    </row>
    <row r="5239" spans="1:18" x14ac:dyDescent="0.25">
      <c r="A5239" s="9" t="s">
        <v>2352</v>
      </c>
      <c r="B5239" s="3" t="s">
        <v>2452</v>
      </c>
      <c r="C5239" s="10">
        <v>31</v>
      </c>
      <c r="D5239" s="10">
        <v>3</v>
      </c>
      <c r="E5239" s="10">
        <v>20</v>
      </c>
      <c r="F5239" t="s">
        <v>2182</v>
      </c>
      <c r="G5239" t="s">
        <v>2190</v>
      </c>
      <c r="H5239" t="s">
        <v>2093</v>
      </c>
      <c r="I5239" t="s">
        <v>50</v>
      </c>
      <c r="J5239">
        <v>4.875</v>
      </c>
      <c r="K5239" s="10">
        <v>80</v>
      </c>
      <c r="L5239">
        <v>4.875</v>
      </c>
      <c r="M5239">
        <v>390</v>
      </c>
      <c r="N5239" s="5">
        <v>19.938650306748468</v>
      </c>
      <c r="O5239" t="s">
        <v>2447</v>
      </c>
      <c r="P5239" t="s">
        <v>340</v>
      </c>
      <c r="Q5239" s="10" t="s">
        <v>2468</v>
      </c>
    </row>
    <row r="5240" spans="1:18" x14ac:dyDescent="0.25">
      <c r="A5240" s="9" t="s">
        <v>2352</v>
      </c>
      <c r="B5240" s="3" t="s">
        <v>2452</v>
      </c>
      <c r="C5240" s="10">
        <v>31</v>
      </c>
      <c r="D5240" s="10">
        <v>3</v>
      </c>
      <c r="E5240" s="10">
        <v>20</v>
      </c>
      <c r="F5240" t="s">
        <v>2448</v>
      </c>
      <c r="G5240" t="s">
        <v>889</v>
      </c>
      <c r="H5240" t="s">
        <v>2126</v>
      </c>
      <c r="I5240" t="s">
        <v>50</v>
      </c>
      <c r="J5240">
        <v>15</v>
      </c>
      <c r="K5240" s="10">
        <v>3</v>
      </c>
      <c r="L5240">
        <v>15</v>
      </c>
      <c r="M5240">
        <v>45</v>
      </c>
      <c r="N5240" s="5">
        <v>2.3006134969325154</v>
      </c>
      <c r="O5240" t="s">
        <v>2447</v>
      </c>
      <c r="P5240" t="s">
        <v>340</v>
      </c>
      <c r="Q5240" s="10" t="s">
        <v>2468</v>
      </c>
    </row>
    <row r="5241" spans="1:18" x14ac:dyDescent="0.25">
      <c r="A5241" s="9" t="s">
        <v>2352</v>
      </c>
      <c r="B5241" s="3" t="s">
        <v>2452</v>
      </c>
      <c r="C5241" s="10">
        <v>31</v>
      </c>
      <c r="D5241" s="10">
        <v>3</v>
      </c>
      <c r="E5241" s="10">
        <v>20</v>
      </c>
      <c r="F5241" t="s">
        <v>2449</v>
      </c>
      <c r="G5241" t="s">
        <v>889</v>
      </c>
      <c r="H5241" t="s">
        <v>2126</v>
      </c>
      <c r="I5241" t="s">
        <v>50</v>
      </c>
      <c r="J5241">
        <v>44</v>
      </c>
      <c r="K5241" s="10">
        <v>1</v>
      </c>
      <c r="L5241">
        <v>44</v>
      </c>
      <c r="M5241">
        <v>44</v>
      </c>
      <c r="N5241" s="5">
        <v>2.2494887525562373</v>
      </c>
      <c r="O5241" t="s">
        <v>2447</v>
      </c>
      <c r="P5241" t="s">
        <v>340</v>
      </c>
      <c r="Q5241" s="10" t="s">
        <v>2468</v>
      </c>
    </row>
    <row r="5242" spans="1:18" x14ac:dyDescent="0.25">
      <c r="A5242" s="9" t="s">
        <v>2352</v>
      </c>
      <c r="B5242" s="3" t="s">
        <v>2452</v>
      </c>
      <c r="C5242" s="10">
        <v>31</v>
      </c>
      <c r="D5242" s="10">
        <v>3</v>
      </c>
      <c r="E5242" s="10">
        <v>20</v>
      </c>
      <c r="F5242" t="s">
        <v>2450</v>
      </c>
      <c r="G5242" t="s">
        <v>889</v>
      </c>
      <c r="H5242" t="s">
        <v>2126</v>
      </c>
      <c r="I5242" t="s">
        <v>50</v>
      </c>
      <c r="J5242">
        <v>62</v>
      </c>
      <c r="K5242" s="10">
        <v>1</v>
      </c>
      <c r="L5242">
        <v>62</v>
      </c>
      <c r="M5242">
        <v>62</v>
      </c>
      <c r="N5242" s="5">
        <v>3.1697341513292434</v>
      </c>
      <c r="O5242" t="s">
        <v>2447</v>
      </c>
      <c r="P5242" t="s">
        <v>340</v>
      </c>
      <c r="Q5242" s="10" t="s">
        <v>2468</v>
      </c>
    </row>
    <row r="5243" spans="1:18" x14ac:dyDescent="0.25">
      <c r="A5243" s="9" t="s">
        <v>2352</v>
      </c>
      <c r="B5243" s="3" t="s">
        <v>2452</v>
      </c>
      <c r="C5243" s="10">
        <v>31</v>
      </c>
      <c r="D5243" s="10">
        <v>3</v>
      </c>
      <c r="E5243" s="10">
        <v>20</v>
      </c>
      <c r="F5243" t="s">
        <v>2451</v>
      </c>
      <c r="G5243" t="s">
        <v>889</v>
      </c>
      <c r="H5243" t="s">
        <v>59</v>
      </c>
      <c r="I5243" t="s">
        <v>27</v>
      </c>
      <c r="J5243">
        <v>69</v>
      </c>
      <c r="K5243" s="10">
        <v>1</v>
      </c>
      <c r="L5243">
        <v>69</v>
      </c>
      <c r="M5243">
        <v>69</v>
      </c>
      <c r="N5243" s="5">
        <v>3.5276073619631902</v>
      </c>
      <c r="O5243" t="s">
        <v>2447</v>
      </c>
      <c r="P5243" t="s">
        <v>340</v>
      </c>
      <c r="Q5243" s="10" t="s">
        <v>2468</v>
      </c>
    </row>
    <row r="5244" spans="1:18" hidden="1" x14ac:dyDescent="0.25">
      <c r="A5244" s="9" t="s">
        <v>2458</v>
      </c>
      <c r="B5244" s="3" t="s">
        <v>2459</v>
      </c>
      <c r="C5244" s="10">
        <v>1</v>
      </c>
      <c r="D5244" s="10">
        <v>4</v>
      </c>
      <c r="E5244" s="10">
        <v>20</v>
      </c>
      <c r="F5244" t="s">
        <v>104</v>
      </c>
      <c r="G5244" t="s">
        <v>889</v>
      </c>
      <c r="H5244" t="s">
        <v>889</v>
      </c>
      <c r="I5244" t="s">
        <v>72</v>
      </c>
      <c r="J5244">
        <v>70.25</v>
      </c>
      <c r="K5244" s="10">
        <v>1</v>
      </c>
      <c r="L5244">
        <v>70.25</v>
      </c>
      <c r="M5244">
        <v>70.25</v>
      </c>
      <c r="N5244" s="5">
        <v>3.5915132924335382</v>
      </c>
      <c r="O5244" t="s">
        <v>243</v>
      </c>
      <c r="P5244" t="s">
        <v>340</v>
      </c>
      <c r="Q5244" s="10" t="s">
        <v>84</v>
      </c>
      <c r="R5244" t="s">
        <v>2453</v>
      </c>
    </row>
    <row r="5245" spans="1:18" x14ac:dyDescent="0.25">
      <c r="A5245" s="9" t="s">
        <v>2458</v>
      </c>
      <c r="B5245" s="3" t="s">
        <v>2459</v>
      </c>
      <c r="C5245" s="10">
        <v>1</v>
      </c>
      <c r="D5245" s="10">
        <v>4</v>
      </c>
      <c r="E5245" s="10">
        <v>20</v>
      </c>
      <c r="F5245" t="s">
        <v>104</v>
      </c>
      <c r="G5245" t="s">
        <v>889</v>
      </c>
      <c r="H5245" t="s">
        <v>2093</v>
      </c>
      <c r="I5245" t="s">
        <v>72</v>
      </c>
      <c r="J5245">
        <v>465.48</v>
      </c>
      <c r="K5245" s="10">
        <v>1</v>
      </c>
      <c r="L5245">
        <v>465.48</v>
      </c>
      <c r="M5245">
        <v>465.48</v>
      </c>
      <c r="N5245" s="5">
        <v>23.79754601226994</v>
      </c>
      <c r="O5245" t="s">
        <v>243</v>
      </c>
      <c r="P5245" t="s">
        <v>340</v>
      </c>
      <c r="Q5245" s="10" t="s">
        <v>2468</v>
      </c>
      <c r="R5245" t="s">
        <v>2398</v>
      </c>
    </row>
    <row r="5246" spans="1:18" hidden="1" x14ac:dyDescent="0.25">
      <c r="A5246" s="9" t="s">
        <v>2458</v>
      </c>
      <c r="B5246" s="3" t="s">
        <v>2459</v>
      </c>
      <c r="C5246" s="10">
        <v>1</v>
      </c>
      <c r="D5246" s="10">
        <v>4</v>
      </c>
      <c r="E5246" s="10">
        <v>20</v>
      </c>
      <c r="F5246" t="s">
        <v>104</v>
      </c>
      <c r="G5246" t="s">
        <v>889</v>
      </c>
      <c r="H5246" t="s">
        <v>889</v>
      </c>
      <c r="I5246" t="s">
        <v>72</v>
      </c>
      <c r="J5246">
        <v>63.17</v>
      </c>
      <c r="K5246" s="10">
        <v>1</v>
      </c>
      <c r="L5246">
        <v>63.17</v>
      </c>
      <c r="M5246">
        <v>63.17</v>
      </c>
      <c r="N5246" s="5">
        <v>3.229550102249489</v>
      </c>
      <c r="O5246" t="s">
        <v>243</v>
      </c>
      <c r="P5246" t="s">
        <v>340</v>
      </c>
      <c r="Q5246" s="10" t="s">
        <v>84</v>
      </c>
      <c r="R5246" t="s">
        <v>2454</v>
      </c>
    </row>
    <row r="5247" spans="1:18" hidden="1" x14ac:dyDescent="0.25">
      <c r="A5247" s="9" t="s">
        <v>2458</v>
      </c>
      <c r="B5247" s="3" t="s">
        <v>2459</v>
      </c>
      <c r="C5247" s="10">
        <v>1</v>
      </c>
      <c r="D5247" s="10">
        <v>4</v>
      </c>
      <c r="E5247" s="10">
        <v>20</v>
      </c>
      <c r="F5247" t="s">
        <v>104</v>
      </c>
      <c r="G5247" t="s">
        <v>889</v>
      </c>
      <c r="H5247" t="s">
        <v>889</v>
      </c>
      <c r="I5247" t="s">
        <v>72</v>
      </c>
      <c r="J5247">
        <v>42.03</v>
      </c>
      <c r="K5247" s="10">
        <v>2</v>
      </c>
      <c r="L5247">
        <v>42.03</v>
      </c>
      <c r="M5247">
        <v>84.06</v>
      </c>
      <c r="N5247" s="5">
        <v>4.2975460122699394</v>
      </c>
      <c r="O5247" t="s">
        <v>243</v>
      </c>
      <c r="P5247" t="s">
        <v>340</v>
      </c>
      <c r="Q5247" s="10" t="s">
        <v>84</v>
      </c>
      <c r="R5247" t="s">
        <v>2455</v>
      </c>
    </row>
    <row r="5248" spans="1:18" x14ac:dyDescent="0.25">
      <c r="A5248" s="9" t="s">
        <v>2458</v>
      </c>
      <c r="B5248" s="3" t="s">
        <v>2459</v>
      </c>
      <c r="C5248" s="10">
        <v>1</v>
      </c>
      <c r="D5248" s="10">
        <v>4</v>
      </c>
      <c r="E5248" s="10">
        <v>20</v>
      </c>
      <c r="F5248" t="s">
        <v>104</v>
      </c>
      <c r="G5248" t="s">
        <v>889</v>
      </c>
      <c r="H5248" t="s">
        <v>39</v>
      </c>
      <c r="I5248" t="s">
        <v>72</v>
      </c>
      <c r="J5248">
        <v>42.03</v>
      </c>
      <c r="K5248" s="10">
        <v>1</v>
      </c>
      <c r="L5248">
        <v>42.03</v>
      </c>
      <c r="M5248">
        <v>42.03</v>
      </c>
      <c r="N5248" s="5">
        <v>2.1487730061349697</v>
      </c>
      <c r="O5248" t="s">
        <v>243</v>
      </c>
      <c r="P5248" t="s">
        <v>340</v>
      </c>
      <c r="Q5248" s="10" t="s">
        <v>2468</v>
      </c>
      <c r="R5248" t="s">
        <v>1424</v>
      </c>
    </row>
    <row r="5249" spans="1:18" hidden="1" x14ac:dyDescent="0.25">
      <c r="A5249" s="9" t="s">
        <v>2458</v>
      </c>
      <c r="B5249" s="3" t="s">
        <v>2459</v>
      </c>
      <c r="C5249" s="10">
        <v>1</v>
      </c>
      <c r="D5249" s="10">
        <v>4</v>
      </c>
      <c r="E5249" s="10">
        <v>20</v>
      </c>
      <c r="F5249" t="s">
        <v>104</v>
      </c>
      <c r="G5249" t="s">
        <v>889</v>
      </c>
      <c r="H5249" t="s">
        <v>889</v>
      </c>
      <c r="I5249" t="s">
        <v>72</v>
      </c>
      <c r="J5249">
        <v>58.36</v>
      </c>
      <c r="K5249" s="10">
        <v>1</v>
      </c>
      <c r="L5249">
        <v>58.36</v>
      </c>
      <c r="M5249">
        <v>58.36</v>
      </c>
      <c r="N5249" s="5">
        <v>2.9836400817995909</v>
      </c>
      <c r="O5249" t="s">
        <v>243</v>
      </c>
      <c r="P5249" t="s">
        <v>340</v>
      </c>
      <c r="Q5249" s="10" t="s">
        <v>84</v>
      </c>
      <c r="R5249" t="s">
        <v>2456</v>
      </c>
    </row>
    <row r="5250" spans="1:18" hidden="1" x14ac:dyDescent="0.25">
      <c r="A5250" s="9" t="s">
        <v>2458</v>
      </c>
      <c r="B5250" s="3" t="s">
        <v>2459</v>
      </c>
      <c r="C5250" s="10">
        <v>1</v>
      </c>
      <c r="D5250" s="10">
        <v>4</v>
      </c>
      <c r="E5250" s="10">
        <v>20</v>
      </c>
      <c r="F5250" t="s">
        <v>104</v>
      </c>
      <c r="G5250" t="s">
        <v>889</v>
      </c>
      <c r="H5250" t="s">
        <v>889</v>
      </c>
      <c r="I5250" t="s">
        <v>72</v>
      </c>
      <c r="J5250">
        <v>40.56</v>
      </c>
      <c r="K5250" s="10">
        <v>1</v>
      </c>
      <c r="L5250">
        <v>40.56</v>
      </c>
      <c r="M5250">
        <v>40.56</v>
      </c>
      <c r="N5250" s="5">
        <v>2.073619631901841</v>
      </c>
      <c r="O5250" t="s">
        <v>243</v>
      </c>
      <c r="P5250" t="s">
        <v>340</v>
      </c>
      <c r="Q5250" s="10" t="s">
        <v>84</v>
      </c>
      <c r="R5250" t="s">
        <v>2457</v>
      </c>
    </row>
    <row r="5251" spans="1:18" x14ac:dyDescent="0.25">
      <c r="A5251" s="9" t="s">
        <v>2352</v>
      </c>
      <c r="B5251" s="3" t="s">
        <v>2461</v>
      </c>
      <c r="C5251" s="10">
        <v>29</v>
      </c>
      <c r="D5251" s="10">
        <v>3</v>
      </c>
      <c r="E5251" s="10">
        <v>20</v>
      </c>
      <c r="F5251" t="s">
        <v>203</v>
      </c>
      <c r="G5251" t="s">
        <v>889</v>
      </c>
      <c r="H5251" t="s">
        <v>54</v>
      </c>
      <c r="I5251" t="s">
        <v>27</v>
      </c>
      <c r="J5251">
        <v>12</v>
      </c>
      <c r="K5251" s="10">
        <v>2.0640000000000001</v>
      </c>
      <c r="L5251">
        <v>12</v>
      </c>
      <c r="M5251">
        <v>24.768000000000001</v>
      </c>
      <c r="N5251" s="5">
        <v>1.2662576687116565</v>
      </c>
      <c r="O5251" t="s">
        <v>101</v>
      </c>
      <c r="P5251" t="s">
        <v>340</v>
      </c>
      <c r="Q5251" s="10" t="s">
        <v>2468</v>
      </c>
    </row>
    <row r="5252" spans="1:18" x14ac:dyDescent="0.25">
      <c r="A5252" s="9" t="s">
        <v>2352</v>
      </c>
      <c r="B5252" s="3" t="s">
        <v>2461</v>
      </c>
      <c r="C5252" s="10">
        <v>29</v>
      </c>
      <c r="D5252" s="10">
        <v>3</v>
      </c>
      <c r="E5252" s="10">
        <v>20</v>
      </c>
      <c r="F5252" t="s">
        <v>125</v>
      </c>
      <c r="G5252" t="s">
        <v>889</v>
      </c>
      <c r="H5252" t="s">
        <v>54</v>
      </c>
      <c r="I5252" t="s">
        <v>27</v>
      </c>
      <c r="J5252">
        <v>7.5</v>
      </c>
      <c r="K5252" s="10">
        <v>1.03</v>
      </c>
      <c r="L5252">
        <v>7.5</v>
      </c>
      <c r="M5252">
        <v>7.7250000000000005</v>
      </c>
      <c r="N5252" s="5">
        <v>0.39493865030674852</v>
      </c>
      <c r="O5252" t="s">
        <v>101</v>
      </c>
      <c r="P5252" t="s">
        <v>340</v>
      </c>
      <c r="Q5252" s="10" t="s">
        <v>2468</v>
      </c>
    </row>
    <row r="5253" spans="1:18" x14ac:dyDescent="0.25">
      <c r="A5253" s="9" t="s">
        <v>2352</v>
      </c>
      <c r="B5253" s="3" t="s">
        <v>2461</v>
      </c>
      <c r="C5253" s="10">
        <v>29</v>
      </c>
      <c r="D5253" s="10">
        <v>3</v>
      </c>
      <c r="E5253" s="10">
        <v>20</v>
      </c>
      <c r="F5253" t="s">
        <v>112</v>
      </c>
      <c r="G5253" t="s">
        <v>889</v>
      </c>
      <c r="H5253" t="s">
        <v>56</v>
      </c>
      <c r="I5253" t="s">
        <v>27</v>
      </c>
      <c r="J5253">
        <v>26</v>
      </c>
      <c r="K5253" s="10">
        <v>1.39</v>
      </c>
      <c r="L5253">
        <v>26</v>
      </c>
      <c r="M5253">
        <v>36.14</v>
      </c>
      <c r="N5253" s="5">
        <v>1.8476482617586913</v>
      </c>
      <c r="O5253" t="s">
        <v>101</v>
      </c>
      <c r="P5253" t="s">
        <v>340</v>
      </c>
      <c r="Q5253" s="10" t="s">
        <v>2468</v>
      </c>
    </row>
    <row r="5254" spans="1:18" x14ac:dyDescent="0.25">
      <c r="A5254" s="9" t="s">
        <v>2352</v>
      </c>
      <c r="B5254" s="3" t="s">
        <v>2461</v>
      </c>
      <c r="C5254" s="10">
        <v>29</v>
      </c>
      <c r="D5254" s="10">
        <v>3</v>
      </c>
      <c r="E5254" s="10">
        <v>20</v>
      </c>
      <c r="F5254" t="s">
        <v>865</v>
      </c>
      <c r="G5254" t="s">
        <v>31</v>
      </c>
      <c r="H5254" t="s">
        <v>26</v>
      </c>
      <c r="I5254" t="s">
        <v>27</v>
      </c>
      <c r="J5254">
        <v>7.5</v>
      </c>
      <c r="K5254" s="10">
        <v>1</v>
      </c>
      <c r="L5254">
        <v>7.5</v>
      </c>
      <c r="M5254">
        <v>7.5</v>
      </c>
      <c r="N5254" s="5">
        <v>0.3834355828220859</v>
      </c>
      <c r="O5254" t="s">
        <v>101</v>
      </c>
      <c r="P5254" t="s">
        <v>340</v>
      </c>
      <c r="Q5254" s="10" t="s">
        <v>2468</v>
      </c>
    </row>
    <row r="5255" spans="1:18" x14ac:dyDescent="0.25">
      <c r="A5255" s="9" t="s">
        <v>2352</v>
      </c>
      <c r="B5255" s="3" t="s">
        <v>2461</v>
      </c>
      <c r="C5255" s="10">
        <v>29</v>
      </c>
      <c r="D5255" s="10">
        <v>3</v>
      </c>
      <c r="E5255" s="10">
        <v>20</v>
      </c>
      <c r="F5255" t="s">
        <v>676</v>
      </c>
      <c r="G5255" t="s">
        <v>39</v>
      </c>
      <c r="H5255" t="s">
        <v>131</v>
      </c>
      <c r="I5255" t="s">
        <v>27</v>
      </c>
      <c r="J5255">
        <v>5.75</v>
      </c>
      <c r="K5255" s="10">
        <v>3</v>
      </c>
      <c r="L5255">
        <v>5.75</v>
      </c>
      <c r="M5255">
        <v>17.25</v>
      </c>
      <c r="N5255" s="5">
        <v>0.88190184049079756</v>
      </c>
      <c r="O5255" t="s">
        <v>101</v>
      </c>
      <c r="P5255" t="s">
        <v>340</v>
      </c>
      <c r="Q5255" s="10" t="s">
        <v>2468</v>
      </c>
    </row>
    <row r="5256" spans="1:18" x14ac:dyDescent="0.25">
      <c r="A5256" s="9" t="s">
        <v>2352</v>
      </c>
      <c r="B5256" s="3" t="s">
        <v>2461</v>
      </c>
      <c r="C5256" s="10">
        <v>29</v>
      </c>
      <c r="D5256" s="10">
        <v>3</v>
      </c>
      <c r="E5256" s="10">
        <v>20</v>
      </c>
      <c r="F5256" t="s">
        <v>2460</v>
      </c>
      <c r="G5256" t="s">
        <v>889</v>
      </c>
      <c r="H5256" t="s">
        <v>65</v>
      </c>
      <c r="I5256" t="s">
        <v>27</v>
      </c>
      <c r="J5256">
        <v>25.5</v>
      </c>
      <c r="K5256" s="10">
        <v>3</v>
      </c>
      <c r="L5256">
        <v>25.5</v>
      </c>
      <c r="M5256">
        <v>76.5</v>
      </c>
      <c r="N5256" s="5">
        <v>3.9110429447852764</v>
      </c>
      <c r="O5256" t="s">
        <v>101</v>
      </c>
      <c r="P5256" t="s">
        <v>340</v>
      </c>
      <c r="Q5256" s="10" t="s">
        <v>2468</v>
      </c>
    </row>
    <row r="5257" spans="1:18" x14ac:dyDescent="0.25">
      <c r="A5257" s="9" t="s">
        <v>2352</v>
      </c>
      <c r="B5257" s="3" t="s">
        <v>2461</v>
      </c>
      <c r="C5257" s="10">
        <v>29</v>
      </c>
      <c r="D5257" s="10">
        <v>3</v>
      </c>
      <c r="E5257" s="10">
        <v>20</v>
      </c>
      <c r="F5257" t="s">
        <v>2363</v>
      </c>
      <c r="G5257" t="s">
        <v>889</v>
      </c>
      <c r="H5257" t="s">
        <v>65</v>
      </c>
      <c r="I5257" t="s">
        <v>27</v>
      </c>
      <c r="J5257">
        <v>22</v>
      </c>
      <c r="K5257" s="10">
        <v>2</v>
      </c>
      <c r="L5257">
        <v>22</v>
      </c>
      <c r="M5257">
        <v>44</v>
      </c>
      <c r="N5257" s="5">
        <v>2.2494887525562373</v>
      </c>
      <c r="O5257" t="s">
        <v>101</v>
      </c>
      <c r="P5257" t="s">
        <v>340</v>
      </c>
      <c r="Q5257" s="10" t="s">
        <v>2468</v>
      </c>
    </row>
    <row r="5258" spans="1:18" x14ac:dyDescent="0.25">
      <c r="A5258" s="9" t="s">
        <v>2352</v>
      </c>
      <c r="B5258" s="3" t="s">
        <v>2461</v>
      </c>
      <c r="C5258" s="10">
        <v>29</v>
      </c>
      <c r="D5258" s="10">
        <v>3</v>
      </c>
      <c r="E5258" s="10">
        <v>20</v>
      </c>
      <c r="F5258" t="s">
        <v>1793</v>
      </c>
      <c r="G5258" t="s">
        <v>889</v>
      </c>
      <c r="H5258" t="s">
        <v>65</v>
      </c>
      <c r="I5258" t="s">
        <v>27</v>
      </c>
      <c r="J5258">
        <v>25.5</v>
      </c>
      <c r="K5258" s="10">
        <v>2</v>
      </c>
      <c r="L5258">
        <v>25.5</v>
      </c>
      <c r="M5258">
        <v>51</v>
      </c>
      <c r="N5258" s="5">
        <v>2.6073619631901841</v>
      </c>
      <c r="O5258" t="s">
        <v>101</v>
      </c>
      <c r="P5258" t="s">
        <v>340</v>
      </c>
      <c r="Q5258" s="10" t="s">
        <v>2468</v>
      </c>
    </row>
    <row r="5259" spans="1:18" x14ac:dyDescent="0.25">
      <c r="A5259" s="9" t="s">
        <v>2352</v>
      </c>
      <c r="B5259" s="3" t="s">
        <v>2461</v>
      </c>
      <c r="C5259" s="10">
        <v>29</v>
      </c>
      <c r="D5259" s="10">
        <v>3</v>
      </c>
      <c r="E5259" s="10">
        <v>20</v>
      </c>
      <c r="F5259" t="s">
        <v>234</v>
      </c>
      <c r="G5259" t="s">
        <v>889</v>
      </c>
      <c r="H5259" t="s">
        <v>53</v>
      </c>
      <c r="I5259" t="s">
        <v>27</v>
      </c>
      <c r="J5259">
        <v>21</v>
      </c>
      <c r="K5259" s="10">
        <v>2</v>
      </c>
      <c r="L5259">
        <v>21</v>
      </c>
      <c r="M5259">
        <v>42</v>
      </c>
      <c r="N5259" s="5">
        <v>2.147239263803681</v>
      </c>
      <c r="O5259" t="s">
        <v>101</v>
      </c>
      <c r="P5259" t="s">
        <v>340</v>
      </c>
      <c r="Q5259" s="10" t="s">
        <v>2468</v>
      </c>
    </row>
    <row r="5260" spans="1:18" x14ac:dyDescent="0.25">
      <c r="A5260" s="9" t="s">
        <v>2352</v>
      </c>
      <c r="B5260" s="3" t="s">
        <v>2461</v>
      </c>
      <c r="C5260" s="10">
        <v>29</v>
      </c>
      <c r="D5260" s="10">
        <v>3</v>
      </c>
      <c r="E5260" s="10">
        <v>20</v>
      </c>
      <c r="F5260" t="s">
        <v>203</v>
      </c>
      <c r="G5260" t="s">
        <v>889</v>
      </c>
      <c r="H5260" t="s">
        <v>54</v>
      </c>
      <c r="I5260" t="s">
        <v>27</v>
      </c>
      <c r="J5260">
        <v>12</v>
      </c>
      <c r="K5260" s="10">
        <v>1.6439999999999999</v>
      </c>
      <c r="L5260">
        <v>12</v>
      </c>
      <c r="M5260">
        <v>19.727999999999998</v>
      </c>
      <c r="N5260" s="5">
        <v>1.0085889570552147</v>
      </c>
      <c r="O5260" t="s">
        <v>101</v>
      </c>
      <c r="P5260" t="s">
        <v>340</v>
      </c>
      <c r="Q5260" s="10" t="s">
        <v>2468</v>
      </c>
    </row>
    <row r="5261" spans="1:18" x14ac:dyDescent="0.25">
      <c r="A5261" s="9" t="s">
        <v>2352</v>
      </c>
      <c r="B5261" s="3" t="s">
        <v>2461</v>
      </c>
      <c r="C5261" s="10">
        <v>29</v>
      </c>
      <c r="D5261" s="10">
        <v>3</v>
      </c>
      <c r="E5261" s="10">
        <v>20</v>
      </c>
      <c r="F5261" t="s">
        <v>125</v>
      </c>
      <c r="G5261" t="s">
        <v>889</v>
      </c>
      <c r="H5261" t="s">
        <v>54</v>
      </c>
      <c r="I5261" t="s">
        <v>27</v>
      </c>
      <c r="J5261">
        <v>7.5</v>
      </c>
      <c r="K5261" s="10">
        <v>0.94199999999999995</v>
      </c>
      <c r="L5261">
        <v>7.5</v>
      </c>
      <c r="M5261">
        <v>7.0649999999999995</v>
      </c>
      <c r="N5261" s="5">
        <v>0.36119631901840493</v>
      </c>
      <c r="O5261" t="s">
        <v>101</v>
      </c>
      <c r="P5261" t="s">
        <v>340</v>
      </c>
      <c r="Q5261" s="10" t="s">
        <v>2468</v>
      </c>
    </row>
    <row r="5262" spans="1:18" x14ac:dyDescent="0.25">
      <c r="A5262" s="9" t="s">
        <v>2352</v>
      </c>
      <c r="B5262" s="3" t="s">
        <v>2461</v>
      </c>
      <c r="C5262" s="10">
        <v>29</v>
      </c>
      <c r="D5262" s="10">
        <v>3</v>
      </c>
      <c r="E5262" s="10">
        <v>20</v>
      </c>
      <c r="F5262" t="s">
        <v>122</v>
      </c>
      <c r="G5262" t="s">
        <v>889</v>
      </c>
      <c r="H5262" t="s">
        <v>54</v>
      </c>
      <c r="I5262" t="s">
        <v>27</v>
      </c>
      <c r="J5262">
        <v>15</v>
      </c>
      <c r="K5262" s="10">
        <v>0.52400000000000002</v>
      </c>
      <c r="L5262">
        <v>15</v>
      </c>
      <c r="M5262">
        <v>7.86</v>
      </c>
      <c r="N5262" s="5">
        <v>0.40184049079754608</v>
      </c>
      <c r="O5262" t="s">
        <v>101</v>
      </c>
      <c r="P5262" t="s">
        <v>340</v>
      </c>
      <c r="Q5262" s="10" t="s">
        <v>2468</v>
      </c>
    </row>
    <row r="5263" spans="1:18" x14ac:dyDescent="0.25">
      <c r="A5263" s="9" t="s">
        <v>2352</v>
      </c>
      <c r="B5263" s="3" t="s">
        <v>2461</v>
      </c>
      <c r="C5263" s="10">
        <v>29</v>
      </c>
      <c r="D5263" s="10">
        <v>3</v>
      </c>
      <c r="E5263" s="10">
        <v>20</v>
      </c>
      <c r="F5263" t="s">
        <v>202</v>
      </c>
      <c r="G5263" t="s">
        <v>889</v>
      </c>
      <c r="H5263" t="s">
        <v>54</v>
      </c>
      <c r="I5263" t="s">
        <v>27</v>
      </c>
      <c r="J5263">
        <v>145</v>
      </c>
      <c r="K5263" s="10">
        <v>0.46200000000000002</v>
      </c>
      <c r="L5263">
        <v>145</v>
      </c>
      <c r="M5263">
        <v>66.990000000000009</v>
      </c>
      <c r="N5263" s="5">
        <v>3.4248466257668717</v>
      </c>
      <c r="O5263" t="s">
        <v>101</v>
      </c>
      <c r="P5263" t="s">
        <v>340</v>
      </c>
      <c r="Q5263" s="10" t="s">
        <v>2468</v>
      </c>
    </row>
    <row r="5264" spans="1:18" x14ac:dyDescent="0.25">
      <c r="A5264" s="9" t="s">
        <v>2352</v>
      </c>
      <c r="B5264" s="3" t="s">
        <v>2461</v>
      </c>
      <c r="C5264" s="10">
        <v>29</v>
      </c>
      <c r="D5264" s="10">
        <v>3</v>
      </c>
      <c r="E5264" s="10">
        <v>20</v>
      </c>
      <c r="F5264" t="s">
        <v>499</v>
      </c>
      <c r="G5264" t="s">
        <v>889</v>
      </c>
      <c r="H5264" t="s">
        <v>62</v>
      </c>
      <c r="I5264" t="s">
        <v>27</v>
      </c>
      <c r="J5264">
        <v>11.5</v>
      </c>
      <c r="K5264" s="10">
        <v>1</v>
      </c>
      <c r="L5264">
        <v>11.5</v>
      </c>
      <c r="M5264">
        <v>11.5</v>
      </c>
      <c r="N5264" s="5">
        <v>0.58793456032719837</v>
      </c>
      <c r="O5264" t="s">
        <v>101</v>
      </c>
      <c r="P5264" t="s">
        <v>340</v>
      </c>
      <c r="Q5264" s="10" t="s">
        <v>2468</v>
      </c>
    </row>
    <row r="5265" spans="1:18" x14ac:dyDescent="0.25">
      <c r="A5265" s="9" t="s">
        <v>2352</v>
      </c>
      <c r="B5265" s="3" t="s">
        <v>2461</v>
      </c>
      <c r="C5265" s="10">
        <v>29</v>
      </c>
      <c r="D5265" s="10">
        <v>3</v>
      </c>
      <c r="E5265" s="10">
        <v>20</v>
      </c>
      <c r="F5265" t="s">
        <v>1021</v>
      </c>
      <c r="G5265" t="s">
        <v>889</v>
      </c>
      <c r="H5265" t="s">
        <v>54</v>
      </c>
      <c r="I5265" t="s">
        <v>27</v>
      </c>
      <c r="J5265">
        <v>33.799999999999997</v>
      </c>
      <c r="K5265" s="10">
        <v>0.72399999999999998</v>
      </c>
      <c r="L5265">
        <v>33.799999999999997</v>
      </c>
      <c r="M5265">
        <v>24.471199999999996</v>
      </c>
      <c r="N5265" s="5">
        <v>1.251083844580777</v>
      </c>
      <c r="O5265" t="s">
        <v>101</v>
      </c>
      <c r="P5265" t="s">
        <v>340</v>
      </c>
      <c r="Q5265" s="10" t="s">
        <v>2468</v>
      </c>
    </row>
    <row r="5266" spans="1:18" x14ac:dyDescent="0.25">
      <c r="A5266" s="9" t="s">
        <v>2352</v>
      </c>
      <c r="B5266" s="3" t="s">
        <v>2461</v>
      </c>
      <c r="C5266" s="10">
        <v>29</v>
      </c>
      <c r="D5266" s="10">
        <v>3</v>
      </c>
      <c r="E5266" s="10">
        <v>20</v>
      </c>
      <c r="F5266" t="s">
        <v>2462</v>
      </c>
      <c r="G5266" t="s">
        <v>889</v>
      </c>
      <c r="H5266" t="s">
        <v>40</v>
      </c>
      <c r="I5266" t="s">
        <v>27</v>
      </c>
      <c r="J5266">
        <v>5</v>
      </c>
      <c r="K5266" s="10">
        <v>1</v>
      </c>
      <c r="L5266">
        <v>5</v>
      </c>
      <c r="M5266">
        <v>5</v>
      </c>
      <c r="N5266" s="5">
        <v>0.2556237218813906</v>
      </c>
      <c r="O5266" t="s">
        <v>101</v>
      </c>
      <c r="P5266" t="s">
        <v>340</v>
      </c>
      <c r="Q5266" s="10" t="s">
        <v>2468</v>
      </c>
    </row>
    <row r="5267" spans="1:18" x14ac:dyDescent="0.25">
      <c r="A5267" s="9" t="s">
        <v>2352</v>
      </c>
      <c r="B5267" s="3" t="s">
        <v>2461</v>
      </c>
      <c r="C5267" s="10">
        <v>29</v>
      </c>
      <c r="D5267" s="10">
        <v>3</v>
      </c>
      <c r="E5267" s="10">
        <v>20</v>
      </c>
      <c r="F5267" t="s">
        <v>2463</v>
      </c>
      <c r="G5267" t="s">
        <v>889</v>
      </c>
      <c r="H5267" t="s">
        <v>65</v>
      </c>
      <c r="I5267" t="s">
        <v>27</v>
      </c>
      <c r="J5267">
        <v>8</v>
      </c>
      <c r="K5267" s="10">
        <v>2</v>
      </c>
      <c r="L5267">
        <v>8</v>
      </c>
      <c r="M5267">
        <v>16</v>
      </c>
      <c r="N5267" s="5">
        <v>0.81799591002044991</v>
      </c>
      <c r="O5267" t="s">
        <v>101</v>
      </c>
      <c r="P5267" t="s">
        <v>340</v>
      </c>
      <c r="Q5267" s="10" t="s">
        <v>2468</v>
      </c>
    </row>
    <row r="5268" spans="1:18" x14ac:dyDescent="0.25">
      <c r="A5268" s="9" t="s">
        <v>2352</v>
      </c>
      <c r="B5268" s="3" t="s">
        <v>2461</v>
      </c>
      <c r="C5268" s="10">
        <v>29</v>
      </c>
      <c r="D5268" s="10">
        <v>3</v>
      </c>
      <c r="E5268" s="10">
        <v>20</v>
      </c>
      <c r="F5268" t="s">
        <v>890</v>
      </c>
      <c r="G5268" t="s">
        <v>889</v>
      </c>
      <c r="H5268" t="s">
        <v>53</v>
      </c>
      <c r="I5268" t="s">
        <v>27</v>
      </c>
      <c r="J5268">
        <v>41.75</v>
      </c>
      <c r="K5268" s="10">
        <v>2</v>
      </c>
      <c r="L5268">
        <v>41.75</v>
      </c>
      <c r="M5268">
        <v>83.5</v>
      </c>
      <c r="N5268" s="5">
        <v>4.2689161554192232</v>
      </c>
      <c r="O5268" t="s">
        <v>101</v>
      </c>
      <c r="P5268" t="s">
        <v>340</v>
      </c>
      <c r="Q5268" s="10" t="s">
        <v>2468</v>
      </c>
    </row>
    <row r="5269" spans="1:18" x14ac:dyDescent="0.25">
      <c r="A5269" s="9" t="s">
        <v>2352</v>
      </c>
      <c r="B5269" s="3" t="s">
        <v>2461</v>
      </c>
      <c r="C5269" s="10">
        <v>29</v>
      </c>
      <c r="D5269" s="10">
        <v>3</v>
      </c>
      <c r="E5269" s="10">
        <v>20</v>
      </c>
      <c r="F5269" t="s">
        <v>2363</v>
      </c>
      <c r="G5269" t="s">
        <v>889</v>
      </c>
      <c r="H5269" t="s">
        <v>65</v>
      </c>
      <c r="I5269" t="s">
        <v>27</v>
      </c>
      <c r="J5269">
        <v>22</v>
      </c>
      <c r="K5269" s="10">
        <v>2</v>
      </c>
      <c r="L5269">
        <v>22</v>
      </c>
      <c r="M5269">
        <v>44</v>
      </c>
      <c r="N5269" s="5">
        <v>2.2494887525562373</v>
      </c>
      <c r="O5269" t="s">
        <v>101</v>
      </c>
      <c r="P5269" t="s">
        <v>340</v>
      </c>
      <c r="Q5269" s="10" t="s">
        <v>2468</v>
      </c>
    </row>
    <row r="5270" spans="1:18" x14ac:dyDescent="0.25">
      <c r="A5270" s="9" t="s">
        <v>2352</v>
      </c>
      <c r="B5270" s="3" t="s">
        <v>2461</v>
      </c>
      <c r="C5270" s="10">
        <v>29</v>
      </c>
      <c r="D5270" s="10">
        <v>3</v>
      </c>
      <c r="E5270" s="10">
        <v>20</v>
      </c>
      <c r="F5270" t="s">
        <v>2464</v>
      </c>
      <c r="G5270" t="s">
        <v>889</v>
      </c>
      <c r="H5270" t="s">
        <v>65</v>
      </c>
      <c r="I5270" t="s">
        <v>27</v>
      </c>
      <c r="J5270">
        <v>25.5</v>
      </c>
      <c r="K5270" s="10">
        <v>2</v>
      </c>
      <c r="L5270">
        <v>25.5</v>
      </c>
      <c r="M5270">
        <v>51</v>
      </c>
      <c r="N5270" s="5">
        <v>2.6073619631901841</v>
      </c>
      <c r="O5270" t="s">
        <v>101</v>
      </c>
      <c r="P5270" t="s">
        <v>340</v>
      </c>
      <c r="Q5270" s="10" t="s">
        <v>2468</v>
      </c>
    </row>
    <row r="5271" spans="1:18" x14ac:dyDescent="0.25">
      <c r="A5271" s="9" t="s">
        <v>2352</v>
      </c>
      <c r="B5271" s="3" t="s">
        <v>2461</v>
      </c>
      <c r="C5271" s="10">
        <v>29</v>
      </c>
      <c r="D5271" s="10">
        <v>3</v>
      </c>
      <c r="E5271" s="10">
        <v>20</v>
      </c>
      <c r="F5271" t="s">
        <v>2460</v>
      </c>
      <c r="G5271" t="s">
        <v>889</v>
      </c>
      <c r="H5271" t="s">
        <v>65</v>
      </c>
      <c r="I5271" t="s">
        <v>27</v>
      </c>
      <c r="J5271">
        <v>25.5</v>
      </c>
      <c r="K5271" s="10">
        <v>1</v>
      </c>
      <c r="L5271">
        <v>25.5</v>
      </c>
      <c r="M5271">
        <v>25.5</v>
      </c>
      <c r="N5271" s="5">
        <v>1.303680981595092</v>
      </c>
      <c r="O5271" t="s">
        <v>101</v>
      </c>
      <c r="P5271" t="s">
        <v>340</v>
      </c>
      <c r="Q5271" s="10" t="s">
        <v>2468</v>
      </c>
    </row>
    <row r="5272" spans="1:18" x14ac:dyDescent="0.25">
      <c r="A5272" s="9" t="s">
        <v>2352</v>
      </c>
      <c r="B5272" s="3" t="s">
        <v>2471</v>
      </c>
      <c r="C5272" s="10">
        <v>18</v>
      </c>
      <c r="D5272" s="10">
        <v>3</v>
      </c>
      <c r="E5272" s="10">
        <v>20</v>
      </c>
      <c r="F5272" t="s">
        <v>146</v>
      </c>
      <c r="G5272" t="s">
        <v>889</v>
      </c>
      <c r="H5272" t="s">
        <v>49</v>
      </c>
      <c r="I5272" t="s">
        <v>50</v>
      </c>
      <c r="J5272">
        <v>3</v>
      </c>
      <c r="K5272" s="10">
        <v>2</v>
      </c>
      <c r="L5272">
        <v>3</v>
      </c>
      <c r="M5272">
        <v>6</v>
      </c>
      <c r="N5272" s="5">
        <v>0.30674846625766872</v>
      </c>
      <c r="O5272" t="s">
        <v>100</v>
      </c>
      <c r="P5272" t="s">
        <v>340</v>
      </c>
      <c r="Q5272" s="10" t="s">
        <v>2468</v>
      </c>
      <c r="R5272" t="s">
        <v>2467</v>
      </c>
    </row>
    <row r="5273" spans="1:18" x14ac:dyDescent="0.25">
      <c r="A5273" s="9" t="s">
        <v>2352</v>
      </c>
      <c r="B5273" s="3" t="s">
        <v>2471</v>
      </c>
      <c r="C5273" s="10">
        <v>18</v>
      </c>
      <c r="D5273" s="10">
        <v>3</v>
      </c>
      <c r="E5273" s="10">
        <v>20</v>
      </c>
      <c r="F5273" t="s">
        <v>2356</v>
      </c>
      <c r="G5273" t="s">
        <v>889</v>
      </c>
      <c r="H5273" t="s">
        <v>39</v>
      </c>
      <c r="I5273" t="s">
        <v>39</v>
      </c>
      <c r="J5273">
        <v>45</v>
      </c>
      <c r="K5273" s="10">
        <v>1</v>
      </c>
      <c r="L5273">
        <v>45</v>
      </c>
      <c r="M5273">
        <v>45</v>
      </c>
      <c r="N5273" s="5">
        <v>2.3006134969325154</v>
      </c>
      <c r="O5273" t="s">
        <v>100</v>
      </c>
      <c r="P5273" t="s">
        <v>340</v>
      </c>
      <c r="Q5273" s="10" t="s">
        <v>2468</v>
      </c>
      <c r="R5273" t="s">
        <v>2467</v>
      </c>
    </row>
    <row r="5274" spans="1:18" x14ac:dyDescent="0.25">
      <c r="A5274" s="9" t="s">
        <v>2352</v>
      </c>
      <c r="B5274" s="3" t="s">
        <v>2471</v>
      </c>
      <c r="C5274" s="10">
        <v>18</v>
      </c>
      <c r="D5274" s="10">
        <v>3</v>
      </c>
      <c r="E5274" s="10">
        <v>20</v>
      </c>
      <c r="F5274" t="s">
        <v>60</v>
      </c>
      <c r="G5274" t="s">
        <v>31</v>
      </c>
      <c r="H5274" t="s">
        <v>26</v>
      </c>
      <c r="I5274" t="s">
        <v>27</v>
      </c>
      <c r="J5274">
        <v>8.35</v>
      </c>
      <c r="K5274" s="10">
        <v>2</v>
      </c>
      <c r="L5274">
        <v>8.35</v>
      </c>
      <c r="M5274">
        <v>16.7</v>
      </c>
      <c r="N5274" s="5">
        <v>0.85378323108384457</v>
      </c>
      <c r="O5274" t="s">
        <v>100</v>
      </c>
      <c r="P5274" t="s">
        <v>340</v>
      </c>
      <c r="Q5274" s="10" t="s">
        <v>2468</v>
      </c>
      <c r="R5274" t="s">
        <v>2467</v>
      </c>
    </row>
    <row r="5275" spans="1:18" x14ac:dyDescent="0.25">
      <c r="A5275" s="9" t="s">
        <v>2352</v>
      </c>
      <c r="B5275" s="3" t="s">
        <v>2471</v>
      </c>
      <c r="C5275" s="10">
        <v>18</v>
      </c>
      <c r="D5275" s="10">
        <v>3</v>
      </c>
      <c r="E5275" s="10">
        <v>20</v>
      </c>
      <c r="F5275" t="s">
        <v>2465</v>
      </c>
      <c r="G5275" t="s">
        <v>889</v>
      </c>
      <c r="H5275" t="s">
        <v>26</v>
      </c>
      <c r="I5275" t="s">
        <v>27</v>
      </c>
      <c r="J5275">
        <v>20</v>
      </c>
      <c r="K5275" s="10">
        <v>1</v>
      </c>
      <c r="L5275">
        <v>20</v>
      </c>
      <c r="M5275">
        <v>20</v>
      </c>
      <c r="N5275" s="5">
        <v>1.0224948875255624</v>
      </c>
      <c r="O5275" t="s">
        <v>100</v>
      </c>
      <c r="P5275" t="s">
        <v>340</v>
      </c>
      <c r="Q5275" s="10" t="s">
        <v>2468</v>
      </c>
      <c r="R5275" t="s">
        <v>2467</v>
      </c>
    </row>
    <row r="5276" spans="1:18" x14ac:dyDescent="0.25">
      <c r="A5276" s="9" t="s">
        <v>2352</v>
      </c>
      <c r="B5276" s="3" t="s">
        <v>2471</v>
      </c>
      <c r="C5276" s="10">
        <v>18</v>
      </c>
      <c r="D5276" s="10">
        <v>3</v>
      </c>
      <c r="E5276" s="10">
        <v>20</v>
      </c>
      <c r="F5276" t="s">
        <v>1036</v>
      </c>
      <c r="G5276" t="s">
        <v>889</v>
      </c>
      <c r="H5276" t="s">
        <v>38</v>
      </c>
      <c r="I5276" t="s">
        <v>27</v>
      </c>
      <c r="J5276">
        <v>126</v>
      </c>
      <c r="K5276" s="10">
        <v>0.36399999999999999</v>
      </c>
      <c r="L5276">
        <v>126</v>
      </c>
      <c r="M5276">
        <v>45.863999999999997</v>
      </c>
      <c r="N5276" s="5">
        <v>2.3447852760736199</v>
      </c>
      <c r="O5276" t="s">
        <v>100</v>
      </c>
      <c r="P5276" t="s">
        <v>340</v>
      </c>
      <c r="Q5276" s="10" t="s">
        <v>2468</v>
      </c>
      <c r="R5276" t="s">
        <v>2467</v>
      </c>
    </row>
    <row r="5277" spans="1:18" x14ac:dyDescent="0.25">
      <c r="A5277" s="9" t="s">
        <v>2352</v>
      </c>
      <c r="B5277" s="3" t="s">
        <v>2471</v>
      </c>
      <c r="C5277" s="10">
        <v>18</v>
      </c>
      <c r="D5277" s="10">
        <v>3</v>
      </c>
      <c r="E5277" s="10">
        <v>20</v>
      </c>
      <c r="F5277" t="s">
        <v>372</v>
      </c>
      <c r="G5277" t="s">
        <v>373</v>
      </c>
      <c r="H5277" t="s">
        <v>65</v>
      </c>
      <c r="I5277" t="s">
        <v>27</v>
      </c>
      <c r="J5277">
        <v>9.9</v>
      </c>
      <c r="K5277" s="10">
        <v>3</v>
      </c>
      <c r="L5277">
        <v>9.9</v>
      </c>
      <c r="M5277">
        <v>29.700000000000003</v>
      </c>
      <c r="N5277" s="5">
        <v>1.5184049079754605</v>
      </c>
      <c r="O5277" t="s">
        <v>100</v>
      </c>
      <c r="P5277" t="s">
        <v>340</v>
      </c>
      <c r="Q5277" s="10" t="s">
        <v>2468</v>
      </c>
      <c r="R5277" t="s">
        <v>2467</v>
      </c>
    </row>
    <row r="5278" spans="1:18" x14ac:dyDescent="0.25">
      <c r="A5278" s="9" t="s">
        <v>2352</v>
      </c>
      <c r="B5278" s="3" t="s">
        <v>2471</v>
      </c>
      <c r="C5278" s="10">
        <v>18</v>
      </c>
      <c r="D5278" s="10">
        <v>3</v>
      </c>
      <c r="E5278" s="10">
        <v>20</v>
      </c>
      <c r="F5278" t="s">
        <v>974</v>
      </c>
      <c r="G5278" t="s">
        <v>25</v>
      </c>
      <c r="H5278" t="s">
        <v>26</v>
      </c>
      <c r="I5278" t="s">
        <v>27</v>
      </c>
      <c r="J5278">
        <v>211.6</v>
      </c>
      <c r="K5278" s="10">
        <v>0.42599999999999999</v>
      </c>
      <c r="L5278">
        <v>211.6</v>
      </c>
      <c r="M5278">
        <v>90.141599999999997</v>
      </c>
      <c r="N5278" s="5">
        <v>4.6084662576687121</v>
      </c>
      <c r="O5278" t="s">
        <v>100</v>
      </c>
      <c r="P5278" t="s">
        <v>340</v>
      </c>
      <c r="Q5278" s="10" t="s">
        <v>2468</v>
      </c>
      <c r="R5278" t="s">
        <v>2467</v>
      </c>
    </row>
    <row r="5279" spans="1:18" x14ac:dyDescent="0.25">
      <c r="A5279" s="9" t="s">
        <v>2352</v>
      </c>
      <c r="B5279" s="3" t="s">
        <v>2471</v>
      </c>
      <c r="C5279" s="10">
        <v>18</v>
      </c>
      <c r="D5279" s="10">
        <v>3</v>
      </c>
      <c r="E5279" s="10">
        <v>20</v>
      </c>
      <c r="F5279" t="s">
        <v>398</v>
      </c>
      <c r="G5279" t="s">
        <v>889</v>
      </c>
      <c r="H5279" t="s">
        <v>40</v>
      </c>
      <c r="I5279" t="s">
        <v>27</v>
      </c>
      <c r="J5279">
        <v>14.6</v>
      </c>
      <c r="K5279" s="10">
        <v>2</v>
      </c>
      <c r="L5279">
        <v>14.6</v>
      </c>
      <c r="M5279">
        <v>29.2</v>
      </c>
      <c r="N5279" s="5">
        <v>1.4928425357873212</v>
      </c>
      <c r="O5279" t="s">
        <v>100</v>
      </c>
      <c r="P5279" t="s">
        <v>340</v>
      </c>
      <c r="Q5279" s="10" t="s">
        <v>2468</v>
      </c>
      <c r="R5279" t="s">
        <v>2467</v>
      </c>
    </row>
    <row r="5280" spans="1:18" x14ac:dyDescent="0.25">
      <c r="A5280" s="9" t="s">
        <v>2352</v>
      </c>
      <c r="B5280" s="3" t="s">
        <v>2471</v>
      </c>
      <c r="C5280" s="10">
        <v>18</v>
      </c>
      <c r="D5280" s="10">
        <v>3</v>
      </c>
      <c r="E5280" s="10">
        <v>20</v>
      </c>
      <c r="F5280" t="s">
        <v>1260</v>
      </c>
      <c r="G5280" t="s">
        <v>98</v>
      </c>
      <c r="H5280" t="s">
        <v>26</v>
      </c>
      <c r="I5280" t="s">
        <v>27</v>
      </c>
      <c r="J5280">
        <v>43.2</v>
      </c>
      <c r="K5280" s="10">
        <v>1</v>
      </c>
      <c r="L5280">
        <v>43.2</v>
      </c>
      <c r="M5280">
        <v>43.2</v>
      </c>
      <c r="N5280" s="5">
        <v>2.2085889570552149</v>
      </c>
      <c r="O5280" t="s">
        <v>100</v>
      </c>
      <c r="P5280" t="s">
        <v>340</v>
      </c>
      <c r="Q5280" s="10" t="s">
        <v>2468</v>
      </c>
      <c r="R5280" t="s">
        <v>2467</v>
      </c>
    </row>
    <row r="5281" spans="1:18" x14ac:dyDescent="0.25">
      <c r="A5281" s="9" t="s">
        <v>2352</v>
      </c>
      <c r="B5281" s="3" t="s">
        <v>2471</v>
      </c>
      <c r="C5281" s="10">
        <v>18</v>
      </c>
      <c r="D5281" s="10">
        <v>3</v>
      </c>
      <c r="E5281" s="10">
        <v>20</v>
      </c>
      <c r="F5281" t="s">
        <v>2295</v>
      </c>
      <c r="G5281" t="s">
        <v>889</v>
      </c>
      <c r="H5281" t="s">
        <v>35</v>
      </c>
      <c r="I5281" t="s">
        <v>27</v>
      </c>
      <c r="J5281">
        <v>152.6</v>
      </c>
      <c r="K5281" s="10">
        <v>0.32800000000000001</v>
      </c>
      <c r="L5281">
        <v>152.6</v>
      </c>
      <c r="M5281">
        <v>50.052799999999998</v>
      </c>
      <c r="N5281" s="5">
        <v>2.5589366053169735</v>
      </c>
      <c r="O5281" t="s">
        <v>100</v>
      </c>
      <c r="P5281" t="s">
        <v>340</v>
      </c>
      <c r="Q5281" s="10" t="s">
        <v>2468</v>
      </c>
      <c r="R5281" t="s">
        <v>2467</v>
      </c>
    </row>
    <row r="5282" spans="1:18" x14ac:dyDescent="0.25">
      <c r="A5282" s="9" t="s">
        <v>2352</v>
      </c>
      <c r="B5282" s="3" t="s">
        <v>2471</v>
      </c>
      <c r="C5282" s="10">
        <v>18</v>
      </c>
      <c r="D5282" s="10">
        <v>3</v>
      </c>
      <c r="E5282" s="10">
        <v>20</v>
      </c>
      <c r="F5282" t="s">
        <v>2466</v>
      </c>
      <c r="G5282" t="s">
        <v>889</v>
      </c>
      <c r="H5282" t="s">
        <v>102</v>
      </c>
      <c r="I5282" t="s">
        <v>27</v>
      </c>
      <c r="J5282">
        <v>89.6</v>
      </c>
      <c r="K5282" s="10">
        <v>1</v>
      </c>
      <c r="L5282">
        <v>89.6</v>
      </c>
      <c r="M5282">
        <v>89.6</v>
      </c>
      <c r="N5282" s="5">
        <v>4.5807770961145193</v>
      </c>
      <c r="O5282" t="s">
        <v>100</v>
      </c>
      <c r="P5282" t="s">
        <v>340</v>
      </c>
      <c r="Q5282" s="10" t="s">
        <v>2468</v>
      </c>
      <c r="R5282" t="s">
        <v>2467</v>
      </c>
    </row>
    <row r="5283" spans="1:18" x14ac:dyDescent="0.25">
      <c r="A5283" s="9" t="s">
        <v>2352</v>
      </c>
      <c r="B5283" s="3" t="s">
        <v>2471</v>
      </c>
      <c r="C5283" s="10">
        <v>18</v>
      </c>
      <c r="D5283" s="10">
        <v>3</v>
      </c>
      <c r="E5283" s="10">
        <v>20</v>
      </c>
      <c r="F5283" t="s">
        <v>1357</v>
      </c>
      <c r="G5283" t="s">
        <v>889</v>
      </c>
      <c r="H5283" t="s">
        <v>35</v>
      </c>
      <c r="I5283" t="s">
        <v>27</v>
      </c>
      <c r="J5283">
        <v>191.6</v>
      </c>
      <c r="K5283" s="10">
        <v>0.25800000000000001</v>
      </c>
      <c r="L5283">
        <v>191.6</v>
      </c>
      <c r="M5283">
        <v>49.4328</v>
      </c>
      <c r="N5283" s="5">
        <v>2.5272392638036814</v>
      </c>
      <c r="O5283" t="s">
        <v>100</v>
      </c>
      <c r="P5283" t="s">
        <v>340</v>
      </c>
      <c r="Q5283" s="10" t="s">
        <v>2468</v>
      </c>
      <c r="R5283" t="s">
        <v>2467</v>
      </c>
    </row>
    <row r="5284" spans="1:18" x14ac:dyDescent="0.25">
      <c r="A5284" s="9" t="s">
        <v>2352</v>
      </c>
      <c r="B5284" s="3" t="s">
        <v>2471</v>
      </c>
      <c r="C5284" s="10">
        <v>18</v>
      </c>
      <c r="D5284" s="10">
        <v>3</v>
      </c>
      <c r="E5284" s="10">
        <v>20</v>
      </c>
      <c r="F5284" t="s">
        <v>2242</v>
      </c>
      <c r="G5284" t="s">
        <v>345</v>
      </c>
      <c r="H5284" t="s">
        <v>26</v>
      </c>
      <c r="I5284" t="s">
        <v>27</v>
      </c>
      <c r="J5284">
        <v>7.19</v>
      </c>
      <c r="K5284" s="10">
        <v>2</v>
      </c>
      <c r="L5284">
        <v>7.19</v>
      </c>
      <c r="M5284">
        <v>14.38</v>
      </c>
      <c r="N5284" s="5">
        <v>0.73517382413087939</v>
      </c>
      <c r="O5284" t="s">
        <v>100</v>
      </c>
      <c r="P5284" t="s">
        <v>340</v>
      </c>
      <c r="Q5284" s="10" t="s">
        <v>2468</v>
      </c>
      <c r="R5284" t="s">
        <v>2467</v>
      </c>
    </row>
    <row r="5285" spans="1:18" x14ac:dyDescent="0.25">
      <c r="A5285" s="9" t="s">
        <v>2352</v>
      </c>
      <c r="B5285" s="3" t="s">
        <v>2471</v>
      </c>
      <c r="C5285" s="10">
        <v>18</v>
      </c>
      <c r="D5285" s="10">
        <v>3</v>
      </c>
      <c r="E5285" s="10">
        <v>20</v>
      </c>
      <c r="F5285" t="s">
        <v>166</v>
      </c>
      <c r="G5285" t="s">
        <v>77</v>
      </c>
      <c r="H5285" t="s">
        <v>26</v>
      </c>
      <c r="I5285" t="s">
        <v>27</v>
      </c>
      <c r="J5285">
        <v>21.4</v>
      </c>
      <c r="K5285" s="10">
        <v>1</v>
      </c>
      <c r="L5285">
        <v>21.4</v>
      </c>
      <c r="M5285">
        <v>21.4</v>
      </c>
      <c r="N5285" s="5">
        <v>1.0940695296523517</v>
      </c>
      <c r="O5285" t="s">
        <v>100</v>
      </c>
      <c r="P5285" t="s">
        <v>340</v>
      </c>
      <c r="Q5285" s="10" t="s">
        <v>2468</v>
      </c>
      <c r="R5285" t="s">
        <v>2467</v>
      </c>
    </row>
    <row r="5286" spans="1:18" x14ac:dyDescent="0.25">
      <c r="A5286" s="9" t="s">
        <v>2352</v>
      </c>
      <c r="B5286" s="3" t="s">
        <v>2471</v>
      </c>
      <c r="C5286" s="10">
        <v>18</v>
      </c>
      <c r="D5286" s="10">
        <v>3</v>
      </c>
      <c r="E5286" s="10">
        <v>20</v>
      </c>
      <c r="F5286" t="s">
        <v>935</v>
      </c>
      <c r="G5286" t="s">
        <v>708</v>
      </c>
      <c r="H5286" t="s">
        <v>131</v>
      </c>
      <c r="I5286" t="s">
        <v>27</v>
      </c>
      <c r="J5286">
        <v>34.6</v>
      </c>
      <c r="K5286" s="10">
        <v>1</v>
      </c>
      <c r="L5286">
        <v>34.6</v>
      </c>
      <c r="M5286">
        <v>34.6</v>
      </c>
      <c r="N5286" s="5">
        <v>1.7689161554192232</v>
      </c>
      <c r="O5286" t="s">
        <v>100</v>
      </c>
      <c r="P5286" t="s">
        <v>340</v>
      </c>
      <c r="Q5286" s="10" t="s">
        <v>2468</v>
      </c>
      <c r="R5286" t="s">
        <v>2467</v>
      </c>
    </row>
    <row r="5287" spans="1:18" x14ac:dyDescent="0.25">
      <c r="A5287" s="9" t="s">
        <v>2352</v>
      </c>
      <c r="B5287" s="3" t="s">
        <v>2471</v>
      </c>
      <c r="C5287" s="10">
        <v>18</v>
      </c>
      <c r="D5287" s="10">
        <v>3</v>
      </c>
      <c r="E5287" s="10">
        <v>20</v>
      </c>
      <c r="F5287" t="s">
        <v>1624</v>
      </c>
      <c r="G5287" t="s">
        <v>889</v>
      </c>
      <c r="H5287" t="s">
        <v>131</v>
      </c>
      <c r="I5287" t="s">
        <v>27</v>
      </c>
      <c r="J5287">
        <v>64</v>
      </c>
      <c r="K5287" s="10">
        <v>1</v>
      </c>
      <c r="L5287">
        <v>64</v>
      </c>
      <c r="M5287">
        <v>64</v>
      </c>
      <c r="N5287" s="5">
        <v>3.2719836400817996</v>
      </c>
      <c r="O5287" t="s">
        <v>100</v>
      </c>
      <c r="P5287" t="s">
        <v>340</v>
      </c>
      <c r="Q5287" s="10" t="s">
        <v>2468</v>
      </c>
      <c r="R5287" t="s">
        <v>2467</v>
      </c>
    </row>
    <row r="5288" spans="1:18" x14ac:dyDescent="0.25">
      <c r="A5288" s="9" t="s">
        <v>2352</v>
      </c>
      <c r="B5288" s="3" t="s">
        <v>2472</v>
      </c>
      <c r="C5288" s="10">
        <v>25</v>
      </c>
      <c r="D5288" s="10">
        <v>3</v>
      </c>
      <c r="E5288" s="10">
        <v>20</v>
      </c>
      <c r="F5288" t="s">
        <v>2356</v>
      </c>
      <c r="G5288" t="s">
        <v>889</v>
      </c>
      <c r="H5288" t="s">
        <v>39</v>
      </c>
      <c r="I5288" t="s">
        <v>39</v>
      </c>
      <c r="J5288">
        <v>45</v>
      </c>
      <c r="K5288" s="10">
        <v>1</v>
      </c>
      <c r="L5288">
        <v>45</v>
      </c>
      <c r="M5288">
        <v>45</v>
      </c>
      <c r="N5288" s="5">
        <v>2.3006134969325154</v>
      </c>
      <c r="O5288" t="s">
        <v>100</v>
      </c>
      <c r="P5288" t="s">
        <v>340</v>
      </c>
      <c r="Q5288" s="10" t="s">
        <v>2468</v>
      </c>
    </row>
    <row r="5289" spans="1:18" x14ac:dyDescent="0.25">
      <c r="A5289" s="9" t="s">
        <v>2352</v>
      </c>
      <c r="B5289" s="3" t="s">
        <v>2472</v>
      </c>
      <c r="C5289" s="10">
        <v>25</v>
      </c>
      <c r="D5289" s="10">
        <v>3</v>
      </c>
      <c r="E5289" s="10">
        <v>20</v>
      </c>
      <c r="F5289" t="s">
        <v>146</v>
      </c>
      <c r="G5289" t="s">
        <v>889</v>
      </c>
      <c r="H5289" t="s">
        <v>49</v>
      </c>
      <c r="I5289" t="s">
        <v>50</v>
      </c>
      <c r="J5289">
        <v>3</v>
      </c>
      <c r="K5289" s="10">
        <v>2</v>
      </c>
      <c r="L5289">
        <v>3</v>
      </c>
      <c r="M5289">
        <v>6</v>
      </c>
      <c r="N5289" s="5">
        <v>0.30674846625766872</v>
      </c>
      <c r="O5289" t="s">
        <v>100</v>
      </c>
      <c r="P5289" t="s">
        <v>340</v>
      </c>
      <c r="Q5289" s="10" t="s">
        <v>2468</v>
      </c>
    </row>
    <row r="5290" spans="1:18" x14ac:dyDescent="0.25">
      <c r="A5290" s="9" t="s">
        <v>2352</v>
      </c>
      <c r="B5290" s="3" t="s">
        <v>2472</v>
      </c>
      <c r="C5290" s="10">
        <v>25</v>
      </c>
      <c r="D5290" s="10">
        <v>3</v>
      </c>
      <c r="E5290" s="10">
        <v>20</v>
      </c>
      <c r="F5290" t="s">
        <v>2242</v>
      </c>
      <c r="G5290" t="s">
        <v>345</v>
      </c>
      <c r="H5290" t="s">
        <v>26</v>
      </c>
      <c r="I5290" t="s">
        <v>27</v>
      </c>
      <c r="J5290">
        <v>7.19</v>
      </c>
      <c r="K5290" s="10">
        <v>2</v>
      </c>
      <c r="L5290">
        <v>7.19</v>
      </c>
      <c r="M5290">
        <v>14.38</v>
      </c>
      <c r="N5290" s="5">
        <v>0.73517382413087939</v>
      </c>
      <c r="O5290" t="s">
        <v>100</v>
      </c>
      <c r="P5290" t="s">
        <v>340</v>
      </c>
      <c r="Q5290" s="10" t="s">
        <v>2468</v>
      </c>
    </row>
    <row r="5291" spans="1:18" x14ac:dyDescent="0.25">
      <c r="A5291" s="9" t="s">
        <v>2352</v>
      </c>
      <c r="B5291" s="3" t="s">
        <v>2472</v>
      </c>
      <c r="C5291" s="10">
        <v>25</v>
      </c>
      <c r="D5291" s="10">
        <v>3</v>
      </c>
      <c r="E5291" s="10">
        <v>20</v>
      </c>
      <c r="F5291" t="s">
        <v>2469</v>
      </c>
      <c r="G5291" t="s">
        <v>889</v>
      </c>
      <c r="H5291" t="s">
        <v>59</v>
      </c>
      <c r="I5291" t="s">
        <v>27</v>
      </c>
      <c r="J5291">
        <v>41.6</v>
      </c>
      <c r="K5291" s="10">
        <v>2</v>
      </c>
      <c r="L5291">
        <v>41.6</v>
      </c>
      <c r="M5291">
        <v>83.2</v>
      </c>
      <c r="N5291" s="5">
        <v>4.2535787321063401</v>
      </c>
      <c r="O5291" t="s">
        <v>100</v>
      </c>
      <c r="P5291" t="s">
        <v>340</v>
      </c>
      <c r="Q5291" s="10" t="s">
        <v>2468</v>
      </c>
    </row>
    <row r="5292" spans="1:18" x14ac:dyDescent="0.25">
      <c r="A5292" s="9" t="s">
        <v>2352</v>
      </c>
      <c r="B5292" s="3" t="s">
        <v>2472</v>
      </c>
      <c r="C5292" s="10">
        <v>25</v>
      </c>
      <c r="D5292" s="10">
        <v>3</v>
      </c>
      <c r="E5292" s="10">
        <v>20</v>
      </c>
      <c r="F5292" t="s">
        <v>174</v>
      </c>
      <c r="G5292" t="s">
        <v>889</v>
      </c>
      <c r="H5292" t="s">
        <v>54</v>
      </c>
      <c r="I5292" t="s">
        <v>27</v>
      </c>
      <c r="J5292">
        <v>22.4</v>
      </c>
      <c r="K5292" s="10">
        <v>1.5</v>
      </c>
      <c r="L5292">
        <v>22.4</v>
      </c>
      <c r="M5292">
        <v>33.599999999999994</v>
      </c>
      <c r="N5292" s="5">
        <v>1.7177914110429446</v>
      </c>
      <c r="O5292" t="s">
        <v>100</v>
      </c>
      <c r="P5292" t="s">
        <v>340</v>
      </c>
      <c r="Q5292" s="10" t="s">
        <v>2468</v>
      </c>
    </row>
    <row r="5293" spans="1:18" x14ac:dyDescent="0.25">
      <c r="A5293" s="9" t="s">
        <v>2352</v>
      </c>
      <c r="B5293" s="3" t="s">
        <v>2472</v>
      </c>
      <c r="C5293" s="10">
        <v>25</v>
      </c>
      <c r="D5293" s="10">
        <v>3</v>
      </c>
      <c r="E5293" s="10">
        <v>20</v>
      </c>
      <c r="F5293" t="s">
        <v>1274</v>
      </c>
      <c r="G5293" t="s">
        <v>889</v>
      </c>
      <c r="H5293" t="s">
        <v>73</v>
      </c>
      <c r="I5293" t="s">
        <v>27</v>
      </c>
      <c r="J5293">
        <v>25.6</v>
      </c>
      <c r="K5293" s="10">
        <v>1</v>
      </c>
      <c r="L5293">
        <v>25.6</v>
      </c>
      <c r="M5293">
        <v>25.6</v>
      </c>
      <c r="N5293" s="5">
        <v>1.3087934560327199</v>
      </c>
      <c r="O5293" t="s">
        <v>100</v>
      </c>
      <c r="P5293" t="s">
        <v>340</v>
      </c>
      <c r="Q5293" s="10" t="s">
        <v>2468</v>
      </c>
    </row>
    <row r="5294" spans="1:18" x14ac:dyDescent="0.25">
      <c r="A5294" s="9" t="s">
        <v>2352</v>
      </c>
      <c r="B5294" s="3" t="s">
        <v>2472</v>
      </c>
      <c r="C5294" s="10">
        <v>25</v>
      </c>
      <c r="D5294" s="10">
        <v>3</v>
      </c>
      <c r="E5294" s="10">
        <v>20</v>
      </c>
      <c r="F5294" t="s">
        <v>460</v>
      </c>
      <c r="G5294" t="s">
        <v>39</v>
      </c>
      <c r="H5294" t="s">
        <v>65</v>
      </c>
      <c r="I5294" t="s">
        <v>27</v>
      </c>
      <c r="J5294">
        <v>10.6</v>
      </c>
      <c r="K5294" s="10">
        <v>1</v>
      </c>
      <c r="L5294">
        <v>10.6</v>
      </c>
      <c r="M5294">
        <v>10.6</v>
      </c>
      <c r="N5294" s="5">
        <v>0.54192229038854811</v>
      </c>
      <c r="O5294" t="s">
        <v>100</v>
      </c>
      <c r="P5294" t="s">
        <v>340</v>
      </c>
      <c r="Q5294" s="10" t="s">
        <v>2468</v>
      </c>
    </row>
    <row r="5295" spans="1:18" x14ac:dyDescent="0.25">
      <c r="A5295" s="9" t="s">
        <v>2352</v>
      </c>
      <c r="B5295" s="3" t="s">
        <v>2472</v>
      </c>
      <c r="C5295" s="10">
        <v>25</v>
      </c>
      <c r="D5295" s="10">
        <v>3</v>
      </c>
      <c r="E5295" s="10">
        <v>20</v>
      </c>
      <c r="F5295" t="s">
        <v>2470</v>
      </c>
      <c r="G5295" t="s">
        <v>889</v>
      </c>
      <c r="H5295" t="s">
        <v>35</v>
      </c>
      <c r="I5295" t="s">
        <v>27</v>
      </c>
      <c r="J5295">
        <v>114.6</v>
      </c>
      <c r="K5295" s="10">
        <v>0.36799999999999999</v>
      </c>
      <c r="L5295">
        <v>114.6</v>
      </c>
      <c r="M5295">
        <v>42.172799999999995</v>
      </c>
      <c r="N5295" s="5">
        <v>2.1560736196319019</v>
      </c>
      <c r="O5295" t="s">
        <v>100</v>
      </c>
      <c r="P5295" t="s">
        <v>340</v>
      </c>
      <c r="Q5295" s="10" t="s">
        <v>2468</v>
      </c>
    </row>
    <row r="5296" spans="1:18" x14ac:dyDescent="0.25">
      <c r="A5296" s="9" t="s">
        <v>2352</v>
      </c>
      <c r="B5296" s="3" t="s">
        <v>2472</v>
      </c>
      <c r="C5296" s="10">
        <v>25</v>
      </c>
      <c r="D5296" s="10">
        <v>3</v>
      </c>
      <c r="E5296" s="10">
        <v>20</v>
      </c>
      <c r="F5296" t="s">
        <v>1357</v>
      </c>
      <c r="G5296" t="s">
        <v>889</v>
      </c>
      <c r="H5296" t="s">
        <v>35</v>
      </c>
      <c r="I5296" t="s">
        <v>27</v>
      </c>
      <c r="J5296">
        <v>191.6</v>
      </c>
      <c r="K5296" s="10">
        <v>0.27200000000000002</v>
      </c>
      <c r="L5296">
        <v>191.6</v>
      </c>
      <c r="M5296">
        <v>52.115200000000002</v>
      </c>
      <c r="N5296" s="5">
        <v>2.6643762781186098</v>
      </c>
      <c r="O5296" t="s">
        <v>100</v>
      </c>
      <c r="P5296" t="s">
        <v>340</v>
      </c>
      <c r="Q5296" s="10" t="s">
        <v>2468</v>
      </c>
    </row>
    <row r="5297" spans="1:17" x14ac:dyDescent="0.25">
      <c r="A5297" s="9" t="s">
        <v>2352</v>
      </c>
      <c r="B5297" s="3" t="s">
        <v>2472</v>
      </c>
      <c r="C5297" s="10">
        <v>25</v>
      </c>
      <c r="D5297" s="10">
        <v>3</v>
      </c>
      <c r="E5297" s="10">
        <v>20</v>
      </c>
      <c r="F5297" t="s">
        <v>508</v>
      </c>
      <c r="G5297" t="s">
        <v>889</v>
      </c>
      <c r="H5297" t="s">
        <v>73</v>
      </c>
      <c r="I5297" t="s">
        <v>27</v>
      </c>
      <c r="J5297">
        <v>27.8</v>
      </c>
      <c r="K5297" s="10">
        <v>1</v>
      </c>
      <c r="L5297">
        <v>27.8</v>
      </c>
      <c r="M5297">
        <v>27.8</v>
      </c>
      <c r="N5297" s="5">
        <v>1.4212678936605319</v>
      </c>
      <c r="O5297" t="s">
        <v>100</v>
      </c>
      <c r="P5297" t="s">
        <v>340</v>
      </c>
      <c r="Q5297" s="10" t="s">
        <v>2468</v>
      </c>
    </row>
    <row r="5298" spans="1:17" x14ac:dyDescent="0.25">
      <c r="A5298" s="9" t="s">
        <v>2352</v>
      </c>
      <c r="B5298" s="3" t="s">
        <v>2472</v>
      </c>
      <c r="C5298" s="10">
        <v>25</v>
      </c>
      <c r="D5298" s="10">
        <v>3</v>
      </c>
      <c r="E5298" s="10">
        <v>20</v>
      </c>
      <c r="F5298" t="s">
        <v>126</v>
      </c>
      <c r="G5298" t="s">
        <v>889</v>
      </c>
      <c r="H5298" t="s">
        <v>63</v>
      </c>
      <c r="I5298" t="s">
        <v>27</v>
      </c>
      <c r="J5298">
        <v>40</v>
      </c>
      <c r="K5298" s="10">
        <v>1</v>
      </c>
      <c r="L5298">
        <v>40</v>
      </c>
      <c r="M5298">
        <v>40</v>
      </c>
      <c r="N5298" s="5">
        <v>2.0449897750511248</v>
      </c>
      <c r="O5298" t="s">
        <v>100</v>
      </c>
      <c r="P5298" t="s">
        <v>340</v>
      </c>
      <c r="Q5298" s="10" t="s">
        <v>2468</v>
      </c>
    </row>
    <row r="5299" spans="1:17" x14ac:dyDescent="0.25">
      <c r="A5299" s="9" t="s">
        <v>2352</v>
      </c>
      <c r="B5299" s="3" t="s">
        <v>2472</v>
      </c>
      <c r="C5299" s="10">
        <v>25</v>
      </c>
      <c r="D5299" s="10">
        <v>3</v>
      </c>
      <c r="E5299" s="10">
        <v>20</v>
      </c>
      <c r="F5299" t="s">
        <v>2490</v>
      </c>
      <c r="G5299" t="s">
        <v>889</v>
      </c>
      <c r="H5299" t="s">
        <v>63</v>
      </c>
      <c r="I5299" t="s">
        <v>27</v>
      </c>
      <c r="J5299">
        <v>39.75</v>
      </c>
      <c r="K5299" s="10">
        <v>1</v>
      </c>
      <c r="L5299">
        <v>39.75</v>
      </c>
      <c r="M5299">
        <v>39.75</v>
      </c>
      <c r="N5299" s="5">
        <v>2.0322085889570554</v>
      </c>
      <c r="O5299" t="s">
        <v>100</v>
      </c>
      <c r="P5299" t="s">
        <v>340</v>
      </c>
      <c r="Q5299" s="10" t="s">
        <v>2468</v>
      </c>
    </row>
    <row r="5300" spans="1:17" x14ac:dyDescent="0.25">
      <c r="A5300" s="9" t="s">
        <v>2352</v>
      </c>
      <c r="B5300" s="3" t="s">
        <v>2472</v>
      </c>
      <c r="C5300" s="10">
        <v>25</v>
      </c>
      <c r="D5300" s="10">
        <v>3</v>
      </c>
      <c r="E5300" s="10">
        <v>20</v>
      </c>
      <c r="F5300" t="s">
        <v>165</v>
      </c>
      <c r="G5300" t="s">
        <v>889</v>
      </c>
      <c r="H5300" t="s">
        <v>63</v>
      </c>
      <c r="I5300" t="s">
        <v>27</v>
      </c>
      <c r="J5300">
        <v>97.6</v>
      </c>
      <c r="K5300" s="10">
        <v>1</v>
      </c>
      <c r="L5300">
        <v>97.6</v>
      </c>
      <c r="M5300">
        <v>97.6</v>
      </c>
      <c r="N5300" s="5">
        <v>4.9897750511247443</v>
      </c>
      <c r="O5300" t="s">
        <v>100</v>
      </c>
      <c r="P5300" t="s">
        <v>340</v>
      </c>
      <c r="Q5300" s="10" t="s">
        <v>2468</v>
      </c>
    </row>
    <row r="5301" spans="1:17" x14ac:dyDescent="0.25">
      <c r="A5301" s="9" t="s">
        <v>2352</v>
      </c>
      <c r="B5301" s="3" t="s">
        <v>2472</v>
      </c>
      <c r="C5301" s="10">
        <v>25</v>
      </c>
      <c r="D5301" s="10">
        <v>3</v>
      </c>
      <c r="E5301" s="10">
        <v>20</v>
      </c>
      <c r="F5301" t="s">
        <v>935</v>
      </c>
      <c r="G5301" t="s">
        <v>708</v>
      </c>
      <c r="H5301" t="s">
        <v>131</v>
      </c>
      <c r="I5301" t="s">
        <v>27</v>
      </c>
      <c r="J5301">
        <v>34.6</v>
      </c>
      <c r="K5301" s="10">
        <v>2</v>
      </c>
      <c r="L5301">
        <v>34.6</v>
      </c>
      <c r="M5301">
        <v>69.2</v>
      </c>
      <c r="N5301" s="5">
        <v>3.5378323108384464</v>
      </c>
      <c r="O5301" t="s">
        <v>100</v>
      </c>
      <c r="P5301" t="s">
        <v>340</v>
      </c>
      <c r="Q5301" s="10" t="s">
        <v>2468</v>
      </c>
    </row>
    <row r="5302" spans="1:17" x14ac:dyDescent="0.25">
      <c r="A5302" s="9" t="s">
        <v>2352</v>
      </c>
      <c r="B5302" s="3" t="s">
        <v>2472</v>
      </c>
      <c r="C5302" s="10">
        <v>25</v>
      </c>
      <c r="D5302" s="10">
        <v>3</v>
      </c>
      <c r="E5302" s="10">
        <v>20</v>
      </c>
      <c r="F5302" t="s">
        <v>202</v>
      </c>
      <c r="G5302" t="s">
        <v>889</v>
      </c>
      <c r="H5302" t="s">
        <v>54</v>
      </c>
      <c r="I5302" t="s">
        <v>27</v>
      </c>
      <c r="J5302">
        <v>185.6</v>
      </c>
      <c r="K5302" s="10">
        <v>0.28599999999999998</v>
      </c>
      <c r="L5302">
        <v>185.6</v>
      </c>
      <c r="M5302">
        <v>53.081599999999995</v>
      </c>
      <c r="N5302" s="5">
        <v>2.7137832310838443</v>
      </c>
      <c r="O5302" t="s">
        <v>100</v>
      </c>
      <c r="P5302" t="s">
        <v>340</v>
      </c>
      <c r="Q5302" s="10" t="s">
        <v>2468</v>
      </c>
    </row>
    <row r="5303" spans="1:17" x14ac:dyDescent="0.25">
      <c r="A5303" s="9" t="s">
        <v>2352</v>
      </c>
      <c r="B5303" s="3" t="s">
        <v>2472</v>
      </c>
      <c r="C5303" s="10">
        <v>25</v>
      </c>
      <c r="D5303" s="10">
        <v>3</v>
      </c>
      <c r="E5303" s="10">
        <v>20</v>
      </c>
      <c r="F5303" t="s">
        <v>166</v>
      </c>
      <c r="G5303" t="s">
        <v>77</v>
      </c>
      <c r="H5303" t="s">
        <v>26</v>
      </c>
      <c r="I5303" t="s">
        <v>27</v>
      </c>
      <c r="J5303">
        <v>21.4</v>
      </c>
      <c r="K5303" s="10">
        <v>1</v>
      </c>
      <c r="L5303">
        <v>21.4</v>
      </c>
      <c r="M5303">
        <v>21.4</v>
      </c>
      <c r="N5303" s="5">
        <v>1.0940695296523517</v>
      </c>
      <c r="O5303" t="s">
        <v>100</v>
      </c>
      <c r="P5303" t="s">
        <v>340</v>
      </c>
      <c r="Q5303" s="10" t="s">
        <v>2468</v>
      </c>
    </row>
    <row r="5304" spans="1:17" x14ac:dyDescent="0.25">
      <c r="A5304" s="9" t="s">
        <v>2352</v>
      </c>
      <c r="B5304" s="3" t="s">
        <v>2472</v>
      </c>
      <c r="C5304" s="10">
        <v>25</v>
      </c>
      <c r="D5304" s="10">
        <v>3</v>
      </c>
      <c r="E5304" s="10">
        <v>20</v>
      </c>
      <c r="F5304" t="s">
        <v>1258</v>
      </c>
      <c r="G5304" t="s">
        <v>889</v>
      </c>
      <c r="H5304" t="s">
        <v>26</v>
      </c>
      <c r="I5304" t="s">
        <v>27</v>
      </c>
      <c r="J5304">
        <v>49.6</v>
      </c>
      <c r="K5304" s="10">
        <v>1</v>
      </c>
      <c r="L5304">
        <v>49.6</v>
      </c>
      <c r="M5304">
        <v>49.6</v>
      </c>
      <c r="N5304" s="5">
        <v>2.535787321063395</v>
      </c>
      <c r="O5304" t="s">
        <v>100</v>
      </c>
      <c r="P5304" t="s">
        <v>340</v>
      </c>
      <c r="Q5304" s="10" t="s">
        <v>2468</v>
      </c>
    </row>
    <row r="5305" spans="1:17" x14ac:dyDescent="0.25">
      <c r="A5305" s="9" t="s">
        <v>2352</v>
      </c>
      <c r="B5305" s="3" t="s">
        <v>2472</v>
      </c>
      <c r="C5305" s="10">
        <v>25</v>
      </c>
      <c r="D5305" s="10">
        <v>3</v>
      </c>
      <c r="E5305" s="10">
        <v>20</v>
      </c>
      <c r="F5305" t="s">
        <v>146</v>
      </c>
      <c r="G5305" t="s">
        <v>889</v>
      </c>
      <c r="H5305" t="s">
        <v>49</v>
      </c>
      <c r="I5305" t="s">
        <v>50</v>
      </c>
      <c r="J5305">
        <v>0.35</v>
      </c>
      <c r="K5305" s="10">
        <v>1</v>
      </c>
      <c r="L5305">
        <v>0.35</v>
      </c>
      <c r="M5305">
        <v>0.35</v>
      </c>
      <c r="N5305" s="5">
        <v>1.7893660531697341E-2</v>
      </c>
      <c r="O5305" t="s">
        <v>100</v>
      </c>
      <c r="P5305" t="s">
        <v>340</v>
      </c>
      <c r="Q5305" s="10" t="s">
        <v>2468</v>
      </c>
    </row>
    <row r="5306" spans="1:17" x14ac:dyDescent="0.25">
      <c r="A5306" s="9" t="s">
        <v>2352</v>
      </c>
      <c r="B5306" s="3" t="s">
        <v>2472</v>
      </c>
      <c r="C5306" s="10">
        <v>25</v>
      </c>
      <c r="D5306" s="10">
        <v>3</v>
      </c>
      <c r="E5306" s="10">
        <v>20</v>
      </c>
      <c r="F5306" t="s">
        <v>1721</v>
      </c>
      <c r="G5306" t="s">
        <v>889</v>
      </c>
      <c r="H5306" t="s">
        <v>39</v>
      </c>
      <c r="I5306" t="s">
        <v>27</v>
      </c>
      <c r="J5306">
        <v>66.63</v>
      </c>
      <c r="K5306" s="10">
        <v>0.4</v>
      </c>
      <c r="L5306">
        <v>66.63</v>
      </c>
      <c r="M5306">
        <v>26.652000000000001</v>
      </c>
      <c r="N5306" s="5">
        <v>1.3625766871165645</v>
      </c>
      <c r="O5306" t="s">
        <v>100</v>
      </c>
      <c r="P5306" t="s">
        <v>340</v>
      </c>
      <c r="Q5306" s="10" t="s">
        <v>2468</v>
      </c>
    </row>
    <row r="5307" spans="1:17" x14ac:dyDescent="0.25">
      <c r="A5307" s="9" t="s">
        <v>2352</v>
      </c>
      <c r="B5307" s="3" t="s">
        <v>2472</v>
      </c>
      <c r="C5307" s="10">
        <v>25</v>
      </c>
      <c r="D5307" s="10">
        <v>3</v>
      </c>
      <c r="E5307" s="10">
        <v>20</v>
      </c>
      <c r="F5307" t="s">
        <v>1036</v>
      </c>
      <c r="G5307" t="s">
        <v>889</v>
      </c>
      <c r="H5307" t="s">
        <v>38</v>
      </c>
      <c r="I5307" t="s">
        <v>27</v>
      </c>
      <c r="J5307">
        <v>126</v>
      </c>
      <c r="K5307" s="10">
        <v>0.55600000000000005</v>
      </c>
      <c r="L5307">
        <v>126</v>
      </c>
      <c r="M5307">
        <v>70.056000000000012</v>
      </c>
      <c r="N5307" s="5">
        <v>3.5815950920245405</v>
      </c>
      <c r="O5307" t="s">
        <v>100</v>
      </c>
      <c r="P5307" t="s">
        <v>340</v>
      </c>
      <c r="Q5307" s="10" t="s">
        <v>2468</v>
      </c>
    </row>
    <row r="5308" spans="1:17" x14ac:dyDescent="0.25">
      <c r="A5308" s="9" t="s">
        <v>2352</v>
      </c>
      <c r="B5308" s="3" t="s">
        <v>2472</v>
      </c>
      <c r="C5308" s="10">
        <v>25</v>
      </c>
      <c r="D5308" s="10">
        <v>3</v>
      </c>
      <c r="E5308" s="10">
        <v>20</v>
      </c>
      <c r="F5308" t="s">
        <v>781</v>
      </c>
      <c r="G5308" t="s">
        <v>31</v>
      </c>
      <c r="H5308" t="s">
        <v>26</v>
      </c>
      <c r="I5308" t="s">
        <v>27</v>
      </c>
      <c r="J5308">
        <v>10</v>
      </c>
      <c r="K5308" s="10">
        <v>2</v>
      </c>
      <c r="L5308">
        <v>10</v>
      </c>
      <c r="M5308">
        <v>20</v>
      </c>
      <c r="N5308" s="5">
        <v>1.0224948875255624</v>
      </c>
      <c r="O5308" t="s">
        <v>100</v>
      </c>
      <c r="P5308" t="s">
        <v>340</v>
      </c>
      <c r="Q5308" s="10" t="s">
        <v>2468</v>
      </c>
    </row>
    <row r="5309" spans="1:17" x14ac:dyDescent="0.25">
      <c r="A5309" s="9" t="s">
        <v>2352</v>
      </c>
      <c r="B5309" s="3" t="s">
        <v>2461</v>
      </c>
      <c r="C5309" s="10">
        <v>29</v>
      </c>
      <c r="D5309" s="10">
        <v>3</v>
      </c>
      <c r="E5309" s="10">
        <v>20</v>
      </c>
      <c r="F5309" t="s">
        <v>2479</v>
      </c>
      <c r="G5309" t="s">
        <v>889</v>
      </c>
      <c r="H5309" t="s">
        <v>39</v>
      </c>
      <c r="I5309" t="s">
        <v>39</v>
      </c>
      <c r="J5309">
        <v>2</v>
      </c>
      <c r="K5309" s="10">
        <v>4</v>
      </c>
      <c r="L5309">
        <v>2</v>
      </c>
      <c r="M5309">
        <v>8</v>
      </c>
      <c r="N5309" s="5">
        <v>0.40899795501022496</v>
      </c>
      <c r="O5309" t="s">
        <v>100</v>
      </c>
      <c r="P5309" t="s">
        <v>340</v>
      </c>
      <c r="Q5309" s="10" t="s">
        <v>2468</v>
      </c>
    </row>
    <row r="5310" spans="1:17" x14ac:dyDescent="0.25">
      <c r="A5310" s="9" t="s">
        <v>2352</v>
      </c>
      <c r="B5310" s="3" t="s">
        <v>2461</v>
      </c>
      <c r="C5310" s="10">
        <v>29</v>
      </c>
      <c r="D5310" s="10">
        <v>3</v>
      </c>
      <c r="E5310" s="10">
        <v>20</v>
      </c>
      <c r="F5310" t="s">
        <v>2356</v>
      </c>
      <c r="G5310" t="s">
        <v>889</v>
      </c>
      <c r="H5310" t="s">
        <v>39</v>
      </c>
      <c r="I5310" t="s">
        <v>39</v>
      </c>
      <c r="J5310">
        <v>45</v>
      </c>
      <c r="K5310" s="10">
        <v>1</v>
      </c>
      <c r="L5310">
        <v>45</v>
      </c>
      <c r="M5310">
        <v>45</v>
      </c>
      <c r="N5310" s="5">
        <v>2.3006134969325154</v>
      </c>
      <c r="O5310" t="s">
        <v>100</v>
      </c>
      <c r="P5310" t="s">
        <v>340</v>
      </c>
      <c r="Q5310" s="10" t="s">
        <v>2468</v>
      </c>
    </row>
    <row r="5311" spans="1:17" x14ac:dyDescent="0.25">
      <c r="A5311" s="9" t="s">
        <v>2352</v>
      </c>
      <c r="B5311" s="3" t="s">
        <v>2461</v>
      </c>
      <c r="C5311" s="10">
        <v>29</v>
      </c>
      <c r="D5311" s="10">
        <v>3</v>
      </c>
      <c r="E5311" s="10">
        <v>20</v>
      </c>
      <c r="F5311" t="s">
        <v>2359</v>
      </c>
      <c r="G5311" t="s">
        <v>889</v>
      </c>
      <c r="H5311" t="s">
        <v>59</v>
      </c>
      <c r="I5311" t="s">
        <v>27</v>
      </c>
      <c r="J5311">
        <v>28.6</v>
      </c>
      <c r="K5311" s="10">
        <v>3</v>
      </c>
      <c r="L5311">
        <v>28.6</v>
      </c>
      <c r="M5311">
        <v>85.800000000000011</v>
      </c>
      <c r="N5311" s="5">
        <v>4.3865030674846635</v>
      </c>
      <c r="O5311" t="s">
        <v>100</v>
      </c>
      <c r="P5311" t="s">
        <v>340</v>
      </c>
      <c r="Q5311" s="10" t="s">
        <v>2468</v>
      </c>
    </row>
    <row r="5312" spans="1:17" x14ac:dyDescent="0.25">
      <c r="A5312" s="9" t="s">
        <v>2352</v>
      </c>
      <c r="B5312" s="3" t="s">
        <v>2461</v>
      </c>
      <c r="C5312" s="10">
        <v>29</v>
      </c>
      <c r="D5312" s="10">
        <v>3</v>
      </c>
      <c r="E5312" s="10">
        <v>20</v>
      </c>
      <c r="F5312" t="s">
        <v>2465</v>
      </c>
      <c r="G5312" t="s">
        <v>889</v>
      </c>
      <c r="H5312" t="s">
        <v>26</v>
      </c>
      <c r="I5312" t="s">
        <v>27</v>
      </c>
      <c r="J5312">
        <v>20</v>
      </c>
      <c r="K5312" s="10">
        <v>1</v>
      </c>
      <c r="L5312">
        <v>20</v>
      </c>
      <c r="M5312">
        <v>20</v>
      </c>
      <c r="N5312" s="5">
        <v>1.0224948875255624</v>
      </c>
      <c r="O5312" t="s">
        <v>100</v>
      </c>
      <c r="P5312" t="s">
        <v>340</v>
      </c>
      <c r="Q5312" s="10" t="s">
        <v>2468</v>
      </c>
    </row>
    <row r="5313" spans="1:17" x14ac:dyDescent="0.25">
      <c r="A5313" s="9" t="s">
        <v>2352</v>
      </c>
      <c r="B5313" s="3" t="s">
        <v>2461</v>
      </c>
      <c r="C5313" s="10">
        <v>29</v>
      </c>
      <c r="D5313" s="10">
        <v>3</v>
      </c>
      <c r="E5313" s="10">
        <v>20</v>
      </c>
      <c r="F5313" t="s">
        <v>1274</v>
      </c>
      <c r="G5313" t="s">
        <v>889</v>
      </c>
      <c r="H5313" t="s">
        <v>73</v>
      </c>
      <c r="I5313" t="s">
        <v>27</v>
      </c>
      <c r="J5313">
        <v>25.6</v>
      </c>
      <c r="K5313" s="10">
        <v>1</v>
      </c>
      <c r="L5313">
        <v>25.6</v>
      </c>
      <c r="M5313">
        <v>25.6</v>
      </c>
      <c r="N5313" s="5">
        <v>1.3087934560327199</v>
      </c>
      <c r="O5313" t="s">
        <v>100</v>
      </c>
      <c r="P5313" t="s">
        <v>340</v>
      </c>
      <c r="Q5313" s="10" t="s">
        <v>2468</v>
      </c>
    </row>
    <row r="5314" spans="1:17" x14ac:dyDescent="0.25">
      <c r="A5314" s="9" t="s">
        <v>2352</v>
      </c>
      <c r="B5314" s="3" t="s">
        <v>2461</v>
      </c>
      <c r="C5314" s="10">
        <v>29</v>
      </c>
      <c r="D5314" s="10">
        <v>3</v>
      </c>
      <c r="E5314" s="10">
        <v>20</v>
      </c>
      <c r="F5314" t="s">
        <v>2040</v>
      </c>
      <c r="G5314" t="s">
        <v>465</v>
      </c>
      <c r="H5314" t="s">
        <v>35</v>
      </c>
      <c r="I5314" t="s">
        <v>27</v>
      </c>
      <c r="J5314">
        <v>98.6</v>
      </c>
      <c r="K5314" s="10">
        <v>0.43</v>
      </c>
      <c r="L5314">
        <v>98.6</v>
      </c>
      <c r="M5314">
        <v>42.397999999999996</v>
      </c>
      <c r="N5314" s="5">
        <v>2.1675869120654396</v>
      </c>
      <c r="O5314" t="s">
        <v>100</v>
      </c>
      <c r="P5314" t="s">
        <v>340</v>
      </c>
      <c r="Q5314" s="10" t="s">
        <v>2468</v>
      </c>
    </row>
    <row r="5315" spans="1:17" x14ac:dyDescent="0.25">
      <c r="A5315" s="9" t="s">
        <v>2352</v>
      </c>
      <c r="B5315" s="3" t="s">
        <v>2461</v>
      </c>
      <c r="C5315" s="10">
        <v>29</v>
      </c>
      <c r="D5315" s="10">
        <v>3</v>
      </c>
      <c r="E5315" s="10">
        <v>20</v>
      </c>
      <c r="F5315" t="s">
        <v>2041</v>
      </c>
      <c r="G5315" t="s">
        <v>889</v>
      </c>
      <c r="H5315" t="s">
        <v>35</v>
      </c>
      <c r="I5315" t="s">
        <v>27</v>
      </c>
      <c r="J5315">
        <v>152.6</v>
      </c>
      <c r="K5315" s="10">
        <v>0.33600000000000002</v>
      </c>
      <c r="L5315">
        <v>152.6</v>
      </c>
      <c r="M5315">
        <v>51.273600000000002</v>
      </c>
      <c r="N5315" s="5">
        <v>2.6213496932515339</v>
      </c>
      <c r="O5315" t="s">
        <v>100</v>
      </c>
      <c r="P5315" t="s">
        <v>340</v>
      </c>
      <c r="Q5315" s="10" t="s">
        <v>2468</v>
      </c>
    </row>
    <row r="5316" spans="1:17" x14ac:dyDescent="0.25">
      <c r="A5316" s="9" t="s">
        <v>2352</v>
      </c>
      <c r="B5316" s="3" t="s">
        <v>2461</v>
      </c>
      <c r="C5316" s="10">
        <v>29</v>
      </c>
      <c r="D5316" s="10">
        <v>3</v>
      </c>
      <c r="E5316" s="10">
        <v>20</v>
      </c>
      <c r="F5316" t="s">
        <v>2473</v>
      </c>
      <c r="G5316" t="s">
        <v>889</v>
      </c>
      <c r="H5316" t="s">
        <v>35</v>
      </c>
      <c r="I5316" t="s">
        <v>27</v>
      </c>
      <c r="J5316">
        <v>114.6</v>
      </c>
      <c r="K5316" s="10">
        <v>0.45600000000000002</v>
      </c>
      <c r="L5316">
        <v>114.6</v>
      </c>
      <c r="M5316">
        <v>52.257599999999996</v>
      </c>
      <c r="N5316" s="5">
        <v>2.6716564417177913</v>
      </c>
      <c r="O5316" t="s">
        <v>100</v>
      </c>
      <c r="P5316" t="s">
        <v>340</v>
      </c>
      <c r="Q5316" s="10" t="s">
        <v>2468</v>
      </c>
    </row>
    <row r="5317" spans="1:17" x14ac:dyDescent="0.25">
      <c r="A5317" s="9" t="s">
        <v>2352</v>
      </c>
      <c r="B5317" s="3" t="s">
        <v>2461</v>
      </c>
      <c r="C5317" s="10">
        <v>29</v>
      </c>
      <c r="D5317" s="10">
        <v>3</v>
      </c>
      <c r="E5317" s="10">
        <v>20</v>
      </c>
      <c r="F5317" t="s">
        <v>2474</v>
      </c>
      <c r="G5317" t="s">
        <v>889</v>
      </c>
      <c r="H5317" t="s">
        <v>475</v>
      </c>
      <c r="I5317" t="s">
        <v>27</v>
      </c>
      <c r="J5317">
        <v>28.75</v>
      </c>
      <c r="K5317" s="10">
        <v>1</v>
      </c>
      <c r="L5317">
        <v>28.75</v>
      </c>
      <c r="M5317">
        <v>28.75</v>
      </c>
      <c r="N5317" s="5">
        <v>1.469836400817996</v>
      </c>
      <c r="O5317" t="s">
        <v>100</v>
      </c>
      <c r="P5317" t="s">
        <v>340</v>
      </c>
      <c r="Q5317" s="10" t="s">
        <v>2468</v>
      </c>
    </row>
    <row r="5318" spans="1:17" x14ac:dyDescent="0.25">
      <c r="A5318" s="9" t="s">
        <v>2352</v>
      </c>
      <c r="B5318" s="3" t="s">
        <v>2461</v>
      </c>
      <c r="C5318" s="10">
        <v>29</v>
      </c>
      <c r="D5318" s="10">
        <v>3</v>
      </c>
      <c r="E5318" s="10">
        <v>20</v>
      </c>
      <c r="F5318" t="s">
        <v>1897</v>
      </c>
      <c r="G5318" t="s">
        <v>889</v>
      </c>
      <c r="H5318" t="s">
        <v>62</v>
      </c>
      <c r="I5318" t="s">
        <v>27</v>
      </c>
      <c r="J5318">
        <v>46.75</v>
      </c>
      <c r="K5318" s="10">
        <v>1</v>
      </c>
      <c r="L5318">
        <v>46.75</v>
      </c>
      <c r="M5318">
        <v>46.75</v>
      </c>
      <c r="N5318" s="5">
        <v>2.3900817995910022</v>
      </c>
      <c r="O5318" t="s">
        <v>100</v>
      </c>
      <c r="P5318" t="s">
        <v>340</v>
      </c>
      <c r="Q5318" s="10" t="s">
        <v>2468</v>
      </c>
    </row>
    <row r="5319" spans="1:17" x14ac:dyDescent="0.25">
      <c r="A5319" s="9" t="s">
        <v>2352</v>
      </c>
      <c r="B5319" s="3" t="s">
        <v>2461</v>
      </c>
      <c r="C5319" s="10">
        <v>29</v>
      </c>
      <c r="D5319" s="10">
        <v>3</v>
      </c>
      <c r="E5319" s="10">
        <v>20</v>
      </c>
      <c r="F5319" t="s">
        <v>1466</v>
      </c>
      <c r="G5319" t="s">
        <v>31</v>
      </c>
      <c r="H5319" t="s">
        <v>26</v>
      </c>
      <c r="I5319" t="s">
        <v>27</v>
      </c>
      <c r="J5319">
        <v>38.6</v>
      </c>
      <c r="K5319" s="10">
        <v>2</v>
      </c>
      <c r="L5319">
        <v>38.6</v>
      </c>
      <c r="M5319">
        <v>77.2</v>
      </c>
      <c r="N5319" s="5">
        <v>3.9468302658486714</v>
      </c>
      <c r="O5319" t="s">
        <v>100</v>
      </c>
      <c r="P5319" t="s">
        <v>340</v>
      </c>
      <c r="Q5319" s="10" t="s">
        <v>2468</v>
      </c>
    </row>
    <row r="5320" spans="1:17" x14ac:dyDescent="0.25">
      <c r="A5320" s="9" t="s">
        <v>2352</v>
      </c>
      <c r="B5320" s="3" t="s">
        <v>2461</v>
      </c>
      <c r="C5320" s="10">
        <v>29</v>
      </c>
      <c r="D5320" s="10">
        <v>3</v>
      </c>
      <c r="E5320" s="10">
        <v>20</v>
      </c>
      <c r="F5320" t="s">
        <v>166</v>
      </c>
      <c r="G5320" t="s">
        <v>77</v>
      </c>
      <c r="H5320" t="s">
        <v>26</v>
      </c>
      <c r="I5320" t="s">
        <v>27</v>
      </c>
      <c r="J5320">
        <v>21.4</v>
      </c>
      <c r="K5320" s="10">
        <v>1</v>
      </c>
      <c r="L5320">
        <v>21.4</v>
      </c>
      <c r="M5320">
        <v>21.4</v>
      </c>
      <c r="N5320" s="5">
        <v>1.0940695296523517</v>
      </c>
      <c r="O5320" t="s">
        <v>100</v>
      </c>
      <c r="P5320" t="s">
        <v>340</v>
      </c>
      <c r="Q5320" s="10" t="s">
        <v>2468</v>
      </c>
    </row>
    <row r="5321" spans="1:17" x14ac:dyDescent="0.25">
      <c r="A5321" s="9" t="s">
        <v>2352</v>
      </c>
      <c r="B5321" s="3" t="s">
        <v>2461</v>
      </c>
      <c r="C5321" s="10">
        <v>29</v>
      </c>
      <c r="D5321" s="10">
        <v>3</v>
      </c>
      <c r="E5321" s="10">
        <v>20</v>
      </c>
      <c r="F5321" t="s">
        <v>217</v>
      </c>
      <c r="G5321" t="s">
        <v>25</v>
      </c>
      <c r="H5321" t="s">
        <v>26</v>
      </c>
      <c r="I5321" t="s">
        <v>27</v>
      </c>
      <c r="J5321">
        <v>33</v>
      </c>
      <c r="K5321" s="10">
        <v>2</v>
      </c>
      <c r="L5321">
        <v>33</v>
      </c>
      <c r="M5321">
        <v>66</v>
      </c>
      <c r="N5321" s="5">
        <v>3.3742331288343559</v>
      </c>
      <c r="O5321" t="s">
        <v>100</v>
      </c>
      <c r="P5321" t="s">
        <v>340</v>
      </c>
      <c r="Q5321" s="10" t="s">
        <v>2468</v>
      </c>
    </row>
    <row r="5322" spans="1:17" x14ac:dyDescent="0.25">
      <c r="A5322" s="9" t="s">
        <v>2352</v>
      </c>
      <c r="B5322" s="3" t="s">
        <v>2461</v>
      </c>
      <c r="C5322" s="10">
        <v>29</v>
      </c>
      <c r="D5322" s="10">
        <v>3</v>
      </c>
      <c r="E5322" s="10">
        <v>20</v>
      </c>
      <c r="F5322" t="s">
        <v>1036</v>
      </c>
      <c r="G5322" t="s">
        <v>889</v>
      </c>
      <c r="H5322" t="s">
        <v>38</v>
      </c>
      <c r="I5322" t="s">
        <v>27</v>
      </c>
      <c r="J5322">
        <v>126</v>
      </c>
      <c r="K5322" s="10">
        <v>0.318</v>
      </c>
      <c r="L5322">
        <v>126</v>
      </c>
      <c r="M5322">
        <v>40.067999999999998</v>
      </c>
      <c r="N5322" s="5">
        <v>2.0484662576687116</v>
      </c>
      <c r="O5322" t="s">
        <v>100</v>
      </c>
      <c r="P5322" t="s">
        <v>340</v>
      </c>
      <c r="Q5322" s="10" t="s">
        <v>2468</v>
      </c>
    </row>
    <row r="5323" spans="1:17" x14ac:dyDescent="0.25">
      <c r="A5323" s="9" t="s">
        <v>2352</v>
      </c>
      <c r="B5323" s="3" t="s">
        <v>2461</v>
      </c>
      <c r="C5323" s="10">
        <v>29</v>
      </c>
      <c r="D5323" s="10">
        <v>3</v>
      </c>
      <c r="E5323" s="10">
        <v>20</v>
      </c>
      <c r="F5323" t="s">
        <v>2272</v>
      </c>
      <c r="G5323" t="s">
        <v>889</v>
      </c>
      <c r="H5323" t="s">
        <v>39</v>
      </c>
      <c r="I5323" t="s">
        <v>27</v>
      </c>
      <c r="J5323">
        <v>66.63</v>
      </c>
      <c r="K5323" s="10">
        <v>0.4</v>
      </c>
      <c r="L5323">
        <v>66.63</v>
      </c>
      <c r="M5323">
        <v>26.652000000000001</v>
      </c>
      <c r="N5323" s="5">
        <v>1.3625766871165645</v>
      </c>
      <c r="O5323" t="s">
        <v>100</v>
      </c>
      <c r="P5323" t="s">
        <v>340</v>
      </c>
      <c r="Q5323" s="10" t="s">
        <v>2468</v>
      </c>
    </row>
    <row r="5324" spans="1:17" x14ac:dyDescent="0.25">
      <c r="A5324" s="9" t="s">
        <v>2352</v>
      </c>
      <c r="B5324" s="3" t="s">
        <v>2461</v>
      </c>
      <c r="C5324" s="10">
        <v>29</v>
      </c>
      <c r="D5324" s="10">
        <v>3</v>
      </c>
      <c r="E5324" s="10">
        <v>20</v>
      </c>
      <c r="F5324" t="s">
        <v>2377</v>
      </c>
      <c r="G5324" t="s">
        <v>345</v>
      </c>
      <c r="H5324" t="s">
        <v>26</v>
      </c>
      <c r="I5324" t="s">
        <v>27</v>
      </c>
      <c r="J5324">
        <v>7.19</v>
      </c>
      <c r="K5324" s="10">
        <v>2</v>
      </c>
      <c r="L5324">
        <v>7.19</v>
      </c>
      <c r="M5324">
        <v>14.38</v>
      </c>
      <c r="N5324" s="5">
        <v>0.73517382413087939</v>
      </c>
      <c r="O5324" t="s">
        <v>100</v>
      </c>
      <c r="P5324" t="s">
        <v>340</v>
      </c>
      <c r="Q5324" s="10" t="s">
        <v>2468</v>
      </c>
    </row>
    <row r="5325" spans="1:17" x14ac:dyDescent="0.25">
      <c r="A5325" s="9" t="s">
        <v>2352</v>
      </c>
      <c r="B5325" s="3" t="s">
        <v>2461</v>
      </c>
      <c r="C5325" s="10">
        <v>29</v>
      </c>
      <c r="D5325" s="10">
        <v>3</v>
      </c>
      <c r="E5325" s="10">
        <v>20</v>
      </c>
      <c r="F5325" t="s">
        <v>124</v>
      </c>
      <c r="G5325" t="s">
        <v>889</v>
      </c>
      <c r="H5325" t="s">
        <v>54</v>
      </c>
      <c r="I5325" t="s">
        <v>27</v>
      </c>
      <c r="J5325">
        <v>128</v>
      </c>
      <c r="K5325" s="10">
        <v>0.51400000000000001</v>
      </c>
      <c r="L5325">
        <v>128</v>
      </c>
      <c r="M5325">
        <v>65.792000000000002</v>
      </c>
      <c r="N5325" s="5">
        <v>3.3635991820040902</v>
      </c>
      <c r="O5325" t="s">
        <v>100</v>
      </c>
      <c r="P5325" t="s">
        <v>340</v>
      </c>
      <c r="Q5325" s="10" t="s">
        <v>2468</v>
      </c>
    </row>
    <row r="5326" spans="1:17" x14ac:dyDescent="0.25">
      <c r="A5326" s="9" t="s">
        <v>2352</v>
      </c>
      <c r="B5326" s="3" t="s">
        <v>2461</v>
      </c>
      <c r="C5326" s="10">
        <v>29</v>
      </c>
      <c r="D5326" s="10">
        <v>3</v>
      </c>
      <c r="E5326" s="10">
        <v>20</v>
      </c>
      <c r="F5326" t="s">
        <v>945</v>
      </c>
      <c r="G5326" t="s">
        <v>889</v>
      </c>
      <c r="H5326" t="s">
        <v>54</v>
      </c>
      <c r="I5326" t="s">
        <v>27</v>
      </c>
      <c r="J5326">
        <v>70.599999999999994</v>
      </c>
      <c r="K5326" s="10">
        <v>0.45600000000000002</v>
      </c>
      <c r="L5326">
        <v>70.599999999999994</v>
      </c>
      <c r="M5326">
        <v>32.193599999999996</v>
      </c>
      <c r="N5326" s="5">
        <v>1.6458895705521472</v>
      </c>
      <c r="O5326" t="s">
        <v>100</v>
      </c>
      <c r="P5326" t="s">
        <v>340</v>
      </c>
      <c r="Q5326" s="10" t="s">
        <v>2468</v>
      </c>
    </row>
    <row r="5327" spans="1:17" x14ac:dyDescent="0.25">
      <c r="A5327" s="9" t="s">
        <v>2352</v>
      </c>
      <c r="B5327" s="3" t="s">
        <v>2461</v>
      </c>
      <c r="C5327" s="10">
        <v>29</v>
      </c>
      <c r="D5327" s="10">
        <v>3</v>
      </c>
      <c r="E5327" s="10">
        <v>20</v>
      </c>
      <c r="F5327" t="s">
        <v>1205</v>
      </c>
      <c r="G5327" t="s">
        <v>889</v>
      </c>
      <c r="H5327" t="s">
        <v>54</v>
      </c>
      <c r="I5327" t="s">
        <v>27</v>
      </c>
      <c r="J5327">
        <v>29.6</v>
      </c>
      <c r="K5327" s="10">
        <v>1</v>
      </c>
      <c r="L5327">
        <v>29.6</v>
      </c>
      <c r="M5327">
        <v>29.6</v>
      </c>
      <c r="N5327" s="5">
        <v>1.5132924335378324</v>
      </c>
      <c r="O5327" t="s">
        <v>100</v>
      </c>
      <c r="P5327" t="s">
        <v>340</v>
      </c>
      <c r="Q5327" s="10" t="s">
        <v>2468</v>
      </c>
    </row>
    <row r="5328" spans="1:17" x14ac:dyDescent="0.25">
      <c r="A5328" s="9" t="s">
        <v>2352</v>
      </c>
      <c r="B5328" s="3" t="s">
        <v>2461</v>
      </c>
      <c r="C5328" s="10">
        <v>29</v>
      </c>
      <c r="D5328" s="10">
        <v>3</v>
      </c>
      <c r="E5328" s="10">
        <v>20</v>
      </c>
      <c r="F5328" t="s">
        <v>1680</v>
      </c>
      <c r="G5328" t="s">
        <v>889</v>
      </c>
      <c r="H5328" t="s">
        <v>40</v>
      </c>
      <c r="I5328" t="s">
        <v>27</v>
      </c>
      <c r="J5328">
        <v>11</v>
      </c>
      <c r="K5328" s="10">
        <v>1</v>
      </c>
      <c r="L5328">
        <v>11</v>
      </c>
      <c r="M5328">
        <v>11</v>
      </c>
      <c r="N5328" s="5">
        <v>0.56237218813905931</v>
      </c>
      <c r="O5328" t="s">
        <v>100</v>
      </c>
      <c r="P5328" t="s">
        <v>340</v>
      </c>
      <c r="Q5328" s="10" t="s">
        <v>2468</v>
      </c>
    </row>
    <row r="5329" spans="1:17" x14ac:dyDescent="0.25">
      <c r="A5329" s="9" t="s">
        <v>2352</v>
      </c>
      <c r="B5329" s="3" t="s">
        <v>2461</v>
      </c>
      <c r="C5329" s="10">
        <v>29</v>
      </c>
      <c r="D5329" s="10">
        <v>3</v>
      </c>
      <c r="E5329" s="10">
        <v>20</v>
      </c>
      <c r="F5329" t="s">
        <v>118</v>
      </c>
      <c r="G5329" t="s">
        <v>889</v>
      </c>
      <c r="H5329" t="s">
        <v>40</v>
      </c>
      <c r="I5329" t="s">
        <v>27</v>
      </c>
      <c r="J5329">
        <v>11</v>
      </c>
      <c r="K5329" s="10">
        <v>1</v>
      </c>
      <c r="L5329">
        <v>11</v>
      </c>
      <c r="M5329">
        <v>11</v>
      </c>
      <c r="N5329" s="5">
        <v>0.56237218813905931</v>
      </c>
      <c r="O5329" t="s">
        <v>100</v>
      </c>
      <c r="P5329" t="s">
        <v>340</v>
      </c>
      <c r="Q5329" s="10" t="s">
        <v>2468</v>
      </c>
    </row>
    <row r="5330" spans="1:17" x14ac:dyDescent="0.25">
      <c r="A5330" s="9" t="s">
        <v>2352</v>
      </c>
      <c r="B5330" s="3" t="s">
        <v>2461</v>
      </c>
      <c r="C5330" s="10">
        <v>29</v>
      </c>
      <c r="D5330" s="10">
        <v>3</v>
      </c>
      <c r="E5330" s="10">
        <v>20</v>
      </c>
      <c r="F5330" t="s">
        <v>460</v>
      </c>
      <c r="G5330" t="s">
        <v>39</v>
      </c>
      <c r="H5330" t="s">
        <v>65</v>
      </c>
      <c r="I5330" t="s">
        <v>27</v>
      </c>
      <c r="J5330">
        <v>9.9</v>
      </c>
      <c r="K5330" s="10">
        <v>1</v>
      </c>
      <c r="L5330">
        <v>9.9</v>
      </c>
      <c r="M5330">
        <v>9.9</v>
      </c>
      <c r="N5330" s="5">
        <v>0.50613496932515345</v>
      </c>
      <c r="O5330" t="s">
        <v>100</v>
      </c>
      <c r="P5330" t="s">
        <v>340</v>
      </c>
      <c r="Q5330" s="10" t="s">
        <v>2468</v>
      </c>
    </row>
    <row r="5331" spans="1:17" x14ac:dyDescent="0.25">
      <c r="A5331" s="9" t="s">
        <v>2352</v>
      </c>
      <c r="B5331" s="3" t="s">
        <v>2461</v>
      </c>
      <c r="C5331" s="10">
        <v>29</v>
      </c>
      <c r="D5331" s="10">
        <v>3</v>
      </c>
      <c r="E5331" s="10">
        <v>20</v>
      </c>
      <c r="F5331" t="s">
        <v>372</v>
      </c>
      <c r="G5331" t="s">
        <v>373</v>
      </c>
      <c r="H5331" t="s">
        <v>65</v>
      </c>
      <c r="I5331" t="s">
        <v>27</v>
      </c>
      <c r="J5331">
        <v>9.9</v>
      </c>
      <c r="K5331" s="10">
        <v>1</v>
      </c>
      <c r="L5331">
        <v>9.9</v>
      </c>
      <c r="M5331">
        <v>9.9</v>
      </c>
      <c r="N5331" s="5">
        <v>0.50613496932515345</v>
      </c>
      <c r="O5331" t="s">
        <v>100</v>
      </c>
      <c r="P5331" t="s">
        <v>340</v>
      </c>
      <c r="Q5331" s="10" t="s">
        <v>2468</v>
      </c>
    </row>
    <row r="5332" spans="1:17" x14ac:dyDescent="0.25">
      <c r="A5332" s="9" t="s">
        <v>2352</v>
      </c>
      <c r="B5332" s="3" t="s">
        <v>2461</v>
      </c>
      <c r="C5332" s="10">
        <v>29</v>
      </c>
      <c r="D5332" s="10">
        <v>3</v>
      </c>
      <c r="E5332" s="10">
        <v>20</v>
      </c>
      <c r="F5332" t="s">
        <v>2485</v>
      </c>
      <c r="G5332" t="s">
        <v>889</v>
      </c>
      <c r="H5332" t="s">
        <v>131</v>
      </c>
      <c r="I5332" t="s">
        <v>27</v>
      </c>
      <c r="J5332">
        <v>25.6</v>
      </c>
      <c r="K5332" s="10">
        <v>1</v>
      </c>
      <c r="L5332">
        <v>25.6</v>
      </c>
      <c r="M5332">
        <v>25.6</v>
      </c>
      <c r="N5332" s="5">
        <v>1.3087934560327199</v>
      </c>
      <c r="O5332" t="s">
        <v>100</v>
      </c>
      <c r="P5332" t="s">
        <v>340</v>
      </c>
      <c r="Q5332" s="10" t="s">
        <v>2468</v>
      </c>
    </row>
    <row r="5333" spans="1:17" x14ac:dyDescent="0.25">
      <c r="A5333" s="9" t="s">
        <v>2352</v>
      </c>
      <c r="B5333" s="3" t="s">
        <v>2461</v>
      </c>
      <c r="C5333" s="10">
        <v>29</v>
      </c>
      <c r="D5333" s="10">
        <v>3</v>
      </c>
      <c r="E5333" s="10">
        <v>20</v>
      </c>
      <c r="F5333" t="s">
        <v>2476</v>
      </c>
      <c r="G5333" t="s">
        <v>889</v>
      </c>
      <c r="H5333" t="s">
        <v>131</v>
      </c>
      <c r="I5333" t="s">
        <v>27</v>
      </c>
      <c r="J5333">
        <v>36.6</v>
      </c>
      <c r="K5333" s="10">
        <v>1</v>
      </c>
      <c r="L5333">
        <v>36.6</v>
      </c>
      <c r="M5333">
        <v>36.6</v>
      </c>
      <c r="N5333" s="5">
        <v>1.8711656441717794</v>
      </c>
      <c r="O5333" t="s">
        <v>100</v>
      </c>
      <c r="P5333" t="s">
        <v>340</v>
      </c>
      <c r="Q5333" s="10" t="s">
        <v>2468</v>
      </c>
    </row>
    <row r="5334" spans="1:17" x14ac:dyDescent="0.25">
      <c r="A5334" s="9" t="s">
        <v>2352</v>
      </c>
      <c r="B5334" s="3" t="s">
        <v>2461</v>
      </c>
      <c r="C5334" s="10">
        <v>29</v>
      </c>
      <c r="D5334" s="10">
        <v>3</v>
      </c>
      <c r="E5334" s="10">
        <v>20</v>
      </c>
      <c r="F5334" t="s">
        <v>2475</v>
      </c>
      <c r="G5334" t="s">
        <v>889</v>
      </c>
      <c r="H5334" t="s">
        <v>102</v>
      </c>
      <c r="I5334" t="s">
        <v>27</v>
      </c>
      <c r="J5334">
        <v>142.6</v>
      </c>
      <c r="K5334" s="10">
        <v>1</v>
      </c>
      <c r="L5334">
        <v>142.6</v>
      </c>
      <c r="M5334">
        <v>142.6</v>
      </c>
      <c r="N5334" s="5">
        <v>7.2903885480572601</v>
      </c>
      <c r="O5334" t="s">
        <v>100</v>
      </c>
      <c r="P5334" t="s">
        <v>340</v>
      </c>
      <c r="Q5334" s="10" t="s">
        <v>2468</v>
      </c>
    </row>
    <row r="5335" spans="1:17" x14ac:dyDescent="0.25">
      <c r="A5335" s="9" t="s">
        <v>2352</v>
      </c>
      <c r="B5335" s="3" t="s">
        <v>2461</v>
      </c>
      <c r="C5335" s="10">
        <v>29</v>
      </c>
      <c r="D5335" s="10">
        <v>3</v>
      </c>
      <c r="E5335" s="10">
        <v>20</v>
      </c>
      <c r="F5335" t="s">
        <v>935</v>
      </c>
      <c r="G5335" t="s">
        <v>708</v>
      </c>
      <c r="H5335" t="s">
        <v>131</v>
      </c>
      <c r="I5335" t="s">
        <v>27</v>
      </c>
      <c r="J5335">
        <v>34.6</v>
      </c>
      <c r="K5335" s="10">
        <v>1</v>
      </c>
      <c r="L5335">
        <v>34.6</v>
      </c>
      <c r="M5335">
        <v>34.6</v>
      </c>
      <c r="N5335" s="5">
        <v>1.7689161554192232</v>
      </c>
      <c r="O5335" t="s">
        <v>100</v>
      </c>
      <c r="P5335" t="s">
        <v>340</v>
      </c>
      <c r="Q5335" s="10" t="s">
        <v>2468</v>
      </c>
    </row>
    <row r="5336" spans="1:17" x14ac:dyDescent="0.25">
      <c r="A5336" s="9" t="s">
        <v>2352</v>
      </c>
      <c r="B5336" s="3" t="s">
        <v>2461</v>
      </c>
      <c r="C5336" s="10">
        <v>29</v>
      </c>
      <c r="D5336" s="10">
        <v>3</v>
      </c>
      <c r="E5336" s="10">
        <v>20</v>
      </c>
      <c r="F5336" t="s">
        <v>155</v>
      </c>
      <c r="G5336" t="s">
        <v>155</v>
      </c>
      <c r="H5336" t="s">
        <v>131</v>
      </c>
      <c r="I5336" t="s">
        <v>27</v>
      </c>
      <c r="J5336">
        <v>25</v>
      </c>
      <c r="K5336" s="10">
        <v>1</v>
      </c>
      <c r="L5336">
        <v>25</v>
      </c>
      <c r="M5336">
        <v>25</v>
      </c>
      <c r="N5336" s="5">
        <v>1.278118609406953</v>
      </c>
      <c r="O5336" t="s">
        <v>100</v>
      </c>
      <c r="P5336" t="s">
        <v>340</v>
      </c>
      <c r="Q5336" s="10" t="s">
        <v>2468</v>
      </c>
    </row>
    <row r="5337" spans="1:17" x14ac:dyDescent="0.25">
      <c r="A5337" s="9" t="s">
        <v>2352</v>
      </c>
      <c r="B5337" s="3" t="s">
        <v>2461</v>
      </c>
      <c r="C5337" s="10">
        <v>29</v>
      </c>
      <c r="D5337" s="10">
        <v>3</v>
      </c>
      <c r="E5337" s="10">
        <v>20</v>
      </c>
      <c r="F5337" t="s">
        <v>2082</v>
      </c>
      <c r="G5337" t="s">
        <v>155</v>
      </c>
      <c r="H5337" t="s">
        <v>131</v>
      </c>
      <c r="I5337" t="s">
        <v>27</v>
      </c>
      <c r="J5337">
        <v>67.599999999999994</v>
      </c>
      <c r="K5337" s="10">
        <v>1</v>
      </c>
      <c r="L5337">
        <v>67.599999999999994</v>
      </c>
      <c r="M5337">
        <v>67.599999999999994</v>
      </c>
      <c r="N5337" s="5">
        <v>3.4560327198364007</v>
      </c>
      <c r="O5337" t="s">
        <v>100</v>
      </c>
      <c r="P5337" t="s">
        <v>340</v>
      </c>
      <c r="Q5337" s="10" t="s">
        <v>2468</v>
      </c>
    </row>
    <row r="5338" spans="1:17" x14ac:dyDescent="0.25">
      <c r="A5338" s="9" t="s">
        <v>2352</v>
      </c>
      <c r="B5338" s="3" t="s">
        <v>2461</v>
      </c>
      <c r="C5338" s="10">
        <v>29</v>
      </c>
      <c r="D5338" s="10">
        <v>3</v>
      </c>
      <c r="E5338" s="10">
        <v>20</v>
      </c>
      <c r="F5338" t="s">
        <v>2477</v>
      </c>
      <c r="G5338" t="s">
        <v>889</v>
      </c>
      <c r="H5338" t="s">
        <v>65</v>
      </c>
      <c r="I5338" t="s">
        <v>27</v>
      </c>
      <c r="J5338">
        <v>9.1999999999999993</v>
      </c>
      <c r="K5338" s="10">
        <v>1</v>
      </c>
      <c r="L5338">
        <v>9.1999999999999993</v>
      </c>
      <c r="M5338">
        <v>9.1999999999999993</v>
      </c>
      <c r="N5338" s="5">
        <v>0.47034764826175868</v>
      </c>
      <c r="O5338" t="s">
        <v>100</v>
      </c>
      <c r="P5338" t="s">
        <v>340</v>
      </c>
      <c r="Q5338" s="10" t="s">
        <v>2468</v>
      </c>
    </row>
    <row r="5339" spans="1:17" x14ac:dyDescent="0.25">
      <c r="A5339" s="9" t="s">
        <v>2352</v>
      </c>
      <c r="B5339" s="3" t="s">
        <v>2461</v>
      </c>
      <c r="C5339" s="10">
        <v>29</v>
      </c>
      <c r="D5339" s="10">
        <v>3</v>
      </c>
      <c r="E5339" s="10">
        <v>20</v>
      </c>
      <c r="F5339" t="s">
        <v>676</v>
      </c>
      <c r="G5339" t="s">
        <v>39</v>
      </c>
      <c r="H5339" t="s">
        <v>131</v>
      </c>
      <c r="I5339" t="s">
        <v>27</v>
      </c>
      <c r="J5339">
        <v>6</v>
      </c>
      <c r="K5339" s="10">
        <v>1</v>
      </c>
      <c r="L5339">
        <v>6</v>
      </c>
      <c r="M5339">
        <v>6</v>
      </c>
      <c r="N5339" s="5">
        <v>0.30674846625766872</v>
      </c>
      <c r="O5339" t="s">
        <v>100</v>
      </c>
      <c r="P5339" t="s">
        <v>340</v>
      </c>
      <c r="Q5339" s="10" t="s">
        <v>2468</v>
      </c>
    </row>
    <row r="5340" spans="1:17" x14ac:dyDescent="0.25">
      <c r="A5340" s="9" t="s">
        <v>2352</v>
      </c>
      <c r="B5340" s="3" t="s">
        <v>2461</v>
      </c>
      <c r="C5340" s="10">
        <v>29</v>
      </c>
      <c r="D5340" s="10">
        <v>3</v>
      </c>
      <c r="E5340" s="10">
        <v>20</v>
      </c>
      <c r="F5340" t="s">
        <v>2478</v>
      </c>
      <c r="G5340" t="s">
        <v>39</v>
      </c>
      <c r="H5340" t="s">
        <v>131</v>
      </c>
      <c r="I5340" t="s">
        <v>27</v>
      </c>
      <c r="J5340">
        <v>6.9</v>
      </c>
      <c r="K5340" s="10">
        <v>1</v>
      </c>
      <c r="L5340">
        <v>6.9</v>
      </c>
      <c r="M5340">
        <v>6.9</v>
      </c>
      <c r="N5340" s="5">
        <v>0.35276073619631904</v>
      </c>
      <c r="O5340" t="s">
        <v>100</v>
      </c>
      <c r="P5340" t="s">
        <v>340</v>
      </c>
      <c r="Q5340" s="10" t="s">
        <v>2468</v>
      </c>
    </row>
    <row r="5341" spans="1:17" x14ac:dyDescent="0.25">
      <c r="A5341" s="9" t="s">
        <v>2458</v>
      </c>
      <c r="B5341" s="3" t="s">
        <v>2489</v>
      </c>
      <c r="C5341" s="10">
        <v>3</v>
      </c>
      <c r="D5341" s="10">
        <v>4</v>
      </c>
      <c r="E5341" s="10">
        <v>20</v>
      </c>
      <c r="F5341" t="s">
        <v>2356</v>
      </c>
      <c r="G5341" t="s">
        <v>889</v>
      </c>
      <c r="H5341" t="s">
        <v>39</v>
      </c>
      <c r="I5341" t="s">
        <v>39</v>
      </c>
      <c r="J5341">
        <v>45</v>
      </c>
      <c r="K5341" s="10">
        <v>1</v>
      </c>
      <c r="L5341">
        <v>45</v>
      </c>
      <c r="M5341">
        <v>45</v>
      </c>
      <c r="N5341" s="5">
        <v>2.3006134969325154</v>
      </c>
      <c r="O5341" t="s">
        <v>100</v>
      </c>
      <c r="P5341" t="s">
        <v>340</v>
      </c>
      <c r="Q5341" s="10" t="s">
        <v>2468</v>
      </c>
    </row>
    <row r="5342" spans="1:17" x14ac:dyDescent="0.25">
      <c r="A5342" s="9" t="s">
        <v>2458</v>
      </c>
      <c r="B5342" s="3" t="s">
        <v>2489</v>
      </c>
      <c r="C5342" s="10">
        <v>3</v>
      </c>
      <c r="D5342" s="10">
        <v>4</v>
      </c>
      <c r="E5342" s="10">
        <v>20</v>
      </c>
      <c r="F5342" t="s">
        <v>2479</v>
      </c>
      <c r="G5342" t="s">
        <v>889</v>
      </c>
      <c r="H5342" t="s">
        <v>39</v>
      </c>
      <c r="I5342" t="s">
        <v>39</v>
      </c>
      <c r="J5342">
        <v>2</v>
      </c>
      <c r="K5342" s="10">
        <v>4</v>
      </c>
      <c r="L5342">
        <v>2</v>
      </c>
      <c r="M5342">
        <v>8</v>
      </c>
      <c r="N5342" s="5">
        <v>0.40899795501022496</v>
      </c>
      <c r="O5342" t="s">
        <v>100</v>
      </c>
      <c r="P5342" t="s">
        <v>340</v>
      </c>
      <c r="Q5342" s="10" t="s">
        <v>2468</v>
      </c>
    </row>
    <row r="5343" spans="1:17" x14ac:dyDescent="0.25">
      <c r="A5343" s="9" t="s">
        <v>2458</v>
      </c>
      <c r="B5343" s="3" t="s">
        <v>2489</v>
      </c>
      <c r="C5343" s="10">
        <v>3</v>
      </c>
      <c r="D5343" s="10">
        <v>4</v>
      </c>
      <c r="E5343" s="10">
        <v>20</v>
      </c>
      <c r="F5343" t="s">
        <v>921</v>
      </c>
      <c r="G5343" t="s">
        <v>465</v>
      </c>
      <c r="H5343" t="s">
        <v>35</v>
      </c>
      <c r="I5343" t="s">
        <v>27</v>
      </c>
      <c r="J5343">
        <v>112.6</v>
      </c>
      <c r="K5343" s="10">
        <v>0.91400000000000003</v>
      </c>
      <c r="L5343">
        <v>112.6</v>
      </c>
      <c r="M5343">
        <v>102.9164</v>
      </c>
      <c r="N5343" s="5">
        <v>5.2615746421267895</v>
      </c>
      <c r="O5343" t="s">
        <v>100</v>
      </c>
      <c r="P5343" t="s">
        <v>340</v>
      </c>
      <c r="Q5343" s="10" t="s">
        <v>2468</v>
      </c>
    </row>
    <row r="5344" spans="1:17" x14ac:dyDescent="0.25">
      <c r="A5344" s="9" t="s">
        <v>2458</v>
      </c>
      <c r="B5344" s="3" t="s">
        <v>2489</v>
      </c>
      <c r="C5344" s="10">
        <v>3</v>
      </c>
      <c r="D5344" s="10">
        <v>4</v>
      </c>
      <c r="E5344" s="10">
        <v>20</v>
      </c>
      <c r="F5344" t="s">
        <v>2480</v>
      </c>
      <c r="G5344" t="s">
        <v>889</v>
      </c>
      <c r="H5344" t="s">
        <v>35</v>
      </c>
      <c r="I5344" t="s">
        <v>27</v>
      </c>
      <c r="J5344">
        <v>62.6</v>
      </c>
      <c r="K5344" s="10">
        <v>0.91200000000000003</v>
      </c>
      <c r="L5344">
        <v>62.6</v>
      </c>
      <c r="M5344">
        <v>57.091200000000001</v>
      </c>
      <c r="N5344" s="5">
        <v>2.9187730061349697</v>
      </c>
      <c r="O5344" t="s">
        <v>100</v>
      </c>
      <c r="P5344" t="s">
        <v>340</v>
      </c>
      <c r="Q5344" s="10" t="s">
        <v>2468</v>
      </c>
    </row>
    <row r="5345" spans="1:17" x14ac:dyDescent="0.25">
      <c r="A5345" s="9" t="s">
        <v>2458</v>
      </c>
      <c r="B5345" s="3" t="s">
        <v>2489</v>
      </c>
      <c r="C5345" s="10">
        <v>3</v>
      </c>
      <c r="D5345" s="10">
        <v>4</v>
      </c>
      <c r="E5345" s="10">
        <v>20</v>
      </c>
      <c r="F5345" t="s">
        <v>2481</v>
      </c>
      <c r="G5345" t="s">
        <v>889</v>
      </c>
      <c r="H5345" t="s">
        <v>35</v>
      </c>
      <c r="I5345" t="s">
        <v>27</v>
      </c>
      <c r="J5345">
        <v>170.6</v>
      </c>
      <c r="K5345" s="10">
        <v>0.44600000000000001</v>
      </c>
      <c r="L5345">
        <v>170.6</v>
      </c>
      <c r="M5345">
        <v>76.087599999999995</v>
      </c>
      <c r="N5345" s="5">
        <v>3.8899591002044991</v>
      </c>
      <c r="O5345" t="s">
        <v>100</v>
      </c>
      <c r="P5345" t="s">
        <v>340</v>
      </c>
      <c r="Q5345" s="10" t="s">
        <v>2468</v>
      </c>
    </row>
    <row r="5346" spans="1:17" x14ac:dyDescent="0.25">
      <c r="A5346" s="9" t="s">
        <v>2458</v>
      </c>
      <c r="B5346" s="3" t="s">
        <v>2489</v>
      </c>
      <c r="C5346" s="10">
        <v>3</v>
      </c>
      <c r="D5346" s="10">
        <v>4</v>
      </c>
      <c r="E5346" s="10">
        <v>20</v>
      </c>
      <c r="F5346" t="s">
        <v>2488</v>
      </c>
      <c r="G5346" t="s">
        <v>889</v>
      </c>
      <c r="H5346" t="s">
        <v>35</v>
      </c>
      <c r="I5346" t="s">
        <v>27</v>
      </c>
      <c r="J5346">
        <v>121.6</v>
      </c>
      <c r="K5346" s="10">
        <v>0.47599999999999998</v>
      </c>
      <c r="L5346">
        <v>121.6</v>
      </c>
      <c r="M5346">
        <v>57.881599999999992</v>
      </c>
      <c r="N5346" s="5">
        <v>2.9591820040899792</v>
      </c>
      <c r="O5346" t="s">
        <v>100</v>
      </c>
      <c r="P5346" t="s">
        <v>340</v>
      </c>
      <c r="Q5346" s="10" t="s">
        <v>2468</v>
      </c>
    </row>
    <row r="5347" spans="1:17" x14ac:dyDescent="0.25">
      <c r="A5347" s="9" t="s">
        <v>2458</v>
      </c>
      <c r="B5347" s="3" t="s">
        <v>2489</v>
      </c>
      <c r="C5347" s="10">
        <v>3</v>
      </c>
      <c r="D5347" s="10">
        <v>4</v>
      </c>
      <c r="E5347" s="10">
        <v>20</v>
      </c>
      <c r="F5347" t="s">
        <v>2040</v>
      </c>
      <c r="G5347" t="s">
        <v>465</v>
      </c>
      <c r="H5347" t="s">
        <v>35</v>
      </c>
      <c r="I5347" t="s">
        <v>27</v>
      </c>
      <c r="J5347">
        <v>98.6</v>
      </c>
      <c r="K5347" s="10">
        <v>0.39600000000000002</v>
      </c>
      <c r="L5347">
        <v>98.6</v>
      </c>
      <c r="M5347">
        <v>39.0456</v>
      </c>
      <c r="N5347" s="5">
        <v>1.9961963190184051</v>
      </c>
      <c r="O5347" t="s">
        <v>100</v>
      </c>
      <c r="P5347" t="s">
        <v>340</v>
      </c>
      <c r="Q5347" s="10" t="s">
        <v>2468</v>
      </c>
    </row>
    <row r="5348" spans="1:17" x14ac:dyDescent="0.25">
      <c r="A5348" s="9" t="s">
        <v>2458</v>
      </c>
      <c r="B5348" s="3" t="s">
        <v>2489</v>
      </c>
      <c r="C5348" s="10">
        <v>3</v>
      </c>
      <c r="D5348" s="10">
        <v>4</v>
      </c>
      <c r="E5348" s="10">
        <v>20</v>
      </c>
      <c r="F5348" t="s">
        <v>165</v>
      </c>
      <c r="G5348" t="s">
        <v>889</v>
      </c>
      <c r="H5348" t="s">
        <v>63</v>
      </c>
      <c r="I5348" t="s">
        <v>27</v>
      </c>
      <c r="J5348">
        <v>97.6</v>
      </c>
      <c r="K5348" s="10">
        <v>1</v>
      </c>
      <c r="L5348">
        <v>97.6</v>
      </c>
      <c r="M5348">
        <v>97.6</v>
      </c>
      <c r="N5348" s="5">
        <v>4.9897750511247443</v>
      </c>
      <c r="O5348" t="s">
        <v>100</v>
      </c>
      <c r="P5348" t="s">
        <v>340</v>
      </c>
      <c r="Q5348" s="10" t="s">
        <v>2468</v>
      </c>
    </row>
    <row r="5349" spans="1:17" x14ac:dyDescent="0.25">
      <c r="A5349" s="9" t="s">
        <v>2458</v>
      </c>
      <c r="B5349" s="3" t="s">
        <v>2489</v>
      </c>
      <c r="C5349" s="10">
        <v>3</v>
      </c>
      <c r="D5349" s="10">
        <v>4</v>
      </c>
      <c r="E5349" s="10">
        <v>20</v>
      </c>
      <c r="F5349" t="s">
        <v>126</v>
      </c>
      <c r="G5349" t="s">
        <v>889</v>
      </c>
      <c r="H5349" t="s">
        <v>63</v>
      </c>
      <c r="I5349" t="s">
        <v>27</v>
      </c>
      <c r="J5349">
        <v>40</v>
      </c>
      <c r="K5349" s="10">
        <v>1</v>
      </c>
      <c r="L5349">
        <v>40</v>
      </c>
      <c r="M5349">
        <v>40</v>
      </c>
      <c r="N5349" s="5">
        <v>2.0449897750511248</v>
      </c>
      <c r="O5349" t="s">
        <v>100</v>
      </c>
      <c r="P5349" t="s">
        <v>340</v>
      </c>
      <c r="Q5349" s="10" t="s">
        <v>2468</v>
      </c>
    </row>
    <row r="5350" spans="1:17" x14ac:dyDescent="0.25">
      <c r="A5350" s="9" t="s">
        <v>2458</v>
      </c>
      <c r="B5350" s="3" t="s">
        <v>2489</v>
      </c>
      <c r="C5350" s="10">
        <v>3</v>
      </c>
      <c r="D5350" s="10">
        <v>4</v>
      </c>
      <c r="E5350" s="10">
        <v>20</v>
      </c>
      <c r="F5350" t="s">
        <v>1466</v>
      </c>
      <c r="G5350" t="s">
        <v>31</v>
      </c>
      <c r="H5350" t="s">
        <v>26</v>
      </c>
      <c r="I5350" t="s">
        <v>27</v>
      </c>
      <c r="J5350">
        <v>38.6</v>
      </c>
      <c r="K5350" s="10">
        <v>2</v>
      </c>
      <c r="L5350">
        <v>38.6</v>
      </c>
      <c r="M5350">
        <v>77.2</v>
      </c>
      <c r="N5350" s="5">
        <v>3.9468302658486714</v>
      </c>
      <c r="O5350" t="s">
        <v>100</v>
      </c>
      <c r="P5350" t="s">
        <v>340</v>
      </c>
      <c r="Q5350" s="10" t="s">
        <v>2468</v>
      </c>
    </row>
    <row r="5351" spans="1:17" x14ac:dyDescent="0.25">
      <c r="A5351" s="9" t="s">
        <v>2458</v>
      </c>
      <c r="B5351" s="3" t="s">
        <v>2489</v>
      </c>
      <c r="C5351" s="10">
        <v>3</v>
      </c>
      <c r="D5351" s="10">
        <v>4</v>
      </c>
      <c r="E5351" s="10">
        <v>20</v>
      </c>
      <c r="F5351" t="s">
        <v>1466</v>
      </c>
      <c r="G5351" t="s">
        <v>31</v>
      </c>
      <c r="H5351" t="s">
        <v>26</v>
      </c>
      <c r="I5351" t="s">
        <v>27</v>
      </c>
      <c r="J5351">
        <v>36.6</v>
      </c>
      <c r="K5351" s="10">
        <v>1</v>
      </c>
      <c r="L5351">
        <v>36.6</v>
      </c>
      <c r="M5351">
        <v>36.6</v>
      </c>
      <c r="N5351" s="5">
        <v>1.8711656441717794</v>
      </c>
      <c r="O5351" t="s">
        <v>100</v>
      </c>
      <c r="P5351" t="s">
        <v>340</v>
      </c>
      <c r="Q5351" s="10" t="s">
        <v>2468</v>
      </c>
    </row>
    <row r="5352" spans="1:17" x14ac:dyDescent="0.25">
      <c r="A5352" s="9" t="s">
        <v>2458</v>
      </c>
      <c r="B5352" s="3" t="s">
        <v>2489</v>
      </c>
      <c r="C5352" s="10">
        <v>3</v>
      </c>
      <c r="D5352" s="10">
        <v>4</v>
      </c>
      <c r="E5352" s="10">
        <v>20</v>
      </c>
      <c r="F5352" t="s">
        <v>1274</v>
      </c>
      <c r="G5352" t="s">
        <v>889</v>
      </c>
      <c r="H5352" t="s">
        <v>73</v>
      </c>
      <c r="I5352" t="s">
        <v>27</v>
      </c>
      <c r="J5352">
        <v>25.6</v>
      </c>
      <c r="K5352" s="10">
        <v>1</v>
      </c>
      <c r="L5352">
        <v>25.6</v>
      </c>
      <c r="M5352">
        <v>25.6</v>
      </c>
      <c r="N5352" s="5">
        <v>1.3087934560327199</v>
      </c>
      <c r="O5352" t="s">
        <v>100</v>
      </c>
      <c r="P5352" t="s">
        <v>340</v>
      </c>
      <c r="Q5352" s="10" t="s">
        <v>2468</v>
      </c>
    </row>
    <row r="5353" spans="1:17" x14ac:dyDescent="0.25">
      <c r="A5353" s="9" t="s">
        <v>2458</v>
      </c>
      <c r="B5353" s="3" t="s">
        <v>2489</v>
      </c>
      <c r="C5353" s="10">
        <v>3</v>
      </c>
      <c r="D5353" s="10">
        <v>4</v>
      </c>
      <c r="E5353" s="10">
        <v>20</v>
      </c>
      <c r="F5353" t="s">
        <v>2242</v>
      </c>
      <c r="G5353" t="s">
        <v>345</v>
      </c>
      <c r="H5353" t="s">
        <v>26</v>
      </c>
      <c r="I5353" t="s">
        <v>27</v>
      </c>
      <c r="J5353">
        <v>7.19</v>
      </c>
      <c r="K5353" s="10">
        <v>2</v>
      </c>
      <c r="L5353">
        <v>7.19</v>
      </c>
      <c r="M5353">
        <v>14.38</v>
      </c>
      <c r="N5353" s="5">
        <v>0.73517382413087939</v>
      </c>
      <c r="O5353" t="s">
        <v>100</v>
      </c>
      <c r="P5353" t="s">
        <v>340</v>
      </c>
      <c r="Q5353" s="10" t="s">
        <v>2468</v>
      </c>
    </row>
    <row r="5354" spans="1:17" x14ac:dyDescent="0.25">
      <c r="A5354" s="9" t="s">
        <v>2458</v>
      </c>
      <c r="B5354" s="3" t="s">
        <v>2489</v>
      </c>
      <c r="C5354" s="10">
        <v>3</v>
      </c>
      <c r="D5354" s="10">
        <v>4</v>
      </c>
      <c r="E5354" s="10">
        <v>20</v>
      </c>
      <c r="F5354" t="s">
        <v>166</v>
      </c>
      <c r="G5354" t="s">
        <v>77</v>
      </c>
      <c r="H5354" t="s">
        <v>26</v>
      </c>
      <c r="I5354" t="s">
        <v>27</v>
      </c>
      <c r="J5354">
        <v>21.4</v>
      </c>
      <c r="K5354" s="10">
        <v>1</v>
      </c>
      <c r="L5354">
        <v>21.4</v>
      </c>
      <c r="M5354">
        <v>21.4</v>
      </c>
      <c r="N5354" s="5">
        <v>1.0940695296523517</v>
      </c>
      <c r="O5354" t="s">
        <v>100</v>
      </c>
      <c r="P5354" t="s">
        <v>340</v>
      </c>
      <c r="Q5354" s="10" t="s">
        <v>2468</v>
      </c>
    </row>
    <row r="5355" spans="1:17" x14ac:dyDescent="0.25">
      <c r="A5355" s="9" t="s">
        <v>2458</v>
      </c>
      <c r="B5355" s="3" t="s">
        <v>2489</v>
      </c>
      <c r="C5355" s="10">
        <v>3</v>
      </c>
      <c r="D5355" s="10">
        <v>4</v>
      </c>
      <c r="E5355" s="10">
        <v>20</v>
      </c>
      <c r="F5355" t="s">
        <v>60</v>
      </c>
      <c r="G5355" t="s">
        <v>31</v>
      </c>
      <c r="H5355" t="s">
        <v>26</v>
      </c>
      <c r="I5355" t="s">
        <v>27</v>
      </c>
      <c r="J5355">
        <v>8.35</v>
      </c>
      <c r="K5355" s="10">
        <v>2</v>
      </c>
      <c r="L5355">
        <v>8.35</v>
      </c>
      <c r="M5355">
        <v>16.7</v>
      </c>
      <c r="N5355" s="5">
        <v>0.85378323108384457</v>
      </c>
      <c r="O5355" t="s">
        <v>100</v>
      </c>
      <c r="P5355" t="s">
        <v>340</v>
      </c>
      <c r="Q5355" s="10" t="s">
        <v>2468</v>
      </c>
    </row>
    <row r="5356" spans="1:17" x14ac:dyDescent="0.25">
      <c r="A5356" s="9" t="s">
        <v>2458</v>
      </c>
      <c r="B5356" s="3" t="s">
        <v>2489</v>
      </c>
      <c r="C5356" s="10">
        <v>3</v>
      </c>
      <c r="D5356" s="10">
        <v>4</v>
      </c>
      <c r="E5356" s="10">
        <v>20</v>
      </c>
      <c r="F5356" t="s">
        <v>1260</v>
      </c>
      <c r="G5356" t="s">
        <v>98</v>
      </c>
      <c r="H5356" t="s">
        <v>26</v>
      </c>
      <c r="I5356" t="s">
        <v>27</v>
      </c>
      <c r="J5356">
        <v>43.2</v>
      </c>
      <c r="K5356" s="10">
        <v>1</v>
      </c>
      <c r="L5356">
        <v>43.2</v>
      </c>
      <c r="M5356">
        <v>43.2</v>
      </c>
      <c r="N5356" s="5">
        <v>2.2085889570552149</v>
      </c>
      <c r="O5356" t="s">
        <v>100</v>
      </c>
      <c r="P5356" t="s">
        <v>340</v>
      </c>
      <c r="Q5356" s="10" t="s">
        <v>2468</v>
      </c>
    </row>
    <row r="5357" spans="1:17" x14ac:dyDescent="0.25">
      <c r="A5357" s="9" t="s">
        <v>2458</v>
      </c>
      <c r="B5357" s="3" t="s">
        <v>2489</v>
      </c>
      <c r="C5357" s="10">
        <v>3</v>
      </c>
      <c r="D5357" s="10">
        <v>4</v>
      </c>
      <c r="E5357" s="10">
        <v>20</v>
      </c>
      <c r="F5357" t="s">
        <v>676</v>
      </c>
      <c r="G5357" t="s">
        <v>39</v>
      </c>
      <c r="H5357" t="s">
        <v>131</v>
      </c>
      <c r="I5357" t="s">
        <v>27</v>
      </c>
      <c r="J5357">
        <v>6</v>
      </c>
      <c r="K5357" s="10">
        <v>2</v>
      </c>
      <c r="L5357">
        <v>6</v>
      </c>
      <c r="M5357">
        <v>12</v>
      </c>
      <c r="N5357" s="5">
        <v>0.61349693251533743</v>
      </c>
      <c r="O5357" t="s">
        <v>100</v>
      </c>
      <c r="P5357" t="s">
        <v>340</v>
      </c>
      <c r="Q5357" s="10" t="s">
        <v>2468</v>
      </c>
    </row>
    <row r="5358" spans="1:17" x14ac:dyDescent="0.25">
      <c r="A5358" s="9" t="s">
        <v>2458</v>
      </c>
      <c r="B5358" s="3" t="s">
        <v>2489</v>
      </c>
      <c r="C5358" s="10">
        <v>3</v>
      </c>
      <c r="D5358" s="10">
        <v>4</v>
      </c>
      <c r="E5358" s="10">
        <v>20</v>
      </c>
      <c r="F5358" t="s">
        <v>2474</v>
      </c>
      <c r="G5358" t="s">
        <v>889</v>
      </c>
      <c r="H5358" t="s">
        <v>475</v>
      </c>
      <c r="I5358" t="s">
        <v>27</v>
      </c>
      <c r="J5358">
        <v>28.75</v>
      </c>
      <c r="K5358" s="10">
        <v>1</v>
      </c>
      <c r="L5358">
        <v>28.75</v>
      </c>
      <c r="M5358">
        <v>28.75</v>
      </c>
      <c r="N5358" s="5">
        <v>1.469836400817996</v>
      </c>
      <c r="O5358" t="s">
        <v>100</v>
      </c>
      <c r="P5358" t="s">
        <v>340</v>
      </c>
      <c r="Q5358" s="10" t="s">
        <v>2468</v>
      </c>
    </row>
    <row r="5359" spans="1:17" x14ac:dyDescent="0.25">
      <c r="A5359" s="9" t="s">
        <v>2458</v>
      </c>
      <c r="B5359" s="3" t="s">
        <v>2489</v>
      </c>
      <c r="C5359" s="10">
        <v>3</v>
      </c>
      <c r="D5359" s="10">
        <v>4</v>
      </c>
      <c r="E5359" s="10">
        <v>20</v>
      </c>
      <c r="F5359" t="s">
        <v>678</v>
      </c>
      <c r="G5359" t="s">
        <v>889</v>
      </c>
      <c r="H5359" t="s">
        <v>62</v>
      </c>
      <c r="I5359" t="s">
        <v>27</v>
      </c>
      <c r="J5359">
        <v>11.59</v>
      </c>
      <c r="K5359" s="10">
        <v>1</v>
      </c>
      <c r="L5359">
        <v>11.59</v>
      </c>
      <c r="M5359">
        <v>11.59</v>
      </c>
      <c r="N5359" s="5">
        <v>0.59253578732106338</v>
      </c>
      <c r="O5359" t="s">
        <v>100</v>
      </c>
      <c r="P5359" t="s">
        <v>340</v>
      </c>
      <c r="Q5359" s="10" t="s">
        <v>2468</v>
      </c>
    </row>
    <row r="5360" spans="1:17" x14ac:dyDescent="0.25">
      <c r="A5360" s="9" t="s">
        <v>2458</v>
      </c>
      <c r="B5360" s="3" t="s">
        <v>2489</v>
      </c>
      <c r="C5360" s="10">
        <v>3</v>
      </c>
      <c r="D5360" s="10">
        <v>4</v>
      </c>
      <c r="E5360" s="10">
        <v>20</v>
      </c>
      <c r="F5360" t="s">
        <v>2482</v>
      </c>
      <c r="G5360" t="s">
        <v>889</v>
      </c>
      <c r="H5360" t="s">
        <v>62</v>
      </c>
      <c r="I5360" t="s">
        <v>27</v>
      </c>
      <c r="J5360">
        <v>19.89</v>
      </c>
      <c r="K5360" s="10">
        <v>1</v>
      </c>
      <c r="L5360">
        <v>19.89</v>
      </c>
      <c r="M5360">
        <v>19.89</v>
      </c>
      <c r="N5360" s="5">
        <v>1.0168711656441718</v>
      </c>
      <c r="O5360" t="s">
        <v>100</v>
      </c>
      <c r="P5360" t="s">
        <v>340</v>
      </c>
      <c r="Q5360" s="10" t="s">
        <v>2468</v>
      </c>
    </row>
    <row r="5361" spans="1:17" x14ac:dyDescent="0.25">
      <c r="A5361" s="9" t="s">
        <v>2458</v>
      </c>
      <c r="B5361" s="3" t="s">
        <v>2489</v>
      </c>
      <c r="C5361" s="10">
        <v>3</v>
      </c>
      <c r="D5361" s="10">
        <v>4</v>
      </c>
      <c r="E5361" s="10">
        <v>20</v>
      </c>
      <c r="F5361" t="s">
        <v>460</v>
      </c>
      <c r="G5361" t="s">
        <v>39</v>
      </c>
      <c r="H5361" t="s">
        <v>65</v>
      </c>
      <c r="I5361" t="s">
        <v>27</v>
      </c>
      <c r="J5361">
        <v>10.6</v>
      </c>
      <c r="K5361" s="10">
        <v>1</v>
      </c>
      <c r="L5361">
        <v>10.6</v>
      </c>
      <c r="M5361">
        <v>10.6</v>
      </c>
      <c r="N5361" s="5">
        <v>0.54192229038854811</v>
      </c>
      <c r="O5361" t="s">
        <v>100</v>
      </c>
      <c r="P5361" t="s">
        <v>340</v>
      </c>
      <c r="Q5361" s="10" t="s">
        <v>2468</v>
      </c>
    </row>
    <row r="5362" spans="1:17" x14ac:dyDescent="0.25">
      <c r="A5362" s="9" t="s">
        <v>2458</v>
      </c>
      <c r="B5362" s="3" t="s">
        <v>2489</v>
      </c>
      <c r="C5362" s="10">
        <v>3</v>
      </c>
      <c r="D5362" s="10">
        <v>4</v>
      </c>
      <c r="E5362" s="10">
        <v>20</v>
      </c>
      <c r="F5362" t="s">
        <v>460</v>
      </c>
      <c r="G5362" t="s">
        <v>39</v>
      </c>
      <c r="H5362" t="s">
        <v>65</v>
      </c>
      <c r="I5362" t="s">
        <v>27</v>
      </c>
      <c r="J5362">
        <v>9.9</v>
      </c>
      <c r="K5362" s="10">
        <v>2</v>
      </c>
      <c r="L5362">
        <v>9.9</v>
      </c>
      <c r="M5362">
        <v>19.8</v>
      </c>
      <c r="N5362" s="5">
        <v>1.0122699386503069</v>
      </c>
      <c r="O5362" t="s">
        <v>100</v>
      </c>
      <c r="P5362" t="s">
        <v>340</v>
      </c>
      <c r="Q5362" s="10" t="s">
        <v>2468</v>
      </c>
    </row>
    <row r="5363" spans="1:17" x14ac:dyDescent="0.25">
      <c r="A5363" s="9" t="s">
        <v>2458</v>
      </c>
      <c r="B5363" s="3" t="s">
        <v>2489</v>
      </c>
      <c r="C5363" s="10">
        <v>3</v>
      </c>
      <c r="D5363" s="10">
        <v>4</v>
      </c>
      <c r="E5363" s="10">
        <v>20</v>
      </c>
      <c r="F5363" t="s">
        <v>1680</v>
      </c>
      <c r="G5363" t="s">
        <v>889</v>
      </c>
      <c r="H5363" t="s">
        <v>40</v>
      </c>
      <c r="I5363" t="s">
        <v>27</v>
      </c>
      <c r="J5363">
        <v>11</v>
      </c>
      <c r="K5363" s="10">
        <v>1</v>
      </c>
      <c r="L5363">
        <v>11</v>
      </c>
      <c r="M5363">
        <v>11</v>
      </c>
      <c r="N5363" s="5">
        <v>0.56237218813905931</v>
      </c>
      <c r="O5363" t="s">
        <v>100</v>
      </c>
      <c r="P5363" t="s">
        <v>340</v>
      </c>
      <c r="Q5363" s="10" t="s">
        <v>2468</v>
      </c>
    </row>
    <row r="5364" spans="1:17" x14ac:dyDescent="0.25">
      <c r="A5364" s="9" t="s">
        <v>2458</v>
      </c>
      <c r="B5364" s="3" t="s">
        <v>2489</v>
      </c>
      <c r="C5364" s="10">
        <v>3</v>
      </c>
      <c r="D5364" s="10">
        <v>4</v>
      </c>
      <c r="E5364" s="10">
        <v>20</v>
      </c>
      <c r="F5364" t="s">
        <v>398</v>
      </c>
      <c r="G5364" t="s">
        <v>889</v>
      </c>
      <c r="H5364" t="s">
        <v>40</v>
      </c>
      <c r="I5364" t="s">
        <v>27</v>
      </c>
      <c r="J5364">
        <v>15.6</v>
      </c>
      <c r="K5364" s="10">
        <v>1</v>
      </c>
      <c r="L5364">
        <v>15.6</v>
      </c>
      <c r="M5364">
        <v>15.6</v>
      </c>
      <c r="N5364" s="5">
        <v>0.79754601226993871</v>
      </c>
      <c r="O5364" t="s">
        <v>100</v>
      </c>
      <c r="P5364" t="s">
        <v>340</v>
      </c>
      <c r="Q5364" s="10" t="s">
        <v>2468</v>
      </c>
    </row>
    <row r="5365" spans="1:17" x14ac:dyDescent="0.25">
      <c r="A5365" s="9" t="s">
        <v>2458</v>
      </c>
      <c r="B5365" s="3" t="s">
        <v>2489</v>
      </c>
      <c r="C5365" s="10">
        <v>3</v>
      </c>
      <c r="D5365" s="10">
        <v>4</v>
      </c>
      <c r="E5365" s="10">
        <v>20</v>
      </c>
      <c r="F5365" t="s">
        <v>122</v>
      </c>
      <c r="G5365" t="s">
        <v>889</v>
      </c>
      <c r="H5365" t="s">
        <v>54</v>
      </c>
      <c r="I5365" t="s">
        <v>27</v>
      </c>
      <c r="J5365">
        <v>21.75</v>
      </c>
      <c r="K5365" s="10">
        <v>2</v>
      </c>
      <c r="L5365">
        <v>21.75</v>
      </c>
      <c r="M5365">
        <v>43.5</v>
      </c>
      <c r="N5365" s="5">
        <v>2.2239263803680984</v>
      </c>
      <c r="O5365" t="s">
        <v>100</v>
      </c>
      <c r="P5365" t="s">
        <v>340</v>
      </c>
      <c r="Q5365" s="10" t="s">
        <v>2468</v>
      </c>
    </row>
    <row r="5366" spans="1:17" x14ac:dyDescent="0.25">
      <c r="A5366" s="9" t="s">
        <v>2458</v>
      </c>
      <c r="B5366" s="3" t="s">
        <v>2489</v>
      </c>
      <c r="C5366" s="10">
        <v>3</v>
      </c>
      <c r="D5366" s="10">
        <v>4</v>
      </c>
      <c r="E5366" s="10">
        <v>20</v>
      </c>
      <c r="F5366" t="s">
        <v>124</v>
      </c>
      <c r="G5366" t="s">
        <v>889</v>
      </c>
      <c r="H5366" t="s">
        <v>54</v>
      </c>
      <c r="I5366" t="s">
        <v>27</v>
      </c>
      <c r="J5366">
        <v>128</v>
      </c>
      <c r="K5366" s="10">
        <v>0.45800000000000002</v>
      </c>
      <c r="L5366">
        <v>128</v>
      </c>
      <c r="M5366">
        <v>58.624000000000002</v>
      </c>
      <c r="N5366" s="5">
        <v>2.9971370143149287</v>
      </c>
      <c r="O5366" t="s">
        <v>100</v>
      </c>
      <c r="P5366" t="s">
        <v>340</v>
      </c>
      <c r="Q5366" s="10" t="s">
        <v>2468</v>
      </c>
    </row>
    <row r="5367" spans="1:17" x14ac:dyDescent="0.25">
      <c r="A5367" s="9" t="s">
        <v>2458</v>
      </c>
      <c r="B5367" s="3" t="s">
        <v>2489</v>
      </c>
      <c r="C5367" s="10">
        <v>3</v>
      </c>
      <c r="D5367" s="10">
        <v>4</v>
      </c>
      <c r="E5367" s="10">
        <v>20</v>
      </c>
      <c r="F5367" t="s">
        <v>2483</v>
      </c>
      <c r="G5367" t="s">
        <v>889</v>
      </c>
      <c r="H5367" t="s">
        <v>63</v>
      </c>
      <c r="I5367" t="s">
        <v>27</v>
      </c>
      <c r="J5367">
        <v>13.8</v>
      </c>
      <c r="K5367" s="10">
        <v>1</v>
      </c>
      <c r="L5367">
        <v>13.8</v>
      </c>
      <c r="M5367">
        <v>13.8</v>
      </c>
      <c r="N5367" s="5">
        <v>0.70552147239263807</v>
      </c>
      <c r="O5367" t="s">
        <v>100</v>
      </c>
      <c r="P5367" t="s">
        <v>340</v>
      </c>
      <c r="Q5367" s="10" t="s">
        <v>2468</v>
      </c>
    </row>
    <row r="5368" spans="1:17" x14ac:dyDescent="0.25">
      <c r="A5368" s="9" t="s">
        <v>2458</v>
      </c>
      <c r="B5368" s="3" t="s">
        <v>2489</v>
      </c>
      <c r="C5368" s="10">
        <v>3</v>
      </c>
      <c r="D5368" s="10">
        <v>4</v>
      </c>
      <c r="E5368" s="10">
        <v>20</v>
      </c>
      <c r="F5368" t="s">
        <v>2476</v>
      </c>
      <c r="G5368" t="s">
        <v>889</v>
      </c>
      <c r="H5368" t="s">
        <v>131</v>
      </c>
      <c r="I5368" t="s">
        <v>27</v>
      </c>
      <c r="J5368">
        <v>36.6</v>
      </c>
      <c r="K5368" s="10">
        <v>1</v>
      </c>
      <c r="L5368">
        <v>36.6</v>
      </c>
      <c r="M5368">
        <v>36.6</v>
      </c>
      <c r="N5368" s="5">
        <v>1.8711656441717794</v>
      </c>
      <c r="O5368" t="s">
        <v>100</v>
      </c>
      <c r="P5368" t="s">
        <v>340</v>
      </c>
      <c r="Q5368" s="10" t="s">
        <v>2468</v>
      </c>
    </row>
    <row r="5369" spans="1:17" x14ac:dyDescent="0.25">
      <c r="A5369" s="9" t="s">
        <v>2458</v>
      </c>
      <c r="B5369" s="3" t="s">
        <v>2489</v>
      </c>
      <c r="C5369" s="10">
        <v>3</v>
      </c>
      <c r="D5369" s="10">
        <v>4</v>
      </c>
      <c r="E5369" s="10">
        <v>20</v>
      </c>
      <c r="F5369" t="s">
        <v>2484</v>
      </c>
      <c r="G5369" t="s">
        <v>889</v>
      </c>
      <c r="H5369" t="s">
        <v>131</v>
      </c>
      <c r="I5369" t="s">
        <v>27</v>
      </c>
      <c r="J5369">
        <v>57.6</v>
      </c>
      <c r="K5369" s="10">
        <v>1</v>
      </c>
      <c r="L5369">
        <v>57.6</v>
      </c>
      <c r="M5369">
        <v>57.6</v>
      </c>
      <c r="N5369" s="5">
        <v>2.94478527607362</v>
      </c>
      <c r="O5369" t="s">
        <v>100</v>
      </c>
      <c r="P5369" t="s">
        <v>340</v>
      </c>
      <c r="Q5369" s="10" t="s">
        <v>2468</v>
      </c>
    </row>
    <row r="5370" spans="1:17" x14ac:dyDescent="0.25">
      <c r="A5370" s="9" t="s">
        <v>2458</v>
      </c>
      <c r="B5370" s="3" t="s">
        <v>2489</v>
      </c>
      <c r="C5370" s="10">
        <v>3</v>
      </c>
      <c r="D5370" s="10">
        <v>4</v>
      </c>
      <c r="E5370" s="10">
        <v>20</v>
      </c>
      <c r="F5370" t="s">
        <v>2485</v>
      </c>
      <c r="G5370" t="s">
        <v>889</v>
      </c>
      <c r="H5370" t="s">
        <v>131</v>
      </c>
      <c r="I5370" t="s">
        <v>27</v>
      </c>
      <c r="J5370">
        <v>25.6</v>
      </c>
      <c r="K5370" s="10">
        <v>1</v>
      </c>
      <c r="L5370">
        <v>25.6</v>
      </c>
      <c r="M5370">
        <v>25.6</v>
      </c>
      <c r="N5370" s="5">
        <v>1.3087934560327199</v>
      </c>
      <c r="O5370" t="s">
        <v>100</v>
      </c>
      <c r="P5370" t="s">
        <v>340</v>
      </c>
      <c r="Q5370" s="10" t="s">
        <v>2468</v>
      </c>
    </row>
    <row r="5371" spans="1:17" x14ac:dyDescent="0.25">
      <c r="A5371" s="9" t="s">
        <v>2458</v>
      </c>
      <c r="B5371" s="3" t="s">
        <v>2489</v>
      </c>
      <c r="C5371" s="10">
        <v>3</v>
      </c>
      <c r="D5371" s="10">
        <v>4</v>
      </c>
      <c r="E5371" s="10">
        <v>20</v>
      </c>
      <c r="F5371" t="s">
        <v>935</v>
      </c>
      <c r="G5371" t="s">
        <v>708</v>
      </c>
      <c r="H5371" t="s">
        <v>131</v>
      </c>
      <c r="I5371" t="s">
        <v>27</v>
      </c>
      <c r="J5371">
        <v>34.6</v>
      </c>
      <c r="K5371" s="10">
        <v>2</v>
      </c>
      <c r="L5371">
        <v>34.6</v>
      </c>
      <c r="M5371">
        <v>69.2</v>
      </c>
      <c r="N5371" s="5">
        <v>3.5378323108384464</v>
      </c>
      <c r="O5371" t="s">
        <v>100</v>
      </c>
      <c r="P5371" t="s">
        <v>340</v>
      </c>
      <c r="Q5371" s="10" t="s">
        <v>2468</v>
      </c>
    </row>
    <row r="5372" spans="1:17" x14ac:dyDescent="0.25">
      <c r="A5372" s="9" t="s">
        <v>2458</v>
      </c>
      <c r="B5372" s="3" t="s">
        <v>2489</v>
      </c>
      <c r="C5372" s="10">
        <v>3</v>
      </c>
      <c r="D5372" s="10">
        <v>4</v>
      </c>
      <c r="E5372" s="10">
        <v>20</v>
      </c>
      <c r="F5372" t="s">
        <v>2486</v>
      </c>
      <c r="G5372" t="s">
        <v>155</v>
      </c>
      <c r="H5372" t="s">
        <v>131</v>
      </c>
      <c r="I5372" t="s">
        <v>27</v>
      </c>
      <c r="J5372">
        <v>75</v>
      </c>
      <c r="K5372" s="10">
        <v>1</v>
      </c>
      <c r="L5372">
        <v>75</v>
      </c>
      <c r="M5372">
        <v>75</v>
      </c>
      <c r="N5372" s="5">
        <v>3.834355828220859</v>
      </c>
      <c r="O5372" t="s">
        <v>100</v>
      </c>
      <c r="P5372" t="s">
        <v>340</v>
      </c>
      <c r="Q5372" s="10" t="s">
        <v>2468</v>
      </c>
    </row>
    <row r="5373" spans="1:17" x14ac:dyDescent="0.25">
      <c r="A5373" s="9" t="s">
        <v>2458</v>
      </c>
      <c r="B5373" s="3" t="s">
        <v>2489</v>
      </c>
      <c r="C5373" s="10">
        <v>3</v>
      </c>
      <c r="D5373" s="10">
        <v>4</v>
      </c>
      <c r="E5373" s="10">
        <v>20</v>
      </c>
      <c r="F5373" t="s">
        <v>1624</v>
      </c>
      <c r="G5373" t="s">
        <v>889</v>
      </c>
      <c r="H5373" t="s">
        <v>131</v>
      </c>
      <c r="I5373" t="s">
        <v>27</v>
      </c>
      <c r="J5373">
        <v>64</v>
      </c>
      <c r="K5373" s="10">
        <v>1</v>
      </c>
      <c r="L5373">
        <v>64</v>
      </c>
      <c r="M5373">
        <v>64</v>
      </c>
      <c r="N5373" s="5">
        <v>3.2719836400817996</v>
      </c>
      <c r="O5373" t="s">
        <v>100</v>
      </c>
      <c r="P5373" t="s">
        <v>340</v>
      </c>
      <c r="Q5373" s="10" t="s">
        <v>2468</v>
      </c>
    </row>
    <row r="5374" spans="1:17" x14ac:dyDescent="0.25">
      <c r="A5374" s="9" t="s">
        <v>2458</v>
      </c>
      <c r="B5374" s="3" t="s">
        <v>2489</v>
      </c>
      <c r="C5374" s="10">
        <v>3</v>
      </c>
      <c r="D5374" s="10">
        <v>4</v>
      </c>
      <c r="E5374" s="10">
        <v>20</v>
      </c>
      <c r="F5374" t="s">
        <v>2487</v>
      </c>
      <c r="G5374" t="s">
        <v>889</v>
      </c>
      <c r="H5374" t="s">
        <v>26</v>
      </c>
      <c r="I5374" t="s">
        <v>27</v>
      </c>
      <c r="J5374">
        <v>280</v>
      </c>
      <c r="K5374" s="10">
        <v>0.30399999999999999</v>
      </c>
      <c r="L5374">
        <v>280</v>
      </c>
      <c r="M5374">
        <v>85.12</v>
      </c>
      <c r="N5374" s="5">
        <v>4.3517382413087944</v>
      </c>
      <c r="O5374" t="s">
        <v>100</v>
      </c>
      <c r="P5374" t="s">
        <v>340</v>
      </c>
      <c r="Q5374" s="10" t="s">
        <v>2468</v>
      </c>
    </row>
    <row r="5375" spans="1:17" x14ac:dyDescent="0.25">
      <c r="A5375" s="9" t="s">
        <v>2458</v>
      </c>
      <c r="B5375" s="3" t="s">
        <v>2496</v>
      </c>
      <c r="C5375" s="10">
        <v>8</v>
      </c>
      <c r="D5375" s="10">
        <v>4</v>
      </c>
      <c r="E5375" s="10">
        <v>20</v>
      </c>
      <c r="F5375" t="s">
        <v>2356</v>
      </c>
      <c r="G5375" t="s">
        <v>889</v>
      </c>
      <c r="H5375" t="s">
        <v>39</v>
      </c>
      <c r="I5375" t="s">
        <v>39</v>
      </c>
      <c r="J5375">
        <v>45</v>
      </c>
      <c r="K5375" s="10">
        <v>1</v>
      </c>
      <c r="L5375">
        <v>45</v>
      </c>
      <c r="M5375">
        <v>45</v>
      </c>
      <c r="N5375" s="5">
        <v>2.3006134969325154</v>
      </c>
      <c r="O5375" t="s">
        <v>100</v>
      </c>
      <c r="P5375" t="s">
        <v>340</v>
      </c>
      <c r="Q5375" s="10" t="s">
        <v>2468</v>
      </c>
    </row>
    <row r="5376" spans="1:17" x14ac:dyDescent="0.25">
      <c r="A5376" s="9" t="s">
        <v>2458</v>
      </c>
      <c r="B5376" s="3" t="s">
        <v>2496</v>
      </c>
      <c r="C5376" s="10">
        <v>8</v>
      </c>
      <c r="D5376" s="10">
        <v>4</v>
      </c>
      <c r="E5376" s="10">
        <v>20</v>
      </c>
      <c r="F5376" t="s">
        <v>2479</v>
      </c>
      <c r="G5376" t="s">
        <v>889</v>
      </c>
      <c r="H5376" t="s">
        <v>39</v>
      </c>
      <c r="I5376" t="s">
        <v>39</v>
      </c>
      <c r="J5376">
        <v>2</v>
      </c>
      <c r="K5376" s="10">
        <v>5</v>
      </c>
      <c r="L5376">
        <v>2</v>
      </c>
      <c r="M5376">
        <v>10</v>
      </c>
      <c r="N5376" s="5">
        <v>0.5112474437627812</v>
      </c>
      <c r="O5376" t="s">
        <v>100</v>
      </c>
      <c r="P5376" t="s">
        <v>340</v>
      </c>
      <c r="Q5376" s="10" t="s">
        <v>2468</v>
      </c>
    </row>
    <row r="5377" spans="1:17" x14ac:dyDescent="0.25">
      <c r="A5377" s="9" t="s">
        <v>2458</v>
      </c>
      <c r="B5377" s="3" t="s">
        <v>2496</v>
      </c>
      <c r="C5377" s="10">
        <v>8</v>
      </c>
      <c r="D5377" s="10">
        <v>4</v>
      </c>
      <c r="E5377" s="10">
        <v>20</v>
      </c>
      <c r="F5377" t="s">
        <v>60</v>
      </c>
      <c r="G5377" t="s">
        <v>31</v>
      </c>
      <c r="H5377" t="s">
        <v>26</v>
      </c>
      <c r="I5377" t="s">
        <v>27</v>
      </c>
      <c r="J5377">
        <v>8.35</v>
      </c>
      <c r="K5377" s="10">
        <v>2</v>
      </c>
      <c r="L5377">
        <v>8.35</v>
      </c>
      <c r="M5377">
        <v>16.7</v>
      </c>
      <c r="N5377" s="5">
        <v>0.85378323108384457</v>
      </c>
      <c r="O5377" t="s">
        <v>100</v>
      </c>
      <c r="P5377" t="s">
        <v>340</v>
      </c>
      <c r="Q5377" s="10" t="s">
        <v>2468</v>
      </c>
    </row>
    <row r="5378" spans="1:17" x14ac:dyDescent="0.25">
      <c r="A5378" s="9" t="s">
        <v>2458</v>
      </c>
      <c r="B5378" s="3" t="s">
        <v>2496</v>
      </c>
      <c r="C5378" s="10">
        <v>8</v>
      </c>
      <c r="D5378" s="10">
        <v>4</v>
      </c>
      <c r="E5378" s="10">
        <v>20</v>
      </c>
      <c r="F5378" t="s">
        <v>2359</v>
      </c>
      <c r="G5378" t="s">
        <v>889</v>
      </c>
      <c r="H5378" t="s">
        <v>59</v>
      </c>
      <c r="I5378" t="s">
        <v>27</v>
      </c>
      <c r="J5378">
        <v>28.6</v>
      </c>
      <c r="K5378" s="10">
        <v>3</v>
      </c>
      <c r="L5378">
        <v>28.6</v>
      </c>
      <c r="M5378">
        <v>85.800000000000011</v>
      </c>
      <c r="N5378" s="5">
        <v>4.3865030674846635</v>
      </c>
      <c r="O5378" t="s">
        <v>100</v>
      </c>
      <c r="P5378" t="s">
        <v>340</v>
      </c>
      <c r="Q5378" s="10" t="s">
        <v>2468</v>
      </c>
    </row>
    <row r="5379" spans="1:17" x14ac:dyDescent="0.25">
      <c r="A5379" s="9" t="s">
        <v>2458</v>
      </c>
      <c r="B5379" s="3" t="s">
        <v>2496</v>
      </c>
      <c r="C5379" s="10">
        <v>8</v>
      </c>
      <c r="D5379" s="10">
        <v>4</v>
      </c>
      <c r="E5379" s="10">
        <v>20</v>
      </c>
      <c r="F5379" t="s">
        <v>2490</v>
      </c>
      <c r="G5379" t="s">
        <v>889</v>
      </c>
      <c r="H5379" t="s">
        <v>63</v>
      </c>
      <c r="I5379" t="s">
        <v>27</v>
      </c>
      <c r="J5379">
        <v>39.75</v>
      </c>
      <c r="K5379" s="10">
        <v>1</v>
      </c>
      <c r="L5379">
        <v>39.75</v>
      </c>
      <c r="M5379">
        <v>39.75</v>
      </c>
      <c r="N5379" s="5">
        <v>2.0322085889570554</v>
      </c>
      <c r="O5379" t="s">
        <v>100</v>
      </c>
      <c r="P5379" t="s">
        <v>340</v>
      </c>
      <c r="Q5379" s="10" t="s">
        <v>2468</v>
      </c>
    </row>
    <row r="5380" spans="1:17" x14ac:dyDescent="0.25">
      <c r="A5380" s="9" t="s">
        <v>2458</v>
      </c>
      <c r="B5380" s="3" t="s">
        <v>2496</v>
      </c>
      <c r="C5380" s="10">
        <v>8</v>
      </c>
      <c r="D5380" s="10">
        <v>4</v>
      </c>
      <c r="E5380" s="10">
        <v>20</v>
      </c>
      <c r="F5380" t="s">
        <v>2490</v>
      </c>
      <c r="G5380" t="s">
        <v>889</v>
      </c>
      <c r="H5380" t="s">
        <v>63</v>
      </c>
      <c r="I5380" t="s">
        <v>27</v>
      </c>
      <c r="J5380">
        <v>39.75</v>
      </c>
      <c r="K5380" s="10">
        <v>1</v>
      </c>
      <c r="L5380">
        <v>39.75</v>
      </c>
      <c r="M5380">
        <v>39.75</v>
      </c>
      <c r="N5380" s="5">
        <v>2.0322085889570554</v>
      </c>
      <c r="O5380" t="s">
        <v>100</v>
      </c>
      <c r="P5380" t="s">
        <v>340</v>
      </c>
      <c r="Q5380" s="10" t="s">
        <v>2468</v>
      </c>
    </row>
    <row r="5381" spans="1:17" x14ac:dyDescent="0.25">
      <c r="A5381" s="9" t="s">
        <v>2458</v>
      </c>
      <c r="B5381" s="3" t="s">
        <v>2496</v>
      </c>
      <c r="C5381" s="10">
        <v>8</v>
      </c>
      <c r="D5381" s="10">
        <v>4</v>
      </c>
      <c r="E5381" s="10">
        <v>20</v>
      </c>
      <c r="F5381" t="s">
        <v>126</v>
      </c>
      <c r="G5381" t="s">
        <v>889</v>
      </c>
      <c r="H5381" t="s">
        <v>63</v>
      </c>
      <c r="I5381" t="s">
        <v>27</v>
      </c>
      <c r="J5381">
        <v>40</v>
      </c>
      <c r="K5381" s="10">
        <v>1</v>
      </c>
      <c r="L5381">
        <v>40</v>
      </c>
      <c r="M5381">
        <v>40</v>
      </c>
      <c r="N5381" s="5">
        <v>2.0449897750511248</v>
      </c>
      <c r="O5381" t="s">
        <v>100</v>
      </c>
      <c r="P5381" t="s">
        <v>340</v>
      </c>
      <c r="Q5381" s="10" t="s">
        <v>2468</v>
      </c>
    </row>
    <row r="5382" spans="1:17" x14ac:dyDescent="0.25">
      <c r="A5382" s="9" t="s">
        <v>2458</v>
      </c>
      <c r="B5382" s="3" t="s">
        <v>2496</v>
      </c>
      <c r="C5382" s="10">
        <v>8</v>
      </c>
      <c r="D5382" s="10">
        <v>4</v>
      </c>
      <c r="E5382" s="10">
        <v>20</v>
      </c>
      <c r="F5382" t="s">
        <v>2466</v>
      </c>
      <c r="G5382" t="s">
        <v>889</v>
      </c>
      <c r="H5382" t="s">
        <v>102</v>
      </c>
      <c r="I5382" t="s">
        <v>27</v>
      </c>
      <c r="J5382">
        <v>100.6</v>
      </c>
      <c r="K5382" s="10">
        <v>1</v>
      </c>
      <c r="L5382">
        <v>100.6</v>
      </c>
      <c r="M5382">
        <v>100.6</v>
      </c>
      <c r="N5382" s="5">
        <v>5.1431492842535791</v>
      </c>
      <c r="O5382" t="s">
        <v>100</v>
      </c>
      <c r="P5382" t="s">
        <v>340</v>
      </c>
      <c r="Q5382" s="10" t="s">
        <v>2468</v>
      </c>
    </row>
    <row r="5383" spans="1:17" x14ac:dyDescent="0.25">
      <c r="A5383" s="9" t="s">
        <v>2458</v>
      </c>
      <c r="B5383" s="3" t="s">
        <v>2496</v>
      </c>
      <c r="C5383" s="10">
        <v>8</v>
      </c>
      <c r="D5383" s="10">
        <v>4</v>
      </c>
      <c r="E5383" s="10">
        <v>20</v>
      </c>
      <c r="F5383" t="s">
        <v>2466</v>
      </c>
      <c r="G5383" t="s">
        <v>889</v>
      </c>
      <c r="H5383" t="s">
        <v>102</v>
      </c>
      <c r="I5383" t="s">
        <v>27</v>
      </c>
      <c r="J5383">
        <v>110.6</v>
      </c>
      <c r="K5383" s="10">
        <v>1</v>
      </c>
      <c r="L5383">
        <v>110.6</v>
      </c>
      <c r="M5383">
        <v>110.6</v>
      </c>
      <c r="N5383" s="5">
        <v>5.6543967280163603</v>
      </c>
      <c r="O5383" t="s">
        <v>100</v>
      </c>
      <c r="P5383" t="s">
        <v>340</v>
      </c>
      <c r="Q5383" s="10" t="s">
        <v>2468</v>
      </c>
    </row>
    <row r="5384" spans="1:17" x14ac:dyDescent="0.25">
      <c r="A5384" s="9" t="s">
        <v>2458</v>
      </c>
      <c r="B5384" s="3" t="s">
        <v>2496</v>
      </c>
      <c r="C5384" s="10">
        <v>8</v>
      </c>
      <c r="D5384" s="10">
        <v>4</v>
      </c>
      <c r="E5384" s="10">
        <v>20</v>
      </c>
      <c r="F5384" t="s">
        <v>2491</v>
      </c>
      <c r="G5384" t="s">
        <v>889</v>
      </c>
      <c r="H5384" t="s">
        <v>102</v>
      </c>
      <c r="I5384" t="s">
        <v>27</v>
      </c>
      <c r="J5384">
        <v>32</v>
      </c>
      <c r="K5384" s="10">
        <v>1</v>
      </c>
      <c r="L5384">
        <v>32</v>
      </c>
      <c r="M5384">
        <v>32</v>
      </c>
      <c r="N5384" s="5">
        <v>1.6359918200408998</v>
      </c>
      <c r="O5384" t="s">
        <v>100</v>
      </c>
      <c r="P5384" t="s">
        <v>340</v>
      </c>
      <c r="Q5384" s="10" t="s">
        <v>2468</v>
      </c>
    </row>
    <row r="5385" spans="1:17" x14ac:dyDescent="0.25">
      <c r="A5385" s="9" t="s">
        <v>2458</v>
      </c>
      <c r="B5385" s="3" t="s">
        <v>2496</v>
      </c>
      <c r="C5385" s="10">
        <v>8</v>
      </c>
      <c r="D5385" s="10">
        <v>4</v>
      </c>
      <c r="E5385" s="10">
        <v>20</v>
      </c>
      <c r="F5385" t="s">
        <v>2492</v>
      </c>
      <c r="G5385" t="s">
        <v>889</v>
      </c>
      <c r="H5385" t="s">
        <v>475</v>
      </c>
      <c r="I5385" t="s">
        <v>27</v>
      </c>
      <c r="J5385">
        <v>28.75</v>
      </c>
      <c r="K5385" s="10">
        <v>2</v>
      </c>
      <c r="L5385">
        <v>28.75</v>
      </c>
      <c r="M5385">
        <v>57.5</v>
      </c>
      <c r="N5385" s="5">
        <v>2.9396728016359921</v>
      </c>
      <c r="O5385" t="s">
        <v>100</v>
      </c>
      <c r="P5385" t="s">
        <v>340</v>
      </c>
      <c r="Q5385" s="10" t="s">
        <v>2468</v>
      </c>
    </row>
    <row r="5386" spans="1:17" x14ac:dyDescent="0.25">
      <c r="A5386" s="9" t="s">
        <v>2458</v>
      </c>
      <c r="B5386" s="3" t="s">
        <v>2496</v>
      </c>
      <c r="C5386" s="10">
        <v>8</v>
      </c>
      <c r="D5386" s="10">
        <v>4</v>
      </c>
      <c r="E5386" s="10">
        <v>20</v>
      </c>
      <c r="F5386" t="s">
        <v>2474</v>
      </c>
      <c r="G5386" t="s">
        <v>889</v>
      </c>
      <c r="H5386" t="s">
        <v>475</v>
      </c>
      <c r="I5386" t="s">
        <v>27</v>
      </c>
      <c r="J5386">
        <v>28.75</v>
      </c>
      <c r="K5386" s="10">
        <v>2</v>
      </c>
      <c r="L5386">
        <v>28.75</v>
      </c>
      <c r="M5386">
        <v>57.5</v>
      </c>
      <c r="N5386" s="5">
        <v>2.9396728016359921</v>
      </c>
      <c r="O5386" t="s">
        <v>100</v>
      </c>
      <c r="P5386" t="s">
        <v>340</v>
      </c>
      <c r="Q5386" s="10" t="s">
        <v>2468</v>
      </c>
    </row>
    <row r="5387" spans="1:17" x14ac:dyDescent="0.25">
      <c r="A5387" s="9" t="s">
        <v>2458</v>
      </c>
      <c r="B5387" s="3" t="s">
        <v>2496</v>
      </c>
      <c r="C5387" s="10">
        <v>8</v>
      </c>
      <c r="D5387" s="10">
        <v>4</v>
      </c>
      <c r="E5387" s="10">
        <v>20</v>
      </c>
      <c r="F5387" t="s">
        <v>2484</v>
      </c>
      <c r="G5387" t="s">
        <v>889</v>
      </c>
      <c r="H5387" t="s">
        <v>131</v>
      </c>
      <c r="I5387" t="s">
        <v>27</v>
      </c>
      <c r="J5387">
        <v>57.6</v>
      </c>
      <c r="K5387" s="10">
        <v>1</v>
      </c>
      <c r="L5387">
        <v>57.6</v>
      </c>
      <c r="M5387">
        <v>57.6</v>
      </c>
      <c r="N5387" s="5">
        <v>2.94478527607362</v>
      </c>
      <c r="O5387" t="s">
        <v>100</v>
      </c>
      <c r="P5387" t="s">
        <v>340</v>
      </c>
      <c r="Q5387" s="10" t="s">
        <v>2468</v>
      </c>
    </row>
    <row r="5388" spans="1:17" x14ac:dyDescent="0.25">
      <c r="A5388" s="9" t="s">
        <v>2458</v>
      </c>
      <c r="B5388" s="3" t="s">
        <v>2496</v>
      </c>
      <c r="C5388" s="10">
        <v>8</v>
      </c>
      <c r="D5388" s="10">
        <v>4</v>
      </c>
      <c r="E5388" s="10">
        <v>20</v>
      </c>
      <c r="F5388" t="s">
        <v>935</v>
      </c>
      <c r="G5388" t="s">
        <v>708</v>
      </c>
      <c r="H5388" t="s">
        <v>131</v>
      </c>
      <c r="I5388" t="s">
        <v>27</v>
      </c>
      <c r="J5388">
        <v>34.6</v>
      </c>
      <c r="K5388" s="10">
        <v>1</v>
      </c>
      <c r="L5388">
        <v>34.6</v>
      </c>
      <c r="M5388">
        <v>34.6</v>
      </c>
      <c r="N5388" s="5">
        <v>1.7689161554192232</v>
      </c>
      <c r="O5388" t="s">
        <v>100</v>
      </c>
      <c r="P5388" t="s">
        <v>340</v>
      </c>
      <c r="Q5388" s="10" t="s">
        <v>2468</v>
      </c>
    </row>
    <row r="5389" spans="1:17" x14ac:dyDescent="0.25">
      <c r="A5389" s="9" t="s">
        <v>2458</v>
      </c>
      <c r="B5389" s="3" t="s">
        <v>2496</v>
      </c>
      <c r="C5389" s="10">
        <v>8</v>
      </c>
      <c r="D5389" s="10">
        <v>4</v>
      </c>
      <c r="E5389" s="10">
        <v>20</v>
      </c>
      <c r="F5389" t="s">
        <v>923</v>
      </c>
      <c r="G5389" t="s">
        <v>708</v>
      </c>
      <c r="H5389" t="s">
        <v>131</v>
      </c>
      <c r="I5389" t="s">
        <v>27</v>
      </c>
      <c r="J5389">
        <v>31.6</v>
      </c>
      <c r="K5389" s="10">
        <v>1</v>
      </c>
      <c r="L5389">
        <v>31.6</v>
      </c>
      <c r="M5389">
        <v>31.6</v>
      </c>
      <c r="N5389" s="5">
        <v>1.6155419222903886</v>
      </c>
      <c r="O5389" t="s">
        <v>100</v>
      </c>
      <c r="P5389" t="s">
        <v>340</v>
      </c>
      <c r="Q5389" s="10" t="s">
        <v>2468</v>
      </c>
    </row>
    <row r="5390" spans="1:17" x14ac:dyDescent="0.25">
      <c r="A5390" s="9" t="s">
        <v>2458</v>
      </c>
      <c r="B5390" s="3" t="s">
        <v>2496</v>
      </c>
      <c r="C5390" s="10">
        <v>8</v>
      </c>
      <c r="D5390" s="10">
        <v>4</v>
      </c>
      <c r="E5390" s="10">
        <v>20</v>
      </c>
      <c r="F5390" t="s">
        <v>2493</v>
      </c>
      <c r="G5390" t="s">
        <v>889</v>
      </c>
      <c r="H5390" t="s">
        <v>102</v>
      </c>
      <c r="I5390" t="s">
        <v>27</v>
      </c>
      <c r="J5390">
        <v>17.600000000000001</v>
      </c>
      <c r="K5390" s="10">
        <v>2</v>
      </c>
      <c r="L5390">
        <v>17.600000000000001</v>
      </c>
      <c r="M5390">
        <v>35.200000000000003</v>
      </c>
      <c r="N5390" s="5">
        <v>1.7995910020449901</v>
      </c>
      <c r="O5390" t="s">
        <v>100</v>
      </c>
      <c r="P5390" t="s">
        <v>340</v>
      </c>
      <c r="Q5390" s="10" t="s">
        <v>2468</v>
      </c>
    </row>
    <row r="5391" spans="1:17" x14ac:dyDescent="0.25">
      <c r="A5391" s="9" t="s">
        <v>2458</v>
      </c>
      <c r="B5391" s="3" t="s">
        <v>2496</v>
      </c>
      <c r="C5391" s="10">
        <v>8</v>
      </c>
      <c r="D5391" s="10">
        <v>4</v>
      </c>
      <c r="E5391" s="10">
        <v>20</v>
      </c>
      <c r="F5391" t="s">
        <v>1258</v>
      </c>
      <c r="G5391" t="s">
        <v>889</v>
      </c>
      <c r="H5391" t="s">
        <v>26</v>
      </c>
      <c r="I5391" t="s">
        <v>27</v>
      </c>
      <c r="J5391">
        <v>49.6</v>
      </c>
      <c r="K5391" s="10">
        <v>1</v>
      </c>
      <c r="L5391">
        <v>49.6</v>
      </c>
      <c r="M5391">
        <v>49.6</v>
      </c>
      <c r="N5391" s="5">
        <v>2.535787321063395</v>
      </c>
      <c r="O5391" t="s">
        <v>100</v>
      </c>
      <c r="P5391" t="s">
        <v>340</v>
      </c>
      <c r="Q5391" s="10" t="s">
        <v>2468</v>
      </c>
    </row>
    <row r="5392" spans="1:17" x14ac:dyDescent="0.25">
      <c r="A5392" s="9" t="s">
        <v>2458</v>
      </c>
      <c r="B5392" s="3" t="s">
        <v>2496</v>
      </c>
      <c r="C5392" s="10">
        <v>8</v>
      </c>
      <c r="D5392" s="10">
        <v>4</v>
      </c>
      <c r="E5392" s="10">
        <v>20</v>
      </c>
      <c r="F5392" t="s">
        <v>217</v>
      </c>
      <c r="G5392" t="s">
        <v>25</v>
      </c>
      <c r="H5392" t="s">
        <v>26</v>
      </c>
      <c r="I5392" t="s">
        <v>27</v>
      </c>
      <c r="J5392">
        <v>33</v>
      </c>
      <c r="K5392" s="10">
        <v>1</v>
      </c>
      <c r="L5392">
        <v>33</v>
      </c>
      <c r="M5392">
        <v>33</v>
      </c>
      <c r="N5392" s="5">
        <v>1.6871165644171779</v>
      </c>
      <c r="O5392" t="s">
        <v>100</v>
      </c>
      <c r="P5392" t="s">
        <v>340</v>
      </c>
      <c r="Q5392" s="10" t="s">
        <v>2468</v>
      </c>
    </row>
    <row r="5393" spans="1:17" x14ac:dyDescent="0.25">
      <c r="A5393" s="9" t="s">
        <v>2458</v>
      </c>
      <c r="B5393" s="3" t="s">
        <v>2496</v>
      </c>
      <c r="C5393" s="10">
        <v>8</v>
      </c>
      <c r="D5393" s="10">
        <v>4</v>
      </c>
      <c r="E5393" s="10">
        <v>20</v>
      </c>
      <c r="F5393" t="s">
        <v>974</v>
      </c>
      <c r="G5393" t="s">
        <v>25</v>
      </c>
      <c r="H5393" t="s">
        <v>26</v>
      </c>
      <c r="I5393" t="s">
        <v>27</v>
      </c>
      <c r="J5393">
        <v>211.6</v>
      </c>
      <c r="K5393" s="10">
        <v>0.39800000000000002</v>
      </c>
      <c r="L5393">
        <v>211.6</v>
      </c>
      <c r="M5393">
        <v>84.216800000000006</v>
      </c>
      <c r="N5393" s="5">
        <v>4.30556237218814</v>
      </c>
      <c r="O5393" t="s">
        <v>100</v>
      </c>
      <c r="P5393" t="s">
        <v>340</v>
      </c>
      <c r="Q5393" s="10" t="s">
        <v>2468</v>
      </c>
    </row>
    <row r="5394" spans="1:17" x14ac:dyDescent="0.25">
      <c r="A5394" s="9" t="s">
        <v>2458</v>
      </c>
      <c r="B5394" s="3" t="s">
        <v>2496</v>
      </c>
      <c r="C5394" s="10">
        <v>8</v>
      </c>
      <c r="D5394" s="10">
        <v>4</v>
      </c>
      <c r="E5394" s="10">
        <v>20</v>
      </c>
      <c r="F5394" t="s">
        <v>508</v>
      </c>
      <c r="G5394" t="s">
        <v>889</v>
      </c>
      <c r="H5394" t="s">
        <v>73</v>
      </c>
      <c r="I5394" t="s">
        <v>27</v>
      </c>
      <c r="J5394">
        <v>27.8</v>
      </c>
      <c r="K5394" s="10">
        <v>1</v>
      </c>
      <c r="L5394">
        <v>27.8</v>
      </c>
      <c r="M5394">
        <v>27.8</v>
      </c>
      <c r="N5394" s="5">
        <v>1.4212678936605319</v>
      </c>
      <c r="O5394" t="s">
        <v>100</v>
      </c>
      <c r="P5394" t="s">
        <v>340</v>
      </c>
      <c r="Q5394" s="10" t="s">
        <v>2468</v>
      </c>
    </row>
    <row r="5395" spans="1:17" x14ac:dyDescent="0.25">
      <c r="A5395" s="9" t="s">
        <v>2458</v>
      </c>
      <c r="B5395" s="3" t="s">
        <v>2496</v>
      </c>
      <c r="C5395" s="10">
        <v>8</v>
      </c>
      <c r="D5395" s="10">
        <v>4</v>
      </c>
      <c r="E5395" s="10">
        <v>20</v>
      </c>
      <c r="F5395" t="s">
        <v>921</v>
      </c>
      <c r="G5395" t="s">
        <v>465</v>
      </c>
      <c r="H5395" t="s">
        <v>35</v>
      </c>
      <c r="I5395" t="s">
        <v>27</v>
      </c>
      <c r="J5395">
        <v>112.6</v>
      </c>
      <c r="K5395" s="10">
        <v>0.93200000000000005</v>
      </c>
      <c r="L5395">
        <v>112.6</v>
      </c>
      <c r="M5395">
        <v>104.9432</v>
      </c>
      <c r="N5395" s="5">
        <v>5.3651942740286307</v>
      </c>
      <c r="O5395" t="s">
        <v>100</v>
      </c>
      <c r="P5395" t="s">
        <v>340</v>
      </c>
      <c r="Q5395" s="10" t="s">
        <v>2468</v>
      </c>
    </row>
    <row r="5396" spans="1:17" x14ac:dyDescent="0.25">
      <c r="A5396" s="9" t="s">
        <v>2458</v>
      </c>
      <c r="B5396" s="3" t="s">
        <v>2496</v>
      </c>
      <c r="C5396" s="10">
        <v>8</v>
      </c>
      <c r="D5396" s="10">
        <v>4</v>
      </c>
      <c r="E5396" s="10">
        <v>20</v>
      </c>
      <c r="F5396" t="s">
        <v>656</v>
      </c>
      <c r="G5396" t="s">
        <v>33</v>
      </c>
      <c r="H5396" t="s">
        <v>35</v>
      </c>
      <c r="I5396" t="s">
        <v>27</v>
      </c>
      <c r="J5396">
        <v>116.6</v>
      </c>
      <c r="K5396" s="10">
        <v>0.44</v>
      </c>
      <c r="L5396">
        <v>116.6</v>
      </c>
      <c r="M5396">
        <v>51.303999999999995</v>
      </c>
      <c r="N5396" s="5">
        <v>2.6229038854805724</v>
      </c>
      <c r="O5396" t="s">
        <v>100</v>
      </c>
      <c r="P5396" t="s">
        <v>340</v>
      </c>
      <c r="Q5396" s="10" t="s">
        <v>2468</v>
      </c>
    </row>
    <row r="5397" spans="1:17" x14ac:dyDescent="0.25">
      <c r="A5397" s="9" t="s">
        <v>2458</v>
      </c>
      <c r="B5397" s="3" t="s">
        <v>2496</v>
      </c>
      <c r="C5397" s="10">
        <v>8</v>
      </c>
      <c r="D5397" s="10">
        <v>4</v>
      </c>
      <c r="E5397" s="10">
        <v>20</v>
      </c>
      <c r="F5397" t="s">
        <v>1274</v>
      </c>
      <c r="G5397" t="s">
        <v>889</v>
      </c>
      <c r="H5397" t="s">
        <v>73</v>
      </c>
      <c r="I5397" t="s">
        <v>27</v>
      </c>
      <c r="J5397">
        <v>25.6</v>
      </c>
      <c r="K5397" s="10">
        <v>2</v>
      </c>
      <c r="L5397">
        <v>25.6</v>
      </c>
      <c r="M5397">
        <v>51.2</v>
      </c>
      <c r="N5397" s="5">
        <v>2.6175869120654398</v>
      </c>
      <c r="O5397" t="s">
        <v>100</v>
      </c>
      <c r="P5397" t="s">
        <v>340</v>
      </c>
      <c r="Q5397" s="10" t="s">
        <v>2468</v>
      </c>
    </row>
    <row r="5398" spans="1:17" x14ac:dyDescent="0.25">
      <c r="A5398" s="9" t="s">
        <v>2458</v>
      </c>
      <c r="B5398" s="3" t="s">
        <v>2496</v>
      </c>
      <c r="C5398" s="10">
        <v>8</v>
      </c>
      <c r="D5398" s="10">
        <v>4</v>
      </c>
      <c r="E5398" s="10">
        <v>20</v>
      </c>
      <c r="F5398" t="s">
        <v>2470</v>
      </c>
      <c r="G5398" t="s">
        <v>889</v>
      </c>
      <c r="H5398" t="s">
        <v>35</v>
      </c>
      <c r="I5398" t="s">
        <v>27</v>
      </c>
      <c r="J5398">
        <v>114.6</v>
      </c>
      <c r="K5398" s="10">
        <v>0.49199999999999999</v>
      </c>
      <c r="L5398">
        <v>114.6</v>
      </c>
      <c r="M5398">
        <v>56.383199999999995</v>
      </c>
      <c r="N5398" s="5">
        <v>2.8825766871165643</v>
      </c>
      <c r="O5398" t="s">
        <v>100</v>
      </c>
      <c r="P5398" t="s">
        <v>340</v>
      </c>
      <c r="Q5398" s="10" t="s">
        <v>2468</v>
      </c>
    </row>
    <row r="5399" spans="1:17" x14ac:dyDescent="0.25">
      <c r="A5399" s="9" t="s">
        <v>2458</v>
      </c>
      <c r="B5399" s="3" t="s">
        <v>2496</v>
      </c>
      <c r="C5399" s="10">
        <v>8</v>
      </c>
      <c r="D5399" s="10">
        <v>4</v>
      </c>
      <c r="E5399" s="10">
        <v>20</v>
      </c>
      <c r="F5399" t="s">
        <v>460</v>
      </c>
      <c r="G5399" t="s">
        <v>39</v>
      </c>
      <c r="H5399" t="s">
        <v>65</v>
      </c>
      <c r="I5399" t="s">
        <v>27</v>
      </c>
      <c r="J5399">
        <v>10.6</v>
      </c>
      <c r="K5399" s="10">
        <v>1</v>
      </c>
      <c r="L5399">
        <v>10.6</v>
      </c>
      <c r="M5399">
        <v>10.6</v>
      </c>
      <c r="N5399" s="5">
        <v>0.54192229038854811</v>
      </c>
      <c r="O5399" t="s">
        <v>100</v>
      </c>
      <c r="P5399" t="s">
        <v>340</v>
      </c>
      <c r="Q5399" s="10" t="s">
        <v>2468</v>
      </c>
    </row>
    <row r="5400" spans="1:17" x14ac:dyDescent="0.25">
      <c r="A5400" s="9" t="s">
        <v>2458</v>
      </c>
      <c r="B5400" s="3" t="s">
        <v>2496</v>
      </c>
      <c r="C5400" s="10">
        <v>8</v>
      </c>
      <c r="D5400" s="10">
        <v>4</v>
      </c>
      <c r="E5400" s="10">
        <v>20</v>
      </c>
      <c r="F5400" t="s">
        <v>460</v>
      </c>
      <c r="G5400" t="s">
        <v>39</v>
      </c>
      <c r="H5400" t="s">
        <v>65</v>
      </c>
      <c r="I5400" t="s">
        <v>27</v>
      </c>
      <c r="J5400">
        <v>9.9</v>
      </c>
      <c r="K5400" s="10">
        <v>3</v>
      </c>
      <c r="L5400">
        <v>9.9</v>
      </c>
      <c r="M5400">
        <v>29.700000000000003</v>
      </c>
      <c r="N5400" s="5">
        <v>1.5184049079754605</v>
      </c>
      <c r="O5400" t="s">
        <v>100</v>
      </c>
      <c r="P5400" t="s">
        <v>340</v>
      </c>
      <c r="Q5400" s="10" t="s">
        <v>2468</v>
      </c>
    </row>
    <row r="5401" spans="1:17" x14ac:dyDescent="0.25">
      <c r="A5401" s="9" t="s">
        <v>2458</v>
      </c>
      <c r="B5401" s="3" t="s">
        <v>2496</v>
      </c>
      <c r="C5401" s="10">
        <v>8</v>
      </c>
      <c r="D5401" s="10">
        <v>4</v>
      </c>
      <c r="E5401" s="10">
        <v>20</v>
      </c>
      <c r="F5401" t="s">
        <v>676</v>
      </c>
      <c r="G5401" t="s">
        <v>39</v>
      </c>
      <c r="H5401" t="s">
        <v>131</v>
      </c>
      <c r="I5401" t="s">
        <v>27</v>
      </c>
      <c r="J5401">
        <v>6</v>
      </c>
      <c r="K5401" s="10">
        <v>2</v>
      </c>
      <c r="L5401">
        <v>6</v>
      </c>
      <c r="M5401">
        <v>12</v>
      </c>
      <c r="N5401" s="5">
        <v>0.61349693251533743</v>
      </c>
      <c r="O5401" t="s">
        <v>100</v>
      </c>
      <c r="P5401" t="s">
        <v>340</v>
      </c>
      <c r="Q5401" s="10" t="s">
        <v>2468</v>
      </c>
    </row>
    <row r="5402" spans="1:17" x14ac:dyDescent="0.25">
      <c r="A5402" s="9" t="s">
        <v>2458</v>
      </c>
      <c r="B5402" s="3" t="s">
        <v>2496</v>
      </c>
      <c r="C5402" s="10">
        <v>8</v>
      </c>
      <c r="D5402" s="10">
        <v>4</v>
      </c>
      <c r="E5402" s="10">
        <v>20</v>
      </c>
      <c r="F5402" t="s">
        <v>945</v>
      </c>
      <c r="G5402" t="s">
        <v>889</v>
      </c>
      <c r="H5402" t="s">
        <v>54</v>
      </c>
      <c r="I5402" t="s">
        <v>27</v>
      </c>
      <c r="J5402">
        <v>70.599999999999994</v>
      </c>
      <c r="K5402" s="10">
        <v>0.51600000000000001</v>
      </c>
      <c r="L5402">
        <v>70.599999999999994</v>
      </c>
      <c r="M5402">
        <v>36.429600000000001</v>
      </c>
      <c r="N5402" s="5">
        <v>1.8624539877300614</v>
      </c>
      <c r="O5402" t="s">
        <v>100</v>
      </c>
      <c r="P5402" t="s">
        <v>340</v>
      </c>
      <c r="Q5402" s="10" t="s">
        <v>2468</v>
      </c>
    </row>
    <row r="5403" spans="1:17" x14ac:dyDescent="0.25">
      <c r="A5403" s="9" t="s">
        <v>2458</v>
      </c>
      <c r="B5403" s="3" t="s">
        <v>2496</v>
      </c>
      <c r="C5403" s="10">
        <v>8</v>
      </c>
      <c r="D5403" s="10">
        <v>4</v>
      </c>
      <c r="E5403" s="10">
        <v>20</v>
      </c>
      <c r="F5403" t="s">
        <v>2242</v>
      </c>
      <c r="G5403" t="s">
        <v>345</v>
      </c>
      <c r="H5403" t="s">
        <v>26</v>
      </c>
      <c r="I5403" t="s">
        <v>27</v>
      </c>
      <c r="J5403">
        <v>7.19</v>
      </c>
      <c r="K5403" s="10">
        <v>2</v>
      </c>
      <c r="L5403">
        <v>7.19</v>
      </c>
      <c r="M5403">
        <v>14.38</v>
      </c>
      <c r="N5403" s="5">
        <v>0.73517382413087939</v>
      </c>
      <c r="O5403" t="s">
        <v>100</v>
      </c>
      <c r="P5403" t="s">
        <v>340</v>
      </c>
      <c r="Q5403" s="10" t="s">
        <v>2468</v>
      </c>
    </row>
    <row r="5404" spans="1:17" x14ac:dyDescent="0.25">
      <c r="A5404" s="9" t="s">
        <v>2458</v>
      </c>
      <c r="B5404" s="3" t="s">
        <v>2496</v>
      </c>
      <c r="C5404" s="10">
        <v>8</v>
      </c>
      <c r="D5404" s="10">
        <v>4</v>
      </c>
      <c r="E5404" s="10">
        <v>20</v>
      </c>
      <c r="F5404" t="s">
        <v>2041</v>
      </c>
      <c r="G5404" t="s">
        <v>889</v>
      </c>
      <c r="H5404" t="s">
        <v>35</v>
      </c>
      <c r="I5404" t="s">
        <v>27</v>
      </c>
      <c r="J5404">
        <v>152.6</v>
      </c>
      <c r="K5404" s="10">
        <v>0.36799999999999999</v>
      </c>
      <c r="L5404">
        <v>152.6</v>
      </c>
      <c r="M5404">
        <v>56.156799999999997</v>
      </c>
      <c r="N5404" s="5">
        <v>2.8710020449897753</v>
      </c>
      <c r="O5404" t="s">
        <v>100</v>
      </c>
      <c r="P5404" t="s">
        <v>340</v>
      </c>
      <c r="Q5404" s="10" t="s">
        <v>2468</v>
      </c>
    </row>
    <row r="5405" spans="1:17" x14ac:dyDescent="0.25">
      <c r="A5405" s="9" t="s">
        <v>2458</v>
      </c>
      <c r="B5405" s="3" t="s">
        <v>2496</v>
      </c>
      <c r="C5405" s="10">
        <v>8</v>
      </c>
      <c r="D5405" s="10">
        <v>4</v>
      </c>
      <c r="E5405" s="10">
        <v>20</v>
      </c>
      <c r="F5405" t="s">
        <v>2494</v>
      </c>
      <c r="G5405" t="s">
        <v>889</v>
      </c>
      <c r="H5405" t="s">
        <v>26</v>
      </c>
      <c r="I5405" t="s">
        <v>27</v>
      </c>
      <c r="J5405">
        <v>211.6</v>
      </c>
      <c r="K5405" s="10">
        <v>0.214</v>
      </c>
      <c r="L5405">
        <v>211.6</v>
      </c>
      <c r="M5405">
        <v>45.282399999999996</v>
      </c>
      <c r="N5405" s="5">
        <v>2.3150511247443761</v>
      </c>
      <c r="O5405" t="s">
        <v>100</v>
      </c>
      <c r="P5405" t="s">
        <v>340</v>
      </c>
      <c r="Q5405" s="10" t="s">
        <v>2468</v>
      </c>
    </row>
    <row r="5406" spans="1:17" x14ac:dyDescent="0.25">
      <c r="A5406" s="9" t="s">
        <v>2458</v>
      </c>
      <c r="B5406" s="3" t="s">
        <v>2496</v>
      </c>
      <c r="C5406" s="10">
        <v>8</v>
      </c>
      <c r="D5406" s="10">
        <v>4</v>
      </c>
      <c r="E5406" s="10">
        <v>20</v>
      </c>
      <c r="F5406" t="s">
        <v>1036</v>
      </c>
      <c r="G5406" t="s">
        <v>889</v>
      </c>
      <c r="H5406" t="s">
        <v>38</v>
      </c>
      <c r="I5406" t="s">
        <v>27</v>
      </c>
      <c r="J5406">
        <v>126</v>
      </c>
      <c r="K5406" s="10">
        <v>0.32200000000000001</v>
      </c>
      <c r="L5406">
        <v>126</v>
      </c>
      <c r="M5406">
        <v>40.572000000000003</v>
      </c>
      <c r="N5406" s="5">
        <v>2.0742331288343561</v>
      </c>
      <c r="O5406" t="s">
        <v>100</v>
      </c>
      <c r="P5406" t="s">
        <v>340</v>
      </c>
      <c r="Q5406" s="10" t="s">
        <v>2468</v>
      </c>
    </row>
    <row r="5407" spans="1:17" x14ac:dyDescent="0.25">
      <c r="A5407" s="9" t="s">
        <v>2458</v>
      </c>
      <c r="B5407" s="3" t="s">
        <v>2496</v>
      </c>
      <c r="C5407" s="10">
        <v>8</v>
      </c>
      <c r="D5407" s="10">
        <v>4</v>
      </c>
      <c r="E5407" s="10">
        <v>20</v>
      </c>
      <c r="F5407" t="s">
        <v>217</v>
      </c>
      <c r="G5407" t="s">
        <v>25</v>
      </c>
      <c r="H5407" t="s">
        <v>26</v>
      </c>
      <c r="I5407" t="s">
        <v>27</v>
      </c>
      <c r="J5407">
        <v>33</v>
      </c>
      <c r="K5407" s="10">
        <v>1</v>
      </c>
      <c r="L5407">
        <v>33</v>
      </c>
      <c r="M5407">
        <v>33</v>
      </c>
      <c r="N5407" s="5">
        <v>1.6871165644171779</v>
      </c>
      <c r="O5407" t="s">
        <v>100</v>
      </c>
      <c r="P5407" t="s">
        <v>340</v>
      </c>
      <c r="Q5407" s="10" t="s">
        <v>2468</v>
      </c>
    </row>
    <row r="5408" spans="1:17" x14ac:dyDescent="0.25">
      <c r="A5408" s="9" t="s">
        <v>2458</v>
      </c>
      <c r="B5408" s="3" t="s">
        <v>2496</v>
      </c>
      <c r="C5408" s="10">
        <v>8</v>
      </c>
      <c r="D5408" s="10">
        <v>4</v>
      </c>
      <c r="E5408" s="10">
        <v>20</v>
      </c>
      <c r="F5408" t="s">
        <v>166</v>
      </c>
      <c r="G5408" t="s">
        <v>77</v>
      </c>
      <c r="H5408" t="s">
        <v>26</v>
      </c>
      <c r="I5408" t="s">
        <v>27</v>
      </c>
      <c r="J5408">
        <v>21.4</v>
      </c>
      <c r="K5408" s="10">
        <v>1</v>
      </c>
      <c r="L5408">
        <v>21.4</v>
      </c>
      <c r="M5408">
        <v>21.4</v>
      </c>
      <c r="N5408" s="5">
        <v>1.0940695296523517</v>
      </c>
      <c r="O5408" t="s">
        <v>100</v>
      </c>
      <c r="P5408" t="s">
        <v>340</v>
      </c>
      <c r="Q5408" s="10" t="s">
        <v>2468</v>
      </c>
    </row>
    <row r="5409" spans="1:18" x14ac:dyDescent="0.25">
      <c r="A5409" s="9" t="s">
        <v>2458</v>
      </c>
      <c r="B5409" s="3" t="s">
        <v>2496</v>
      </c>
      <c r="C5409" s="10">
        <v>8</v>
      </c>
      <c r="D5409" s="10">
        <v>4</v>
      </c>
      <c r="E5409" s="10">
        <v>20</v>
      </c>
      <c r="F5409" t="s">
        <v>2495</v>
      </c>
      <c r="G5409" t="s">
        <v>889</v>
      </c>
      <c r="H5409" t="s">
        <v>35</v>
      </c>
      <c r="I5409" t="s">
        <v>27</v>
      </c>
      <c r="J5409">
        <v>225.6</v>
      </c>
      <c r="K5409" s="10">
        <v>0.23799999999999999</v>
      </c>
      <c r="L5409">
        <v>225.6</v>
      </c>
      <c r="M5409">
        <v>53.692799999999998</v>
      </c>
      <c r="N5409" s="5">
        <v>2.745030674846626</v>
      </c>
      <c r="O5409" t="s">
        <v>100</v>
      </c>
      <c r="P5409" t="s">
        <v>340</v>
      </c>
      <c r="Q5409" s="10" t="s">
        <v>2468</v>
      </c>
    </row>
    <row r="5410" spans="1:18" x14ac:dyDescent="0.25">
      <c r="A5410" s="9" t="s">
        <v>2458</v>
      </c>
      <c r="B5410" s="3" t="s">
        <v>2496</v>
      </c>
      <c r="C5410" s="10">
        <v>8</v>
      </c>
      <c r="D5410" s="10">
        <v>4</v>
      </c>
      <c r="E5410" s="10">
        <v>20</v>
      </c>
      <c r="F5410" t="s">
        <v>1680</v>
      </c>
      <c r="G5410" t="s">
        <v>889</v>
      </c>
      <c r="H5410" t="s">
        <v>40</v>
      </c>
      <c r="I5410" t="s">
        <v>27</v>
      </c>
      <c r="J5410">
        <v>11</v>
      </c>
      <c r="K5410" s="10">
        <v>1</v>
      </c>
      <c r="L5410">
        <v>11</v>
      </c>
      <c r="M5410">
        <v>11</v>
      </c>
      <c r="N5410" s="5">
        <v>0.56237218813905931</v>
      </c>
      <c r="O5410" t="s">
        <v>100</v>
      </c>
      <c r="P5410" t="s">
        <v>340</v>
      </c>
      <c r="Q5410" s="10" t="s">
        <v>2468</v>
      </c>
    </row>
    <row r="5411" spans="1:18" x14ac:dyDescent="0.25">
      <c r="A5411" s="9" t="s">
        <v>2458</v>
      </c>
      <c r="B5411" s="3" t="s">
        <v>2496</v>
      </c>
      <c r="C5411" s="10">
        <v>8</v>
      </c>
      <c r="D5411" s="10">
        <v>4</v>
      </c>
      <c r="E5411" s="10">
        <v>20</v>
      </c>
      <c r="F5411" t="s">
        <v>292</v>
      </c>
      <c r="G5411" t="s">
        <v>889</v>
      </c>
      <c r="H5411" t="s">
        <v>40</v>
      </c>
      <c r="I5411" t="s">
        <v>27</v>
      </c>
      <c r="J5411">
        <v>18.600000000000001</v>
      </c>
      <c r="K5411" s="10">
        <v>1</v>
      </c>
      <c r="L5411">
        <v>18.600000000000001</v>
      </c>
      <c r="M5411">
        <v>18.600000000000001</v>
      </c>
      <c r="N5411" s="5">
        <v>0.95092024539877318</v>
      </c>
      <c r="O5411" t="s">
        <v>100</v>
      </c>
      <c r="P5411" t="s">
        <v>340</v>
      </c>
      <c r="Q5411" s="10" t="s">
        <v>2468</v>
      </c>
    </row>
    <row r="5412" spans="1:18" x14ac:dyDescent="0.25">
      <c r="A5412" s="9" t="s">
        <v>2458</v>
      </c>
      <c r="B5412" s="3" t="s">
        <v>2496</v>
      </c>
      <c r="C5412" s="10">
        <v>8</v>
      </c>
      <c r="D5412" s="10">
        <v>4</v>
      </c>
      <c r="E5412" s="10">
        <v>20</v>
      </c>
      <c r="F5412" t="s">
        <v>398</v>
      </c>
      <c r="G5412" t="s">
        <v>889</v>
      </c>
      <c r="H5412" t="s">
        <v>40</v>
      </c>
      <c r="I5412" t="s">
        <v>27</v>
      </c>
      <c r="J5412">
        <v>15.6</v>
      </c>
      <c r="K5412" s="10">
        <v>1</v>
      </c>
      <c r="L5412">
        <v>15.6</v>
      </c>
      <c r="M5412">
        <v>15.6</v>
      </c>
      <c r="N5412" s="5">
        <v>0.79754601226993871</v>
      </c>
      <c r="O5412" t="s">
        <v>100</v>
      </c>
      <c r="P5412" t="s">
        <v>340</v>
      </c>
      <c r="Q5412" s="10" t="s">
        <v>2468</v>
      </c>
    </row>
    <row r="5413" spans="1:18" x14ac:dyDescent="0.25">
      <c r="A5413" s="9" t="s">
        <v>2458</v>
      </c>
      <c r="B5413" s="3" t="s">
        <v>2496</v>
      </c>
      <c r="C5413" s="10">
        <v>8</v>
      </c>
      <c r="D5413" s="10">
        <v>4</v>
      </c>
      <c r="E5413" s="10">
        <v>20</v>
      </c>
      <c r="F5413" t="s">
        <v>2498</v>
      </c>
      <c r="G5413" t="s">
        <v>889</v>
      </c>
      <c r="H5413" t="s">
        <v>59</v>
      </c>
      <c r="I5413" t="s">
        <v>27</v>
      </c>
      <c r="J5413">
        <v>133</v>
      </c>
      <c r="K5413" s="10">
        <v>1</v>
      </c>
      <c r="L5413">
        <v>133</v>
      </c>
      <c r="M5413">
        <v>133</v>
      </c>
      <c r="N5413" s="5">
        <v>6.7995910020449903</v>
      </c>
      <c r="O5413" t="s">
        <v>2497</v>
      </c>
      <c r="P5413" t="s">
        <v>340</v>
      </c>
      <c r="Q5413" s="10" t="s">
        <v>2468</v>
      </c>
    </row>
    <row r="5414" spans="1:18" x14ac:dyDescent="0.25">
      <c r="A5414" s="9" t="s">
        <v>2458</v>
      </c>
      <c r="B5414" s="3" t="s">
        <v>2496</v>
      </c>
      <c r="C5414" s="10">
        <v>8</v>
      </c>
      <c r="D5414" s="10">
        <v>4</v>
      </c>
      <c r="E5414" s="10">
        <v>20</v>
      </c>
      <c r="F5414" t="s">
        <v>2499</v>
      </c>
      <c r="G5414" t="s">
        <v>889</v>
      </c>
      <c r="H5414" t="s">
        <v>59</v>
      </c>
      <c r="I5414" t="s">
        <v>27</v>
      </c>
      <c r="J5414">
        <v>184</v>
      </c>
      <c r="K5414" s="10">
        <v>1</v>
      </c>
      <c r="L5414">
        <v>184</v>
      </c>
      <c r="M5414">
        <v>184</v>
      </c>
      <c r="N5414" s="5">
        <v>9.406952965235174</v>
      </c>
      <c r="O5414" t="s">
        <v>2497</v>
      </c>
      <c r="P5414" t="s">
        <v>340</v>
      </c>
      <c r="Q5414" s="10" t="s">
        <v>2468</v>
      </c>
    </row>
    <row r="5415" spans="1:18" x14ac:dyDescent="0.25">
      <c r="A5415" s="9" t="s">
        <v>2458</v>
      </c>
      <c r="B5415" s="3" t="s">
        <v>2496</v>
      </c>
      <c r="C5415" s="10">
        <v>8</v>
      </c>
      <c r="D5415" s="10">
        <v>4</v>
      </c>
      <c r="E5415" s="10">
        <v>20</v>
      </c>
      <c r="F5415" t="s">
        <v>264</v>
      </c>
      <c r="G5415" t="s">
        <v>67</v>
      </c>
      <c r="H5415" t="s">
        <v>59</v>
      </c>
      <c r="I5415" t="s">
        <v>27</v>
      </c>
      <c r="J5415">
        <v>254</v>
      </c>
      <c r="K5415" s="10">
        <v>2</v>
      </c>
      <c r="L5415">
        <v>254</v>
      </c>
      <c r="M5415">
        <v>508</v>
      </c>
      <c r="N5415" s="5">
        <v>25.971370143149286</v>
      </c>
      <c r="O5415" t="s">
        <v>2497</v>
      </c>
      <c r="P5415" t="s">
        <v>340</v>
      </c>
      <c r="Q5415" s="10" t="s">
        <v>2468</v>
      </c>
    </row>
    <row r="5416" spans="1:18" x14ac:dyDescent="0.25">
      <c r="A5416" s="9" t="s">
        <v>2458</v>
      </c>
      <c r="B5416" s="3" t="s">
        <v>2496</v>
      </c>
      <c r="C5416" s="10">
        <v>8</v>
      </c>
      <c r="D5416" s="10">
        <v>4</v>
      </c>
      <c r="E5416" s="10">
        <v>20</v>
      </c>
      <c r="F5416" t="s">
        <v>2119</v>
      </c>
      <c r="G5416" t="s">
        <v>67</v>
      </c>
      <c r="H5416" t="s">
        <v>59</v>
      </c>
      <c r="I5416" t="s">
        <v>27</v>
      </c>
      <c r="J5416">
        <v>296</v>
      </c>
      <c r="K5416" s="10">
        <v>1</v>
      </c>
      <c r="L5416">
        <v>296</v>
      </c>
      <c r="M5416">
        <v>296</v>
      </c>
      <c r="N5416" s="5">
        <v>15.132924335378323</v>
      </c>
      <c r="O5416" t="s">
        <v>2497</v>
      </c>
      <c r="P5416" t="s">
        <v>340</v>
      </c>
      <c r="Q5416" s="10" t="s">
        <v>2468</v>
      </c>
    </row>
    <row r="5417" spans="1:18" x14ac:dyDescent="0.25">
      <c r="A5417" s="9" t="s">
        <v>2458</v>
      </c>
      <c r="B5417" s="3" t="s">
        <v>2496</v>
      </c>
      <c r="C5417" s="10">
        <v>8</v>
      </c>
      <c r="D5417" s="10">
        <v>4</v>
      </c>
      <c r="E5417" s="10">
        <v>20</v>
      </c>
      <c r="F5417" t="s">
        <v>1292</v>
      </c>
      <c r="G5417" t="s">
        <v>58</v>
      </c>
      <c r="H5417" t="s">
        <v>59</v>
      </c>
      <c r="I5417" t="s">
        <v>27</v>
      </c>
      <c r="J5417">
        <v>120</v>
      </c>
      <c r="K5417" s="10">
        <v>1</v>
      </c>
      <c r="L5417">
        <v>120</v>
      </c>
      <c r="M5417">
        <v>120</v>
      </c>
      <c r="N5417" s="5">
        <v>6.1349693251533743</v>
      </c>
      <c r="O5417" t="s">
        <v>2497</v>
      </c>
      <c r="P5417" t="s">
        <v>340</v>
      </c>
      <c r="Q5417" s="10" t="s">
        <v>2468</v>
      </c>
    </row>
    <row r="5418" spans="1:18" x14ac:dyDescent="0.25">
      <c r="A5418" s="9" t="s">
        <v>2352</v>
      </c>
      <c r="B5418" s="3" t="s">
        <v>2503</v>
      </c>
      <c r="C5418" s="10">
        <v>24</v>
      </c>
      <c r="D5418" s="10">
        <v>3</v>
      </c>
      <c r="E5418" s="10">
        <v>20</v>
      </c>
      <c r="F5418" t="s">
        <v>2500</v>
      </c>
      <c r="G5418" t="s">
        <v>67</v>
      </c>
      <c r="H5418" t="s">
        <v>59</v>
      </c>
      <c r="I5418" t="s">
        <v>27</v>
      </c>
      <c r="J5418">
        <v>227</v>
      </c>
      <c r="K5418" s="10">
        <v>1</v>
      </c>
      <c r="L5418">
        <v>227</v>
      </c>
      <c r="M5418">
        <v>227</v>
      </c>
      <c r="N5418" s="5">
        <v>11.605316973415134</v>
      </c>
      <c r="O5418" t="s">
        <v>2497</v>
      </c>
      <c r="P5418" t="s">
        <v>340</v>
      </c>
      <c r="Q5418" s="10" t="s">
        <v>2468</v>
      </c>
    </row>
    <row r="5419" spans="1:18" x14ac:dyDescent="0.25">
      <c r="A5419" s="9" t="s">
        <v>2352</v>
      </c>
      <c r="B5419" s="3" t="s">
        <v>2503</v>
      </c>
      <c r="C5419" s="10">
        <v>24</v>
      </c>
      <c r="D5419" s="10">
        <v>3</v>
      </c>
      <c r="E5419" s="10">
        <v>20</v>
      </c>
      <c r="F5419" t="s">
        <v>2501</v>
      </c>
      <c r="G5419" t="s">
        <v>889</v>
      </c>
      <c r="H5419" t="s">
        <v>59</v>
      </c>
      <c r="I5419" t="s">
        <v>27</v>
      </c>
      <c r="J5419">
        <v>72</v>
      </c>
      <c r="K5419" s="10">
        <v>1</v>
      </c>
      <c r="L5419">
        <v>72</v>
      </c>
      <c r="M5419">
        <v>72</v>
      </c>
      <c r="N5419" s="5">
        <v>3.6809815950920246</v>
      </c>
      <c r="O5419" t="s">
        <v>2497</v>
      </c>
      <c r="P5419" t="s">
        <v>340</v>
      </c>
      <c r="Q5419" s="10" t="s">
        <v>2468</v>
      </c>
    </row>
    <row r="5420" spans="1:18" x14ac:dyDescent="0.25">
      <c r="A5420" s="9" t="s">
        <v>2352</v>
      </c>
      <c r="B5420" s="3" t="s">
        <v>2503</v>
      </c>
      <c r="C5420" s="10">
        <v>24</v>
      </c>
      <c r="D5420" s="10">
        <v>3</v>
      </c>
      <c r="E5420" s="10">
        <v>20</v>
      </c>
      <c r="F5420" t="s">
        <v>264</v>
      </c>
      <c r="G5420" t="s">
        <v>67</v>
      </c>
      <c r="H5420" t="s">
        <v>59</v>
      </c>
      <c r="I5420" t="s">
        <v>27</v>
      </c>
      <c r="J5420">
        <v>254</v>
      </c>
      <c r="K5420" s="10">
        <v>1</v>
      </c>
      <c r="L5420">
        <v>254</v>
      </c>
      <c r="M5420">
        <v>254</v>
      </c>
      <c r="N5420" s="5">
        <v>12.985685071574643</v>
      </c>
      <c r="O5420" t="s">
        <v>2497</v>
      </c>
      <c r="P5420" t="s">
        <v>340</v>
      </c>
      <c r="Q5420" s="10" t="s">
        <v>2468</v>
      </c>
    </row>
    <row r="5421" spans="1:18" x14ac:dyDescent="0.25">
      <c r="A5421" s="9" t="s">
        <v>2352</v>
      </c>
      <c r="B5421" s="3" t="s">
        <v>2503</v>
      </c>
      <c r="C5421" s="10">
        <v>24</v>
      </c>
      <c r="D5421" s="10">
        <v>3</v>
      </c>
      <c r="E5421" s="10">
        <v>20</v>
      </c>
      <c r="F5421" t="s">
        <v>2502</v>
      </c>
      <c r="G5421" t="s">
        <v>67</v>
      </c>
      <c r="H5421" t="s">
        <v>59</v>
      </c>
      <c r="I5421" t="s">
        <v>27</v>
      </c>
      <c r="J5421">
        <v>204</v>
      </c>
      <c r="K5421" s="10">
        <v>1</v>
      </c>
      <c r="L5421">
        <v>204</v>
      </c>
      <c r="M5421">
        <v>204</v>
      </c>
      <c r="N5421" s="5">
        <v>10.429447852760736</v>
      </c>
      <c r="O5421" t="s">
        <v>2497</v>
      </c>
      <c r="P5421" t="s">
        <v>340</v>
      </c>
      <c r="Q5421" s="10" t="s">
        <v>2468</v>
      </c>
    </row>
    <row r="5422" spans="1:18" x14ac:dyDescent="0.25">
      <c r="A5422" s="9" t="s">
        <v>2352</v>
      </c>
      <c r="B5422" s="3" t="s">
        <v>2503</v>
      </c>
      <c r="C5422" s="10">
        <v>24</v>
      </c>
      <c r="D5422" s="10">
        <v>3</v>
      </c>
      <c r="E5422" s="10">
        <v>20</v>
      </c>
      <c r="F5422" t="s">
        <v>2356</v>
      </c>
      <c r="G5422" t="s">
        <v>889</v>
      </c>
      <c r="H5422" t="s">
        <v>39</v>
      </c>
      <c r="I5422" t="s">
        <v>39</v>
      </c>
      <c r="J5422">
        <v>35</v>
      </c>
      <c r="K5422" s="10">
        <v>1</v>
      </c>
      <c r="L5422">
        <v>35</v>
      </c>
      <c r="M5422">
        <v>35</v>
      </c>
      <c r="N5422" s="5">
        <v>1.7893660531697342</v>
      </c>
      <c r="O5422" t="s">
        <v>2497</v>
      </c>
      <c r="P5422" t="s">
        <v>340</v>
      </c>
      <c r="Q5422" s="10" t="s">
        <v>2468</v>
      </c>
    </row>
    <row r="5423" spans="1:18" x14ac:dyDescent="0.25">
      <c r="A5423" s="9" t="s">
        <v>2458</v>
      </c>
      <c r="B5423" s="3" t="s">
        <v>2511</v>
      </c>
      <c r="C5423" s="10">
        <v>10</v>
      </c>
      <c r="D5423" s="10">
        <v>4</v>
      </c>
      <c r="E5423" s="10">
        <v>20</v>
      </c>
      <c r="F5423" t="s">
        <v>104</v>
      </c>
      <c r="G5423" t="s">
        <v>889</v>
      </c>
      <c r="H5423" t="s">
        <v>2093</v>
      </c>
      <c r="I5423" t="s">
        <v>72</v>
      </c>
      <c r="J5423">
        <v>284.99</v>
      </c>
      <c r="K5423" s="10">
        <v>1</v>
      </c>
      <c r="L5423">
        <v>284.99</v>
      </c>
      <c r="M5423">
        <v>284.99</v>
      </c>
      <c r="N5423" s="5">
        <v>14.570040899795503</v>
      </c>
      <c r="O5423" t="s">
        <v>233</v>
      </c>
      <c r="P5423" t="s">
        <v>340</v>
      </c>
      <c r="Q5423" s="10" t="s">
        <v>2468</v>
      </c>
      <c r="R5423" t="s">
        <v>2504</v>
      </c>
    </row>
    <row r="5424" spans="1:18" x14ac:dyDescent="0.25">
      <c r="A5424" s="9" t="s">
        <v>2458</v>
      </c>
      <c r="B5424" s="3" t="s">
        <v>2511</v>
      </c>
      <c r="C5424" s="10">
        <v>10</v>
      </c>
      <c r="D5424" s="10">
        <v>4</v>
      </c>
      <c r="E5424" s="10">
        <v>20</v>
      </c>
      <c r="F5424" t="s">
        <v>151</v>
      </c>
      <c r="G5424" t="s">
        <v>889</v>
      </c>
      <c r="H5424" t="s">
        <v>39</v>
      </c>
      <c r="I5424" t="s">
        <v>72</v>
      </c>
      <c r="J5424">
        <v>10.72</v>
      </c>
      <c r="K5424" s="10">
        <v>2</v>
      </c>
      <c r="L5424">
        <v>10.72</v>
      </c>
      <c r="M5424">
        <v>21.44</v>
      </c>
      <c r="N5424" s="5">
        <v>1.0961145194274029</v>
      </c>
      <c r="O5424" t="s">
        <v>233</v>
      </c>
      <c r="P5424" t="s">
        <v>340</v>
      </c>
      <c r="Q5424" s="10" t="s">
        <v>2468</v>
      </c>
      <c r="R5424" t="s">
        <v>2505</v>
      </c>
    </row>
    <row r="5425" spans="1:18" x14ac:dyDescent="0.25">
      <c r="A5425" s="9" t="s">
        <v>2458</v>
      </c>
      <c r="B5425" s="3" t="s">
        <v>2511</v>
      </c>
      <c r="C5425" s="10">
        <v>10</v>
      </c>
      <c r="D5425" s="10">
        <v>4</v>
      </c>
      <c r="E5425" s="10">
        <v>20</v>
      </c>
      <c r="F5425" t="s">
        <v>39</v>
      </c>
      <c r="G5425" t="s">
        <v>889</v>
      </c>
      <c r="H5425" t="s">
        <v>39</v>
      </c>
      <c r="I5425" t="s">
        <v>72</v>
      </c>
      <c r="J5425">
        <v>8.1199999999999992</v>
      </c>
      <c r="K5425" s="10">
        <v>1</v>
      </c>
      <c r="L5425">
        <v>8.1199999999999992</v>
      </c>
      <c r="M5425">
        <v>8.1199999999999992</v>
      </c>
      <c r="N5425" s="5">
        <v>0.41513292433537829</v>
      </c>
      <c r="O5425" t="s">
        <v>233</v>
      </c>
      <c r="P5425" t="s">
        <v>340</v>
      </c>
      <c r="Q5425" s="10" t="s">
        <v>2468</v>
      </c>
      <c r="R5425" t="s">
        <v>2506</v>
      </c>
    </row>
    <row r="5426" spans="1:18" x14ac:dyDescent="0.25">
      <c r="A5426" s="9" t="s">
        <v>2458</v>
      </c>
      <c r="B5426" s="3" t="s">
        <v>2511</v>
      </c>
      <c r="C5426" s="10">
        <v>10</v>
      </c>
      <c r="D5426" s="10">
        <v>4</v>
      </c>
      <c r="E5426" s="10">
        <v>20</v>
      </c>
      <c r="F5426" t="s">
        <v>39</v>
      </c>
      <c r="G5426" t="s">
        <v>889</v>
      </c>
      <c r="H5426" t="s">
        <v>39</v>
      </c>
      <c r="I5426" t="s">
        <v>72</v>
      </c>
      <c r="J5426">
        <v>8.27</v>
      </c>
      <c r="K5426" s="10">
        <v>9</v>
      </c>
      <c r="L5426">
        <v>8.27</v>
      </c>
      <c r="M5426">
        <v>74.429999999999993</v>
      </c>
      <c r="N5426" s="5">
        <v>3.80521472392638</v>
      </c>
      <c r="O5426" t="s">
        <v>233</v>
      </c>
      <c r="P5426" t="s">
        <v>340</v>
      </c>
      <c r="Q5426" s="10" t="s">
        <v>2468</v>
      </c>
      <c r="R5426" t="s">
        <v>2413</v>
      </c>
    </row>
    <row r="5427" spans="1:18" x14ac:dyDescent="0.25">
      <c r="A5427" s="9" t="s">
        <v>2458</v>
      </c>
      <c r="B5427" s="3" t="s">
        <v>2511</v>
      </c>
      <c r="C5427" s="10">
        <v>10</v>
      </c>
      <c r="D5427" s="10">
        <v>4</v>
      </c>
      <c r="E5427" s="10">
        <v>20</v>
      </c>
      <c r="F5427" t="s">
        <v>39</v>
      </c>
      <c r="G5427" t="s">
        <v>889</v>
      </c>
      <c r="H5427" t="s">
        <v>39</v>
      </c>
      <c r="I5427" t="s">
        <v>72</v>
      </c>
      <c r="J5427">
        <v>19.6203</v>
      </c>
      <c r="K5427" s="10">
        <v>3</v>
      </c>
      <c r="L5427">
        <v>19.6203</v>
      </c>
      <c r="M5427">
        <v>58.860900000000001</v>
      </c>
      <c r="N5427" s="5">
        <v>3.0092484662576688</v>
      </c>
      <c r="O5427" t="s">
        <v>233</v>
      </c>
      <c r="P5427" t="s">
        <v>340</v>
      </c>
      <c r="Q5427" s="10" t="s">
        <v>2468</v>
      </c>
      <c r="R5427" t="s">
        <v>669</v>
      </c>
    </row>
    <row r="5428" spans="1:18" x14ac:dyDescent="0.25">
      <c r="A5428" s="9" t="s">
        <v>2458</v>
      </c>
      <c r="B5428" s="3" t="s">
        <v>2511</v>
      </c>
      <c r="C5428" s="10">
        <v>10</v>
      </c>
      <c r="D5428" s="10">
        <v>4</v>
      </c>
      <c r="E5428" s="10">
        <v>20</v>
      </c>
      <c r="F5428" t="s">
        <v>146</v>
      </c>
      <c r="G5428" t="s">
        <v>889</v>
      </c>
      <c r="H5428" t="s">
        <v>49</v>
      </c>
      <c r="I5428" t="s">
        <v>50</v>
      </c>
      <c r="J5428">
        <v>0.3</v>
      </c>
      <c r="K5428" s="10">
        <v>1</v>
      </c>
      <c r="L5428">
        <v>0.3</v>
      </c>
      <c r="M5428">
        <v>0.3</v>
      </c>
      <c r="N5428" s="5">
        <v>1.5337423312883436E-2</v>
      </c>
      <c r="O5428" t="s">
        <v>233</v>
      </c>
      <c r="P5428" t="s">
        <v>340</v>
      </c>
      <c r="Q5428" s="10" t="s">
        <v>2468</v>
      </c>
      <c r="R5428">
        <v>0</v>
      </c>
    </row>
    <row r="5429" spans="1:18" x14ac:dyDescent="0.25">
      <c r="A5429" s="9" t="s">
        <v>2458</v>
      </c>
      <c r="B5429" s="3" t="s">
        <v>2511</v>
      </c>
      <c r="C5429" s="10">
        <v>10</v>
      </c>
      <c r="D5429" s="10">
        <v>4</v>
      </c>
      <c r="E5429" s="10">
        <v>20</v>
      </c>
      <c r="F5429" t="s">
        <v>39</v>
      </c>
      <c r="G5429" t="s">
        <v>889</v>
      </c>
      <c r="H5429" t="s">
        <v>39</v>
      </c>
      <c r="I5429" t="s">
        <v>72</v>
      </c>
      <c r="J5429">
        <v>59.9</v>
      </c>
      <c r="K5429" s="10">
        <v>1</v>
      </c>
      <c r="L5429">
        <v>59.9</v>
      </c>
      <c r="M5429">
        <v>59.9</v>
      </c>
      <c r="N5429" s="5">
        <v>3.0623721881390593</v>
      </c>
      <c r="O5429" t="s">
        <v>233</v>
      </c>
      <c r="P5429" t="s">
        <v>340</v>
      </c>
      <c r="Q5429" s="10" t="s">
        <v>2468</v>
      </c>
      <c r="R5429" t="s">
        <v>2507</v>
      </c>
    </row>
    <row r="5430" spans="1:18" x14ac:dyDescent="0.25">
      <c r="A5430" s="9" t="s">
        <v>2458</v>
      </c>
      <c r="B5430" s="3" t="s">
        <v>2511</v>
      </c>
      <c r="C5430" s="10">
        <v>10</v>
      </c>
      <c r="D5430" s="10">
        <v>4</v>
      </c>
      <c r="E5430" s="10">
        <v>20</v>
      </c>
      <c r="F5430" t="s">
        <v>39</v>
      </c>
      <c r="G5430" t="s">
        <v>889</v>
      </c>
      <c r="H5430" t="s">
        <v>39</v>
      </c>
      <c r="I5430" t="s">
        <v>72</v>
      </c>
      <c r="J5430">
        <v>71.88</v>
      </c>
      <c r="K5430" s="10">
        <v>1</v>
      </c>
      <c r="L5430">
        <v>71.88</v>
      </c>
      <c r="M5430">
        <v>71.88</v>
      </c>
      <c r="N5430" s="5">
        <v>3.6748466257668713</v>
      </c>
      <c r="O5430" t="s">
        <v>233</v>
      </c>
      <c r="P5430" t="s">
        <v>340</v>
      </c>
      <c r="Q5430" s="10" t="s">
        <v>2468</v>
      </c>
      <c r="R5430" t="s">
        <v>2508</v>
      </c>
    </row>
    <row r="5431" spans="1:18" x14ac:dyDescent="0.25">
      <c r="A5431" s="9" t="s">
        <v>2458</v>
      </c>
      <c r="B5431" s="3" t="s">
        <v>2511</v>
      </c>
      <c r="C5431" s="10">
        <v>10</v>
      </c>
      <c r="D5431" s="10">
        <v>4</v>
      </c>
      <c r="E5431" s="10">
        <v>20</v>
      </c>
      <c r="F5431" t="s">
        <v>159</v>
      </c>
      <c r="G5431" t="s">
        <v>889</v>
      </c>
      <c r="H5431" t="s">
        <v>2093</v>
      </c>
      <c r="I5431" t="s">
        <v>72</v>
      </c>
      <c r="J5431">
        <v>36.619999999999997</v>
      </c>
      <c r="K5431" s="10">
        <v>1</v>
      </c>
      <c r="L5431">
        <v>36.619999999999997</v>
      </c>
      <c r="M5431">
        <v>36.619999999999997</v>
      </c>
      <c r="N5431" s="5">
        <v>1.8721881390593047</v>
      </c>
      <c r="O5431" t="s">
        <v>233</v>
      </c>
      <c r="P5431" t="s">
        <v>340</v>
      </c>
      <c r="Q5431" s="10" t="s">
        <v>2468</v>
      </c>
      <c r="R5431" t="s">
        <v>2509</v>
      </c>
    </row>
    <row r="5432" spans="1:18" x14ac:dyDescent="0.25">
      <c r="A5432" s="9" t="s">
        <v>2458</v>
      </c>
      <c r="B5432" s="3" t="s">
        <v>2511</v>
      </c>
      <c r="C5432" s="10">
        <v>10</v>
      </c>
      <c r="D5432" s="10">
        <v>4</v>
      </c>
      <c r="E5432" s="10">
        <v>20</v>
      </c>
      <c r="F5432" t="s">
        <v>39</v>
      </c>
      <c r="G5432" t="s">
        <v>889</v>
      </c>
      <c r="H5432" t="s">
        <v>2093</v>
      </c>
      <c r="I5432" t="s">
        <v>72</v>
      </c>
      <c r="J5432">
        <v>172.8</v>
      </c>
      <c r="K5432" s="10">
        <v>1</v>
      </c>
      <c r="L5432">
        <v>172.8</v>
      </c>
      <c r="M5432">
        <v>172.8</v>
      </c>
      <c r="N5432" s="5">
        <v>8.8343558282208594</v>
      </c>
      <c r="O5432" t="s">
        <v>233</v>
      </c>
      <c r="P5432" t="s">
        <v>340</v>
      </c>
      <c r="Q5432" s="10" t="s">
        <v>2468</v>
      </c>
      <c r="R5432" t="s">
        <v>2510</v>
      </c>
    </row>
    <row r="5433" spans="1:18" x14ac:dyDescent="0.25">
      <c r="A5433" s="9" t="s">
        <v>2458</v>
      </c>
      <c r="B5433" s="3" t="s">
        <v>2511</v>
      </c>
      <c r="C5433" s="10">
        <v>10</v>
      </c>
      <c r="D5433" s="10">
        <v>4</v>
      </c>
      <c r="E5433" s="10">
        <v>20</v>
      </c>
      <c r="F5433" t="s">
        <v>890</v>
      </c>
      <c r="G5433" t="s">
        <v>889</v>
      </c>
      <c r="H5433" t="s">
        <v>53</v>
      </c>
      <c r="I5433" t="s">
        <v>27</v>
      </c>
      <c r="J5433">
        <v>41.75</v>
      </c>
      <c r="K5433" s="10">
        <v>2</v>
      </c>
      <c r="L5433">
        <v>41.75</v>
      </c>
      <c r="M5433">
        <v>83.5</v>
      </c>
      <c r="N5433" s="5">
        <v>4.2689161554192232</v>
      </c>
      <c r="O5433" t="s">
        <v>101</v>
      </c>
      <c r="P5433" t="s">
        <v>340</v>
      </c>
      <c r="Q5433" s="10" t="s">
        <v>2468</v>
      </c>
      <c r="R5433">
        <v>0</v>
      </c>
    </row>
    <row r="5434" spans="1:18" x14ac:dyDescent="0.25">
      <c r="A5434" s="9" t="s">
        <v>2458</v>
      </c>
      <c r="B5434" s="3" t="s">
        <v>2511</v>
      </c>
      <c r="C5434" s="10">
        <v>10</v>
      </c>
      <c r="D5434" s="10">
        <v>4</v>
      </c>
      <c r="E5434" s="10">
        <v>20</v>
      </c>
      <c r="F5434" t="s">
        <v>122</v>
      </c>
      <c r="G5434" t="s">
        <v>889</v>
      </c>
      <c r="H5434" t="s">
        <v>54</v>
      </c>
      <c r="I5434" t="s">
        <v>27</v>
      </c>
      <c r="J5434">
        <v>22</v>
      </c>
      <c r="K5434" s="10">
        <v>0.47</v>
      </c>
      <c r="L5434">
        <v>22</v>
      </c>
      <c r="M5434">
        <v>10.34</v>
      </c>
      <c r="N5434" s="5">
        <v>0.52862985685071573</v>
      </c>
      <c r="O5434" t="s">
        <v>101</v>
      </c>
      <c r="P5434" t="s">
        <v>340</v>
      </c>
      <c r="Q5434" s="10" t="s">
        <v>2468</v>
      </c>
      <c r="R5434">
        <v>0</v>
      </c>
    </row>
    <row r="5435" spans="1:18" x14ac:dyDescent="0.25">
      <c r="A5435" s="9" t="s">
        <v>2458</v>
      </c>
      <c r="B5435" s="3" t="s">
        <v>2511</v>
      </c>
      <c r="C5435" s="10">
        <v>10</v>
      </c>
      <c r="D5435" s="10">
        <v>4</v>
      </c>
      <c r="E5435" s="10">
        <v>20</v>
      </c>
      <c r="F5435" t="s">
        <v>840</v>
      </c>
      <c r="G5435" t="s">
        <v>889</v>
      </c>
      <c r="H5435" t="s">
        <v>56</v>
      </c>
      <c r="I5435" t="s">
        <v>27</v>
      </c>
      <c r="J5435">
        <v>58</v>
      </c>
      <c r="K5435" s="10">
        <v>0.20799999999999999</v>
      </c>
      <c r="L5435">
        <v>58</v>
      </c>
      <c r="M5435">
        <v>12.064</v>
      </c>
      <c r="N5435" s="5">
        <v>0.61676891615541929</v>
      </c>
      <c r="O5435" t="s">
        <v>101</v>
      </c>
      <c r="P5435" t="s">
        <v>340</v>
      </c>
      <c r="Q5435" s="10" t="s">
        <v>2468</v>
      </c>
      <c r="R5435">
        <v>0</v>
      </c>
    </row>
    <row r="5436" spans="1:18" x14ac:dyDescent="0.25">
      <c r="A5436" s="9" t="s">
        <v>2458</v>
      </c>
      <c r="B5436" s="3" t="s">
        <v>2511</v>
      </c>
      <c r="C5436" s="10">
        <v>10</v>
      </c>
      <c r="D5436" s="10">
        <v>4</v>
      </c>
      <c r="E5436" s="10">
        <v>20</v>
      </c>
      <c r="F5436" t="s">
        <v>55</v>
      </c>
      <c r="G5436" t="s">
        <v>889</v>
      </c>
      <c r="H5436" t="s">
        <v>56</v>
      </c>
      <c r="I5436" t="s">
        <v>27</v>
      </c>
      <c r="J5436">
        <v>33</v>
      </c>
      <c r="K5436" s="10">
        <v>0.97</v>
      </c>
      <c r="L5436">
        <v>33</v>
      </c>
      <c r="M5436">
        <v>32.01</v>
      </c>
      <c r="N5436" s="5">
        <v>1.6365030674846626</v>
      </c>
      <c r="O5436" t="s">
        <v>101</v>
      </c>
      <c r="P5436" t="s">
        <v>340</v>
      </c>
      <c r="Q5436" s="10" t="s">
        <v>2468</v>
      </c>
      <c r="R5436">
        <v>0</v>
      </c>
    </row>
    <row r="5437" spans="1:18" x14ac:dyDescent="0.25">
      <c r="A5437" s="9" t="s">
        <v>2458</v>
      </c>
      <c r="B5437" s="3" t="s">
        <v>2511</v>
      </c>
      <c r="C5437" s="10">
        <v>10</v>
      </c>
      <c r="D5437" s="10">
        <v>4</v>
      </c>
      <c r="E5437" s="10">
        <v>20</v>
      </c>
      <c r="F5437" t="s">
        <v>200</v>
      </c>
      <c r="G5437" t="s">
        <v>77</v>
      </c>
      <c r="H5437" t="s">
        <v>26</v>
      </c>
      <c r="I5437" t="s">
        <v>27</v>
      </c>
      <c r="J5437">
        <v>23</v>
      </c>
      <c r="K5437" s="10">
        <v>1</v>
      </c>
      <c r="L5437">
        <v>23</v>
      </c>
      <c r="M5437">
        <v>23</v>
      </c>
      <c r="N5437" s="5">
        <v>1.1758691206543967</v>
      </c>
      <c r="O5437" t="s">
        <v>101</v>
      </c>
      <c r="P5437" t="s">
        <v>340</v>
      </c>
      <c r="Q5437" s="10" t="s">
        <v>2468</v>
      </c>
      <c r="R5437">
        <v>0</v>
      </c>
    </row>
    <row r="5438" spans="1:18" x14ac:dyDescent="0.25">
      <c r="A5438" s="9" t="s">
        <v>2458</v>
      </c>
      <c r="B5438" s="3" t="s">
        <v>2511</v>
      </c>
      <c r="C5438" s="10">
        <v>10</v>
      </c>
      <c r="D5438" s="10">
        <v>4</v>
      </c>
      <c r="E5438" s="10">
        <v>20</v>
      </c>
      <c r="F5438" t="s">
        <v>2512</v>
      </c>
      <c r="G5438" t="s">
        <v>889</v>
      </c>
      <c r="H5438" t="s">
        <v>65</v>
      </c>
      <c r="I5438" t="s">
        <v>27</v>
      </c>
      <c r="J5438">
        <v>25.5</v>
      </c>
      <c r="K5438" s="10">
        <v>1</v>
      </c>
      <c r="L5438">
        <v>25.5</v>
      </c>
      <c r="M5438">
        <v>25.5</v>
      </c>
      <c r="N5438" s="5">
        <v>1.303680981595092</v>
      </c>
      <c r="O5438" t="s">
        <v>101</v>
      </c>
      <c r="P5438" t="s">
        <v>340</v>
      </c>
      <c r="Q5438" s="10" t="s">
        <v>2468</v>
      </c>
      <c r="R5438">
        <v>0</v>
      </c>
    </row>
    <row r="5439" spans="1:18" x14ac:dyDescent="0.25">
      <c r="A5439" s="9" t="s">
        <v>2458</v>
      </c>
      <c r="B5439" s="3" t="s">
        <v>2511</v>
      </c>
      <c r="C5439" s="10">
        <v>10</v>
      </c>
      <c r="D5439" s="10">
        <v>4</v>
      </c>
      <c r="E5439" s="10">
        <v>20</v>
      </c>
      <c r="F5439" t="s">
        <v>89</v>
      </c>
      <c r="G5439" t="s">
        <v>31</v>
      </c>
      <c r="H5439" t="s">
        <v>26</v>
      </c>
      <c r="I5439" t="s">
        <v>27</v>
      </c>
      <c r="J5439">
        <v>11.5</v>
      </c>
      <c r="K5439" s="10">
        <v>1</v>
      </c>
      <c r="L5439">
        <v>11.5</v>
      </c>
      <c r="M5439">
        <v>11.5</v>
      </c>
      <c r="N5439" s="5">
        <v>0.58793456032719837</v>
      </c>
      <c r="O5439" t="s">
        <v>101</v>
      </c>
      <c r="P5439" t="s">
        <v>340</v>
      </c>
      <c r="Q5439" s="10" t="s">
        <v>2468</v>
      </c>
      <c r="R5439">
        <v>0</v>
      </c>
    </row>
    <row r="5440" spans="1:18" x14ac:dyDescent="0.25">
      <c r="A5440" s="9" t="s">
        <v>2458</v>
      </c>
      <c r="B5440" s="3" t="s">
        <v>2511</v>
      </c>
      <c r="C5440" s="10">
        <v>10</v>
      </c>
      <c r="D5440" s="10">
        <v>4</v>
      </c>
      <c r="E5440" s="10">
        <v>20</v>
      </c>
      <c r="F5440" t="s">
        <v>2377</v>
      </c>
      <c r="G5440" t="s">
        <v>345</v>
      </c>
      <c r="H5440" t="s">
        <v>26</v>
      </c>
      <c r="I5440" t="s">
        <v>27</v>
      </c>
      <c r="J5440">
        <v>7.25</v>
      </c>
      <c r="K5440" s="10">
        <v>1</v>
      </c>
      <c r="L5440">
        <v>7.25</v>
      </c>
      <c r="M5440">
        <v>7.25</v>
      </c>
      <c r="N5440" s="5">
        <v>0.37065439672801637</v>
      </c>
      <c r="O5440" t="s">
        <v>101</v>
      </c>
      <c r="P5440" t="s">
        <v>340</v>
      </c>
      <c r="Q5440" s="10" t="s">
        <v>2468</v>
      </c>
      <c r="R5440">
        <v>0</v>
      </c>
    </row>
    <row r="5441" spans="1:18" x14ac:dyDescent="0.25">
      <c r="A5441" s="9" t="s">
        <v>2458</v>
      </c>
      <c r="B5441" s="3" t="s">
        <v>2511</v>
      </c>
      <c r="C5441" s="10">
        <v>10</v>
      </c>
      <c r="D5441" s="10">
        <v>4</v>
      </c>
      <c r="E5441" s="10">
        <v>20</v>
      </c>
      <c r="F5441" t="s">
        <v>1021</v>
      </c>
      <c r="G5441" t="s">
        <v>889</v>
      </c>
      <c r="H5441" t="s">
        <v>54</v>
      </c>
      <c r="I5441" t="s">
        <v>27</v>
      </c>
      <c r="J5441">
        <v>23</v>
      </c>
      <c r="K5441" s="10">
        <v>0.61399999999999999</v>
      </c>
      <c r="L5441">
        <v>23</v>
      </c>
      <c r="M5441">
        <v>14.122</v>
      </c>
      <c r="N5441" s="5">
        <v>0.7219836400817996</v>
      </c>
      <c r="O5441" t="s">
        <v>101</v>
      </c>
      <c r="P5441" t="s">
        <v>340</v>
      </c>
      <c r="Q5441" s="10" t="s">
        <v>2468</v>
      </c>
      <c r="R5441">
        <v>0</v>
      </c>
    </row>
    <row r="5442" spans="1:18" x14ac:dyDescent="0.25">
      <c r="A5442" s="9" t="s">
        <v>2458</v>
      </c>
      <c r="B5442" s="3" t="s">
        <v>2511</v>
      </c>
      <c r="C5442" s="10">
        <v>10</v>
      </c>
      <c r="D5442" s="10">
        <v>4</v>
      </c>
      <c r="E5442" s="10">
        <v>20</v>
      </c>
      <c r="F5442" t="s">
        <v>202</v>
      </c>
      <c r="G5442" t="s">
        <v>889</v>
      </c>
      <c r="H5442" t="s">
        <v>54</v>
      </c>
      <c r="I5442" t="s">
        <v>27</v>
      </c>
      <c r="J5442">
        <v>140</v>
      </c>
      <c r="K5442" s="10">
        <v>0.19800000000000001</v>
      </c>
      <c r="L5442">
        <v>140</v>
      </c>
      <c r="M5442">
        <v>27.720000000000002</v>
      </c>
      <c r="N5442" s="5">
        <v>1.4171779141104297</v>
      </c>
      <c r="O5442" t="s">
        <v>101</v>
      </c>
      <c r="P5442" t="s">
        <v>340</v>
      </c>
      <c r="Q5442" s="10" t="s">
        <v>2468</v>
      </c>
      <c r="R5442">
        <v>0</v>
      </c>
    </row>
    <row r="5443" spans="1:18" x14ac:dyDescent="0.25">
      <c r="A5443" s="9" t="s">
        <v>2458</v>
      </c>
      <c r="B5443" s="3" t="s">
        <v>2515</v>
      </c>
      <c r="C5443" s="10">
        <v>5</v>
      </c>
      <c r="D5443" s="10">
        <v>4</v>
      </c>
      <c r="E5443" s="10">
        <v>20</v>
      </c>
      <c r="F5443" t="s">
        <v>676</v>
      </c>
      <c r="G5443" t="s">
        <v>39</v>
      </c>
      <c r="H5443" t="s">
        <v>131</v>
      </c>
      <c r="I5443" t="s">
        <v>27</v>
      </c>
      <c r="J5443">
        <v>5.75</v>
      </c>
      <c r="K5443" s="10">
        <v>4</v>
      </c>
      <c r="L5443">
        <v>5.75</v>
      </c>
      <c r="M5443">
        <v>23</v>
      </c>
      <c r="N5443" s="5">
        <v>1.1758691206543967</v>
      </c>
      <c r="O5443" t="s">
        <v>101</v>
      </c>
      <c r="P5443" t="s">
        <v>340</v>
      </c>
      <c r="Q5443" s="10" t="s">
        <v>2468</v>
      </c>
      <c r="R5443">
        <v>0</v>
      </c>
    </row>
    <row r="5444" spans="1:18" x14ac:dyDescent="0.25">
      <c r="A5444" s="9" t="s">
        <v>2458</v>
      </c>
      <c r="B5444" s="3" t="s">
        <v>2515</v>
      </c>
      <c r="C5444" s="10">
        <v>5</v>
      </c>
      <c r="D5444" s="10">
        <v>4</v>
      </c>
      <c r="E5444" s="10">
        <v>20</v>
      </c>
      <c r="F5444" t="s">
        <v>200</v>
      </c>
      <c r="G5444" t="s">
        <v>77</v>
      </c>
      <c r="H5444" t="s">
        <v>26</v>
      </c>
      <c r="I5444" t="s">
        <v>27</v>
      </c>
      <c r="J5444">
        <v>23</v>
      </c>
      <c r="K5444" s="10">
        <v>1</v>
      </c>
      <c r="L5444">
        <v>23</v>
      </c>
      <c r="M5444">
        <v>23</v>
      </c>
      <c r="N5444" s="5">
        <v>1.1758691206543967</v>
      </c>
      <c r="O5444" t="s">
        <v>101</v>
      </c>
      <c r="P5444" t="s">
        <v>340</v>
      </c>
      <c r="Q5444" s="10" t="s">
        <v>2468</v>
      </c>
      <c r="R5444">
        <v>0</v>
      </c>
    </row>
    <row r="5445" spans="1:18" x14ac:dyDescent="0.25">
      <c r="A5445" s="9" t="s">
        <v>2458</v>
      </c>
      <c r="B5445" s="3" t="s">
        <v>2515</v>
      </c>
      <c r="C5445" s="10">
        <v>5</v>
      </c>
      <c r="D5445" s="10">
        <v>4</v>
      </c>
      <c r="E5445" s="10">
        <v>20</v>
      </c>
      <c r="F5445" t="s">
        <v>1637</v>
      </c>
      <c r="G5445" t="s">
        <v>889</v>
      </c>
      <c r="H5445" t="s">
        <v>59</v>
      </c>
      <c r="I5445" t="s">
        <v>27</v>
      </c>
      <c r="J5445">
        <v>32</v>
      </c>
      <c r="K5445" s="10">
        <v>1</v>
      </c>
      <c r="L5445">
        <v>32</v>
      </c>
      <c r="M5445">
        <v>32</v>
      </c>
      <c r="N5445" s="5">
        <v>1.6359918200408998</v>
      </c>
      <c r="O5445" t="s">
        <v>101</v>
      </c>
      <c r="P5445" t="s">
        <v>340</v>
      </c>
      <c r="Q5445" s="10" t="s">
        <v>2468</v>
      </c>
      <c r="R5445">
        <v>0</v>
      </c>
    </row>
    <row r="5446" spans="1:18" x14ac:dyDescent="0.25">
      <c r="A5446" s="9" t="s">
        <v>2458</v>
      </c>
      <c r="B5446" s="3" t="s">
        <v>2515</v>
      </c>
      <c r="C5446" s="10">
        <v>5</v>
      </c>
      <c r="D5446" s="10">
        <v>4</v>
      </c>
      <c r="E5446" s="10">
        <v>20</v>
      </c>
      <c r="F5446" t="s">
        <v>1637</v>
      </c>
      <c r="G5446" t="s">
        <v>889</v>
      </c>
      <c r="H5446" t="s">
        <v>59</v>
      </c>
      <c r="I5446" t="s">
        <v>27</v>
      </c>
      <c r="J5446">
        <v>24.9</v>
      </c>
      <c r="K5446" s="10">
        <v>1</v>
      </c>
      <c r="L5446">
        <v>24.9</v>
      </c>
      <c r="M5446">
        <v>24.9</v>
      </c>
      <c r="N5446" s="5">
        <v>1.2730061349693251</v>
      </c>
      <c r="O5446" t="s">
        <v>101</v>
      </c>
      <c r="P5446" t="s">
        <v>340</v>
      </c>
      <c r="Q5446" s="10" t="s">
        <v>2468</v>
      </c>
      <c r="R5446">
        <v>0</v>
      </c>
    </row>
    <row r="5447" spans="1:18" x14ac:dyDescent="0.25">
      <c r="A5447" s="9" t="s">
        <v>2458</v>
      </c>
      <c r="B5447" s="3" t="s">
        <v>2515</v>
      </c>
      <c r="C5447" s="10">
        <v>5</v>
      </c>
      <c r="D5447" s="10">
        <v>4</v>
      </c>
      <c r="E5447" s="10">
        <v>20</v>
      </c>
      <c r="F5447" t="s">
        <v>2513</v>
      </c>
      <c r="G5447" t="s">
        <v>889</v>
      </c>
      <c r="H5447" t="s">
        <v>2514</v>
      </c>
      <c r="I5447" t="s">
        <v>27</v>
      </c>
      <c r="J5447">
        <v>7.1</v>
      </c>
      <c r="K5447" s="10">
        <v>3</v>
      </c>
      <c r="L5447">
        <v>7.1</v>
      </c>
      <c r="M5447">
        <v>21.299999999999997</v>
      </c>
      <c r="N5447" s="5">
        <v>1.0889570552147239</v>
      </c>
      <c r="O5447" t="s">
        <v>101</v>
      </c>
      <c r="P5447" t="s">
        <v>340</v>
      </c>
      <c r="Q5447" s="10" t="s">
        <v>2468</v>
      </c>
      <c r="R5447">
        <v>0</v>
      </c>
    </row>
    <row r="5448" spans="1:18" x14ac:dyDescent="0.25">
      <c r="A5448" s="9" t="s">
        <v>2458</v>
      </c>
      <c r="B5448" s="3" t="s">
        <v>2515</v>
      </c>
      <c r="C5448" s="10">
        <v>5</v>
      </c>
      <c r="D5448" s="10">
        <v>4</v>
      </c>
      <c r="E5448" s="10">
        <v>20</v>
      </c>
      <c r="F5448" t="s">
        <v>89</v>
      </c>
      <c r="G5448" t="s">
        <v>31</v>
      </c>
      <c r="H5448" t="s">
        <v>26</v>
      </c>
      <c r="I5448" t="s">
        <v>27</v>
      </c>
      <c r="J5448">
        <v>15</v>
      </c>
      <c r="K5448" s="10">
        <v>1</v>
      </c>
      <c r="L5448">
        <v>15</v>
      </c>
      <c r="M5448">
        <v>15</v>
      </c>
      <c r="N5448" s="5">
        <v>0.76687116564417179</v>
      </c>
      <c r="O5448" t="s">
        <v>101</v>
      </c>
      <c r="P5448" t="s">
        <v>340</v>
      </c>
      <c r="Q5448" s="10" t="s">
        <v>2468</v>
      </c>
      <c r="R5448">
        <v>0</v>
      </c>
    </row>
    <row r="5449" spans="1:18" x14ac:dyDescent="0.25">
      <c r="A5449" s="9" t="s">
        <v>2458</v>
      </c>
      <c r="B5449" s="3" t="s">
        <v>2515</v>
      </c>
      <c r="C5449" s="10">
        <v>5</v>
      </c>
      <c r="D5449" s="10">
        <v>4</v>
      </c>
      <c r="E5449" s="10">
        <v>20</v>
      </c>
      <c r="F5449" t="s">
        <v>890</v>
      </c>
      <c r="G5449" t="s">
        <v>889</v>
      </c>
      <c r="H5449" t="s">
        <v>53</v>
      </c>
      <c r="I5449" t="s">
        <v>27</v>
      </c>
      <c r="J5449">
        <v>41.75</v>
      </c>
      <c r="K5449" s="10">
        <v>2</v>
      </c>
      <c r="L5449">
        <v>41.75</v>
      </c>
      <c r="M5449">
        <v>83.5</v>
      </c>
      <c r="N5449" s="5">
        <v>4.2689161554192232</v>
      </c>
      <c r="O5449" t="s">
        <v>101</v>
      </c>
      <c r="P5449" t="s">
        <v>340</v>
      </c>
      <c r="Q5449" s="10" t="s">
        <v>2468</v>
      </c>
      <c r="R5449">
        <v>0</v>
      </c>
    </row>
    <row r="5450" spans="1:18" x14ac:dyDescent="0.25">
      <c r="A5450" s="9" t="s">
        <v>2458</v>
      </c>
      <c r="B5450" s="3" t="s">
        <v>2515</v>
      </c>
      <c r="C5450" s="10">
        <v>5</v>
      </c>
      <c r="D5450" s="10">
        <v>4</v>
      </c>
      <c r="E5450" s="10">
        <v>20</v>
      </c>
      <c r="F5450" t="s">
        <v>55</v>
      </c>
      <c r="G5450" t="s">
        <v>889</v>
      </c>
      <c r="H5450" t="s">
        <v>56</v>
      </c>
      <c r="I5450" t="s">
        <v>27</v>
      </c>
      <c r="J5450">
        <v>33</v>
      </c>
      <c r="K5450" s="10">
        <v>0.624</v>
      </c>
      <c r="L5450">
        <v>33</v>
      </c>
      <c r="M5450">
        <v>20.591999999999999</v>
      </c>
      <c r="N5450" s="5">
        <v>1.0527607361963189</v>
      </c>
      <c r="O5450" t="s">
        <v>101</v>
      </c>
      <c r="P5450" t="s">
        <v>340</v>
      </c>
      <c r="Q5450" s="10" t="s">
        <v>2468</v>
      </c>
      <c r="R5450">
        <v>0</v>
      </c>
    </row>
    <row r="5451" spans="1:18" x14ac:dyDescent="0.25">
      <c r="A5451" s="9" t="s">
        <v>2458</v>
      </c>
      <c r="B5451" s="3" t="s">
        <v>2515</v>
      </c>
      <c r="C5451" s="10">
        <v>5</v>
      </c>
      <c r="D5451" s="10">
        <v>4</v>
      </c>
      <c r="E5451" s="10">
        <v>20</v>
      </c>
      <c r="F5451" t="s">
        <v>112</v>
      </c>
      <c r="G5451" t="s">
        <v>889</v>
      </c>
      <c r="H5451" t="s">
        <v>56</v>
      </c>
      <c r="I5451" t="s">
        <v>27</v>
      </c>
      <c r="J5451">
        <v>26</v>
      </c>
      <c r="K5451" s="10">
        <v>1.242</v>
      </c>
      <c r="L5451">
        <v>26</v>
      </c>
      <c r="M5451">
        <v>32.292000000000002</v>
      </c>
      <c r="N5451" s="5">
        <v>1.6509202453987732</v>
      </c>
      <c r="O5451" t="s">
        <v>101</v>
      </c>
      <c r="P5451" t="s">
        <v>340</v>
      </c>
      <c r="Q5451" s="10" t="s">
        <v>2468</v>
      </c>
      <c r="R5451">
        <v>0</v>
      </c>
    </row>
    <row r="5452" spans="1:18" x14ac:dyDescent="0.25">
      <c r="A5452" s="9" t="s">
        <v>2458</v>
      </c>
      <c r="B5452" s="3" t="s">
        <v>2515</v>
      </c>
      <c r="C5452" s="10">
        <v>5</v>
      </c>
      <c r="D5452" s="10">
        <v>4</v>
      </c>
      <c r="E5452" s="10">
        <v>20</v>
      </c>
      <c r="F5452" t="s">
        <v>202</v>
      </c>
      <c r="G5452" t="s">
        <v>889</v>
      </c>
      <c r="H5452" t="s">
        <v>54</v>
      </c>
      <c r="I5452" t="s">
        <v>27</v>
      </c>
      <c r="J5452">
        <v>140</v>
      </c>
      <c r="K5452" s="10">
        <v>0.20200000000000001</v>
      </c>
      <c r="L5452">
        <v>140</v>
      </c>
      <c r="M5452">
        <v>28.28</v>
      </c>
      <c r="N5452" s="5">
        <v>1.4458077709611454</v>
      </c>
      <c r="O5452" t="s">
        <v>101</v>
      </c>
      <c r="P5452" t="s">
        <v>340</v>
      </c>
      <c r="Q5452" s="10" t="s">
        <v>2468</v>
      </c>
      <c r="R5452">
        <v>0</v>
      </c>
    </row>
    <row r="5453" spans="1:18" x14ac:dyDescent="0.25">
      <c r="A5453" s="9" t="s">
        <v>2458</v>
      </c>
      <c r="B5453" s="3" t="s">
        <v>2515</v>
      </c>
      <c r="C5453" s="10">
        <v>5</v>
      </c>
      <c r="D5453" s="10">
        <v>4</v>
      </c>
      <c r="E5453" s="10">
        <v>20</v>
      </c>
      <c r="F5453" t="s">
        <v>174</v>
      </c>
      <c r="G5453" t="s">
        <v>889</v>
      </c>
      <c r="H5453" t="s">
        <v>54</v>
      </c>
      <c r="I5453" t="s">
        <v>27</v>
      </c>
      <c r="J5453">
        <v>15</v>
      </c>
      <c r="K5453" s="10">
        <v>1.3839999999999999</v>
      </c>
      <c r="L5453">
        <v>15</v>
      </c>
      <c r="M5453">
        <v>20.759999999999998</v>
      </c>
      <c r="N5453" s="5">
        <v>1.0613496932515336</v>
      </c>
      <c r="O5453" t="s">
        <v>101</v>
      </c>
      <c r="P5453" t="s">
        <v>340</v>
      </c>
      <c r="Q5453" s="10" t="s">
        <v>2468</v>
      </c>
      <c r="R5453">
        <v>0</v>
      </c>
    </row>
    <row r="5454" spans="1:18" x14ac:dyDescent="0.25">
      <c r="A5454" s="9" t="s">
        <v>2458</v>
      </c>
      <c r="B5454" s="3" t="s">
        <v>2515</v>
      </c>
      <c r="C5454" s="10">
        <v>5</v>
      </c>
      <c r="D5454" s="10">
        <v>4</v>
      </c>
      <c r="E5454" s="10">
        <v>20</v>
      </c>
      <c r="F5454" t="s">
        <v>2462</v>
      </c>
      <c r="G5454" t="s">
        <v>889</v>
      </c>
      <c r="H5454" t="s">
        <v>40</v>
      </c>
      <c r="I5454" t="s">
        <v>27</v>
      </c>
      <c r="J5454">
        <v>5</v>
      </c>
      <c r="K5454" s="10">
        <v>1</v>
      </c>
      <c r="L5454">
        <v>5</v>
      </c>
      <c r="M5454">
        <v>5</v>
      </c>
      <c r="N5454" s="5">
        <v>0.2556237218813906</v>
      </c>
      <c r="O5454" t="s">
        <v>101</v>
      </c>
      <c r="P5454" t="s">
        <v>340</v>
      </c>
      <c r="Q5454" s="10" t="s">
        <v>2468</v>
      </c>
      <c r="R5454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Spending_2019</vt:lpstr>
      <vt:lpstr>Spending_Raw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Roxana Coanda</dc:creator>
  <cp:lastModifiedBy>Alexandru Malai</cp:lastModifiedBy>
  <dcterms:created xsi:type="dcterms:W3CDTF">2019-01-11T11:08:45Z</dcterms:created>
  <dcterms:modified xsi:type="dcterms:W3CDTF">2020-04-17T12:05:24Z</dcterms:modified>
</cp:coreProperties>
</file>